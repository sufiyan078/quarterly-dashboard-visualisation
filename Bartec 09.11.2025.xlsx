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filterPrivacy="1" defaultThemeVersion="124226"/>
  <xr:revisionPtr revIDLastSave="2" documentId="8_{06D10971-33C6-40BC-8782-E85BA11F1709}" xr6:coauthVersionLast="47" xr6:coauthVersionMax="47" xr10:uidLastSave="{EEADF3DA-7422-4148-9B63-0D841630F1A2}"/>
  <bookViews>
    <workbookView xWindow="-120" yWindow="-120" windowWidth="20730" windowHeight="11040" xr2:uid="{00000000-000D-0000-FFFF-FFFF00000000}"/>
  </bookViews>
  <sheets>
    <sheet name="SUMMARY" sheetId="5" r:id="rId1"/>
    <sheet name="Counting Sheet" sheetId="4" r:id="rId2"/>
    <sheet name="DATA" sheetId="2" r:id="rId3"/>
  </sheets>
  <definedNames>
    <definedName name="_xlnm._FilterDatabase" localSheetId="1" hidden="1">'Counting Sheet'!$A$2:$N$233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5" i="4" l="1"/>
  <c r="G218" i="4"/>
  <c r="N192" i="4" l="1"/>
  <c r="G65" i="4"/>
  <c r="G59" i="4"/>
  <c r="G43" i="4"/>
  <c r="G5" i="4"/>
  <c r="G30" i="4"/>
  <c r="G226" i="4"/>
  <c r="G209" i="4"/>
  <c r="H35" i="4"/>
  <c r="H28" i="4" l="1"/>
  <c r="H33" i="4"/>
  <c r="H232" i="4"/>
  <c r="H231" i="4"/>
  <c r="H230" i="4"/>
  <c r="H229" i="4"/>
  <c r="H228" i="4"/>
  <c r="H227" i="4"/>
  <c r="H226" i="4"/>
  <c r="H225" i="4"/>
  <c r="H224" i="4"/>
  <c r="H223" i="4"/>
  <c r="H222" i="4"/>
  <c r="H221" i="4"/>
  <c r="H220" i="4"/>
  <c r="H219" i="4"/>
  <c r="H218" i="4"/>
  <c r="H217" i="4"/>
  <c r="H216" i="4"/>
  <c r="H215" i="4"/>
  <c r="H214" i="4"/>
  <c r="H213" i="4"/>
  <c r="H212" i="4"/>
  <c r="H211" i="4"/>
  <c r="H210" i="4"/>
  <c r="H209" i="4"/>
  <c r="H208" i="4"/>
  <c r="H207" i="4"/>
  <c r="H206" i="4"/>
  <c r="H205" i="4"/>
  <c r="H204" i="4"/>
  <c r="H203" i="4"/>
  <c r="H202" i="4"/>
  <c r="H201" i="4"/>
  <c r="H200" i="4"/>
  <c r="H199" i="4"/>
  <c r="H198" i="4"/>
  <c r="H197" i="4"/>
  <c r="H196" i="4"/>
  <c r="H195" i="4"/>
  <c r="H194" i="4"/>
  <c r="H193" i="4"/>
  <c r="H192" i="4"/>
  <c r="H191" i="4"/>
  <c r="H190" i="4"/>
  <c r="H189" i="4"/>
  <c r="H188" i="4"/>
  <c r="H187" i="4"/>
  <c r="H186" i="4"/>
  <c r="H185" i="4"/>
  <c r="H184" i="4"/>
  <c r="H183" i="4"/>
  <c r="H182" i="4"/>
  <c r="H181" i="4"/>
  <c r="H180" i="4"/>
  <c r="H179" i="4"/>
  <c r="H178" i="4"/>
  <c r="H177" i="4"/>
  <c r="H176" i="4"/>
  <c r="H175" i="4"/>
  <c r="H174" i="4"/>
  <c r="H173" i="4"/>
  <c r="H172" i="4"/>
  <c r="H171" i="4"/>
  <c r="H170" i="4"/>
  <c r="H169" i="4"/>
  <c r="H168" i="4"/>
  <c r="H167" i="4"/>
  <c r="H166" i="4"/>
  <c r="H165" i="4"/>
  <c r="H164" i="4"/>
  <c r="H163" i="4"/>
  <c r="H162" i="4"/>
  <c r="H161" i="4"/>
  <c r="H160" i="4"/>
  <c r="H159" i="4"/>
  <c r="H158" i="4"/>
  <c r="H157" i="4"/>
  <c r="H156" i="4"/>
  <c r="H155" i="4"/>
  <c r="H154" i="4"/>
  <c r="H153" i="4"/>
  <c r="H152" i="4"/>
  <c r="H151" i="4"/>
  <c r="H150" i="4"/>
  <c r="H149" i="4"/>
  <c r="H148" i="4"/>
  <c r="H147" i="4"/>
  <c r="H146" i="4"/>
  <c r="H145" i="4"/>
  <c r="H144" i="4"/>
  <c r="H143" i="4"/>
  <c r="H142" i="4"/>
  <c r="H141" i="4"/>
  <c r="H140" i="4"/>
  <c r="H139" i="4"/>
  <c r="H138" i="4"/>
  <c r="H137" i="4"/>
  <c r="H136" i="4"/>
  <c r="H135" i="4"/>
  <c r="H134" i="4"/>
  <c r="H133" i="4"/>
  <c r="H132" i="4"/>
  <c r="H131" i="4"/>
  <c r="H130" i="4"/>
  <c r="H129" i="4"/>
  <c r="H128" i="4"/>
  <c r="H127" i="4"/>
  <c r="H126" i="4"/>
  <c r="H125" i="4"/>
  <c r="H124" i="4"/>
  <c r="H123" i="4"/>
  <c r="H122" i="4"/>
  <c r="H121" i="4"/>
  <c r="H120" i="4"/>
  <c r="H119" i="4"/>
  <c r="H118" i="4"/>
  <c r="H117" i="4"/>
  <c r="H116" i="4"/>
  <c r="H115" i="4"/>
  <c r="H114" i="4"/>
  <c r="H113" i="4"/>
  <c r="H112" i="4"/>
  <c r="H111" i="4"/>
  <c r="H110" i="4"/>
  <c r="H109" i="4"/>
  <c r="H108" i="4"/>
  <c r="H107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91" i="4"/>
  <c r="H90" i="4"/>
  <c r="H89" i="4"/>
  <c r="H88" i="4"/>
  <c r="H87" i="4"/>
  <c r="H86" i="4"/>
  <c r="H85" i="4"/>
  <c r="H84" i="4"/>
  <c r="H83" i="4"/>
  <c r="H82" i="4"/>
  <c r="H81" i="4"/>
  <c r="H80" i="4"/>
  <c r="H79" i="4"/>
  <c r="H78" i="4"/>
  <c r="H77" i="4"/>
  <c r="H76" i="4"/>
  <c r="H75" i="4"/>
  <c r="H74" i="4"/>
  <c r="H73" i="4"/>
  <c r="H72" i="4"/>
  <c r="H71" i="4"/>
  <c r="H70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54" i="4"/>
  <c r="H53" i="4"/>
  <c r="H52" i="4"/>
  <c r="H51" i="4"/>
  <c r="H50" i="4"/>
  <c r="H49" i="4"/>
  <c r="H48" i="4"/>
  <c r="H47" i="4"/>
  <c r="H46" i="4"/>
  <c r="H44" i="4"/>
  <c r="H43" i="4"/>
  <c r="H42" i="4"/>
  <c r="H41" i="4"/>
  <c r="H40" i="4"/>
  <c r="H39" i="4"/>
  <c r="H38" i="4"/>
  <c r="H37" i="4"/>
  <c r="H36" i="4"/>
  <c r="H34" i="4"/>
  <c r="H32" i="4"/>
  <c r="H31" i="4"/>
  <c r="H30" i="4"/>
  <c r="H29" i="4"/>
  <c r="H27" i="4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H6" i="4"/>
  <c r="H5" i="4"/>
  <c r="H4" i="4"/>
  <c r="H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</calcChain>
</file>

<file path=xl/sharedStrings.xml><?xml version="1.0" encoding="utf-8"?>
<sst xmlns="http://schemas.openxmlformats.org/spreadsheetml/2006/main" count="1421" uniqueCount="499">
  <si>
    <t>ITEM_CODE</t>
  </si>
  <si>
    <t>ITEM_DESCRIPTION</t>
  </si>
  <si>
    <t>INS</t>
  </si>
  <si>
    <t>1000015005</t>
  </si>
  <si>
    <t>Bartec Middle East LLC</t>
  </si>
  <si>
    <t>Bartec Feam Cable Gland; PAP-04 MON</t>
  </si>
  <si>
    <t>1000015014</t>
  </si>
  <si>
    <t xml:space="preserve">Bartec Feam Cable Gland; PAP-04-NON, male 1 1 /4" NPT in Nickel Plated Brass complete with kit of gaskets in EPDM with all accessories </t>
  </si>
  <si>
    <t>1000015015</t>
  </si>
  <si>
    <t xml:space="preserve">Bartec Feam Cable Gland; PAP-05-NON, male 1 1 /2" NPT in Nickel Plated Brass complete with kit of gaskets in EPDM with all accessories </t>
  </si>
  <si>
    <t>1000015041</t>
  </si>
  <si>
    <t>Bartec Feam Cable Gland; PAP-R-04-NON, MALE 1 1/4" NPT in nickle plated brass complete with kit of gaskets in EPDM + FS0904 with all accessories</t>
  </si>
  <si>
    <t>1000015043</t>
  </si>
  <si>
    <t>Bartec Feam Cable Gland; PAP-R 06 NON</t>
  </si>
  <si>
    <t>1000015048</t>
  </si>
  <si>
    <t>Bartec Feam Cable Gland; PNA-02 MON</t>
  </si>
  <si>
    <t>1000015050</t>
  </si>
  <si>
    <t>Bartec Feam Cable Gland; PNA-04 MON</t>
  </si>
  <si>
    <t>1000015056</t>
  </si>
  <si>
    <t>Bartec Feam Cable Gland; PNA-01 NON</t>
  </si>
  <si>
    <t>1000015082</t>
  </si>
  <si>
    <t>Bartec, Feam Plugs PLG-2 NON, male 3/4", in nickel plated brass, external haxagonal head, Bartec FN</t>
  </si>
  <si>
    <t>1000015117</t>
  </si>
  <si>
    <t>Bartec, Feam Junction and Pulling Box GUAX27</t>
  </si>
  <si>
    <t>1000015100</t>
  </si>
  <si>
    <t>Bartec, Feam Plugs PLG-4 NIX</t>
  </si>
  <si>
    <t>SKF Eurotrade AB</t>
  </si>
  <si>
    <t>1000093076</t>
  </si>
  <si>
    <t xml:space="preserve">3-SS Cable Glands Including Accessories (PAP-R-05-MIX) </t>
  </si>
  <si>
    <t>1000094726</t>
  </si>
  <si>
    <t xml:space="preserve">Bartec, Feam SS Junction Box ESX 8060(600X800X250) </t>
  </si>
  <si>
    <t>1000097213</t>
  </si>
  <si>
    <t xml:space="preserve">3-SS Cable Glands Including Accessories (PNA-R-01-MIX) </t>
  </si>
  <si>
    <t>1000099237</t>
  </si>
  <si>
    <t xml:space="preserve">MAKE : BARTEC; Emergency stop Pull to release with labelling; ORDER CODE: 07-3400-N200 </t>
  </si>
  <si>
    <t>1000099440</t>
  </si>
  <si>
    <t xml:space="preserve">Bartec Feam Cable Gland; PAP-R 03 MON + KIT </t>
  </si>
  <si>
    <t>1000101326</t>
  </si>
  <si>
    <t>Bartec, Feam Plugs; Reducers; RE-05N-02-NIX</t>
  </si>
  <si>
    <t>1000101547</t>
  </si>
  <si>
    <t xml:space="preserve">Bartec; SS316L Drain &amp; Breather ECD1 NIX 1/2",Exd rated </t>
  </si>
  <si>
    <t>JAWDAT TAYIBA TRADING EST</t>
  </si>
  <si>
    <t>1000103352</t>
  </si>
  <si>
    <t>Bartec Product; REB-02N01MXX</t>
  </si>
  <si>
    <t>1000103509</t>
  </si>
  <si>
    <t>Bartec Product; SS316L PAP-R-05-NXX+kit accessories</t>
  </si>
  <si>
    <t>1000103514</t>
  </si>
  <si>
    <t>Bartec Product; SS316L PNA-04-MXX+kit accessories</t>
  </si>
  <si>
    <t>1000103586</t>
  </si>
  <si>
    <t>Bartec Product; SS316L PAP-R-02-MXX+kit accessories</t>
  </si>
  <si>
    <t>1000103589</t>
  </si>
  <si>
    <t xml:space="preserve">Barrier cable gland, Unarmored cable type PNA-R-01-NXX execution Ex d/e/I IIC, size 1 , male 1/2" NPT, in stainless steel complete with kit of gaskets in EPDM + Accessories + FS0904-1 </t>
  </si>
  <si>
    <t>1000103597</t>
  </si>
  <si>
    <t xml:space="preserve">Bartec Product; SS316L PAP-04-MXX+kit accessories </t>
  </si>
  <si>
    <t>1000104330</t>
  </si>
  <si>
    <t xml:space="preserve">Ammeeter AM72 , X/1A, 0-20 A with fixing kit EXE </t>
  </si>
  <si>
    <t>1000104435</t>
  </si>
  <si>
    <t xml:space="preserve">Bartec Product; PAP-R-09 NON 3-1/2" </t>
  </si>
  <si>
    <t>1000106261</t>
  </si>
  <si>
    <t xml:space="preserve">Reducre female-male type REB05N05MXX, execution Ex d/e IIC, female  1-1/2" NPT, male M50x1.5, in stainless steel AISI316L </t>
  </si>
  <si>
    <t>1000107101</t>
  </si>
  <si>
    <t xml:space="preserve">Bartec Feam Cable Gland; PNA-R-02-NON, MALE 3/4" NPT in nickle plated brass complete with kit of gaskets in EPDM + FS0904 with all accessories </t>
  </si>
  <si>
    <t>1000108220</t>
  </si>
  <si>
    <t>Seal compound part number - INN-FS0904-2</t>
  </si>
  <si>
    <t>1000015006</t>
  </si>
  <si>
    <t xml:space="preserve">Bartec Feam Cable Gland; PAP-05-MON, male M50 in Nickel Plated Brass complete with kit of gaskets in EPDM with all accessories </t>
  </si>
  <si>
    <t>1000015016</t>
  </si>
  <si>
    <t>Bartec Feam Cable Gland; PAP-06-NON, male 2" NPT in Nickel Plated Brass complete with kit of gaskets in EPDM with all accessories</t>
  </si>
  <si>
    <t>1000015022</t>
  </si>
  <si>
    <t>Bartec Feam Cable Gland; PAP-03 MIX</t>
  </si>
  <si>
    <t>1000015061</t>
  </si>
  <si>
    <t>Bartec Feam Cable Gland; PNA-06 NON</t>
  </si>
  <si>
    <t>1000015063</t>
  </si>
  <si>
    <t>Bartec Feam Cable Gland; PNA-08 NON</t>
  </si>
  <si>
    <t>1000015066</t>
  </si>
  <si>
    <t>Bartec Feam Cable Gland; PNA-02 NIX</t>
  </si>
  <si>
    <t>1000015077</t>
  </si>
  <si>
    <t>Bartec, Feam Plugs PLG-5 MON</t>
  </si>
  <si>
    <t>1000015118</t>
  </si>
  <si>
    <t>Bartec, Feam Junction and Pulling Box GUAX59</t>
  </si>
  <si>
    <t>1000091161</t>
  </si>
  <si>
    <t>Bartec Feam Cable Gland; PAP-02 NIX</t>
  </si>
  <si>
    <t>1000092295</t>
  </si>
  <si>
    <t xml:space="preserve">Bartec, Feam SS Junction Box ESX 4433 size 330 X 440 X 200mm </t>
  </si>
  <si>
    <t>1000093085</t>
  </si>
  <si>
    <t xml:space="preserve">3-SS Cable Glands Including Accessories (PNA-R-02-NIX) </t>
  </si>
  <si>
    <t>1000093326</t>
  </si>
  <si>
    <t xml:space="preserve">Bartec Feam Cable Gland; PAP-R-01-MON </t>
  </si>
  <si>
    <t>1000094250</t>
  </si>
  <si>
    <t xml:space="preserve">3-SS Cable Glands Including Accessories   (PAP-R-04-MIX) </t>
  </si>
  <si>
    <t>1000099208</t>
  </si>
  <si>
    <t xml:space="preserve">Bartec M50 SS316 locknut &amp; IP washer </t>
  </si>
  <si>
    <t>1000099441</t>
  </si>
  <si>
    <t xml:space="preserve">Bartec Feam Cable Gland; PAP-R 04 MON + KIT </t>
  </si>
  <si>
    <t>1000101038</t>
  </si>
  <si>
    <t xml:space="preserve">Bartec Feam Cable Gland; PNA-R-02-MIX + KIT </t>
  </si>
  <si>
    <t>1000101321</t>
  </si>
  <si>
    <t>Bartec, Feam Plugs PLG-06-MON</t>
  </si>
  <si>
    <t>1000102394</t>
  </si>
  <si>
    <t>Bartec Feam Cable Gland; PAP-R01-MXX , male M20 in Stainless steel complete with Kit of gaskets in EPDDM + FS0904</t>
  </si>
  <si>
    <t>1000102397</t>
  </si>
  <si>
    <t>Bartec Feam Cable Gland; PAP-01-MXX + Kit</t>
  </si>
  <si>
    <t>1000102686</t>
  </si>
  <si>
    <t>Bartec, Feam Plugs PLG-07-NON</t>
  </si>
  <si>
    <t>1000103355</t>
  </si>
  <si>
    <t>Bartec Product; RE-02N01MXX</t>
  </si>
  <si>
    <t>1000103510</t>
  </si>
  <si>
    <t>Bartec Product; SS316L PAP-R-06-NXX+kit accessories</t>
  </si>
  <si>
    <t>1000105610</t>
  </si>
  <si>
    <t>Reducer female-male type REB02N02MXX, execution Ex d/e IIC, female 3/4"NPT, male M25x1.5, in stainless steel AISI316L, BARTEC FN, IECEx certificate</t>
  </si>
  <si>
    <t>1000105611</t>
  </si>
  <si>
    <t>Reducer female-male type REB03N03MXX, execution Ex d/e IIC, female 1"NPT, male M32x1.5, in stainless steel AISI316L, BARTEC FN,  IECEx certificate</t>
  </si>
  <si>
    <t>1000105612</t>
  </si>
  <si>
    <t>Reducer female-male type REB04N04MXX, execution Ex d/e IIC, female 1-1/4"NPT, male M40x1.5, in stainless steel AISI316L, BARTEC FN,  IECEx certificate</t>
  </si>
  <si>
    <t>1000106265</t>
  </si>
  <si>
    <t xml:space="preserve">HEXAGONAL HEAD COLLAR; PLG-04-NXX  </t>
  </si>
  <si>
    <t>1000015017</t>
  </si>
  <si>
    <t>Bartec Feam Cable Gland; PAP-07-NON, male 2 1/2" NPT in Nickel Plated Brass complete with kit of gaskets in EPDM with all accessories</t>
  </si>
  <si>
    <t>1000015051</t>
  </si>
  <si>
    <t>Bartec Feam Cable Gland; PNA-05 MON</t>
  </si>
  <si>
    <t>1000015067</t>
  </si>
  <si>
    <t>Bartec Feam Cable Gland; PNA-03 NIX</t>
  </si>
  <si>
    <t>1000015110</t>
  </si>
  <si>
    <t>Bartec, Feam Lightining Fixture EVAC301-150 W</t>
  </si>
  <si>
    <t>1000015111</t>
  </si>
  <si>
    <t>Bartec, Feam Lightining Fixture EVAC301-100HPNA-CM</t>
  </si>
  <si>
    <t>1000015108</t>
  </si>
  <si>
    <t>Bartec, Feam Lightining Fixture EVAC101-70HPNA-SM</t>
  </si>
  <si>
    <t>1000091162</t>
  </si>
  <si>
    <t>Bartec Feam Cable Gland; PAP-03 NIX</t>
  </si>
  <si>
    <t>1000091163</t>
  </si>
  <si>
    <t xml:space="preserve">Bartec Feam Cable Gland; PAP-04 NIX </t>
  </si>
  <si>
    <t>1000092204</t>
  </si>
  <si>
    <t xml:space="preserve">Bartec Feam Cable Gland; PAP-05 NIX </t>
  </si>
  <si>
    <t>1000096796</t>
  </si>
  <si>
    <t xml:space="preserve">Bartec, Feam SS Junction Box ESX 4433-6 size 440x330x200MM  </t>
  </si>
  <si>
    <t>1000099598</t>
  </si>
  <si>
    <t xml:space="preserve">3-SS Cable Glands Including Accessories (PAP-R-06-MIX) </t>
  </si>
  <si>
    <t>1000101332</t>
  </si>
  <si>
    <t>Bartec, Feam Plugs; Reducers; REB-02N-01-MIX</t>
  </si>
  <si>
    <t>1000102156</t>
  </si>
  <si>
    <t xml:space="preserve">Yellow Lamp Module Actuator: 05-0003-001500  </t>
  </si>
  <si>
    <t>1000103261</t>
  </si>
  <si>
    <t xml:space="preserve">Selector switch 3 position PN:05-0003-001000 </t>
  </si>
  <si>
    <t>1000103595</t>
  </si>
  <si>
    <t xml:space="preserve">Bartec cable gland, Unarmored cable type PNA-01-NXX execution Ex d/e/I IIC, size 1 , male 1/2" NPT, in stainless steel complete with kit of gaskets in EPDM + Accessories  </t>
  </si>
  <si>
    <t>1000104008</t>
  </si>
  <si>
    <t>Bartec Product; PLG-05-NXX</t>
  </si>
  <si>
    <t>1000104421</t>
  </si>
  <si>
    <t xml:space="preserve">Bartec Product; PNA‐06 NIX </t>
  </si>
  <si>
    <t>1000104623</t>
  </si>
  <si>
    <t>SS316 (Ex'd') Reducer : 1 1/2" NPTM X 1" NPTF Part Number RE05N03NXX</t>
  </si>
  <si>
    <t>1000104624</t>
  </si>
  <si>
    <t>Reducer male-female type RE03N01NXX, execution Ex d/e IIC, male 1"NPT, female 1/2"NPT, in stainless steel AISI316L, BARTEC FN, IECEx certificate</t>
  </si>
  <si>
    <t>1000106502</t>
  </si>
  <si>
    <t>SS316L ADAPTOR, 1/2" MALE TO M20 FEMALE, COLLAR R TYPE ADAPTOR Exe / Exd, IP 66 TYPE, REB01N01MXX</t>
  </si>
  <si>
    <t>1000015004</t>
  </si>
  <si>
    <t xml:space="preserve">Bartec Feam Cable Gland; PAP-03-MON, male M32 in Nickel Plated Brass complete with kit of gaskets in EPDM with all accessories </t>
  </si>
  <si>
    <t>1000015032</t>
  </si>
  <si>
    <t>Bartec Feam Cable Gland; PAP-R 04 NIX</t>
  </si>
  <si>
    <t>1000015049</t>
  </si>
  <si>
    <t>Bartec Feam Cable Gland; PNA-03 MON</t>
  </si>
  <si>
    <t>1000015059</t>
  </si>
  <si>
    <t>Bartec Feam Cable Gland; PNA-04 NON</t>
  </si>
  <si>
    <t>1000015068</t>
  </si>
  <si>
    <t>Bartec Feam Cable Gland; PNA-04 NIX</t>
  </si>
  <si>
    <t>1000015120</t>
  </si>
  <si>
    <t>Bartec, Feam SS Junction Box ESX 2222 size 220 X 220 X 148mm</t>
  </si>
  <si>
    <t>1000015152</t>
  </si>
  <si>
    <t xml:space="preserve">07-3353-4110 Indicator Module Red </t>
  </si>
  <si>
    <t>1000099238</t>
  </si>
  <si>
    <t xml:space="preserve">INDICATION LAMP, Green;PN:05-0003-001400 </t>
  </si>
  <si>
    <t>1000099599</t>
  </si>
  <si>
    <t xml:space="preserve">3-SS Cable Glands Including Accessories (PAP-R-07-MIX) </t>
  </si>
  <si>
    <t>1000101327</t>
  </si>
  <si>
    <t>Bartec, Feam Plugs; Reducers; RE-03N-01-MIX</t>
  </si>
  <si>
    <t>1000101331</t>
  </si>
  <si>
    <t>Bartec, Feam Plugs; Reducers; RE-03N-02-NIX</t>
  </si>
  <si>
    <t>1000101333</t>
  </si>
  <si>
    <t>Bartec, Feam Plugs; Reducers; RE-02N-01-MIX</t>
  </si>
  <si>
    <t>1000101720</t>
  </si>
  <si>
    <t xml:space="preserve">Bartec Feam Cable Gland; PNA-R-08 NIX + KIT </t>
  </si>
  <si>
    <t>1000102160</t>
  </si>
  <si>
    <t xml:space="preserve">BartecL;Push Button;PN:05-0003-000700  </t>
  </si>
  <si>
    <t>1000102687</t>
  </si>
  <si>
    <t xml:space="preserve">Bartec, Feam Plugs PLG-08-NON </t>
  </si>
  <si>
    <t>1000103353</t>
  </si>
  <si>
    <t>Bartec Product; REB-03N02MXX</t>
  </si>
  <si>
    <t>1000103504</t>
  </si>
  <si>
    <t xml:space="preserve">Bartec Product; SS316L PAP-01-NXX+kit accessories Bartec cable gland, armored cable type PAP-01-NXX execution Ex d/e/I IIC, size 1 , male 1/2" NPT, in stainless steel complete with kit of gaskets in EPDM + Accessories </t>
  </si>
  <si>
    <t>1000103518</t>
  </si>
  <si>
    <t>Bartec Product; SS316L 1" MALE TO 3/4" FEMALE TYPE RE#03N02NXX</t>
  </si>
  <si>
    <t>1000103585</t>
  </si>
  <si>
    <t>Bartec Product; SS316L PAP-06-MXX+kit accessories</t>
  </si>
  <si>
    <t>1000103591</t>
  </si>
  <si>
    <t xml:space="preserve">Barrier cable gland, Unarmored cable type PNA-R-03-NXX execution Ex d/e/I IIC, size 3 , male 1" NPT, in stainless steel complete with kit of gaskets in EPDM + Accessories + FS0904-3 </t>
  </si>
  <si>
    <t>1000103593</t>
  </si>
  <si>
    <t>Bartec Product; SS316L PNA-R-05-NXX+kit accessories</t>
  </si>
  <si>
    <t>1000103594</t>
  </si>
  <si>
    <t>Bartec Product; SS316L PNA-R-06-NXX+kit accessories</t>
  </si>
  <si>
    <t>1000104005</t>
  </si>
  <si>
    <t>Plug male type PLG, execution Ex d/e IIC, male 1/2"NPT, in stainless steel AISI316L, external hexagonal head (Collar Type), BARTEC FN, IECEx certificate. PLG-01-NXX</t>
  </si>
  <si>
    <t>1000106274</t>
  </si>
  <si>
    <t>3/4" NPT MALE TO 1/2" NPT FEMALE ( RING TYPE RE02N01NXX )</t>
  </si>
  <si>
    <t>1000107102</t>
  </si>
  <si>
    <t>Bartec Feam Cable Gland; PNA-R-03-NON, MALE 1" NPT in nickle plated brass complete with kit of gaskets in EPDM + FS0904 with all accessories</t>
  </si>
  <si>
    <t>1000107733</t>
  </si>
  <si>
    <t>Barrier cable gland, armored cable type PAP-R-03-NXX execution Ex d/e/I IIC, size 3 , male 1" NPT, in stainless steel complete with kit of gaskets in EPDM + Accessories + FS0904-3</t>
  </si>
  <si>
    <t>1000109687</t>
  </si>
  <si>
    <t>415MM H x 315MM W x 249MM D (EJB31)JUNCTION BOX, EXPLOSION PROOF 3X 3/4" NPT ENTRIES 1 X 1" NPT ENTRIES 1 X 1/2" NPT ENTRIES AT BOTTOM -6 X FUSE TERMINAL,25MM2, (FUSE- 10X38) -6 X 10X38 HRC FUSE, 6 X FEED-THROUGH TERMINAL3 X FEED. 3X 3/4" N</t>
  </si>
  <si>
    <t>1000015007</t>
  </si>
  <si>
    <t xml:space="preserve">Bartec Feam Cable Gland; PAP-06-MON, male M63 in Nickel Plated Brass complete with kit of gaskets in EPDM with all accessories </t>
  </si>
  <si>
    <t>1000015013</t>
  </si>
  <si>
    <t>Bartec Feam Cable Gland; PAP-03-NON, male 1" NPT in Nickel Plated Brass complete with kit of gaskets in EPDM with all accessories</t>
  </si>
  <si>
    <t>1000015029</t>
  </si>
  <si>
    <t>Bartec Feam Cable Gland; PAP-R 01 NIX</t>
  </si>
  <si>
    <t>1000015034</t>
  </si>
  <si>
    <t>Bartec Feam Cable Gland; PAP-R 06 NIX</t>
  </si>
  <si>
    <t>1000015040</t>
  </si>
  <si>
    <t>Bartec Feam Cable Gland; PAP-R-03-NON, MALE 1" NPT in nickle plated brass complete with kit of gaskets in EPDM + FS0904 with all accessories</t>
  </si>
  <si>
    <t>1000015060</t>
  </si>
  <si>
    <t>Bartec Feam Cable Gland; PNA-05 NON</t>
  </si>
  <si>
    <t>1000015069</t>
  </si>
  <si>
    <t>Bartec Feam Cable Gland; PNA-05 NIX</t>
  </si>
  <si>
    <t>1000015085</t>
  </si>
  <si>
    <t>Bartec, Feam Plugs PLG-5 NON</t>
  </si>
  <si>
    <t>1000015099</t>
  </si>
  <si>
    <t>Bartec, Feam Plugs PLG-3 NIX</t>
  </si>
  <si>
    <t>1000092222</t>
  </si>
  <si>
    <t xml:space="preserve">60A 3W4P HZD INTERLOCK RECEPT.MARINE GRADE COPPER FREE ALUMINIUM JUNCTION BOX TYPE EJB-21 Ex-d IIB+H2 T5 IP66 size 285x245x169mm; Model no:EJB 21 </t>
  </si>
  <si>
    <t>1000096105</t>
  </si>
  <si>
    <t xml:space="preserve">3-SS Cable Gland including Accessories  (PNA-R-04-NIX) </t>
  </si>
  <si>
    <t>1000096609</t>
  </si>
  <si>
    <t>Bartec Feam Cable Gland; PAP-R-09-NON, MALE 4" NPT in nickle plated brass complete with kit of gaskets in EPDM + FS0904 with all accessories</t>
  </si>
  <si>
    <t>1000099450</t>
  </si>
  <si>
    <t xml:space="preserve">Bartec Feam Cable Gland; PAP-R 05 MON + KIT </t>
  </si>
  <si>
    <t>1000101040</t>
  </si>
  <si>
    <t xml:space="preserve">Bartec Feam Cable Gland; PNA-R-02-NIX + KIT </t>
  </si>
  <si>
    <t>1000101322</t>
  </si>
  <si>
    <t xml:space="preserve">Bartec, Feam Plugs PLG-06-NON </t>
  </si>
  <si>
    <t>1000101329</t>
  </si>
  <si>
    <t>Bartec, Feam Plugs; Reducers; RE-04N-03-NIX</t>
  </si>
  <si>
    <t>1000102155</t>
  </si>
  <si>
    <t xml:space="preserve">Yellow Lamp Module: 07-3353-4130 </t>
  </si>
  <si>
    <t>1000103259</t>
  </si>
  <si>
    <t xml:space="preserve">MAKE : BARTEC; LAMP MODULE Ex db eb IIC TYPE AC/DC WHITE; ORDER CODE: 07-3354-4140 </t>
  </si>
  <si>
    <t>1000103351</t>
  </si>
  <si>
    <t>Bartec Product; REB-01N01MXX</t>
  </si>
  <si>
    <t>1000103503</t>
  </si>
  <si>
    <t xml:space="preserve">Bartec cable gland, Unarmored cable type PNA-04-NXX execution Ex d/e/I IIC, size 4 , male 1 1/4" NPT, in stainless steel complete with kit of gaskets in EPDM + Accessories </t>
  </si>
  <si>
    <t>1000103508</t>
  </si>
  <si>
    <t>Bartec Product; SS316L PAP-R-04-NXX+kit accessories</t>
  </si>
  <si>
    <t>1000103516</t>
  </si>
  <si>
    <t>Bartec Product; SS316L 1-1/2" MALE TO 3/4" FEMALE TYPE RE#05N02NXX</t>
  </si>
  <si>
    <t>1000103587</t>
  </si>
  <si>
    <t>Bartec Product; SS316L PAP-R-04-MXX+kit accessories</t>
  </si>
  <si>
    <t>1000104002</t>
  </si>
  <si>
    <t>Bartec Product;PLG-02-MXX</t>
  </si>
  <si>
    <t>1000104407</t>
  </si>
  <si>
    <t>RE03N02NONReducer male-female type RE, execution Ex d/e IIC, male 1"NPT, female 3/4"NPT, in nickel platedbrass RE03N02NON</t>
  </si>
  <si>
    <t>1000105609</t>
  </si>
  <si>
    <t>Reducer female-male type REB01N01MXX, execution Ex d/e IIC, female 1/2"NPT, male M20x1.5, in stainless steel AISI316L, BARTEC FN, IECEx certificate</t>
  </si>
  <si>
    <t>1000106275</t>
  </si>
  <si>
    <t>3/4" NPT MALE TO 1/2" NPT FEMALE ( COLLAR TYPE REB02N01NXX)</t>
  </si>
  <si>
    <t>1000108219</t>
  </si>
  <si>
    <t xml:space="preserve">Seal compound part number - INN-FS0904-1 </t>
  </si>
  <si>
    <t>1000109367</t>
  </si>
  <si>
    <t xml:space="preserve">0-50003-001700  Bartec Component </t>
  </si>
  <si>
    <t>1000015002</t>
  </si>
  <si>
    <t xml:space="preserve">Bartec Feam Cable Gland; PAP-01 MON Bartec cable gland, armored cable type PAP-01-MON execution Ex d/e/I IIC, size 1 , male M20, in Nickel Plated Brass complete with kit of gaskets in EPDM + Accessories </t>
  </si>
  <si>
    <t>1000015008</t>
  </si>
  <si>
    <t xml:space="preserve">Bartec Feam Cable Gland; PAP-07-MON, male M75 in Nickel Plated Brass complete with kit of gaskets in EPDM with all accessories </t>
  </si>
  <si>
    <t>1000015021</t>
  </si>
  <si>
    <t>Bartec Feam Cable Gland; PAP-02 MIX</t>
  </si>
  <si>
    <t>1000015083</t>
  </si>
  <si>
    <t>Bartec, Feam Plugs PLG-3 NON, male 1", in nickel plated brass, external haxagonal head, Bartec FN</t>
  </si>
  <si>
    <t>1000015084</t>
  </si>
  <si>
    <t>Bartec, Feam Plugs PLG-4 NON</t>
  </si>
  <si>
    <t>1000015132</t>
  </si>
  <si>
    <t>Bartec, Feam Drain &amp; Breather ECDE M20, SS316L Exe Rated</t>
  </si>
  <si>
    <t>1000015094</t>
  </si>
  <si>
    <t xml:space="preserve">Bartec Feam External Hex Head Plug in SS316L PLG-6-MIX , Exe &amp; Exd Dual Rated </t>
  </si>
  <si>
    <t>1000093070</t>
  </si>
  <si>
    <t xml:space="preserve">3-SS Cable Glands Including Accessories (PNA-R-01-NIX) </t>
  </si>
  <si>
    <t>1000093072</t>
  </si>
  <si>
    <t xml:space="preserve">3-SS Cable Glands Including Accessories (PAP-08-NIX) </t>
  </si>
  <si>
    <t>1000093074</t>
  </si>
  <si>
    <t xml:space="preserve">3-SS Cable Glands Including Accessories (PAP-R-02-MIX) </t>
  </si>
  <si>
    <t>1000101503</t>
  </si>
  <si>
    <t xml:space="preserve">M20 NPTM x 1/2" NPTF Adapter SS316 EXD; Model:REB01N01MIX </t>
  </si>
  <si>
    <t>1000102398</t>
  </si>
  <si>
    <t>Bartec Feam Cable Gland; PAP-02-MXX + Kit</t>
  </si>
  <si>
    <t>1000103260</t>
  </si>
  <si>
    <t xml:space="preserve">MAKE : BARTEC; II 2G Ex eb IIC Gb White Indication Lamp; ORDER CODE: 07-3400-LW00 </t>
  </si>
  <si>
    <t>1000103590</t>
  </si>
  <si>
    <t>Bartec Product; SS316L PNA-R-02-NXX+kit accessories</t>
  </si>
  <si>
    <t>1000104003</t>
  </si>
  <si>
    <t>Bartec Product;PLG-03-MXX</t>
  </si>
  <si>
    <t>1000104007</t>
  </si>
  <si>
    <t>Bartec Product; PLG-03-NXX</t>
  </si>
  <si>
    <t>1000104413</t>
  </si>
  <si>
    <t xml:space="preserve">Bartec Product; PNA-09 NON </t>
  </si>
  <si>
    <t>1000106262</t>
  </si>
  <si>
    <t>Reducer female-male type REB06N06MXX, execution Ex d/e IIC, female 2"NPT, male M63x1.5, in stainless steel AISI316L, BARTEC FN,  IECEx certificate</t>
  </si>
  <si>
    <t>1000107103</t>
  </si>
  <si>
    <t>Bartec Feam Cable Gland; PNA-R-04-NON, MALE 1 1 /4" NPT in nickle plated brass complete with kit of gaskets in EPDM + FS0904 with all accessories</t>
  </si>
  <si>
    <t>1000108752</t>
  </si>
  <si>
    <t>Seal compound part number - INN-FS0904-5</t>
  </si>
  <si>
    <t>1000015009</t>
  </si>
  <si>
    <t>Bartec Feam Cable Gland; PAP-08 MON</t>
  </si>
  <si>
    <t>1000015011</t>
  </si>
  <si>
    <t>Bartec Feam Cable Gland; PAP-01-NON, male 1/2" NPT in Nickel Plated Brass complete with kit of gaskets in EPDM with all accessories</t>
  </si>
  <si>
    <t>1000015012</t>
  </si>
  <si>
    <t>Bartec Feam Cable Gland; PAP-02-NON, male 3/4" NPT in Nickel Plated Brass complete with kit of gaskets in EPDM with all accessories</t>
  </si>
  <si>
    <t>1000015023</t>
  </si>
  <si>
    <t>Bartec Feam Cable Gland; PAP-04 MIX</t>
  </si>
  <si>
    <t>1000015024</t>
  </si>
  <si>
    <t>Bartec Feam Cable Gland; PAP-05 MIX</t>
  </si>
  <si>
    <t>1000015038</t>
  </si>
  <si>
    <t xml:space="preserve">Bartec Feam Cable Gland; PAP-R-01-NON, MALE 1/2" NPT in nickle plated brass complete with kit of gaskets in EPDM + FS0904 with all accessories </t>
  </si>
  <si>
    <t>1000015045</t>
  </si>
  <si>
    <t>Bartec Feam Cable Gland; PAP-R-08-NON, MALE 3" NPT in nickle plated brass complete with kit of gaskets in EPDM + FS0904 with all accessories</t>
  </si>
  <si>
    <t>1000015052</t>
  </si>
  <si>
    <t>Bartec Feam Cable Gland; PNA-06 MON</t>
  </si>
  <si>
    <t>1000015074</t>
  </si>
  <si>
    <t>Bartec, Feam Plugs PLG-2 MON</t>
  </si>
  <si>
    <t>1000015081</t>
  </si>
  <si>
    <t>Bartec, Feam Plugs PLG-1 NON, male 1/2", in nickel plated brass, external haxagonal head, Bartec FN</t>
  </si>
  <si>
    <t>1000015091</t>
  </si>
  <si>
    <t>Haam International Trading Est.</t>
  </si>
  <si>
    <t>Bartec, Feam Plugs PLG-3 MIX</t>
  </si>
  <si>
    <t>1000015114</t>
  </si>
  <si>
    <t>Bartec, Feam Lightining Fixture EVAC301-250HPNA-SM</t>
  </si>
  <si>
    <t>1000015122</t>
  </si>
  <si>
    <t>Bartec, Feam SS Junction Box ESX 3333 size 330 X 330 X 148</t>
  </si>
  <si>
    <t>1000015123</t>
  </si>
  <si>
    <t>Bartec, Feam SS Junction Box ESX 3333 size 330 X 330 X 200</t>
  </si>
  <si>
    <t>1000093075</t>
  </si>
  <si>
    <t xml:space="preserve">3-SS Cable Glands Including Accessories (PAP-R-03-MIX) </t>
  </si>
  <si>
    <t>1000093086</t>
  </si>
  <si>
    <t xml:space="preserve">2-Cable Glands Including Accessories (PAP-09-NON) </t>
  </si>
  <si>
    <t>1000096649</t>
  </si>
  <si>
    <t xml:space="preserve">3-SS Cable Glands Including Accessories  PAP-06 NIX </t>
  </si>
  <si>
    <t>1000099239</t>
  </si>
  <si>
    <t xml:space="preserve">INDICATION LAMP-Red;PN:05-0003-001300  </t>
  </si>
  <si>
    <t>1000100440</t>
  </si>
  <si>
    <t xml:space="preserve">1 X Marine Grade Copper Free Aluminum Instrument Housing w/ two Hubs 3/4" Type EMH92S Ex d IIC </t>
  </si>
  <si>
    <t>1000101324</t>
  </si>
  <si>
    <t>Bartec, Feam Plugs; Reducers; REB-02N-02-MIX</t>
  </si>
  <si>
    <t>1000101328</t>
  </si>
  <si>
    <t>Bartec, Feam Plugs; Reducers; RE-04N-01-MIX</t>
  </si>
  <si>
    <t>1000102395</t>
  </si>
  <si>
    <t xml:space="preserve">Barrier cable gland, armored cable type PAP-R-01-NXX execution Ex d/e/I IIC, size 1 , male 1/2" NPT, in stainless steel complete with kit of gaskets in EPDM + Accessories + FS0904-1 </t>
  </si>
  <si>
    <t>1000103258</t>
  </si>
  <si>
    <t>Lamp Accessories; 05-0003-000900</t>
  </si>
  <si>
    <t>1000103354</t>
  </si>
  <si>
    <t>Bartec Product; REB-04N03MXX</t>
  </si>
  <si>
    <t>1000103505</t>
  </si>
  <si>
    <t>Bartec Product; SS316L PAP-02-NXX+kit accessories</t>
  </si>
  <si>
    <t>1000103507</t>
  </si>
  <si>
    <t>Bartec Product; SS316L PAP-06-NXX+kit accessories</t>
  </si>
  <si>
    <t>1000103517</t>
  </si>
  <si>
    <t>Bartec Product; SS316L 3/4" MALE TO 1/2" FEMALE TYPE RE#02N01NXX</t>
  </si>
  <si>
    <t>1000103588</t>
  </si>
  <si>
    <t>Bartec Product; SS316L PNA-R-01-MXX+kit accessories</t>
  </si>
  <si>
    <t>1000103592</t>
  </si>
  <si>
    <t>Bartec Product; SS316L PNA-R-04-NXX+kit accessories</t>
  </si>
  <si>
    <t>1000103629</t>
  </si>
  <si>
    <t xml:space="preserve">Bartec Feam Cable Gland; PAP-R-06-MON </t>
  </si>
  <si>
    <t>1000104001</t>
  </si>
  <si>
    <t>Bartec Product; PLG-01-MXX</t>
  </si>
  <si>
    <t>1000104006</t>
  </si>
  <si>
    <t>Bartec Product; PLG-02-NXX</t>
  </si>
  <si>
    <t>1000104155</t>
  </si>
  <si>
    <t xml:space="preserve">PAP-R-08 NXX, execution Ex d/e/I IIC, size 8, male 3"NPT, in SS AISI316L, Barrier cable gland with all accessories + FS0904.  </t>
  </si>
  <si>
    <t>1000104423</t>
  </si>
  <si>
    <t xml:space="preserve">JB 2 X 1/2" With Din Rail, Model: GUAL 17 </t>
  </si>
  <si>
    <t>1000105858</t>
  </si>
  <si>
    <t>armored cable type PAP, execution Ex d/e/i IIC, size 7, male 2-1/2"NPT, in stainless steel AISI316L,with kit of gaskets in EPDM, BARTEC FN, ATEX-IECEx-EAC certificate Kit accessories + FS0904 for cable gland male 2-1/2"NPT; PAP-R-07-NXX</t>
  </si>
  <si>
    <t>1000105875</t>
  </si>
  <si>
    <t xml:space="preserve">Barrier cable gland, armored cable type PAP-R-02-NXX execution Ex d/e/I IIC, size 2 , male 3/4" NPT, in stainless steel complete with kit of gaskets in EPDM + Accessories + FS0904-2 </t>
  </si>
  <si>
    <t>1000107100</t>
  </si>
  <si>
    <t xml:space="preserve">Bartec Feam Cable Gland; PNA-R-01-NON, MALE 1/2" NPT in nickle plated brass complete with kit of gaskets in EPDM + FS0904 with all accessories </t>
  </si>
  <si>
    <t>1000107340</t>
  </si>
  <si>
    <t xml:space="preserve">Nickle plated brass collar type adaptor M20 Male to 3/4" NPT Female Ex-d/ Ex-e IIC IP66, REB02N01MON </t>
  </si>
  <si>
    <t>1000109298</t>
  </si>
  <si>
    <t>REB03M03NXXFS Reducer female-male type REB, execution Ex d/e IIC, female M32x1.5, male 1"NPT, in stainless steelAISI316L</t>
  </si>
  <si>
    <t>1000109368</t>
  </si>
  <si>
    <t xml:space="preserve">07-3353-4150 Bartec Component </t>
  </si>
  <si>
    <t>1000015003</t>
  </si>
  <si>
    <t>Bartec Feam Cable Gland; PAP-02 MON</t>
  </si>
  <si>
    <t>1000015018</t>
  </si>
  <si>
    <t>Bartec Feam Cable Gland; PAP-08 NON</t>
  </si>
  <si>
    <t>1000015025</t>
  </si>
  <si>
    <t>Bartec Feam Cable Gland; PAP-06 MIX</t>
  </si>
  <si>
    <t>1000015039</t>
  </si>
  <si>
    <t>Bartec Feam Cable Gland; PAP-R 02 NON,MALE 3/4 Inc NPT in Nickle plated brass complete with kit of gaskets in EPDM+FS0904</t>
  </si>
  <si>
    <t>1000015042</t>
  </si>
  <si>
    <t>Bartec Feam Cable Gland; PAP-R 05 NON</t>
  </si>
  <si>
    <t>1000015047</t>
  </si>
  <si>
    <t>Bartec Feam Cable Gland; PNA-01 MON</t>
  </si>
  <si>
    <t>1000015053</t>
  </si>
  <si>
    <t>Bartec Feam Cable Gland; PNA-07 MON</t>
  </si>
  <si>
    <t>1000015057</t>
  </si>
  <si>
    <t xml:space="preserve">Bartec Feam Cable Gland;PNA-02 NON, MALE 3/4" NPT in nickle plated brass complete with kit of gaskets in EPDM </t>
  </si>
  <si>
    <t>1000015058</t>
  </si>
  <si>
    <t xml:space="preserve">Bartec Feam Cable Gland; PNA-03 NON, male 1" NPT in nickle plated brass complete with kit of gaskets in EPDM  </t>
  </si>
  <si>
    <t>1000015073</t>
  </si>
  <si>
    <t>Bartec, Feam Plugs PLG-1 MON, male M20x1.5, in nickel plated brass, external haxagonal head, Bartec FN</t>
  </si>
  <si>
    <t>1000015075</t>
  </si>
  <si>
    <t>Bartec, Feam Plugs PLG-3 MON</t>
  </si>
  <si>
    <t>1000015076</t>
  </si>
  <si>
    <t>Bartec, Feam Plugs PLG-4 MON</t>
  </si>
  <si>
    <t>1000015121</t>
  </si>
  <si>
    <t>Bartec, Feam SS Junction Box ESX 3322 size 330 X 220 X 200</t>
  </si>
  <si>
    <t>1000015153</t>
  </si>
  <si>
    <t xml:space="preserve">07-3353-4120 Indicator Module Green </t>
  </si>
  <si>
    <t>1000015157</t>
  </si>
  <si>
    <t xml:space="preserve">07-3323-4200 Switching Module 2NO </t>
  </si>
  <si>
    <t>1000093071</t>
  </si>
  <si>
    <t xml:space="preserve">3-SS Cable Glands Including Accessories (PNA-R-05-NIX) </t>
  </si>
  <si>
    <t>1000093078</t>
  </si>
  <si>
    <t xml:space="preserve">3-SS Cable Glands Including Accessories (PNA-02-MIX) </t>
  </si>
  <si>
    <t>1000093079</t>
  </si>
  <si>
    <t xml:space="preserve">3-SS Cable Glands Including Accessories (PNA-03-MIX) </t>
  </si>
  <si>
    <t>1000093087</t>
  </si>
  <si>
    <t xml:space="preserve">3-SS Cable Gland including Accessories (PNA-R-06-NIX) </t>
  </si>
  <si>
    <t>1000096268</t>
  </si>
  <si>
    <t xml:space="preserve">MAKE : BARTEC; SWITCH MODULE Ex db eb IIC TYPE 1NO +1NC Contact; ORDER CODE: 07-3324-4400  </t>
  </si>
  <si>
    <t>1000099439</t>
  </si>
  <si>
    <t xml:space="preserve">Bartec Feam Cable Gland; PAP-R 02 MON + KIT </t>
  </si>
  <si>
    <t>1000102396</t>
  </si>
  <si>
    <t>Bartec Reducer; RE02N01-NXX + Kit</t>
  </si>
  <si>
    <t>1000103172</t>
  </si>
  <si>
    <t>Switch ON/OFF, 2 Poles 16A EFSC1</t>
  </si>
  <si>
    <t>1000103502</t>
  </si>
  <si>
    <t xml:space="preserve">Bartec cable gland, Unarmored cable type PNA-03-NXX execution Ex d/e/I IIC, size 3 , male 1" NPT, in stainless steel complete with kit of gaskets in EPDM + Accessories </t>
  </si>
  <si>
    <t>1000103506</t>
  </si>
  <si>
    <t>Bartec Product; SS316L PAP-03-NXX+kit accessories</t>
  </si>
  <si>
    <t>1000103515</t>
  </si>
  <si>
    <t>Bartec Product; SS316L PNA-05-MXX+kit accessories</t>
  </si>
  <si>
    <t>1000103520</t>
  </si>
  <si>
    <t>Bartec Product; SS316L  ADAPTOR 1/2" MALE TO 3/4" FEMALE TYPE REB#02N01NXX</t>
  </si>
  <si>
    <t>1000103583</t>
  </si>
  <si>
    <t>Bartec Product; SS316L PAP-03-MXX+kit accessories</t>
  </si>
  <si>
    <t>1000103584</t>
  </si>
  <si>
    <t>Bartec Product; SS316L PAP-05-MXX+kit accessories</t>
  </si>
  <si>
    <t>1000103596</t>
  </si>
  <si>
    <t xml:space="preserve">Bartec cable gland, Unarmored cable type PNA-02-NXX execution Ex d/e/I IIC, size 2 , male 3/4" NPT, in stainless steel complete with kit of gaskets in EPDM + Accessories </t>
  </si>
  <si>
    <t>1000104331</t>
  </si>
  <si>
    <t xml:space="preserve">Ammeeter AM72 , X/5A, 0-20 A with fixing kit EXE </t>
  </si>
  <si>
    <t>1000104406</t>
  </si>
  <si>
    <t>Nickle plated brass collar type Reducer 3/4" NPT Male to 1/2" NPT Female Ex-d/ Ex-e IIC IP66, RE02N01NON</t>
  </si>
  <si>
    <t>1000104588</t>
  </si>
  <si>
    <t xml:space="preserve">Bartec Product; PNA-R-04 MIX </t>
  </si>
  <si>
    <t>1000106263</t>
  </si>
  <si>
    <t>Reducer female-male type REB07N07MXX, execution Ex d/e IIC, female 2-1/2"NPT, male M75x1.5, in stainless steel AISI316L, BARTEC FN,  IECEx certificate</t>
  </si>
  <si>
    <t>1000108922</t>
  </si>
  <si>
    <t>Reducer female-male type REB02M01NON, execution Ex d/e IIC, female M25, male 1/2"NPT, in nickel plated brass, BARTEC FN, IECEx certificate</t>
  </si>
  <si>
    <t>1000108980</t>
  </si>
  <si>
    <t>Bartec Product; Emergency stop Twist to release, with labeling Ex e, Zone 1 and 21 07-3400-R200</t>
  </si>
  <si>
    <t>1000109297</t>
  </si>
  <si>
    <t>Bartec Product; RE03N01NON Reducer male-female type RE, execution Ex d/e IIC, male 1"NPT, female 1/2"NPT, in nickel platedbrass RE03N01NON</t>
  </si>
  <si>
    <t>ISR</t>
  </si>
  <si>
    <t>1000015030</t>
  </si>
  <si>
    <t>Bartec Feam Cable Gland; PAP-R 02 NIX</t>
  </si>
  <si>
    <t>1000015150</t>
  </si>
  <si>
    <t xml:space="preserve">Marine Grade Copper Free Aluminium Horn TYPE: ETH9#024DC(24VDC)ex-d IIC T6 IP66 INERIS 15ATEX0012X/IECEx INE15.0013X(CODE:ETH9#024DC) </t>
  </si>
  <si>
    <t>No</t>
  </si>
  <si>
    <t>Grand Total</t>
  </si>
  <si>
    <t>PHY</t>
  </si>
  <si>
    <t>DIF</t>
  </si>
  <si>
    <t>REMARKS</t>
  </si>
  <si>
    <t>ERP</t>
  </si>
  <si>
    <t>UNIT</t>
  </si>
  <si>
    <t>Supplier Name</t>
  </si>
  <si>
    <t>Description</t>
  </si>
  <si>
    <t>Item Code</t>
  </si>
  <si>
    <t>Description is not matching from ERP</t>
  </si>
  <si>
    <t>Remaining need to check in near warehouse</t>
  </si>
  <si>
    <t xml:space="preserve">Qty 325 found </t>
  </si>
  <si>
    <t xml:space="preserve">  </t>
  </si>
  <si>
    <t xml:space="preserve"> Sample </t>
  </si>
  <si>
    <t>Pending to close</t>
  </si>
  <si>
    <t>MISSING</t>
  </si>
  <si>
    <t>ISR not Available</t>
  </si>
  <si>
    <t>Return to Supplier</t>
  </si>
  <si>
    <t>customer will Retun</t>
  </si>
  <si>
    <t xml:space="preserve"> Bartec (SKF)</t>
  </si>
  <si>
    <t>RMA is Pending</t>
  </si>
  <si>
    <t>Stock Matching</t>
  </si>
  <si>
    <t>Row Labels</t>
  </si>
  <si>
    <t>Count of REMARKS</t>
  </si>
  <si>
    <t>Mafaz Comments</t>
  </si>
  <si>
    <t xml:space="preserve">System Errors </t>
  </si>
  <si>
    <t xml:space="preserve">Division will be Responsible </t>
  </si>
  <si>
    <t>Division will be Responsible</t>
  </si>
  <si>
    <t xml:space="preserve">Logistic Re- checking </t>
  </si>
  <si>
    <t>Logistic will be Responsible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</si>
</sst>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</font>
    <font>
      <sz val="8"/>
      <color theme="1"/>
      <name val="Tahoma"/>
    </font>
    <font>
      <sz val="11"/>
      <color theme="1"/>
      <name val="Calibri"/>
    </font>
    <font>
      <b/>
      <sz val="11"/>
      <color theme="0"/>
      <name val="Calibri"/>
      <family val="2"/>
    </font>
    <font>
      <b/>
      <sz val="8"/>
      <color theme="0"/>
      <name val="Tahoma"/>
      <family val="2"/>
    </font>
    <font>
      <sz val="11"/>
      <color theme="1"/>
      <name val="Aptos Display"/>
      <family val="2"/>
    </font>
    <font>
      <b/>
      <sz val="10"/>
      <color theme="0"/>
      <name val="Aptos Display"/>
      <family val="2"/>
    </font>
    <font>
      <sz val="10"/>
      <color theme="1"/>
      <name val="Aptos Display"/>
      <family val="2"/>
    </font>
    <font>
      <b/>
      <sz val="10"/>
      <color rgb="FFFF0000"/>
      <name val="Aptos Display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2">
    <xf numFmtId="0" fontId="0" fillId="0" borderId="0" xfId="0"/>
    <xf numFmtId="0" fontId="3" fillId="2" borderId="1" xfId="0" applyFont="1" applyFill="1" applyBorder="1"/>
    <xf numFmtId="0" fontId="4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 vertical="top"/>
    </xf>
    <xf numFmtId="3" fontId="1" fillId="0" borderId="1" xfId="0" applyNumberFormat="1" applyFont="1" applyBorder="1" applyAlignment="1">
      <alignment horizontal="right" vertical="top"/>
    </xf>
    <xf numFmtId="0" fontId="0" fillId="0" borderId="1" xfId="0" applyBorder="1" applyAlignment="1">
      <alignment horizontal="left" vertical="top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center"/>
    </xf>
    <xf numFmtId="164" fontId="6" fillId="2" borderId="1" xfId="1" applyNumberFormat="1" applyFont="1" applyFill="1" applyBorder="1" applyAlignment="1">
      <alignment horizontal="center"/>
    </xf>
    <xf numFmtId="0" fontId="7" fillId="0" borderId="1" xfId="0" applyFont="1" applyBorder="1"/>
    <xf numFmtId="164" fontId="8" fillId="0" borderId="1" xfId="0" applyNumberFormat="1" applyFont="1" applyBorder="1"/>
    <xf numFmtId="0" fontId="7" fillId="3" borderId="1" xfId="0" applyFont="1" applyFill="1" applyBorder="1"/>
    <xf numFmtId="0" fontId="5" fillId="0" borderId="1" xfId="0" applyFont="1" applyBorder="1" applyAlignment="1">
      <alignment horizontal="center"/>
    </xf>
    <xf numFmtId="0" fontId="5" fillId="0" borderId="1" xfId="0" pivotButton="1" applyFont="1" applyBorder="1"/>
    <xf numFmtId="0" fontId="5" fillId="0" borderId="1" xfId="0" applyFont="1" applyBorder="1"/>
    <xf numFmtId="0" fontId="0" fillId="0" borderId="0" xfId="0" applyAlignment="1">
      <alignment horizontal="center"/>
    </xf>
    <xf numFmtId="0" fontId="9" fillId="0" borderId="1" xfId="0" applyFont="1" applyBorder="1" applyAlignment="1">
      <alignment vertical="center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32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horizontal="center"/>
    </dxf>
    <dxf>
      <alignment horizont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font>
        <name val="Aptos Display"/>
        <family val="2"/>
      </font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5974.678192939813" createdVersion="8" refreshedVersion="8" minRefreshableVersion="3" recordCount="231" xr:uid="{B0B9BBD5-9394-459C-BCC8-AAA5D42F14AA}">
  <cacheSource type="worksheet">
    <worksheetSource ref="A2:I233" sheet="Counting Sheet"/>
  </cacheSource>
  <cacheFields count="9">
    <cacheField name="No" numFmtId="0">
      <sharedItems containsString="0" containsBlank="1" containsNumber="1" containsInteger="1" minValue="1" maxValue="230"/>
    </cacheField>
    <cacheField name="ITEM_CODE" numFmtId="0">
      <sharedItems/>
    </cacheField>
    <cacheField name="ITEM_DESCRIPTION" numFmtId="0">
      <sharedItems containsBlank="1"/>
    </cacheField>
    <cacheField name="INS" numFmtId="0">
      <sharedItems containsString="0" containsBlank="1" containsNumber="1" containsInteger="1" minValue="1" maxValue="92819"/>
    </cacheField>
    <cacheField name="ISR" numFmtId="0">
      <sharedItems containsString="0" containsBlank="1" containsNumber="1" containsInteger="1" minValue="1" maxValue="2"/>
    </cacheField>
    <cacheField name="Grand Total" numFmtId="0">
      <sharedItems containsSemiMixedTypes="0" containsString="0" containsNumber="1" containsInteger="1" minValue="1" maxValue="92821"/>
    </cacheField>
    <cacheField name="PHY" numFmtId="0">
      <sharedItems containsString="0" containsBlank="1" containsNumber="1" containsInteger="1" minValue="0" maxValue="7820"/>
    </cacheField>
    <cacheField name="DIF" numFmtId="0">
      <sharedItems containsString="0" containsBlank="1" containsNumber="1" containsInteger="1" minValue="-500" maxValue="29"/>
    </cacheField>
    <cacheField name="REMARKS" numFmtId="0">
      <sharedItems containsBlank="1" count="18">
        <s v="Stock Matching"/>
        <s v="customer will Retun"/>
        <s v=" Sample "/>
        <s v="ISR not Available"/>
        <s v="Pending to close"/>
        <s v="MISSING"/>
        <s v="RMA is Pending"/>
        <s v="Description is not matching from ERP"/>
        <s v="Return to Supplier"/>
        <s v=" Bartec (SKF)"/>
        <m/>
        <s v="Pending for closing" u="1"/>
        <s v="Sample" u="1"/>
        <s v="Sample " u="1"/>
        <s v="Qty 1 is without Kit" u="1"/>
        <s v="Qty 3 has damaged" u="1"/>
        <s v="Qty 4 is Damaged" u="1"/>
        <s v="Qty 7 is short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">
  <r>
    <n v="1"/>
    <s v="1000015002"/>
    <s v="Bartec Feam Cable Gland; PAP-01 MON Bartec cable gland, armored cable type PAP-01-MON execution Ex d/e/I IIC, size 1 , male M20, in Nickel Plated Brass complete with kit of gaskets in EPDM + Accessories "/>
    <n v="192"/>
    <m/>
    <n v="192"/>
    <n v="192"/>
    <n v="0"/>
    <x v="0"/>
  </r>
  <r>
    <n v="2"/>
    <s v="1000015003"/>
    <s v="Bartec Feam Cable Gland; PAP-02 MON"/>
    <n v="231"/>
    <m/>
    <n v="231"/>
    <n v="231"/>
    <n v="0"/>
    <x v="0"/>
  </r>
  <r>
    <n v="3"/>
    <s v="1000015004"/>
    <s v="Bartec Feam Cable Gland; PAP-03-MON, male M32 in Nickel Plated Brass complete with kit of gaskets in EPDM with all accessories "/>
    <n v="1777"/>
    <m/>
    <n v="1777"/>
    <n v="1774"/>
    <n v="-3"/>
    <x v="1"/>
  </r>
  <r>
    <n v="4"/>
    <s v="1000015005"/>
    <s v="Bartec Feam Cable Gland; PAP-04 MON"/>
    <n v="857"/>
    <m/>
    <n v="857"/>
    <n v="857"/>
    <n v="0"/>
    <x v="0"/>
  </r>
  <r>
    <n v="5"/>
    <s v="1000015006"/>
    <s v="Bartec Feam Cable Gland; PAP-05-MON, male M50 in Nickel Plated Brass complete with kit of gaskets in EPDM with all accessories "/>
    <n v="412"/>
    <m/>
    <n v="412"/>
    <n v="412"/>
    <n v="0"/>
    <x v="0"/>
  </r>
  <r>
    <n v="6"/>
    <s v="1000015007"/>
    <s v="Bartec Feam Cable Gland; PAP-06-MON, male M63 in Nickel Plated Brass complete with kit of gaskets in EPDM with all accessories "/>
    <n v="99"/>
    <m/>
    <n v="99"/>
    <n v="99"/>
    <n v="0"/>
    <x v="0"/>
  </r>
  <r>
    <n v="7"/>
    <s v="1000015008"/>
    <s v="Bartec Feam Cable Gland; PAP-07-MON, male M75 in Nickel Plated Brass complete with kit of gaskets in EPDM with all accessories "/>
    <n v="229"/>
    <m/>
    <n v="229"/>
    <n v="229"/>
    <n v="0"/>
    <x v="0"/>
  </r>
  <r>
    <n v="8"/>
    <s v="1000015009"/>
    <s v="Bartec Feam Cable Gland; PAP-08 MON"/>
    <n v="50"/>
    <m/>
    <n v="50"/>
    <n v="50"/>
    <n v="0"/>
    <x v="0"/>
  </r>
  <r>
    <n v="9"/>
    <s v="1000015011"/>
    <s v="Bartec Feam Cable Gland; PAP-01-NON, male 1/2&quot; NPT in Nickel Plated Brass complete with kit of gaskets in EPDM with all accessories"/>
    <n v="4"/>
    <m/>
    <n v="4"/>
    <n v="4"/>
    <n v="0"/>
    <x v="0"/>
  </r>
  <r>
    <n v="10"/>
    <s v="1000015012"/>
    <s v="Bartec Feam Cable Gland; PAP-02-NON, male 3/4&quot; NPT in Nickel Plated Brass complete with kit of gaskets in EPDM with all accessories"/>
    <n v="1821"/>
    <m/>
    <n v="1821"/>
    <n v="1821"/>
    <n v="0"/>
    <x v="0"/>
  </r>
  <r>
    <n v="11"/>
    <s v="1000015013"/>
    <s v="Bartec Feam Cable Gland; PAP-03-NON, male 1&quot; NPT in Nickel Plated Brass complete with kit of gaskets in EPDM with all accessories"/>
    <n v="177"/>
    <m/>
    <n v="177"/>
    <n v="177"/>
    <n v="0"/>
    <x v="0"/>
  </r>
  <r>
    <n v="12"/>
    <s v="1000015014"/>
    <s v="Bartec Feam Cable Gland; PAP-04-NON, male 1 1 /4&quot; NPT in Nickel Plated Brass complete with kit of gaskets in EPDM with all accessories "/>
    <n v="1220"/>
    <m/>
    <n v="1220"/>
    <n v="1220"/>
    <n v="0"/>
    <x v="0"/>
  </r>
  <r>
    <n v="13"/>
    <s v="1000015015"/>
    <s v="Bartec Feam Cable Gland; PAP-05-NON, male 1 1 /2&quot; NPT in Nickel Plated Brass complete with kit of gaskets in EPDM with all accessories "/>
    <n v="164"/>
    <m/>
    <n v="164"/>
    <n v="164"/>
    <n v="0"/>
    <x v="0"/>
  </r>
  <r>
    <n v="14"/>
    <s v="1000015016"/>
    <s v="Bartec Feam Cable Gland; PAP-06-NON, male 2&quot; NPT in Nickel Plated Brass complete with kit of gaskets in EPDM with all accessories"/>
    <n v="167"/>
    <m/>
    <n v="167"/>
    <n v="167"/>
    <n v="0"/>
    <x v="0"/>
  </r>
  <r>
    <n v="15"/>
    <s v="1000015017"/>
    <s v="Bartec Feam Cable Gland; PAP-07-NON, male 2 1/2&quot; NPT in Nickel Plated Brass complete with kit of gaskets in EPDM with all accessories"/>
    <n v="30"/>
    <m/>
    <n v="30"/>
    <n v="30"/>
    <n v="0"/>
    <x v="0"/>
  </r>
  <r>
    <n v="16"/>
    <s v="1000015018"/>
    <s v="Bartec Feam Cable Gland; PAP-08 NON"/>
    <n v="23"/>
    <m/>
    <n v="23"/>
    <n v="23"/>
    <n v="0"/>
    <x v="0"/>
  </r>
  <r>
    <n v="17"/>
    <s v="1000015021"/>
    <s v="Bartec Feam Cable Gland; PAP-02 MIX"/>
    <n v="325"/>
    <m/>
    <n v="325"/>
    <n v="325"/>
    <n v="0"/>
    <x v="0"/>
  </r>
  <r>
    <n v="18"/>
    <s v="1000015022"/>
    <s v="Bartec Feam Cable Gland; PAP-03 MIX"/>
    <n v="456"/>
    <m/>
    <n v="456"/>
    <n v="456"/>
    <n v="0"/>
    <x v="0"/>
  </r>
  <r>
    <n v="19"/>
    <s v="1000015023"/>
    <s v="Bartec Feam Cable Gland; PAP-04 MIX"/>
    <n v="495"/>
    <m/>
    <n v="495"/>
    <n v="495"/>
    <n v="0"/>
    <x v="0"/>
  </r>
  <r>
    <n v="20"/>
    <s v="1000015024"/>
    <s v="Bartec Feam Cable Gland; PAP-05 MIX"/>
    <n v="485"/>
    <m/>
    <n v="485"/>
    <n v="485"/>
    <n v="0"/>
    <x v="0"/>
  </r>
  <r>
    <n v="21"/>
    <s v="1000015025"/>
    <s v="Bartec Feam Cable Gland; PAP-06 MIX"/>
    <n v="447"/>
    <m/>
    <n v="447"/>
    <n v="447"/>
    <n v="0"/>
    <x v="0"/>
  </r>
  <r>
    <n v="22"/>
    <s v="1000015029"/>
    <s v="Bartec Feam Cable Gland; PAP-R 01 NIX"/>
    <n v="2"/>
    <m/>
    <n v="2"/>
    <n v="0"/>
    <n v="-2"/>
    <x v="2"/>
  </r>
  <r>
    <n v="23"/>
    <s v="1000015030"/>
    <s v="Bartec Feam Cable Gland; PAP-R 02 NIX"/>
    <m/>
    <n v="1"/>
    <n v="1"/>
    <n v="0"/>
    <n v="-1"/>
    <x v="3"/>
  </r>
  <r>
    <n v="24"/>
    <s v="1000015032"/>
    <s v="Bartec Feam Cable Gland; PAP-R 04 NIX"/>
    <n v="770"/>
    <m/>
    <n v="770"/>
    <n v="770"/>
    <n v="0"/>
    <x v="0"/>
  </r>
  <r>
    <n v="25"/>
    <s v="1000015034"/>
    <s v="Bartec Feam Cable Gland; PAP-R 06 NIX"/>
    <n v="271"/>
    <m/>
    <n v="271"/>
    <n v="51"/>
    <n v="-220"/>
    <x v="4"/>
  </r>
  <r>
    <n v="26"/>
    <s v="1000015038"/>
    <s v="Bartec Feam Cable Gland; PAP-R-01-NON, MALE 1/2&quot; NPT in nickle plated brass complete with kit of gaskets in EPDM + FS0904 with all accessories "/>
    <n v="3205"/>
    <m/>
    <n v="3205"/>
    <n v="3205"/>
    <n v="0"/>
    <x v="0"/>
  </r>
  <r>
    <n v="27"/>
    <s v="1000015039"/>
    <s v="Bartec Feam Cable Gland; PAP-R 02 NON,MALE 3/4 Inc NPT in Nickle plated brass complete with kit of gaskets in EPDM+FS0904"/>
    <n v="1738"/>
    <m/>
    <n v="1738"/>
    <n v="1737"/>
    <n v="-1"/>
    <x v="2"/>
  </r>
  <r>
    <n v="28"/>
    <s v="1000015040"/>
    <s v="Bartec Feam Cable Gland; PAP-R-03-NON, MALE 1&quot; NPT in nickle plated brass complete with kit of gaskets in EPDM + FS0904 with all accessories"/>
    <n v="2527"/>
    <m/>
    <n v="2527"/>
    <n v="2415"/>
    <n v="-112"/>
    <x v="4"/>
  </r>
  <r>
    <n v="29"/>
    <s v="1000015041"/>
    <s v="Bartec Feam Cable Gland; PAP-R-04-NON, MALE 1 1/4&quot; NPT in nickle plated brass complete with kit of gaskets in EPDM + FS0904 with all accessories"/>
    <n v="835"/>
    <m/>
    <n v="835"/>
    <n v="833"/>
    <n v="-2"/>
    <x v="5"/>
  </r>
  <r>
    <n v="30"/>
    <s v="1000015042"/>
    <s v="Bartec Feam Cable Gland; PAP-R 05 NON"/>
    <n v="36"/>
    <m/>
    <n v="36"/>
    <n v="36"/>
    <n v="0"/>
    <x v="0"/>
  </r>
  <r>
    <n v="31"/>
    <s v="1000015043"/>
    <s v="Bartec Feam Cable Gland; PAP-R 06 NON"/>
    <n v="152"/>
    <m/>
    <n v="152"/>
    <n v="148"/>
    <n v="-4"/>
    <x v="6"/>
  </r>
  <r>
    <n v="32"/>
    <s v="1000015045"/>
    <s v="Bartec Feam Cable Gland; PAP-R-08-NON, MALE 3&quot; NPT in nickle plated brass complete with kit of gaskets in EPDM + FS0904 with all accessories"/>
    <n v="15"/>
    <m/>
    <n v="15"/>
    <n v="15"/>
    <n v="0"/>
    <x v="0"/>
  </r>
  <r>
    <n v="33"/>
    <s v="1000015047"/>
    <s v="Bartec Feam Cable Gland; PNA-01 MON"/>
    <n v="511"/>
    <m/>
    <n v="511"/>
    <n v="511"/>
    <n v="0"/>
    <x v="0"/>
  </r>
  <r>
    <n v="34"/>
    <s v="1000015048"/>
    <s v="Bartec Feam Cable Gland; PNA-02 MON"/>
    <n v="874"/>
    <m/>
    <n v="874"/>
    <n v="874"/>
    <n v="0"/>
    <x v="0"/>
  </r>
  <r>
    <n v="35"/>
    <s v="1000015049"/>
    <s v="Bartec Feam Cable Gland; PNA-03 MON"/>
    <n v="283"/>
    <m/>
    <n v="283"/>
    <n v="283"/>
    <n v="0"/>
    <x v="0"/>
  </r>
  <r>
    <n v="36"/>
    <s v="1000015050"/>
    <s v="Bartec Feam Cable Gland; PNA-04 MON"/>
    <n v="242"/>
    <m/>
    <n v="242"/>
    <n v="242"/>
    <n v="0"/>
    <x v="0"/>
  </r>
  <r>
    <n v="37"/>
    <s v="1000015051"/>
    <s v="Bartec Feam Cable Gland; PNA-05 MON"/>
    <n v="408"/>
    <m/>
    <n v="408"/>
    <n v="408"/>
    <n v="0"/>
    <x v="0"/>
  </r>
  <r>
    <n v="38"/>
    <s v="1000015052"/>
    <s v="Bartec Feam Cable Gland; PNA-06 MON"/>
    <n v="175"/>
    <m/>
    <n v="175"/>
    <n v="175"/>
    <n v="0"/>
    <x v="0"/>
  </r>
  <r>
    <n v="39"/>
    <s v="1000015053"/>
    <s v="Bartec Feam Cable Gland; PNA-07 MON"/>
    <n v="40"/>
    <m/>
    <n v="40"/>
    <n v="40"/>
    <n v="0"/>
    <x v="0"/>
  </r>
  <r>
    <n v="40"/>
    <s v="1000015056"/>
    <s v="Bartec Feam Cable Gland; PNA-01 NON"/>
    <n v="633"/>
    <m/>
    <n v="633"/>
    <n v="633"/>
    <n v="0"/>
    <x v="0"/>
  </r>
  <r>
    <n v="41"/>
    <s v="1000015057"/>
    <s v="Bartec Feam Cable Gland;PNA-02 NON, MALE 3/4&quot; NPT in nickle plated brass complete with kit of gaskets in EPDM "/>
    <n v="391"/>
    <m/>
    <n v="391"/>
    <n v="391"/>
    <n v="0"/>
    <x v="0"/>
  </r>
  <r>
    <n v="42"/>
    <s v="1000015058"/>
    <s v="Bartec Feam Cable Gland; PNA-03 NON, male 1&quot; NPT in nickle plated brass complete with kit of gaskets in EPDM  "/>
    <n v="87"/>
    <m/>
    <n v="87"/>
    <n v="87"/>
    <n v="0"/>
    <x v="0"/>
  </r>
  <r>
    <n v="43"/>
    <s v="1000015059"/>
    <s v="Bartec Feam Cable Gland; PNA-04 NON"/>
    <n v="389"/>
    <m/>
    <n v="389"/>
    <n v="388"/>
    <n v="-1"/>
    <x v="5"/>
  </r>
  <r>
    <n v="44"/>
    <s v="1000015060"/>
    <s v="Bartec Feam Cable Gland; PNA-05 NON"/>
    <n v="139"/>
    <m/>
    <n v="139"/>
    <n v="139"/>
    <n v="0"/>
    <x v="0"/>
  </r>
  <r>
    <n v="45"/>
    <s v="1000015061"/>
    <s v="Bartec Feam Cable Gland; PNA-06 NON"/>
    <n v="32"/>
    <m/>
    <n v="32"/>
    <n v="32"/>
    <n v="0"/>
    <x v="0"/>
  </r>
  <r>
    <n v="46"/>
    <s v="1000015063"/>
    <s v="Bartec Feam Cable Gland; PNA-08 NON"/>
    <n v="1"/>
    <m/>
    <n v="1"/>
    <n v="1"/>
    <n v="0"/>
    <x v="0"/>
  </r>
  <r>
    <n v="47"/>
    <s v="1000015066"/>
    <s v="Bartec Feam Cable Gland; PNA-02 NIX"/>
    <n v="2"/>
    <m/>
    <n v="2"/>
    <n v="2"/>
    <n v="0"/>
    <x v="0"/>
  </r>
  <r>
    <n v="48"/>
    <s v="1000015067"/>
    <s v="Bartec Feam Cable Gland; PNA-03 NIX"/>
    <n v="37"/>
    <m/>
    <n v="37"/>
    <n v="37"/>
    <n v="0"/>
    <x v="0"/>
  </r>
  <r>
    <n v="49"/>
    <s v="1000015068"/>
    <s v="Bartec Feam Cable Gland; PNA-04 NIX"/>
    <n v="173"/>
    <m/>
    <n v="173"/>
    <n v="173"/>
    <n v="0"/>
    <x v="0"/>
  </r>
  <r>
    <n v="50"/>
    <s v="1000015069"/>
    <s v="Bartec Feam Cable Gland; PNA-05 NIX"/>
    <n v="218"/>
    <m/>
    <n v="218"/>
    <n v="218"/>
    <n v="0"/>
    <x v="0"/>
  </r>
  <r>
    <n v="51"/>
    <s v="1000015073"/>
    <s v="Bartec, Feam Plugs PLG-1 MON, male M20x1.5, in nickel plated brass, external haxagonal head, Bartec FN"/>
    <n v="709"/>
    <m/>
    <n v="709"/>
    <n v="709"/>
    <n v="0"/>
    <x v="0"/>
  </r>
  <r>
    <n v="52"/>
    <s v="1000015074"/>
    <s v="Bartec, Feam Plugs PLG-2 MON"/>
    <n v="827"/>
    <m/>
    <n v="827"/>
    <n v="827"/>
    <n v="0"/>
    <x v="0"/>
  </r>
  <r>
    <n v="53"/>
    <s v="1000015075"/>
    <s v="Bartec, Feam Plugs PLG-3 MON"/>
    <n v="899"/>
    <m/>
    <n v="899"/>
    <n v="898"/>
    <n v="-1"/>
    <x v="2"/>
  </r>
  <r>
    <n v="54"/>
    <s v="1000015076"/>
    <s v="Bartec, Feam Plugs PLG-4 MON"/>
    <n v="191"/>
    <m/>
    <n v="191"/>
    <n v="191"/>
    <n v="0"/>
    <x v="0"/>
  </r>
  <r>
    <n v="55"/>
    <s v="1000015077"/>
    <s v="Bartec, Feam Plugs PLG-5 MON"/>
    <n v="277"/>
    <m/>
    <n v="277"/>
    <n v="277"/>
    <n v="0"/>
    <x v="0"/>
  </r>
  <r>
    <n v="56"/>
    <s v="1000015081"/>
    <s v="Bartec, Feam Plugs PLG-1 NON, male 1/2&quot;, in nickel plated brass, external haxagonal head, Bartec FN"/>
    <n v="711"/>
    <m/>
    <n v="711"/>
    <n v="251"/>
    <n v="-460"/>
    <x v="4"/>
  </r>
  <r>
    <n v="57"/>
    <s v="1000015082"/>
    <s v="Bartec, Feam Plugs PLG-2 NON, male 3/4&quot;, in nickel plated brass, external haxagonal head, Bartec FN"/>
    <n v="3117"/>
    <m/>
    <n v="3117"/>
    <n v="3117"/>
    <n v="0"/>
    <x v="4"/>
  </r>
  <r>
    <n v="58"/>
    <s v="1000015083"/>
    <s v="Bartec, Feam Plugs PLG-3 NON, male 1&quot;, in nickel plated brass, external haxagonal head, Bartec FN"/>
    <n v="1609"/>
    <m/>
    <n v="1609"/>
    <n v="1380"/>
    <n v="-229"/>
    <x v="4"/>
  </r>
  <r>
    <n v="59"/>
    <s v="1000015084"/>
    <s v="Bartec, Feam Plugs PLG-4 NON"/>
    <n v="298"/>
    <m/>
    <n v="298"/>
    <n v="296"/>
    <n v="-2"/>
    <x v="2"/>
  </r>
  <r>
    <n v="60"/>
    <s v="1000015085"/>
    <s v="Bartec, Feam Plugs PLG-5 NON"/>
    <n v="401"/>
    <m/>
    <n v="401"/>
    <n v="401"/>
    <n v="0"/>
    <x v="0"/>
  </r>
  <r>
    <n v="61"/>
    <s v="1000015091"/>
    <s v="Bartec, Feam Plugs PLG-3 MIX"/>
    <n v="102"/>
    <m/>
    <n v="102"/>
    <n v="2"/>
    <n v="-100"/>
    <x v="4"/>
  </r>
  <r>
    <n v="62"/>
    <s v="1000015094"/>
    <s v="Bartec Feam External Hex Head Plug in SS316L PLG-6-MIX , Exe &amp; Exd Dual Rated "/>
    <n v="67"/>
    <m/>
    <n v="67"/>
    <n v="67"/>
    <n v="0"/>
    <x v="0"/>
  </r>
  <r>
    <n v="63"/>
    <s v="1000015099"/>
    <s v="Bartec, Feam Plugs PLG-3 NIX"/>
    <n v="82"/>
    <m/>
    <n v="82"/>
    <n v="71"/>
    <n v="-11"/>
    <x v="5"/>
  </r>
  <r>
    <n v="64"/>
    <s v="1000015100"/>
    <s v="Bartec, Feam Plugs PLG-4 NIX"/>
    <n v="212"/>
    <m/>
    <n v="212"/>
    <n v="212"/>
    <n v="0"/>
    <x v="0"/>
  </r>
  <r>
    <n v="65"/>
    <s v="1000015108"/>
    <s v="Bartec, Feam Lightining Fixture EVAC101-70HPNA-SM"/>
    <n v="3"/>
    <m/>
    <n v="3"/>
    <n v="3"/>
    <n v="0"/>
    <x v="0"/>
  </r>
  <r>
    <n v="66"/>
    <s v="1000015110"/>
    <s v="Bartec, Feam Lightining Fixture EVAC301-150 W"/>
    <n v="2"/>
    <m/>
    <n v="2"/>
    <n v="2"/>
    <n v="0"/>
    <x v="0"/>
  </r>
  <r>
    <n v="67"/>
    <s v="1000015111"/>
    <s v="Bartec, Feam Lightining Fixture EVAC301-100HPNA-CM"/>
    <n v="16"/>
    <m/>
    <n v="16"/>
    <n v="16"/>
    <n v="0"/>
    <x v="0"/>
  </r>
  <r>
    <n v="68"/>
    <s v="1000015114"/>
    <s v="Bartec, Feam Lightining Fixture EVAC301-250HPNA-SM"/>
    <n v="7"/>
    <m/>
    <n v="7"/>
    <n v="7"/>
    <n v="0"/>
    <x v="0"/>
  </r>
  <r>
    <n v="69"/>
    <s v="1000015117"/>
    <s v="Bartec, Feam Junction and Pulling Box GUAX27"/>
    <n v="40"/>
    <m/>
    <n v="40"/>
    <n v="40"/>
    <n v="0"/>
    <x v="0"/>
  </r>
  <r>
    <n v="70"/>
    <s v="1000015118"/>
    <s v="Bartec, Feam Junction and Pulling Box GUAX59"/>
    <n v="27"/>
    <m/>
    <n v="27"/>
    <n v="27"/>
    <n v="0"/>
    <x v="0"/>
  </r>
  <r>
    <n v="71"/>
    <s v="1000015120"/>
    <s v="Bartec, Feam SS Junction Box ESX 2222 size 220 X 220 X 148mm"/>
    <n v="13"/>
    <m/>
    <n v="13"/>
    <n v="13"/>
    <n v="0"/>
    <x v="0"/>
  </r>
  <r>
    <n v="72"/>
    <s v="1000015121"/>
    <s v="Bartec, Feam SS Junction Box ESX 3322 size 330 X 220 X 200"/>
    <n v="9"/>
    <m/>
    <n v="9"/>
    <n v="9"/>
    <n v="0"/>
    <x v="0"/>
  </r>
  <r>
    <n v="73"/>
    <s v="1000015122"/>
    <s v="Bartec, Feam SS Junction Box ESX 3333 size 330 X 330 X 148"/>
    <n v="3"/>
    <m/>
    <n v="3"/>
    <n v="3"/>
    <n v="0"/>
    <x v="0"/>
  </r>
  <r>
    <n v="74"/>
    <s v="1000015123"/>
    <s v="Bartec, Feam SS Junction Box ESX 3333 size 330 X 330 X 200"/>
    <n v="4"/>
    <m/>
    <n v="4"/>
    <n v="4"/>
    <n v="0"/>
    <x v="5"/>
  </r>
  <r>
    <n v="75"/>
    <s v="1000015132"/>
    <s v="Bartec, Feam Drain &amp; Breather ECDE M20, SS316L Exe Rated"/>
    <n v="5"/>
    <m/>
    <n v="5"/>
    <n v="5"/>
    <n v="0"/>
    <x v="5"/>
  </r>
  <r>
    <n v="76"/>
    <s v="1000015150"/>
    <s v="Marine Grade Copper Free Aluminium Horn TYPE: ETH9#024DC(24VDC)ex-d IIC T6 IP66 INERIS 15ATEX0012X/IECEx INE15.0013X(CODE:ETH9#024DC) "/>
    <m/>
    <n v="1"/>
    <n v="1"/>
    <m/>
    <n v="-1"/>
    <x v="3"/>
  </r>
  <r>
    <n v="77"/>
    <s v="1000015152"/>
    <s v="07-3353-4110 Indicator Module Red "/>
    <n v="10"/>
    <m/>
    <n v="10"/>
    <n v="10"/>
    <n v="0"/>
    <x v="0"/>
  </r>
  <r>
    <n v="78"/>
    <s v="1000015153"/>
    <s v="07-3353-4120 Indicator Module Green "/>
    <n v="2"/>
    <m/>
    <n v="2"/>
    <n v="0"/>
    <n v="-2"/>
    <x v="5"/>
  </r>
  <r>
    <n v="79"/>
    <s v="1000015157"/>
    <s v="07-3323-4200 Switching Module 2NO "/>
    <n v="92"/>
    <m/>
    <n v="92"/>
    <n v="92"/>
    <n v="0"/>
    <x v="0"/>
  </r>
  <r>
    <n v="80"/>
    <s v="1000091161"/>
    <s v="Bartec Feam Cable Gland; PAP-02 NIX"/>
    <n v="559"/>
    <m/>
    <n v="559"/>
    <n v="559"/>
    <n v="0"/>
    <x v="0"/>
  </r>
  <r>
    <n v="81"/>
    <s v="1000091162"/>
    <s v="Bartec Feam Cable Gland; PAP-03 NIX"/>
    <n v="849"/>
    <m/>
    <n v="849"/>
    <n v="849"/>
    <n v="0"/>
    <x v="0"/>
  </r>
  <r>
    <n v="82"/>
    <s v="1000091163"/>
    <s v="Bartec Feam Cable Gland; PAP-04 NIX "/>
    <n v="77"/>
    <m/>
    <n v="77"/>
    <n v="77"/>
    <n v="0"/>
    <x v="0"/>
  </r>
  <r>
    <n v="83"/>
    <s v="1000092204"/>
    <s v="Bartec Feam Cable Gland; PAP-05 NIX "/>
    <n v="59"/>
    <m/>
    <n v="59"/>
    <n v="59"/>
    <n v="0"/>
    <x v="0"/>
  </r>
  <r>
    <n v="84"/>
    <s v="1000092222"/>
    <s v="60A 3W4P HZD INTERLOCK RECEPT.MARINE GRADE COPPER FREE ALUMINIUM JUNCTION BOX TYPE EJB-21 Ex-d IIB+H2 T5 IP66 size 285x245x169mm; Model no:EJB 21 "/>
    <n v="29"/>
    <m/>
    <n v="29"/>
    <n v="29"/>
    <n v="0"/>
    <x v="0"/>
  </r>
  <r>
    <n v="85"/>
    <s v="1000092295"/>
    <s v="Bartec, Feam SS Junction Box ESX 4433 size 330 X 440 X 200mm "/>
    <n v="1"/>
    <m/>
    <n v="1"/>
    <n v="0"/>
    <n v="-1"/>
    <x v="5"/>
  </r>
  <r>
    <n v="86"/>
    <s v="1000093070"/>
    <s v="3-SS Cable Glands Including Accessories (PNA-R-01-NIX) "/>
    <n v="417"/>
    <m/>
    <n v="417"/>
    <n v="416"/>
    <n v="-1"/>
    <x v="2"/>
  </r>
  <r>
    <n v="87"/>
    <s v="1000093071"/>
    <s v="3-SS Cable Glands Including Accessories (PNA-R-05-NIX) "/>
    <n v="109"/>
    <m/>
    <n v="109"/>
    <n v="109"/>
    <n v="0"/>
    <x v="0"/>
  </r>
  <r>
    <n v="88"/>
    <s v="1000093072"/>
    <s v="3-SS Cable Glands Including Accessories (PAP-08-NIX) "/>
    <n v="10"/>
    <m/>
    <n v="10"/>
    <n v="10"/>
    <n v="0"/>
    <x v="0"/>
  </r>
  <r>
    <n v="89"/>
    <s v="1000093074"/>
    <s v="3-SS Cable Glands Including Accessories (PAP-R-02-MIX) "/>
    <n v="317"/>
    <m/>
    <n v="317"/>
    <n v="317"/>
    <n v="0"/>
    <x v="0"/>
  </r>
  <r>
    <n v="90"/>
    <s v="1000093075"/>
    <s v="3-SS Cable Glands Including Accessories (PAP-R-03-MIX) "/>
    <n v="751"/>
    <m/>
    <n v="751"/>
    <n v="751"/>
    <n v="0"/>
    <x v="0"/>
  </r>
  <r>
    <n v="91"/>
    <s v="1000093076"/>
    <s v="3-SS Cable Glands Including Accessories (PAP-R-05-MIX) "/>
    <n v="885"/>
    <m/>
    <n v="885"/>
    <n v="880"/>
    <n v="-5"/>
    <x v="5"/>
  </r>
  <r>
    <n v="92"/>
    <s v="1000093078"/>
    <s v="3-SS Cable Glands Including Accessories (PNA-02-MIX) "/>
    <n v="1"/>
    <m/>
    <n v="1"/>
    <n v="0"/>
    <n v="-1"/>
    <x v="5"/>
  </r>
  <r>
    <n v="93"/>
    <s v="1000093079"/>
    <s v="3-SS Cable Glands Including Accessories (PNA-03-MIX) "/>
    <n v="6"/>
    <m/>
    <n v="6"/>
    <n v="6"/>
    <n v="0"/>
    <x v="0"/>
  </r>
  <r>
    <n v="94"/>
    <s v="1000093085"/>
    <s v="3-SS Cable Glands Including Accessories (PNA-R-02-NIX) "/>
    <n v="128"/>
    <m/>
    <n v="128"/>
    <n v="128"/>
    <n v="0"/>
    <x v="0"/>
  </r>
  <r>
    <n v="95"/>
    <s v="1000093086"/>
    <s v="2-Cable Glands Including Accessories (PAP-09-NON) "/>
    <n v="10"/>
    <m/>
    <n v="10"/>
    <n v="10"/>
    <n v="0"/>
    <x v="0"/>
  </r>
  <r>
    <n v="96"/>
    <s v="1000093087"/>
    <s v="3-SS Cable Gland including Accessories (PNA-R-06-NIX) "/>
    <n v="67"/>
    <m/>
    <n v="67"/>
    <n v="67"/>
    <n v="0"/>
    <x v="0"/>
  </r>
  <r>
    <n v="97"/>
    <s v="1000093326"/>
    <s v="Bartec Feam Cable Gland; PAP-R-01-MON "/>
    <n v="319"/>
    <m/>
    <n v="319"/>
    <n v="318"/>
    <n v="-1"/>
    <x v="2"/>
  </r>
  <r>
    <n v="98"/>
    <s v="1000094250"/>
    <s v="3-SS Cable Glands Including Accessories   (PAP-R-04-MIX) "/>
    <n v="118"/>
    <m/>
    <n v="118"/>
    <n v="118"/>
    <n v="0"/>
    <x v="0"/>
  </r>
  <r>
    <n v="99"/>
    <s v="1000094726"/>
    <s v="Bartec, Feam SS Junction Box ESX 8060(600X800X250) "/>
    <n v="1"/>
    <m/>
    <n v="1"/>
    <n v="1"/>
    <n v="0"/>
    <x v="0"/>
  </r>
  <r>
    <n v="100"/>
    <s v="1000096105"/>
    <s v="3-SS Cable Gland including Accessories  (PNA-R-04-NIX) "/>
    <n v="62"/>
    <m/>
    <n v="62"/>
    <n v="62"/>
    <n v="0"/>
    <x v="0"/>
  </r>
  <r>
    <n v="101"/>
    <s v="1000096268"/>
    <s v="MAKE : BARTEC; SWITCH MODULE Ex db eb IIC TYPE 1NO +1NC Contact; ORDER CODE: 07-3324-4400  "/>
    <n v="71"/>
    <m/>
    <n v="71"/>
    <n v="71"/>
    <n v="0"/>
    <x v="0"/>
  </r>
  <r>
    <n v="102"/>
    <s v="1000096609"/>
    <s v="Bartec Feam Cable Gland; PAP-R-09-NON, MALE 4&quot; NPT in nickle plated brass complete with kit of gaskets in EPDM + FS0904 with all accessories"/>
    <n v="27"/>
    <m/>
    <n v="27"/>
    <n v="27"/>
    <n v="0"/>
    <x v="0"/>
  </r>
  <r>
    <n v="103"/>
    <s v="1000096649"/>
    <s v="3-SS Cable Glands Including Accessories  PAP-06 NIX "/>
    <n v="252"/>
    <m/>
    <n v="252"/>
    <n v="252"/>
    <n v="0"/>
    <x v="0"/>
  </r>
  <r>
    <n v="104"/>
    <s v="1000096796"/>
    <s v="Bartec, Feam SS Junction Box ESX 4433-6 size 440x330x200MM  "/>
    <n v="8"/>
    <m/>
    <n v="8"/>
    <m/>
    <n v="-8"/>
    <x v="7"/>
  </r>
  <r>
    <n v="105"/>
    <s v="1000097213"/>
    <s v="3-SS Cable Glands Including Accessories (PNA-R-01-MIX) "/>
    <n v="512"/>
    <m/>
    <n v="512"/>
    <n v="512"/>
    <n v="0"/>
    <x v="0"/>
  </r>
  <r>
    <n v="106"/>
    <s v="1000099208"/>
    <s v="Bartec M50 SS316 locknut &amp; IP washer "/>
    <n v="179"/>
    <m/>
    <n v="179"/>
    <n v="179"/>
    <n v="0"/>
    <x v="0"/>
  </r>
  <r>
    <n v="107"/>
    <s v="1000099237"/>
    <s v="MAKE : BARTEC; Emergency stop Pull to release with labelling; ORDER CODE: 07-3400-N200 "/>
    <n v="246"/>
    <m/>
    <n v="246"/>
    <n v="246"/>
    <n v="0"/>
    <x v="0"/>
  </r>
  <r>
    <n v="108"/>
    <s v="1000099238"/>
    <s v="INDICATION LAMP, Green;PN:05-0003-001400 "/>
    <n v="6"/>
    <m/>
    <n v="6"/>
    <n v="6"/>
    <n v="0"/>
    <x v="0"/>
  </r>
  <r>
    <n v="109"/>
    <s v="1000099239"/>
    <s v="INDICATION LAMP-Red;PN:05-0003-001300  "/>
    <n v="9"/>
    <m/>
    <n v="9"/>
    <n v="9"/>
    <n v="0"/>
    <x v="0"/>
  </r>
  <r>
    <n v="110"/>
    <s v="1000099439"/>
    <s v="Bartec Feam Cable Gland; PAP-R 02 MON + KIT "/>
    <n v="724"/>
    <m/>
    <n v="724"/>
    <n v="723"/>
    <n v="-1"/>
    <x v="2"/>
  </r>
  <r>
    <n v="111"/>
    <s v="1000099440"/>
    <s v="Bartec Feam Cable Gland; PAP-R 03 MON + KIT "/>
    <n v="663"/>
    <m/>
    <n v="663"/>
    <n v="663"/>
    <n v="0"/>
    <x v="0"/>
  </r>
  <r>
    <n v="112"/>
    <s v="1000099441"/>
    <s v="Bartec Feam Cable Gland; PAP-R 04 MON + KIT "/>
    <n v="450"/>
    <m/>
    <n v="450"/>
    <n v="449"/>
    <n v="-1"/>
    <x v="2"/>
  </r>
  <r>
    <n v="113"/>
    <s v="1000099450"/>
    <s v="Bartec Feam Cable Gland; PAP-R 05 MON + KIT "/>
    <n v="370"/>
    <m/>
    <n v="370"/>
    <n v="370"/>
    <n v="0"/>
    <x v="0"/>
  </r>
  <r>
    <n v="114"/>
    <s v="1000099598"/>
    <s v="3-SS Cable Glands Including Accessories (PAP-R-06-MIX) "/>
    <n v="200"/>
    <m/>
    <n v="200"/>
    <n v="200"/>
    <n v="0"/>
    <x v="0"/>
  </r>
  <r>
    <n v="115"/>
    <s v="1000099599"/>
    <s v="3-SS Cable Glands Including Accessories (PAP-R-07-MIX) "/>
    <n v="24"/>
    <m/>
    <n v="24"/>
    <n v="24"/>
    <n v="0"/>
    <x v="0"/>
  </r>
  <r>
    <n v="116"/>
    <s v="1000100440"/>
    <s v="1 X Marine Grade Copper Free Aluminum Instrument Housing w/ two Hubs 3/4&quot; Type EMH92S Ex d IIC "/>
    <n v="9"/>
    <m/>
    <n v="9"/>
    <n v="9"/>
    <n v="0"/>
    <x v="0"/>
  </r>
  <r>
    <n v="117"/>
    <s v="1000101038"/>
    <s v="Bartec Feam Cable Gland; PNA-R-02-MIX + KIT "/>
    <n v="765"/>
    <m/>
    <n v="765"/>
    <n v="765"/>
    <n v="0"/>
    <x v="0"/>
  </r>
  <r>
    <n v="118"/>
    <s v="1000101040"/>
    <s v="Bartec Feam Cable Gland; PNA-R-02-NIX + KIT "/>
    <n v="345"/>
    <m/>
    <n v="345"/>
    <n v="345"/>
    <n v="0"/>
    <x v="0"/>
  </r>
  <r>
    <n v="119"/>
    <s v="1000101321"/>
    <s v="Bartec, Feam Plugs PLG-06-MON"/>
    <n v="86"/>
    <m/>
    <n v="86"/>
    <n v="86"/>
    <n v="0"/>
    <x v="0"/>
  </r>
  <r>
    <n v="120"/>
    <s v="1000101322"/>
    <s v="Bartec, Feam Plugs PLG-06-NON "/>
    <n v="327"/>
    <m/>
    <n v="327"/>
    <n v="327"/>
    <n v="0"/>
    <x v="0"/>
  </r>
  <r>
    <n v="121"/>
    <s v="1000101324"/>
    <s v="Bartec, Feam Plugs; Reducers; REB-02N-02-MIX"/>
    <n v="134"/>
    <m/>
    <n v="134"/>
    <n v="134"/>
    <n v="0"/>
    <x v="0"/>
  </r>
  <r>
    <n v="122"/>
    <s v="1000101326"/>
    <s v="Bartec, Feam Plugs; Reducers; RE-05N-02-NIX"/>
    <n v="100"/>
    <m/>
    <n v="100"/>
    <n v="100"/>
    <n v="0"/>
    <x v="0"/>
  </r>
  <r>
    <n v="123"/>
    <s v="1000101327"/>
    <s v="Bartec, Feam Plugs; Reducers; RE-03N-01-MIX"/>
    <n v="100"/>
    <m/>
    <n v="100"/>
    <n v="100"/>
    <n v="0"/>
    <x v="0"/>
  </r>
  <r>
    <n v="124"/>
    <s v="1000101328"/>
    <s v="Bartec, Feam Plugs; Reducers; RE-04N-01-MIX"/>
    <n v="200"/>
    <m/>
    <n v="200"/>
    <n v="200"/>
    <n v="0"/>
    <x v="0"/>
  </r>
  <r>
    <n v="125"/>
    <s v="1000101329"/>
    <s v="Bartec, Feam Plugs; Reducers; RE-04N-03-NIX"/>
    <n v="44"/>
    <m/>
    <n v="44"/>
    <n v="44"/>
    <n v="0"/>
    <x v="0"/>
  </r>
  <r>
    <n v="126"/>
    <s v="1000101331"/>
    <s v="Bartec, Feam Plugs; Reducers; RE-03N-02-NIX"/>
    <n v="4"/>
    <m/>
    <n v="4"/>
    <n v="4"/>
    <n v="0"/>
    <x v="0"/>
  </r>
  <r>
    <n v="127"/>
    <s v="1000101332"/>
    <s v="Bartec, Feam Plugs; Reducers; REB-02N-01-MIX"/>
    <n v="86"/>
    <m/>
    <n v="86"/>
    <n v="86"/>
    <n v="0"/>
    <x v="0"/>
  </r>
  <r>
    <n v="128"/>
    <s v="1000101333"/>
    <s v="Bartec, Feam Plugs; Reducers; RE-02N-01-MIX"/>
    <n v="103"/>
    <m/>
    <n v="103"/>
    <n v="103"/>
    <n v="0"/>
    <x v="0"/>
  </r>
  <r>
    <n v="129"/>
    <s v="1000101503"/>
    <s v="M20 NPTM x 1/2&quot; NPTF Adapter SS316 EXD; Model:REB01N01MIX "/>
    <n v="2"/>
    <m/>
    <n v="2"/>
    <n v="2"/>
    <n v="0"/>
    <x v="0"/>
  </r>
  <r>
    <n v="130"/>
    <s v="1000101547"/>
    <s v="Bartec; SS316L Drain &amp; Breather ECD1 NIX 1/2&quot;,Exd rated "/>
    <n v="33"/>
    <m/>
    <n v="33"/>
    <n v="32"/>
    <n v="-1"/>
    <x v="5"/>
  </r>
  <r>
    <n v="131"/>
    <s v="1000101720"/>
    <s v="Bartec Feam Cable Gland; PNA-R-08 NIX + KIT "/>
    <n v="25"/>
    <m/>
    <n v="25"/>
    <n v="25"/>
    <n v="0"/>
    <x v="0"/>
  </r>
  <r>
    <n v="132"/>
    <s v="1000102155"/>
    <s v="Yellow Lamp Module: 07-3353-4130 "/>
    <n v="50"/>
    <m/>
    <n v="50"/>
    <n v="50"/>
    <n v="0"/>
    <x v="0"/>
  </r>
  <r>
    <n v="133"/>
    <s v="1000102156"/>
    <s v="Yellow Lamp Module Actuator: 05-0003-001500  "/>
    <n v="50"/>
    <m/>
    <n v="50"/>
    <n v="50"/>
    <n v="0"/>
    <x v="0"/>
  </r>
  <r>
    <n v="134"/>
    <s v="1000102160"/>
    <s v="BartecL;Push Button;PN:05-0003-000700  "/>
    <n v="95"/>
    <m/>
    <n v="95"/>
    <n v="95"/>
    <n v="0"/>
    <x v="0"/>
  </r>
  <r>
    <n v="135"/>
    <s v="1000102394"/>
    <s v="Bartec Feam Cable Gland; PAP-R01-MXX , male M20 in Stainless steel complete with Kit of gaskets in EPDDM + FS0904"/>
    <n v="8"/>
    <m/>
    <n v="8"/>
    <n v="8"/>
    <n v="0"/>
    <x v="0"/>
  </r>
  <r>
    <n v="136"/>
    <s v="1000102395"/>
    <s v="Barrier cable gland, armored cable type PAP-R-01-NXX execution Ex d/e/I IIC, size 1 , male 1/2&quot; NPT, in stainless steel complete with kit of gaskets in EPDM + Accessories + FS0904-1 "/>
    <n v="108"/>
    <m/>
    <n v="108"/>
    <n v="108"/>
    <n v="0"/>
    <x v="0"/>
  </r>
  <r>
    <n v="137"/>
    <s v="1000102396"/>
    <s v="Bartec Reducer; RE02N01-NXX + Kit"/>
    <n v="603"/>
    <m/>
    <n v="603"/>
    <n v="103"/>
    <n v="-500"/>
    <x v="8"/>
  </r>
  <r>
    <n v="138"/>
    <s v="1000102397"/>
    <s v="Bartec Feam Cable Gland; PAP-01-MXX + Kit"/>
    <n v="1637"/>
    <m/>
    <n v="1637"/>
    <n v="1637"/>
    <n v="0"/>
    <x v="0"/>
  </r>
  <r>
    <n v="139"/>
    <s v="1000102398"/>
    <s v="Bartec Feam Cable Gland; PAP-02-MXX + Kit"/>
    <n v="1836"/>
    <m/>
    <n v="1836"/>
    <n v="1836"/>
    <n v="0"/>
    <x v="0"/>
  </r>
  <r>
    <n v="140"/>
    <s v="1000102686"/>
    <s v="Bartec, Feam Plugs PLG-07-NON"/>
    <n v="160"/>
    <m/>
    <n v="160"/>
    <n v="160"/>
    <n v="0"/>
    <x v="0"/>
  </r>
  <r>
    <n v="141"/>
    <s v="1000102687"/>
    <s v="Bartec, Feam Plugs PLG-08-NON "/>
    <n v="118"/>
    <m/>
    <n v="118"/>
    <n v="118"/>
    <n v="0"/>
    <x v="0"/>
  </r>
  <r>
    <n v="142"/>
    <s v="1000103172"/>
    <s v="Switch ON/OFF, 2 Poles 16A EFSC1"/>
    <n v="1"/>
    <m/>
    <n v="1"/>
    <n v="1"/>
    <n v="0"/>
    <x v="0"/>
  </r>
  <r>
    <n v="143"/>
    <s v="1000103258"/>
    <s v="Lamp Accessories; 05-0003-000900"/>
    <n v="25"/>
    <m/>
    <n v="25"/>
    <n v="25"/>
    <n v="0"/>
    <x v="0"/>
  </r>
  <r>
    <n v="144"/>
    <s v="1000103259"/>
    <s v="MAKE : BARTEC; LAMP MODULE Ex db eb IIC TYPE AC/DC WHITE; ORDER CODE: 07-3354-4140 "/>
    <n v="28"/>
    <m/>
    <n v="28"/>
    <n v="13"/>
    <n v="-15"/>
    <x v="1"/>
  </r>
  <r>
    <n v="145"/>
    <s v="1000103260"/>
    <s v="MAKE : BARTEC; II 2G Ex eb IIC Gb White Indication Lamp; ORDER CODE: 07-3400-LW00 "/>
    <n v="28"/>
    <m/>
    <n v="28"/>
    <n v="13"/>
    <n v="-15"/>
    <x v="1"/>
  </r>
  <r>
    <n v="146"/>
    <s v="1000103261"/>
    <s v="Selector switch 3 position PN:05-0003-001000 "/>
    <n v="65"/>
    <m/>
    <n v="65"/>
    <n v="65"/>
    <n v="0"/>
    <x v="0"/>
  </r>
  <r>
    <n v="147"/>
    <s v="1000103351"/>
    <s v="Bartec Product; REB-01N01MXX"/>
    <n v="897"/>
    <m/>
    <n v="897"/>
    <n v="897"/>
    <n v="0"/>
    <x v="0"/>
  </r>
  <r>
    <n v="148"/>
    <s v="1000103352"/>
    <s v="Bartec Product; REB-02N01MXX"/>
    <n v="136"/>
    <m/>
    <n v="136"/>
    <n v="136"/>
    <n v="0"/>
    <x v="0"/>
  </r>
  <r>
    <n v="149"/>
    <s v="1000103353"/>
    <s v="Bartec Product; REB-03N02MXX"/>
    <n v="249"/>
    <m/>
    <n v="249"/>
    <n v="249"/>
    <n v="0"/>
    <x v="0"/>
  </r>
  <r>
    <n v="150"/>
    <s v="1000103354"/>
    <s v="Bartec Product; REB-04N03MXX"/>
    <n v="100"/>
    <m/>
    <n v="100"/>
    <n v="100"/>
    <n v="0"/>
    <x v="0"/>
  </r>
  <r>
    <n v="151"/>
    <s v="1000103355"/>
    <s v="Bartec Product; RE-02N01MXX"/>
    <n v="176"/>
    <m/>
    <n v="176"/>
    <n v="176"/>
    <n v="0"/>
    <x v="0"/>
  </r>
  <r>
    <n v="152"/>
    <s v="1000103502"/>
    <s v="Bartec cable gland, Unarmored cable type PNA-03-NXX execution Ex d/e/I IIC, size 3 , male 1&quot; NPT, in stainless steel complete with kit of gaskets in EPDM + Accessories "/>
    <n v="400"/>
    <m/>
    <n v="400"/>
    <n v="400"/>
    <n v="0"/>
    <x v="0"/>
  </r>
  <r>
    <n v="153"/>
    <s v="1000103503"/>
    <s v="Bartec cable gland, Unarmored cable type PNA-04-NXX execution Ex d/e/I IIC, size 4 , male 1 1/4&quot; NPT, in stainless steel complete with kit of gaskets in EPDM + Accessories "/>
    <n v="265"/>
    <m/>
    <n v="265"/>
    <n v="265"/>
    <n v="0"/>
    <x v="0"/>
  </r>
  <r>
    <n v="154"/>
    <s v="1000103504"/>
    <s v="Bartec Product; SS316L PAP-01-NXX+kit accessories Bartec cable gland, armored cable type PAP-01-NXX execution Ex d/e/I IIC, size 1 , male 1/2&quot; NPT, in stainless steel complete with kit of gaskets in EPDM + Accessories "/>
    <n v="405"/>
    <m/>
    <n v="405"/>
    <n v="405"/>
    <n v="0"/>
    <x v="0"/>
  </r>
  <r>
    <n v="155"/>
    <s v="1000103505"/>
    <s v="Bartec Product; SS316L PAP-02-NXX+kit accessories"/>
    <n v="40"/>
    <m/>
    <n v="40"/>
    <n v="40"/>
    <n v="0"/>
    <x v="0"/>
  </r>
  <r>
    <n v="156"/>
    <s v="1000103506"/>
    <s v="Bartec Product; SS316L PAP-03-NXX+kit accessories"/>
    <n v="89"/>
    <m/>
    <n v="89"/>
    <n v="89"/>
    <n v="0"/>
    <x v="0"/>
  </r>
  <r>
    <n v="157"/>
    <s v="1000103507"/>
    <s v="Bartec Product; SS316L PAP-06-NXX+kit accessories"/>
    <n v="100"/>
    <m/>
    <n v="100"/>
    <n v="100"/>
    <n v="0"/>
    <x v="0"/>
  </r>
  <r>
    <n v="158"/>
    <s v="1000103508"/>
    <s v="Bartec Product; SS316L PAP-R-04-NXX+kit accessories"/>
    <n v="650"/>
    <m/>
    <n v="650"/>
    <n v="650"/>
    <n v="0"/>
    <x v="0"/>
  </r>
  <r>
    <n v="159"/>
    <s v="1000103509"/>
    <s v="Bartec Product; SS316L PAP-R-05-NXX+kit accessories"/>
    <n v="502"/>
    <m/>
    <n v="502"/>
    <n v="502"/>
    <n v="0"/>
    <x v="0"/>
  </r>
  <r>
    <n v="160"/>
    <s v="1000103510"/>
    <s v="Bartec Product; SS316L PAP-R-06-NXX+kit accessories"/>
    <n v="224"/>
    <m/>
    <n v="224"/>
    <n v="224"/>
    <n v="0"/>
    <x v="0"/>
  </r>
  <r>
    <n v="161"/>
    <s v="1000103514"/>
    <s v="Bartec Product; SS316L PNA-04-MXX+kit accessories"/>
    <n v="88"/>
    <m/>
    <n v="88"/>
    <n v="88"/>
    <n v="0"/>
    <x v="0"/>
  </r>
  <r>
    <n v="162"/>
    <s v="1000103515"/>
    <s v="Bartec Product; SS316L PNA-05-MXX+kit accessories"/>
    <n v="37"/>
    <m/>
    <n v="37"/>
    <n v="37"/>
    <n v="0"/>
    <x v="0"/>
  </r>
  <r>
    <n v="163"/>
    <s v="1000103516"/>
    <s v="Bartec Product; SS316L 1-1/2&quot; MALE TO 3/4&quot; FEMALE TYPE RE#05N02NXX"/>
    <n v="1113"/>
    <m/>
    <n v="1113"/>
    <n v="1113"/>
    <n v="0"/>
    <x v="0"/>
  </r>
  <r>
    <n v="164"/>
    <s v="1000103517"/>
    <s v="Bartec Product; SS316L 3/4&quot; MALE TO 1/2&quot; FEMALE TYPE RE#02N01NXX"/>
    <n v="30"/>
    <m/>
    <n v="30"/>
    <n v="30"/>
    <n v="0"/>
    <x v="0"/>
  </r>
  <r>
    <n v="165"/>
    <s v="1000103518"/>
    <s v="Bartec Product; SS316L 1&quot; MALE TO 3/4&quot; FEMALE TYPE RE#03N02NXX"/>
    <n v="87"/>
    <m/>
    <n v="87"/>
    <n v="82"/>
    <n v="-5"/>
    <x v="5"/>
  </r>
  <r>
    <n v="166"/>
    <s v="1000103520"/>
    <s v="Bartec Product; SS316L  ADAPTOR 1/2&quot; MALE TO 3/4&quot; FEMALE TYPE REB#02N01NXX"/>
    <n v="101"/>
    <m/>
    <n v="101"/>
    <n v="101"/>
    <n v="0"/>
    <x v="0"/>
  </r>
  <r>
    <n v="167"/>
    <s v="1000103583"/>
    <s v="Bartec Product; SS316L PAP-03-MXX+kit accessories"/>
    <n v="420"/>
    <m/>
    <n v="420"/>
    <n v="420"/>
    <n v="0"/>
    <x v="0"/>
  </r>
  <r>
    <n v="168"/>
    <s v="1000103584"/>
    <s v="Bartec Product; SS316L PAP-05-MXX+kit accessories"/>
    <n v="292"/>
    <m/>
    <n v="292"/>
    <n v="292"/>
    <n v="0"/>
    <x v="0"/>
  </r>
  <r>
    <n v="169"/>
    <s v="1000103585"/>
    <s v="Bartec Product; SS316L PAP-06-MXX+kit accessories"/>
    <n v="194"/>
    <m/>
    <n v="194"/>
    <n v="194"/>
    <n v="0"/>
    <x v="0"/>
  </r>
  <r>
    <n v="170"/>
    <s v="1000103586"/>
    <s v="Bartec Product; SS316L PAP-R-02-MXX+kit accessories"/>
    <n v="763"/>
    <m/>
    <n v="763"/>
    <n v="763"/>
    <n v="0"/>
    <x v="0"/>
  </r>
  <r>
    <n v="171"/>
    <s v="1000103587"/>
    <s v="Bartec Product; SS316L PAP-R-04-MXX+kit accessories"/>
    <n v="163"/>
    <m/>
    <n v="163"/>
    <n v="163"/>
    <n v="0"/>
    <x v="0"/>
  </r>
  <r>
    <n v="172"/>
    <s v="1000103588"/>
    <s v="Bartec Product; SS316L PNA-R-01-MXX+kit accessories"/>
    <n v="78"/>
    <m/>
    <n v="78"/>
    <n v="78"/>
    <n v="0"/>
    <x v="0"/>
  </r>
  <r>
    <n v="173"/>
    <s v="1000103589"/>
    <s v="Barrier cable gland, Unarmored cable type PNA-R-01-NXX execution Ex d/e/I IIC, size 1 , male 1/2&quot; NPT, in stainless steel complete with kit of gaskets in EPDM + Accessories + FS0904-1 "/>
    <n v="983"/>
    <m/>
    <n v="983"/>
    <n v="983"/>
    <n v="0"/>
    <x v="0"/>
  </r>
  <r>
    <n v="174"/>
    <s v="1000103590"/>
    <s v="Bartec Product; SS316L PNA-R-02-NXX+kit accessories"/>
    <n v="665"/>
    <m/>
    <n v="665"/>
    <n v="665"/>
    <n v="0"/>
    <x v="0"/>
  </r>
  <r>
    <n v="175"/>
    <s v="1000103591"/>
    <s v="Barrier cable gland, Unarmored cable type PNA-R-03-NXX execution Ex d/e/I IIC, size 3 , male 1&quot; NPT, in stainless steel complete with kit of gaskets in EPDM + Accessories + FS0904-3 "/>
    <n v="593"/>
    <m/>
    <n v="593"/>
    <n v="593"/>
    <n v="0"/>
    <x v="0"/>
  </r>
  <r>
    <n v="176"/>
    <s v="1000103592"/>
    <s v="Bartec Product; SS316L PNA-R-04-NXX+kit accessories"/>
    <n v="295"/>
    <m/>
    <n v="295"/>
    <n v="295"/>
    <n v="0"/>
    <x v="0"/>
  </r>
  <r>
    <n v="177"/>
    <s v="1000103593"/>
    <s v="Bartec Product; SS316L PNA-R-05-NXX+kit accessories"/>
    <n v="385"/>
    <m/>
    <n v="385"/>
    <n v="385"/>
    <n v="0"/>
    <x v="0"/>
  </r>
  <r>
    <n v="178"/>
    <s v="1000103594"/>
    <s v="Bartec Product; SS316L PNA-R-06-NXX+kit accessories"/>
    <n v="383"/>
    <m/>
    <n v="383"/>
    <n v="383"/>
    <n v="0"/>
    <x v="0"/>
  </r>
  <r>
    <n v="179"/>
    <s v="1000103595"/>
    <s v="Bartec cable gland, Unarmored cable type PNA-01-NXX execution Ex d/e/I IIC, size 1 , male 1/2&quot; NPT, in stainless steel complete with kit of gaskets in EPDM + Accessories  "/>
    <n v="1483"/>
    <m/>
    <n v="1483"/>
    <n v="1483"/>
    <n v="0"/>
    <x v="0"/>
  </r>
  <r>
    <n v="180"/>
    <s v="1000103596"/>
    <s v="Bartec cable gland, Unarmored cable type PNA-02-NXX execution Ex d/e/I IIC, size 2 , male 3/4&quot; NPT, in stainless steel complete with kit of gaskets in EPDM + Accessories "/>
    <n v="407"/>
    <m/>
    <n v="407"/>
    <n v="407"/>
    <n v="0"/>
    <x v="0"/>
  </r>
  <r>
    <n v="181"/>
    <s v="1000103597"/>
    <s v="Bartec Product; SS316L PAP-04-MXX+kit accessories "/>
    <n v="294"/>
    <m/>
    <n v="294"/>
    <n v="294"/>
    <n v="0"/>
    <x v="0"/>
  </r>
  <r>
    <n v="182"/>
    <s v="1000103629"/>
    <s v="Bartec Feam Cable Gland; PAP-R-06-MON "/>
    <n v="100"/>
    <m/>
    <n v="100"/>
    <n v="100"/>
    <n v="0"/>
    <x v="0"/>
  </r>
  <r>
    <n v="183"/>
    <s v="1000104001"/>
    <s v="Bartec Product; PLG-01-MXX"/>
    <n v="2490"/>
    <m/>
    <n v="2490"/>
    <n v="2490"/>
    <n v="0"/>
    <x v="0"/>
  </r>
  <r>
    <n v="184"/>
    <s v="1000104002"/>
    <s v="Bartec Product;PLG-02-MXX"/>
    <n v="9"/>
    <m/>
    <n v="9"/>
    <n v="5"/>
    <n v="-4"/>
    <x v="5"/>
  </r>
  <r>
    <n v="185"/>
    <s v="1000104003"/>
    <s v="Bartec Product;PLG-03-MXX"/>
    <n v="100"/>
    <m/>
    <n v="100"/>
    <n v="0"/>
    <n v="-100"/>
    <x v="4"/>
  </r>
  <r>
    <n v="186"/>
    <s v="1000104005"/>
    <s v="Plug male type PLG, execution Ex d/e IIC, male 1/2&quot;NPT, in stainless steel AISI316L, external hexagonal head (Collar Type), BARTEC FN, IECEx certificate. PLG-01-NXX"/>
    <n v="7088"/>
    <m/>
    <n v="7088"/>
    <n v="7088"/>
    <n v="0"/>
    <x v="0"/>
  </r>
  <r>
    <n v="187"/>
    <s v="1000104006"/>
    <s v="Bartec Product; PLG-02-NXX"/>
    <n v="883"/>
    <m/>
    <n v="883"/>
    <n v="876"/>
    <n v="-7"/>
    <x v="5"/>
  </r>
  <r>
    <n v="188"/>
    <s v="1000104007"/>
    <s v="Bartec Product; PLG-03-NXX"/>
    <n v="219"/>
    <m/>
    <n v="219"/>
    <n v="219"/>
    <n v="0"/>
    <x v="0"/>
  </r>
  <r>
    <n v="189"/>
    <s v="1000104008"/>
    <s v="Bartec Product; PLG-05-NXX"/>
    <n v="10"/>
    <m/>
    <n v="10"/>
    <n v="10"/>
    <n v="0"/>
    <x v="0"/>
  </r>
  <r>
    <n v="190"/>
    <s v="1000104155"/>
    <s v="PAP-R-08 NXX, execution Ex d/e/I IIC, size 8, male 3&quot;NPT, in SS AISI316L, Barrier cable gland with all accessories + FS0904.  "/>
    <n v="4"/>
    <m/>
    <n v="4"/>
    <n v="4"/>
    <n v="0"/>
    <x v="0"/>
  </r>
  <r>
    <n v="191"/>
    <s v="1000104330"/>
    <s v="Ammeeter AM72 , X/1A, 0-20 A with fixing kit EXE "/>
    <n v="2"/>
    <m/>
    <n v="2"/>
    <n v="2"/>
    <n v="0"/>
    <x v="0"/>
  </r>
  <r>
    <n v="192"/>
    <s v="1000104331"/>
    <s v="Ammeeter AM72 , X/5A, 0-20 A with fixing kit EXE "/>
    <n v="2"/>
    <m/>
    <n v="2"/>
    <n v="2"/>
    <n v="0"/>
    <x v="0"/>
  </r>
  <r>
    <n v="193"/>
    <s v="1000104406"/>
    <s v="Nickle plated brass collar type Reducer 3/4&quot; NPT Male to 1/2&quot; NPT Female Ex-d/ Ex-e IIC IP66, RE02N01NON"/>
    <n v="78"/>
    <m/>
    <n v="78"/>
    <n v="0"/>
    <n v="-78"/>
    <x v="4"/>
  </r>
  <r>
    <n v="194"/>
    <s v="1000104407"/>
    <s v="RE03N02NONReducer male-female type RE, execution Ex d/e IIC, male 1&quot;NPT, female 3/4&quot;NPT, in nickel platedbrass RE03N02NON"/>
    <n v="200"/>
    <m/>
    <n v="200"/>
    <n v="200"/>
    <n v="0"/>
    <x v="0"/>
  </r>
  <r>
    <n v="195"/>
    <s v="1000104413"/>
    <s v="Bartec Product; PNA-09 NON "/>
    <n v="6"/>
    <m/>
    <n v="6"/>
    <n v="6"/>
    <n v="0"/>
    <x v="0"/>
  </r>
  <r>
    <n v="196"/>
    <s v="1000104421"/>
    <s v="Bartec Product; PNA‐06 NIX "/>
    <n v="20"/>
    <m/>
    <n v="20"/>
    <n v="20"/>
    <n v="0"/>
    <x v="0"/>
  </r>
  <r>
    <n v="197"/>
    <s v="1000104423"/>
    <s v="JB 2 X 1/2&quot; With Din Rail, Model: GUAL 17 "/>
    <n v="8"/>
    <m/>
    <n v="8"/>
    <m/>
    <n v="-8"/>
    <x v="9"/>
  </r>
  <r>
    <n v="198"/>
    <s v="1000104435"/>
    <s v="Bartec Product; PAP-R-09 NON 3-1/2&quot; "/>
    <n v="8"/>
    <m/>
    <n v="8"/>
    <n v="8"/>
    <n v="0"/>
    <x v="0"/>
  </r>
  <r>
    <n v="199"/>
    <s v="1000104588"/>
    <s v="Bartec Product; PNA-R-04 MIX "/>
    <n v="1"/>
    <m/>
    <n v="1"/>
    <n v="1"/>
    <n v="0"/>
    <x v="0"/>
  </r>
  <r>
    <n v="200"/>
    <s v="1000104623"/>
    <s v="SS316 (Ex'd') Reducer : 1 1/2&quot; NPTM X 1&quot; NPTF Part Number RE05N03NXX"/>
    <n v="1"/>
    <m/>
    <n v="1"/>
    <n v="1"/>
    <n v="0"/>
    <x v="0"/>
  </r>
  <r>
    <n v="201"/>
    <s v="1000104624"/>
    <s v="Reducer male-female type RE03N01NXX, execution Ex d/e IIC, male 1&quot;NPT, female 1/2&quot;NPT, in stainless steel AISI316L, BARTEC FN, IECEx certificate"/>
    <n v="61"/>
    <m/>
    <n v="61"/>
    <n v="61"/>
    <n v="0"/>
    <x v="0"/>
  </r>
  <r>
    <n v="202"/>
    <s v="1000105609"/>
    <s v="Reducer female-male type REB01N01MXX, execution Ex d/e IIC, female 1/2&quot;NPT, male M20x1.5, in stainless steel AISI316L, BARTEC FN, IECEx certificate"/>
    <n v="7820"/>
    <m/>
    <n v="7820"/>
    <n v="7820"/>
    <n v="0"/>
    <x v="0"/>
  </r>
  <r>
    <n v="203"/>
    <s v="1000105610"/>
    <s v="Reducer female-male type REB02N02MXX, execution Ex d/e IIC, female 3/4&quot;NPT, male M25x1.5, in stainless steel AISI316L, BARTEC FN, IECEx certificate"/>
    <n v="2079"/>
    <m/>
    <n v="2079"/>
    <n v="2079"/>
    <n v="0"/>
    <x v="0"/>
  </r>
  <r>
    <n v="204"/>
    <s v="1000105611"/>
    <s v="Reducer female-male type REB03N03MXX, execution Ex d/e IIC, female 1&quot;NPT, male M32x1.5, in stainless steel AISI316L, BARTEC FN,  IECEx certificate"/>
    <n v="27"/>
    <m/>
    <n v="27"/>
    <n v="27"/>
    <n v="0"/>
    <x v="0"/>
  </r>
  <r>
    <n v="205"/>
    <s v="1000105612"/>
    <s v="Reducer female-male type REB04N04MXX, execution Ex d/e IIC, female 1-1/4&quot;NPT, male M40x1.5, in stainless steel AISI316L, BARTEC FN,  IECEx certificate"/>
    <n v="319"/>
    <m/>
    <n v="319"/>
    <n v="315"/>
    <n v="-4"/>
    <x v="5"/>
  </r>
  <r>
    <n v="206"/>
    <s v="1000105858"/>
    <s v="armored cable type PAP, execution Ex d/e/i IIC, size 7, male 2-1/2&quot;NPT, in stainless steel AISI316L,with kit of gaskets in EPDM, BARTEC FN, ATEX-IECEx-EAC certificate Kit accessories + FS0904 for cable gland male 2-1/2&quot;NPT; PAP-R-07-NXX"/>
    <n v="24"/>
    <m/>
    <n v="24"/>
    <n v="24"/>
    <n v="0"/>
    <x v="0"/>
  </r>
  <r>
    <n v="207"/>
    <s v="1000105875"/>
    <s v="Barrier cable gland, armored cable type PAP-R-02-NXX execution Ex d/e/I IIC, size 2 , male 3/4&quot; NPT, in stainless steel complete with kit of gaskets in EPDM + Accessories + FS0904-2 "/>
    <n v="663"/>
    <m/>
    <n v="663"/>
    <n v="662"/>
    <n v="-1"/>
    <x v="5"/>
  </r>
  <r>
    <n v="208"/>
    <s v="1000106261"/>
    <s v="Reducre female-male type REB05N05MXX, execution Ex d/e IIC, female  1-1/2&quot; NPT, male M50x1.5, in stainless steel AISI316L "/>
    <n v="257"/>
    <m/>
    <n v="257"/>
    <n v="257"/>
    <n v="0"/>
    <x v="0"/>
  </r>
  <r>
    <n v="209"/>
    <s v="1000106262"/>
    <s v="Reducer female-male type REB06N06MXX, execution Ex d/e IIC, female 2&quot;NPT, male M63x1.5, in stainless steel AISI316L, BARTEC FN,  IECEx certificate"/>
    <n v="38"/>
    <m/>
    <n v="38"/>
    <n v="38"/>
    <n v="0"/>
    <x v="0"/>
  </r>
  <r>
    <n v="210"/>
    <s v="1000106263"/>
    <s v="Reducer female-male type REB07N07MXX, execution Ex d/e IIC, female 2-1/2&quot;NPT, male M75x1.5, in stainless steel AISI316L, BARTEC FN,  IECEx certificate"/>
    <n v="22"/>
    <m/>
    <n v="22"/>
    <n v="22"/>
    <n v="0"/>
    <x v="0"/>
  </r>
  <r>
    <n v="211"/>
    <s v="1000106265"/>
    <s v="HEXAGONAL HEAD COLLAR; PLG-04-NXX  "/>
    <n v="135"/>
    <m/>
    <n v="135"/>
    <n v="134"/>
    <n v="-1"/>
    <x v="5"/>
  </r>
  <r>
    <n v="212"/>
    <s v="1000106274"/>
    <s v="3/4&quot; NPT MALE TO 1/2&quot; NPT FEMALE ( RING TYPE RE02N01NXX )"/>
    <n v="103"/>
    <m/>
    <n v="103"/>
    <n v="103"/>
    <n v="0"/>
    <x v="0"/>
  </r>
  <r>
    <n v="213"/>
    <s v="1000106275"/>
    <s v="3/4&quot; NPT MALE TO 1/2&quot; NPT FEMALE ( COLLAR TYPE REB02N01NXX)"/>
    <n v="969"/>
    <m/>
    <n v="969"/>
    <n v="998"/>
    <n v="29"/>
    <x v="6"/>
  </r>
  <r>
    <n v="214"/>
    <s v="1000106502"/>
    <s v="SS316L ADAPTOR, 1/2&quot; MALE TO M20 FEMALE, COLLAR R TYPE ADAPTOR Exe / Exd, IP 66 TYPE, REB01N01MXX"/>
    <n v="80"/>
    <m/>
    <n v="80"/>
    <n v="74"/>
    <n v="-6"/>
    <x v="5"/>
  </r>
  <r>
    <n v="215"/>
    <s v="1000107100"/>
    <s v="Bartec Feam Cable Gland; PNA-R-01-NON, MALE 1/2&quot; NPT in nickle plated brass complete with kit of gaskets in EPDM + FS0904 with all accessories "/>
    <n v="713"/>
    <m/>
    <n v="713"/>
    <n v="713"/>
    <n v="0"/>
    <x v="0"/>
  </r>
  <r>
    <n v="216"/>
    <s v="1000107101"/>
    <s v="Bartec Feam Cable Gland; PNA-R-02-NON, MALE 3/4&quot; NPT in nickle plated brass complete with kit of gaskets in EPDM + FS0904 with all accessories "/>
    <n v="3065"/>
    <m/>
    <n v="3065"/>
    <n v="3065"/>
    <n v="0"/>
    <x v="0"/>
  </r>
  <r>
    <n v="217"/>
    <s v="1000107102"/>
    <s v="Bartec Feam Cable Gland; PNA-R-03-NON, MALE 1&quot; NPT in nickle plated brass complete with kit of gaskets in EPDM + FS0904 with all accessories"/>
    <n v="80"/>
    <m/>
    <n v="80"/>
    <n v="80"/>
    <n v="0"/>
    <x v="0"/>
  </r>
  <r>
    <n v="218"/>
    <s v="1000107103"/>
    <s v="Bartec Feam Cable Gland; PNA-R-04-NON, MALE 1 1 /4&quot; NPT in nickle plated brass complete with kit of gaskets in EPDM + FS0904 with all accessories"/>
    <n v="58"/>
    <m/>
    <n v="58"/>
    <n v="58"/>
    <n v="0"/>
    <x v="0"/>
  </r>
  <r>
    <n v="219"/>
    <s v="1000107340"/>
    <s v="Nickle plated brass collar type adaptor M20 Male to 3/4&quot; NPT Female Ex-d/ Ex-e IIC IP66, REB02N01MON "/>
    <n v="75"/>
    <m/>
    <n v="75"/>
    <n v="75"/>
    <n v="0"/>
    <x v="0"/>
  </r>
  <r>
    <n v="220"/>
    <s v="1000107733"/>
    <s v="Barrier cable gland, armored cable type PAP-R-03-NXX execution Ex d/e/I IIC, size 3 , male 1&quot; NPT, in stainless steel complete with kit of gaskets in EPDM + Accessories + FS0904-3"/>
    <n v="381"/>
    <m/>
    <n v="381"/>
    <n v="381"/>
    <n v="0"/>
    <x v="0"/>
  </r>
  <r>
    <n v="221"/>
    <s v="1000108219"/>
    <s v="Seal compound part number - INN-FS0904-1 "/>
    <n v="29"/>
    <m/>
    <n v="29"/>
    <n v="29"/>
    <n v="0"/>
    <x v="0"/>
  </r>
  <r>
    <n v="222"/>
    <s v="1000108220"/>
    <s v="Seal compound part number - INN-FS0904-2"/>
    <n v="20"/>
    <m/>
    <n v="20"/>
    <n v="20"/>
    <n v="0"/>
    <x v="0"/>
  </r>
  <r>
    <n v="223"/>
    <s v="1000108752"/>
    <s v="Seal compound part number - INN-FS0904-5"/>
    <n v="15"/>
    <m/>
    <n v="15"/>
    <n v="15"/>
    <n v="0"/>
    <x v="0"/>
  </r>
  <r>
    <n v="224"/>
    <s v="1000108922"/>
    <s v="Reducer female-male type REB02M01NON, execution Ex d/e IIC, female M25, male 1/2&quot;NPT, in nickel plated brass, BARTEC FN, IECEx certificate"/>
    <n v="303"/>
    <m/>
    <n v="303"/>
    <n v="303"/>
    <n v="0"/>
    <x v="0"/>
  </r>
  <r>
    <n v="225"/>
    <s v="1000108980"/>
    <s v="Bartec Product; Emergency stop Twist to release, with labeling Ex e, Zone 1 and 21 07-3400-R200"/>
    <n v="20"/>
    <m/>
    <n v="20"/>
    <n v="0"/>
    <n v="-20"/>
    <x v="4"/>
  </r>
  <r>
    <n v="226"/>
    <s v="1000109297"/>
    <s v="Bartec Product; RE03N01NON Reducer male-female type RE, execution Ex d/e IIC, male 1&quot;NPT, female 1/2&quot;NPT, in nickel platedbrass RE03N01NON"/>
    <n v="200"/>
    <m/>
    <n v="200"/>
    <n v="200"/>
    <n v="0"/>
    <x v="0"/>
  </r>
  <r>
    <n v="227"/>
    <s v="1000109298"/>
    <s v="REB03M03NXXFS Reducer female-male type REB, execution Ex d/e IIC, female M32x1.5, male 1&quot;NPT, in stainless steelAISI316L"/>
    <n v="10"/>
    <m/>
    <n v="10"/>
    <n v="10"/>
    <n v="0"/>
    <x v="0"/>
  </r>
  <r>
    <n v="228"/>
    <s v="1000109367"/>
    <s v="0-50003-001700  Bartec Component "/>
    <n v="3"/>
    <m/>
    <n v="3"/>
    <n v="0"/>
    <n v="-3"/>
    <x v="1"/>
  </r>
  <r>
    <n v="229"/>
    <s v="1000109368"/>
    <s v="07-3353-4150 Bartec Component "/>
    <n v="3"/>
    <m/>
    <n v="3"/>
    <n v="0"/>
    <n v="-3"/>
    <x v="1"/>
  </r>
  <r>
    <n v="230"/>
    <s v="1000109687"/>
    <s v="415MM H x 315MM W x 249MM D (EJB31)JUNCTION BOX, EXPLOSION PROOF 3X 3/4&quot; NPT ENTRIES 1 X 1&quot; NPT ENTRIES 1 X 1/2&quot; NPT ENTRIES AT BOTTOM -6 X FUSE TERMINAL,25MM2, (FUSE- 10X38) -6 X 10X38 HRC FUSE, 6 X FEED-THROUGH TERMINAL3 X FEED. 3X 3/4&quot; N"/>
    <n v="40"/>
    <m/>
    <n v="40"/>
    <n v="40"/>
    <n v="0"/>
    <x v="0"/>
  </r>
  <r>
    <m/>
    <s v="Grand Total"/>
    <m/>
    <n v="92819"/>
    <n v="2"/>
    <n v="92821"/>
    <m/>
    <m/>
    <x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D68AC-7BF8-45C9-9A01-B027643933C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B2:C13" firstHeaderRow="1" firstDataRow="1" firstDataCol="1"/>
  <pivotFields count="9"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19">
        <item x="9"/>
        <item x="2"/>
        <item x="1"/>
        <item x="7"/>
        <item x="3"/>
        <item x="5"/>
        <item m="1" x="11"/>
        <item x="4"/>
        <item m="1" x="14"/>
        <item m="1" x="15"/>
        <item m="1" x="16"/>
        <item m="1" x="17"/>
        <item x="8"/>
        <item x="6"/>
        <item m="1" x="12"/>
        <item m="1" x="13"/>
        <item x="0"/>
        <item h="1" x="10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7"/>
    </i>
    <i>
      <x v="12"/>
    </i>
    <i>
      <x v="13"/>
    </i>
    <i>
      <x v="16"/>
    </i>
    <i t="grand">
      <x/>
    </i>
  </rowItems>
  <colItems count="1">
    <i/>
  </colItems>
  <dataFields count="1">
    <dataField name="Count of REMARKS" fld="8" subtotal="count" baseField="0" baseItem="0"/>
  </dataFields>
  <formats count="32"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8" type="button" dataOnly="0" labelOnly="1" outline="0" axis="axisRow" fieldPosition="0"/>
    </format>
    <format dxfId="28">
      <pivotArea dataOnly="0" labelOnly="1" fieldPosition="0">
        <references count="1">
          <reference field="8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8" type="button" dataOnly="0" labelOnly="1" outline="0" axis="axisRow" fieldPosition="0"/>
    </format>
    <format dxfId="22">
      <pivotArea dataOnly="0" labelOnly="1" fieldPosition="0">
        <references count="1">
          <reference field="8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8" type="button" dataOnly="0" labelOnly="1" outline="0" axis="axisRow" fieldPosition="0"/>
    </format>
    <format dxfId="16">
      <pivotArea dataOnly="0" labelOnly="1" fieldPosition="0">
        <references count="1">
          <reference field="8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  <format dxfId="13">
      <pivotArea type="all" dataOnly="0" outline="0" fieldPosition="0"/>
    </format>
    <format dxfId="12">
      <pivotArea field="8" type="button" dataOnly="0" labelOnly="1" outline="0" axis="axisRow" fieldPosition="0"/>
    </format>
    <format dxfId="11">
      <pivotArea dataOnly="0" labelOnly="1" fieldPosition="0">
        <references count="1">
          <reference field="8" count="0"/>
        </references>
      </pivotArea>
    </format>
    <format dxfId="10">
      <pivotArea dataOnly="0" labelOnly="1" grandRow="1" outline="0" fieldPosition="0"/>
    </format>
    <format dxfId="9">
      <pivotArea outline="0" collapsedLevelsAreSubtotals="1" fieldPosition="0"/>
    </format>
    <format dxfId="8">
      <pivotArea dataOnly="0" labelOnly="1" outline="0" axis="axisValues" fieldPosition="0"/>
    </format>
    <format dxfId="7">
      <pivotArea type="all" dataOnly="0" outline="0" fieldPosition="0"/>
    </format>
    <format dxfId="6">
      <pivotArea outline="0" collapsedLevelsAreSubtotals="1" fieldPosition="0"/>
    </format>
    <format dxfId="5">
      <pivotArea field="8" type="button" dataOnly="0" labelOnly="1" outline="0" axis="axisRow" fieldPosition="0"/>
    </format>
    <format dxfId="4">
      <pivotArea dataOnly="0" labelOnly="1" fieldPosition="0">
        <references count="1">
          <reference field="8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0F36-4497-4D5C-B517-5EA4B7266E22}">
  <dimension ref="B2:D13"/>
  <sheetViews>
    <sheetView tabSelected="1" workbookViewId="0">
      <selection activeCell="G6" sqref="G6"/>
    </sheetView>
  </sheetViews>
  <sheetFormatPr defaultRowHeight="15" x14ac:dyDescent="0.25"/>
  <cols>
    <col min="2" max="2" width="34.28515625" bestFit="1" customWidth="1"/>
    <col min="3" max="3" width="17.85546875" style="18" bestFit="1" customWidth="1"/>
    <col min="4" max="4" width="32.5703125" customWidth="1"/>
  </cols>
  <sheetData>
    <row r="2" spans="2:4" x14ac:dyDescent="0.25">
      <c r="B2" s="16" t="s">
        <v>491</v>
      </c>
      <c r="C2" s="15" t="s">
        <v>492</v>
      </c>
      <c r="D2" s="20" t="s">
        <v>493</v>
      </c>
    </row>
    <row r="3" spans="2:4" x14ac:dyDescent="0.25">
      <c r="B3" s="17" t="s">
        <v>488</v>
      </c>
      <c r="C3" s="15">
        <v>1</v>
      </c>
      <c r="D3" s="17" t="s">
        <v>494</v>
      </c>
    </row>
    <row r="4" spans="2:4" x14ac:dyDescent="0.25">
      <c r="B4" s="17" t="s">
        <v>482</v>
      </c>
      <c r="C4" s="15">
        <v>8</v>
      </c>
      <c r="D4" s="17" t="s">
        <v>495</v>
      </c>
    </row>
    <row r="5" spans="2:4" ht="15.75" x14ac:dyDescent="0.25">
      <c r="B5" s="17" t="s">
        <v>487</v>
      </c>
      <c r="C5" s="15">
        <v>5</v>
      </c>
      <c r="D5" s="19" t="s">
        <v>496</v>
      </c>
    </row>
    <row r="6" spans="2:4" x14ac:dyDescent="0.25">
      <c r="B6" s="17" t="s">
        <v>478</v>
      </c>
      <c r="C6" s="15">
        <v>1</v>
      </c>
      <c r="D6" s="17" t="s">
        <v>494</v>
      </c>
    </row>
    <row r="7" spans="2:4" ht="15.75" x14ac:dyDescent="0.25">
      <c r="B7" s="17" t="s">
        <v>485</v>
      </c>
      <c r="C7" s="15">
        <v>2</v>
      </c>
      <c r="D7" s="19" t="s">
        <v>496</v>
      </c>
    </row>
    <row r="8" spans="2:4" x14ac:dyDescent="0.25">
      <c r="B8" s="17" t="s">
        <v>484</v>
      </c>
      <c r="C8" s="15">
        <v>17</v>
      </c>
      <c r="D8" s="17" t="s">
        <v>497</v>
      </c>
    </row>
    <row r="9" spans="2:4" x14ac:dyDescent="0.25">
      <c r="B9" s="17" t="s">
        <v>483</v>
      </c>
      <c r="C9" s="15">
        <v>9</v>
      </c>
      <c r="D9" s="17" t="s">
        <v>498</v>
      </c>
    </row>
    <row r="10" spans="2:4" ht="15.75" x14ac:dyDescent="0.25">
      <c r="B10" s="17" t="s">
        <v>486</v>
      </c>
      <c r="C10" s="15">
        <v>1</v>
      </c>
      <c r="D10" s="19" t="s">
        <v>496</v>
      </c>
    </row>
    <row r="11" spans="2:4" x14ac:dyDescent="0.25">
      <c r="B11" s="17" t="s">
        <v>489</v>
      </c>
      <c r="C11" s="15">
        <v>2</v>
      </c>
      <c r="D11" s="17" t="s">
        <v>497</v>
      </c>
    </row>
    <row r="12" spans="2:4" x14ac:dyDescent="0.25">
      <c r="B12" s="17" t="s">
        <v>490</v>
      </c>
      <c r="C12" s="15">
        <v>184</v>
      </c>
      <c r="D12" s="17" t="s">
        <v>498</v>
      </c>
    </row>
    <row r="13" spans="2:4" x14ac:dyDescent="0.25">
      <c r="B13" s="20" t="s">
        <v>469</v>
      </c>
      <c r="C13" s="21">
        <v>230</v>
      </c>
      <c r="D13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C740-47CD-4D3D-A9A7-7BEFFB414DDF}">
  <sheetPr filterMode="1">
    <tabColor rgb="FF7030A0"/>
  </sheetPr>
  <dimension ref="A2:N236"/>
  <sheetViews>
    <sheetView topLeftCell="B1" workbookViewId="0">
      <pane ySplit="2" topLeftCell="A27" activePane="bottomLeft" state="frozen"/>
      <selection pane="bottomLeft" activeCell="I236" sqref="I236"/>
    </sheetView>
  </sheetViews>
  <sheetFormatPr defaultRowHeight="15" x14ac:dyDescent="0.25"/>
  <cols>
    <col min="1" max="1" width="4.42578125" bestFit="1" customWidth="1"/>
    <col min="2" max="2" width="11.140625" bestFit="1" customWidth="1"/>
    <col min="3" max="3" width="87.140625" customWidth="1"/>
    <col min="4" max="5" width="9.28515625" bestFit="1" customWidth="1"/>
    <col min="6" max="6" width="11.42578125" bestFit="1" customWidth="1"/>
    <col min="7" max="8" width="9.28515625" bestFit="1" customWidth="1"/>
    <col min="9" max="9" width="37.7109375" customWidth="1"/>
  </cols>
  <sheetData>
    <row r="2" spans="1:9" x14ac:dyDescent="0.25">
      <c r="A2" s="8" t="s">
        <v>468</v>
      </c>
      <c r="B2" s="8" t="s">
        <v>0</v>
      </c>
      <c r="C2" s="9" t="s">
        <v>1</v>
      </c>
      <c r="D2" s="10" t="s">
        <v>2</v>
      </c>
      <c r="E2" s="10" t="s">
        <v>463</v>
      </c>
      <c r="F2" s="10" t="s">
        <v>469</v>
      </c>
      <c r="G2" s="11" t="s">
        <v>470</v>
      </c>
      <c r="H2" s="11" t="s">
        <v>471</v>
      </c>
      <c r="I2" s="11" t="s">
        <v>472</v>
      </c>
    </row>
    <row r="3" spans="1:9" hidden="1" x14ac:dyDescent="0.25">
      <c r="A3" s="12">
        <v>1</v>
      </c>
      <c r="B3" s="12" t="s">
        <v>268</v>
      </c>
      <c r="C3" s="12" t="str">
        <f>VLOOKUP(B3,DATA!C:E,3,0)</f>
        <v xml:space="preserve">Bartec Feam Cable Gland; PAP-01 MON Bartec cable gland, armored cable type PAP-01-MON execution Ex d/e/I IIC, size 1 , male M20, in Nickel Plated Brass complete with kit of gaskets in EPDM + Accessories </v>
      </c>
      <c r="D3" s="12">
        <v>192</v>
      </c>
      <c r="E3" s="12"/>
      <c r="F3" s="12">
        <v>192</v>
      </c>
      <c r="G3" s="12">
        <v>192</v>
      </c>
      <c r="H3" s="13">
        <f t="shared" ref="H3:H66" si="0">G3-F3</f>
        <v>0</v>
      </c>
      <c r="I3" s="12" t="s">
        <v>490</v>
      </c>
    </row>
    <row r="4" spans="1:9" hidden="1" x14ac:dyDescent="0.25">
      <c r="A4" s="12">
        <v>2</v>
      </c>
      <c r="B4" s="12" t="s">
        <v>389</v>
      </c>
      <c r="C4" s="12" t="str">
        <f>VLOOKUP(B4,DATA!C:E,3,0)</f>
        <v>Bartec Feam Cable Gland; PAP-02 MON</v>
      </c>
      <c r="D4" s="12">
        <v>231</v>
      </c>
      <c r="E4" s="12"/>
      <c r="F4" s="12">
        <v>231</v>
      </c>
      <c r="G4" s="12">
        <v>231</v>
      </c>
      <c r="H4" s="13">
        <f t="shared" si="0"/>
        <v>0</v>
      </c>
      <c r="I4" s="12" t="s">
        <v>490</v>
      </c>
    </row>
    <row r="5" spans="1:9" hidden="1" x14ac:dyDescent="0.25">
      <c r="A5" s="12">
        <v>3</v>
      </c>
      <c r="B5" s="12" t="s">
        <v>156</v>
      </c>
      <c r="C5" s="12" t="str">
        <f>VLOOKUP(B5,DATA!C:E,3,0)</f>
        <v xml:space="preserve">Bartec Feam Cable Gland; PAP-03-MON, male M32 in Nickel Plated Brass complete with kit of gaskets in EPDM with all accessories </v>
      </c>
      <c r="D5" s="12">
        <v>1777</v>
      </c>
      <c r="E5" s="12"/>
      <c r="F5" s="12">
        <v>1777</v>
      </c>
      <c r="G5" s="12">
        <f>233+1440+100+1</f>
        <v>1774</v>
      </c>
      <c r="H5" s="13">
        <f t="shared" si="0"/>
        <v>-3</v>
      </c>
      <c r="I5" s="14" t="s">
        <v>487</v>
      </c>
    </row>
    <row r="6" spans="1:9" hidden="1" x14ac:dyDescent="0.25">
      <c r="A6" s="12">
        <v>4</v>
      </c>
      <c r="B6" s="12" t="s">
        <v>3</v>
      </c>
      <c r="C6" s="12" t="str">
        <f>VLOOKUP(B6,DATA!C:E,3,0)</f>
        <v>Bartec Feam Cable Gland; PAP-04 MON</v>
      </c>
      <c r="D6" s="12">
        <v>857</v>
      </c>
      <c r="E6" s="12"/>
      <c r="F6" s="12">
        <v>857</v>
      </c>
      <c r="G6" s="12">
        <v>857</v>
      </c>
      <c r="H6" s="13">
        <f t="shared" si="0"/>
        <v>0</v>
      </c>
      <c r="I6" s="12" t="s">
        <v>490</v>
      </c>
    </row>
    <row r="7" spans="1:9" hidden="1" x14ac:dyDescent="0.25">
      <c r="A7" s="12">
        <v>5</v>
      </c>
      <c r="B7" s="12" t="s">
        <v>64</v>
      </c>
      <c r="C7" s="12" t="str">
        <f>VLOOKUP(B7,DATA!C:E,3,0)</f>
        <v xml:space="preserve">Bartec Feam Cable Gland; PAP-05-MON, male M50 in Nickel Plated Brass complete with kit of gaskets in EPDM with all accessories </v>
      </c>
      <c r="D7" s="12">
        <v>412</v>
      </c>
      <c r="E7" s="12"/>
      <c r="F7" s="12">
        <v>412</v>
      </c>
      <c r="G7" s="12">
        <v>412</v>
      </c>
      <c r="H7" s="13">
        <f t="shared" si="0"/>
        <v>0</v>
      </c>
      <c r="I7" s="12" t="s">
        <v>490</v>
      </c>
    </row>
    <row r="8" spans="1:9" hidden="1" x14ac:dyDescent="0.25">
      <c r="A8" s="12">
        <v>6</v>
      </c>
      <c r="B8" s="12" t="s">
        <v>210</v>
      </c>
      <c r="C8" s="12" t="str">
        <f>VLOOKUP(B8,DATA!C:E,3,0)</f>
        <v xml:space="preserve">Bartec Feam Cable Gland; PAP-06-MON, male M63 in Nickel Plated Brass complete with kit of gaskets in EPDM with all accessories </v>
      </c>
      <c r="D8" s="12">
        <v>99</v>
      </c>
      <c r="E8" s="12"/>
      <c r="F8" s="12">
        <v>99</v>
      </c>
      <c r="G8" s="12">
        <v>99</v>
      </c>
      <c r="H8" s="13">
        <f t="shared" si="0"/>
        <v>0</v>
      </c>
      <c r="I8" s="12" t="s">
        <v>490</v>
      </c>
    </row>
    <row r="9" spans="1:9" hidden="1" x14ac:dyDescent="0.25">
      <c r="A9" s="12">
        <v>7</v>
      </c>
      <c r="B9" s="12" t="s">
        <v>270</v>
      </c>
      <c r="C9" s="12" t="str">
        <f>VLOOKUP(B9,DATA!C:E,3,0)</f>
        <v xml:space="preserve">Bartec Feam Cable Gland; PAP-07-MON, male M75 in Nickel Plated Brass complete with kit of gaskets in EPDM with all accessories </v>
      </c>
      <c r="D9" s="12">
        <v>229</v>
      </c>
      <c r="E9" s="12"/>
      <c r="F9" s="12">
        <v>229</v>
      </c>
      <c r="G9" s="12">
        <v>229</v>
      </c>
      <c r="H9" s="13">
        <f t="shared" si="0"/>
        <v>0</v>
      </c>
      <c r="I9" s="12" t="s">
        <v>490</v>
      </c>
    </row>
    <row r="10" spans="1:9" hidden="1" x14ac:dyDescent="0.25">
      <c r="A10" s="12">
        <v>8</v>
      </c>
      <c r="B10" s="12" t="s">
        <v>308</v>
      </c>
      <c r="C10" s="12" t="str">
        <f>VLOOKUP(B10,DATA!C:E,3,0)</f>
        <v>Bartec Feam Cable Gland; PAP-08 MON</v>
      </c>
      <c r="D10" s="12">
        <v>50</v>
      </c>
      <c r="E10" s="12"/>
      <c r="F10" s="12">
        <v>50</v>
      </c>
      <c r="G10" s="12">
        <v>50</v>
      </c>
      <c r="H10" s="13">
        <f t="shared" si="0"/>
        <v>0</v>
      </c>
      <c r="I10" s="12" t="s">
        <v>490</v>
      </c>
    </row>
    <row r="11" spans="1:9" hidden="1" x14ac:dyDescent="0.25">
      <c r="A11" s="12">
        <v>9</v>
      </c>
      <c r="B11" s="12" t="s">
        <v>310</v>
      </c>
      <c r="C11" s="12" t="str">
        <f>VLOOKUP(B11,DATA!C:E,3,0)</f>
        <v>Bartec Feam Cable Gland; PAP-01-NON, male 1/2" NPT in Nickel Plated Brass complete with kit of gaskets in EPDM with all accessories</v>
      </c>
      <c r="D11" s="12">
        <v>4</v>
      </c>
      <c r="E11" s="12"/>
      <c r="F11" s="12">
        <v>4</v>
      </c>
      <c r="G11" s="12">
        <v>4</v>
      </c>
      <c r="H11" s="13">
        <f t="shared" si="0"/>
        <v>0</v>
      </c>
      <c r="I11" s="12" t="s">
        <v>490</v>
      </c>
    </row>
    <row r="12" spans="1:9" hidden="1" x14ac:dyDescent="0.25">
      <c r="A12" s="12">
        <v>10</v>
      </c>
      <c r="B12" s="12" t="s">
        <v>312</v>
      </c>
      <c r="C12" s="12" t="str">
        <f>VLOOKUP(B12,DATA!C:E,3,0)</f>
        <v>Bartec Feam Cable Gland; PAP-02-NON, male 3/4" NPT in Nickel Plated Brass complete with kit of gaskets in EPDM with all accessories</v>
      </c>
      <c r="D12" s="12">
        <v>1821</v>
      </c>
      <c r="E12" s="12"/>
      <c r="F12" s="12">
        <v>1821</v>
      </c>
      <c r="G12" s="12">
        <v>1821</v>
      </c>
      <c r="H12" s="13">
        <f t="shared" si="0"/>
        <v>0</v>
      </c>
      <c r="I12" s="12" t="s">
        <v>490</v>
      </c>
    </row>
    <row r="13" spans="1:9" hidden="1" x14ac:dyDescent="0.25">
      <c r="A13" s="12">
        <v>11</v>
      </c>
      <c r="B13" s="12" t="s">
        <v>212</v>
      </c>
      <c r="C13" s="12" t="str">
        <f>VLOOKUP(B13,DATA!C:E,3,0)</f>
        <v>Bartec Feam Cable Gland; PAP-03-NON, male 1" NPT in Nickel Plated Brass complete with kit of gaskets in EPDM with all accessories</v>
      </c>
      <c r="D13" s="12">
        <v>177</v>
      </c>
      <c r="E13" s="12"/>
      <c r="F13" s="12">
        <v>177</v>
      </c>
      <c r="G13" s="12">
        <v>177</v>
      </c>
      <c r="H13" s="13">
        <f t="shared" si="0"/>
        <v>0</v>
      </c>
      <c r="I13" s="12" t="s">
        <v>490</v>
      </c>
    </row>
    <row r="14" spans="1:9" hidden="1" x14ac:dyDescent="0.25">
      <c r="A14" s="12">
        <v>12</v>
      </c>
      <c r="B14" s="12" t="s">
        <v>6</v>
      </c>
      <c r="C14" s="12" t="str">
        <f>VLOOKUP(B14,DATA!C:E,3,0)</f>
        <v xml:space="preserve">Bartec Feam Cable Gland; PAP-04-NON, male 1 1 /4" NPT in Nickel Plated Brass complete with kit of gaskets in EPDM with all accessories </v>
      </c>
      <c r="D14" s="12">
        <v>1220</v>
      </c>
      <c r="E14" s="12"/>
      <c r="F14" s="12">
        <v>1220</v>
      </c>
      <c r="G14" s="12">
        <v>1220</v>
      </c>
      <c r="H14" s="13">
        <f t="shared" si="0"/>
        <v>0</v>
      </c>
      <c r="I14" s="12" t="s">
        <v>490</v>
      </c>
    </row>
    <row r="15" spans="1:9" hidden="1" x14ac:dyDescent="0.25">
      <c r="A15" s="12">
        <v>13</v>
      </c>
      <c r="B15" s="12" t="s">
        <v>8</v>
      </c>
      <c r="C15" s="12" t="str">
        <f>VLOOKUP(B15,DATA!C:E,3,0)</f>
        <v xml:space="preserve">Bartec Feam Cable Gland; PAP-05-NON, male 1 1 /2" NPT in Nickel Plated Brass complete with kit of gaskets in EPDM with all accessories </v>
      </c>
      <c r="D15" s="12">
        <v>164</v>
      </c>
      <c r="E15" s="12"/>
      <c r="F15" s="12">
        <v>164</v>
      </c>
      <c r="G15" s="12">
        <v>164</v>
      </c>
      <c r="H15" s="13">
        <f t="shared" si="0"/>
        <v>0</v>
      </c>
      <c r="I15" s="12" t="s">
        <v>490</v>
      </c>
    </row>
    <row r="16" spans="1:9" hidden="1" x14ac:dyDescent="0.25">
      <c r="A16" s="12">
        <v>14</v>
      </c>
      <c r="B16" s="12" t="s">
        <v>66</v>
      </c>
      <c r="C16" s="12" t="str">
        <f>VLOOKUP(B16,DATA!C:E,3,0)</f>
        <v>Bartec Feam Cable Gland; PAP-06-NON, male 2" NPT in Nickel Plated Brass complete with kit of gaskets in EPDM with all accessories</v>
      </c>
      <c r="D16" s="12">
        <v>167</v>
      </c>
      <c r="E16" s="12"/>
      <c r="F16" s="12">
        <v>167</v>
      </c>
      <c r="G16" s="12">
        <v>167</v>
      </c>
      <c r="H16" s="13">
        <f t="shared" si="0"/>
        <v>0</v>
      </c>
      <c r="I16" s="12" t="s">
        <v>490</v>
      </c>
    </row>
    <row r="17" spans="1:10" hidden="1" x14ac:dyDescent="0.25">
      <c r="A17" s="12">
        <v>15</v>
      </c>
      <c r="B17" s="12" t="s">
        <v>116</v>
      </c>
      <c r="C17" s="12" t="str">
        <f>VLOOKUP(B17,DATA!C:E,3,0)</f>
        <v>Bartec Feam Cable Gland; PAP-07-NON, male 2 1/2" NPT in Nickel Plated Brass complete with kit of gaskets in EPDM with all accessories</v>
      </c>
      <c r="D17" s="12">
        <v>30</v>
      </c>
      <c r="E17" s="12"/>
      <c r="F17" s="12">
        <v>30</v>
      </c>
      <c r="G17" s="12">
        <v>30</v>
      </c>
      <c r="H17" s="13">
        <f t="shared" si="0"/>
        <v>0</v>
      </c>
      <c r="I17" s="12" t="s">
        <v>490</v>
      </c>
    </row>
    <row r="18" spans="1:10" hidden="1" x14ac:dyDescent="0.25">
      <c r="A18" s="12">
        <v>16</v>
      </c>
      <c r="B18" s="12" t="s">
        <v>391</v>
      </c>
      <c r="C18" s="12" t="str">
        <f>VLOOKUP(B18,DATA!C:E,3,0)</f>
        <v>Bartec Feam Cable Gland; PAP-08 NON</v>
      </c>
      <c r="D18" s="12">
        <v>23</v>
      </c>
      <c r="E18" s="12"/>
      <c r="F18" s="12">
        <v>23</v>
      </c>
      <c r="G18" s="12">
        <v>23</v>
      </c>
      <c r="H18" s="13">
        <f t="shared" si="0"/>
        <v>0</v>
      </c>
      <c r="I18" s="12" t="s">
        <v>490</v>
      </c>
    </row>
    <row r="19" spans="1:10" hidden="1" x14ac:dyDescent="0.25">
      <c r="A19" s="12">
        <v>17</v>
      </c>
      <c r="B19" s="12" t="s">
        <v>272</v>
      </c>
      <c r="C19" s="12" t="str">
        <f>VLOOKUP(B19,DATA!C:E,3,0)</f>
        <v>Bartec Feam Cable Gland; PAP-02 MIX</v>
      </c>
      <c r="D19" s="12">
        <v>325</v>
      </c>
      <c r="E19" s="12"/>
      <c r="F19" s="12">
        <v>325</v>
      </c>
      <c r="G19" s="12">
        <v>325</v>
      </c>
      <c r="H19" s="13">
        <f t="shared" si="0"/>
        <v>0</v>
      </c>
      <c r="I19" s="12" t="s">
        <v>490</v>
      </c>
    </row>
    <row r="20" spans="1:10" hidden="1" x14ac:dyDescent="0.25">
      <c r="A20" s="12">
        <v>18</v>
      </c>
      <c r="B20" s="12" t="s">
        <v>68</v>
      </c>
      <c r="C20" s="12" t="str">
        <f>VLOOKUP(B20,DATA!C:E,3,0)</f>
        <v>Bartec Feam Cable Gland; PAP-03 MIX</v>
      </c>
      <c r="D20" s="12">
        <v>456</v>
      </c>
      <c r="E20" s="12"/>
      <c r="F20" s="12">
        <v>456</v>
      </c>
      <c r="G20" s="12">
        <v>456</v>
      </c>
      <c r="H20" s="13">
        <f t="shared" si="0"/>
        <v>0</v>
      </c>
      <c r="I20" s="12" t="s">
        <v>490</v>
      </c>
    </row>
    <row r="21" spans="1:10" hidden="1" x14ac:dyDescent="0.25">
      <c r="A21" s="12">
        <v>19</v>
      </c>
      <c r="B21" s="12" t="s">
        <v>314</v>
      </c>
      <c r="C21" s="12" t="str">
        <f>VLOOKUP(B21,DATA!C:E,3,0)</f>
        <v>Bartec Feam Cable Gland; PAP-04 MIX</v>
      </c>
      <c r="D21" s="12">
        <v>495</v>
      </c>
      <c r="E21" s="12"/>
      <c r="F21" s="12">
        <v>495</v>
      </c>
      <c r="G21" s="12">
        <v>495</v>
      </c>
      <c r="H21" s="13">
        <f t="shared" si="0"/>
        <v>0</v>
      </c>
      <c r="I21" s="12" t="s">
        <v>490</v>
      </c>
    </row>
    <row r="22" spans="1:10" hidden="1" x14ac:dyDescent="0.25">
      <c r="A22" s="12">
        <v>20</v>
      </c>
      <c r="B22" s="12" t="s">
        <v>316</v>
      </c>
      <c r="C22" s="12" t="str">
        <f>VLOOKUP(B22,DATA!C:E,3,0)</f>
        <v>Bartec Feam Cable Gland; PAP-05 MIX</v>
      </c>
      <c r="D22" s="12">
        <v>485</v>
      </c>
      <c r="E22" s="12"/>
      <c r="F22" s="12">
        <v>485</v>
      </c>
      <c r="G22" s="12">
        <v>485</v>
      </c>
      <c r="H22" s="13">
        <f t="shared" si="0"/>
        <v>0</v>
      </c>
      <c r="I22" s="12" t="s">
        <v>490</v>
      </c>
    </row>
    <row r="23" spans="1:10" hidden="1" x14ac:dyDescent="0.25">
      <c r="A23" s="12">
        <v>21</v>
      </c>
      <c r="B23" s="12" t="s">
        <v>393</v>
      </c>
      <c r="C23" s="12" t="str">
        <f>VLOOKUP(B23,DATA!C:E,3,0)</f>
        <v>Bartec Feam Cable Gland; PAP-06 MIX</v>
      </c>
      <c r="D23" s="12">
        <v>447</v>
      </c>
      <c r="E23" s="12"/>
      <c r="F23" s="12">
        <v>447</v>
      </c>
      <c r="G23" s="12">
        <v>447</v>
      </c>
      <c r="H23" s="13">
        <f t="shared" si="0"/>
        <v>0</v>
      </c>
      <c r="I23" s="12" t="s">
        <v>490</v>
      </c>
    </row>
    <row r="24" spans="1:10" hidden="1" x14ac:dyDescent="0.25">
      <c r="A24" s="12">
        <v>22</v>
      </c>
      <c r="B24" s="12" t="s">
        <v>214</v>
      </c>
      <c r="C24" s="12" t="str">
        <f>VLOOKUP(B24,DATA!C:E,3,0)</f>
        <v>Bartec Feam Cable Gland; PAP-R 01 NIX</v>
      </c>
      <c r="D24" s="12">
        <v>2</v>
      </c>
      <c r="E24" s="12"/>
      <c r="F24" s="12">
        <v>2</v>
      </c>
      <c r="G24" s="12">
        <v>0</v>
      </c>
      <c r="H24" s="13">
        <f t="shared" si="0"/>
        <v>-2</v>
      </c>
      <c r="I24" s="14" t="s">
        <v>482</v>
      </c>
    </row>
    <row r="25" spans="1:10" hidden="1" x14ac:dyDescent="0.25">
      <c r="A25" s="12">
        <v>23</v>
      </c>
      <c r="B25" s="12" t="s">
        <v>464</v>
      </c>
      <c r="C25" s="12" t="str">
        <f>VLOOKUP(B25,DATA!C:E,3,0)</f>
        <v>Bartec Feam Cable Gland; PAP-R 02 NIX</v>
      </c>
      <c r="D25" s="12"/>
      <c r="E25" s="12">
        <v>1</v>
      </c>
      <c r="F25" s="12">
        <v>1</v>
      </c>
      <c r="G25" s="12">
        <v>0</v>
      </c>
      <c r="H25" s="13">
        <f t="shared" si="0"/>
        <v>-1</v>
      </c>
      <c r="I25" s="14" t="s">
        <v>485</v>
      </c>
    </row>
    <row r="26" spans="1:10" hidden="1" x14ac:dyDescent="0.25">
      <c r="A26" s="12">
        <v>24</v>
      </c>
      <c r="B26" s="12" t="s">
        <v>158</v>
      </c>
      <c r="C26" s="12" t="str">
        <f>VLOOKUP(B26,DATA!C:E,3,0)</f>
        <v>Bartec Feam Cable Gland; PAP-R 04 NIX</v>
      </c>
      <c r="D26" s="12">
        <v>770</v>
      </c>
      <c r="E26" s="12"/>
      <c r="F26" s="12">
        <v>770</v>
      </c>
      <c r="G26" s="12">
        <v>770</v>
      </c>
      <c r="H26" s="13">
        <f t="shared" si="0"/>
        <v>0</v>
      </c>
      <c r="I26" s="12" t="s">
        <v>490</v>
      </c>
    </row>
    <row r="27" spans="1:10" x14ac:dyDescent="0.25">
      <c r="A27" s="12">
        <v>25</v>
      </c>
      <c r="B27" s="12" t="s">
        <v>216</v>
      </c>
      <c r="C27" s="12" t="str">
        <f>VLOOKUP(B27,DATA!C:E,3,0)</f>
        <v>Bartec Feam Cable Gland; PAP-R 06 NIX</v>
      </c>
      <c r="D27" s="12">
        <v>271</v>
      </c>
      <c r="E27" s="12"/>
      <c r="F27" s="12">
        <v>271</v>
      </c>
      <c r="G27" s="12">
        <v>51</v>
      </c>
      <c r="H27" s="13">
        <f t="shared" si="0"/>
        <v>-220</v>
      </c>
      <c r="I27" s="14" t="s">
        <v>483</v>
      </c>
    </row>
    <row r="28" spans="1:10" hidden="1" x14ac:dyDescent="0.25">
      <c r="A28" s="12">
        <v>26</v>
      </c>
      <c r="B28" s="12" t="s">
        <v>318</v>
      </c>
      <c r="C28" s="12" t="str">
        <f>VLOOKUP(B28,DATA!C:E,3,0)</f>
        <v xml:space="preserve">Bartec Feam Cable Gland; PAP-R-01-NON, MALE 1/2" NPT in nickle plated brass complete with kit of gaskets in EPDM + FS0904 with all accessories </v>
      </c>
      <c r="D28" s="12">
        <v>3205</v>
      </c>
      <c r="E28" s="12"/>
      <c r="F28" s="12">
        <v>3205</v>
      </c>
      <c r="G28" s="12">
        <v>3205</v>
      </c>
      <c r="H28" s="13">
        <f t="shared" si="0"/>
        <v>0</v>
      </c>
      <c r="I28" s="12" t="s">
        <v>490</v>
      </c>
      <c r="J28" t="s">
        <v>480</v>
      </c>
    </row>
    <row r="29" spans="1:10" hidden="1" x14ac:dyDescent="0.25">
      <c r="A29" s="12">
        <v>27</v>
      </c>
      <c r="B29" s="12" t="s">
        <v>395</v>
      </c>
      <c r="C29" s="12" t="str">
        <f>VLOOKUP(B29,DATA!C:E,3,0)</f>
        <v>Bartec Feam Cable Gland; PAP-R 02 NON,MALE 3/4 Inc NPT in Nickle plated brass complete with kit of gaskets in EPDM+FS0904</v>
      </c>
      <c r="D29" s="12">
        <v>1738</v>
      </c>
      <c r="E29" s="12"/>
      <c r="F29" s="12">
        <v>1738</v>
      </c>
      <c r="G29" s="12">
        <v>1737</v>
      </c>
      <c r="H29" s="13">
        <f t="shared" si="0"/>
        <v>-1</v>
      </c>
      <c r="I29" s="14" t="s">
        <v>482</v>
      </c>
    </row>
    <row r="30" spans="1:10" x14ac:dyDescent="0.25">
      <c r="A30" s="12">
        <v>28</v>
      </c>
      <c r="B30" s="12" t="s">
        <v>218</v>
      </c>
      <c r="C30" s="12" t="str">
        <f>VLOOKUP(B30,DATA!C:E,3,0)</f>
        <v>Bartec Feam Cable Gland; PAP-R-03-NON, MALE 1" NPT in nickle plated brass complete with kit of gaskets in EPDM + FS0904 with all accessories</v>
      </c>
      <c r="D30" s="12">
        <v>2527</v>
      </c>
      <c r="E30" s="12"/>
      <c r="F30" s="12">
        <v>2527</v>
      </c>
      <c r="G30" s="12">
        <f>1603+168+645-1</f>
        <v>2415</v>
      </c>
      <c r="H30" s="13">
        <f t="shared" si="0"/>
        <v>-112</v>
      </c>
      <c r="I30" s="14" t="s">
        <v>483</v>
      </c>
    </row>
    <row r="31" spans="1:10" hidden="1" x14ac:dyDescent="0.25">
      <c r="A31" s="12">
        <v>29</v>
      </c>
      <c r="B31" s="12" t="s">
        <v>10</v>
      </c>
      <c r="C31" s="12" t="str">
        <f>VLOOKUP(B31,DATA!C:E,3,0)</f>
        <v>Bartec Feam Cable Gland; PAP-R-04-NON, MALE 1 1/4" NPT in nickle plated brass complete with kit of gaskets in EPDM + FS0904 with all accessories</v>
      </c>
      <c r="D31" s="12">
        <v>835</v>
      </c>
      <c r="E31" s="12"/>
      <c r="F31" s="12">
        <v>835</v>
      </c>
      <c r="G31" s="12">
        <v>833</v>
      </c>
      <c r="H31" s="13">
        <f t="shared" si="0"/>
        <v>-2</v>
      </c>
      <c r="I31" s="14" t="s">
        <v>484</v>
      </c>
    </row>
    <row r="32" spans="1:10" hidden="1" x14ac:dyDescent="0.25">
      <c r="A32" s="12">
        <v>30</v>
      </c>
      <c r="B32" s="12" t="s">
        <v>397</v>
      </c>
      <c r="C32" s="12" t="str">
        <f>VLOOKUP(B32,DATA!C:E,3,0)</f>
        <v>Bartec Feam Cable Gland; PAP-R 05 NON</v>
      </c>
      <c r="D32" s="12">
        <v>36</v>
      </c>
      <c r="E32" s="12"/>
      <c r="F32" s="12">
        <v>36</v>
      </c>
      <c r="G32" s="12">
        <v>36</v>
      </c>
      <c r="H32" s="13">
        <f t="shared" si="0"/>
        <v>0</v>
      </c>
      <c r="I32" s="12" t="s">
        <v>490</v>
      </c>
    </row>
    <row r="33" spans="1:12" hidden="1" x14ac:dyDescent="0.25">
      <c r="A33" s="12">
        <v>31</v>
      </c>
      <c r="B33" s="12" t="s">
        <v>12</v>
      </c>
      <c r="C33" s="12" t="str">
        <f>VLOOKUP(B33,DATA!C:E,3,0)</f>
        <v>Bartec Feam Cable Gland; PAP-R 06 NON</v>
      </c>
      <c r="D33" s="12">
        <v>152</v>
      </c>
      <c r="E33" s="12"/>
      <c r="F33" s="12">
        <v>152</v>
      </c>
      <c r="G33" s="12">
        <v>148</v>
      </c>
      <c r="H33" s="13">
        <f t="shared" si="0"/>
        <v>-4</v>
      </c>
      <c r="I33" s="14" t="s">
        <v>489</v>
      </c>
    </row>
    <row r="34" spans="1:12" hidden="1" x14ac:dyDescent="0.25">
      <c r="A34" s="12">
        <v>32</v>
      </c>
      <c r="B34" s="12" t="s">
        <v>320</v>
      </c>
      <c r="C34" s="12" t="str">
        <f>VLOOKUP(B34,DATA!C:E,3,0)</f>
        <v>Bartec Feam Cable Gland; PAP-R-08-NON, MALE 3" NPT in nickle plated brass complete with kit of gaskets in EPDM + FS0904 with all accessories</v>
      </c>
      <c r="D34" s="12">
        <v>15</v>
      </c>
      <c r="E34" s="12"/>
      <c r="F34" s="12">
        <v>15</v>
      </c>
      <c r="G34" s="12">
        <v>15</v>
      </c>
      <c r="H34" s="13">
        <f t="shared" si="0"/>
        <v>0</v>
      </c>
      <c r="I34" s="12" t="s">
        <v>490</v>
      </c>
    </row>
    <row r="35" spans="1:12" hidden="1" x14ac:dyDescent="0.25">
      <c r="A35" s="12">
        <v>33</v>
      </c>
      <c r="B35" s="12" t="s">
        <v>399</v>
      </c>
      <c r="C35" s="12" t="str">
        <f>VLOOKUP(B35,DATA!C:E,3,0)</f>
        <v>Bartec Feam Cable Gland; PNA-01 MON</v>
      </c>
      <c r="D35" s="12">
        <v>511</v>
      </c>
      <c r="E35" s="12"/>
      <c r="F35" s="12">
        <v>511</v>
      </c>
      <c r="G35" s="12">
        <v>511</v>
      </c>
      <c r="H35" s="13">
        <f t="shared" si="0"/>
        <v>0</v>
      </c>
      <c r="I35" s="12" t="s">
        <v>490</v>
      </c>
    </row>
    <row r="36" spans="1:12" hidden="1" x14ac:dyDescent="0.25">
      <c r="A36" s="12">
        <v>34</v>
      </c>
      <c r="B36" s="12" t="s">
        <v>14</v>
      </c>
      <c r="C36" s="12" t="str">
        <f>VLOOKUP(B36,DATA!C:E,3,0)</f>
        <v>Bartec Feam Cable Gland; PNA-02 MON</v>
      </c>
      <c r="D36" s="12">
        <v>874</v>
      </c>
      <c r="E36" s="12"/>
      <c r="F36" s="12">
        <v>874</v>
      </c>
      <c r="G36" s="12">
        <v>874</v>
      </c>
      <c r="H36" s="13">
        <f t="shared" si="0"/>
        <v>0</v>
      </c>
      <c r="I36" s="12" t="s">
        <v>490</v>
      </c>
    </row>
    <row r="37" spans="1:12" hidden="1" x14ac:dyDescent="0.25">
      <c r="A37" s="12">
        <v>35</v>
      </c>
      <c r="B37" s="12" t="s">
        <v>160</v>
      </c>
      <c r="C37" s="12" t="str">
        <f>VLOOKUP(B37,DATA!C:E,3,0)</f>
        <v>Bartec Feam Cable Gland; PNA-03 MON</v>
      </c>
      <c r="D37" s="12">
        <v>283</v>
      </c>
      <c r="E37" s="12"/>
      <c r="F37" s="12">
        <v>283</v>
      </c>
      <c r="G37" s="12">
        <v>283</v>
      </c>
      <c r="H37" s="13">
        <f t="shared" si="0"/>
        <v>0</v>
      </c>
      <c r="I37" s="12" t="s">
        <v>490</v>
      </c>
      <c r="L37" t="s">
        <v>479</v>
      </c>
    </row>
    <row r="38" spans="1:12" hidden="1" x14ac:dyDescent="0.25">
      <c r="A38" s="12">
        <v>36</v>
      </c>
      <c r="B38" s="12" t="s">
        <v>16</v>
      </c>
      <c r="C38" s="12" t="str">
        <f>VLOOKUP(B38,DATA!C:E,3,0)</f>
        <v>Bartec Feam Cable Gland; PNA-04 MON</v>
      </c>
      <c r="D38" s="12">
        <v>242</v>
      </c>
      <c r="E38" s="12"/>
      <c r="F38" s="12">
        <v>242</v>
      </c>
      <c r="G38" s="12">
        <v>242</v>
      </c>
      <c r="H38" s="13">
        <f t="shared" si="0"/>
        <v>0</v>
      </c>
      <c r="I38" s="12" t="s">
        <v>490</v>
      </c>
    </row>
    <row r="39" spans="1:12" hidden="1" x14ac:dyDescent="0.25">
      <c r="A39" s="12">
        <v>37</v>
      </c>
      <c r="B39" s="12" t="s">
        <v>118</v>
      </c>
      <c r="C39" s="12" t="str">
        <f>VLOOKUP(B39,DATA!C:E,3,0)</f>
        <v>Bartec Feam Cable Gland; PNA-05 MON</v>
      </c>
      <c r="D39" s="12">
        <v>408</v>
      </c>
      <c r="E39" s="12"/>
      <c r="F39" s="12">
        <v>408</v>
      </c>
      <c r="G39" s="12">
        <v>408</v>
      </c>
      <c r="H39" s="13">
        <f t="shared" si="0"/>
        <v>0</v>
      </c>
      <c r="I39" s="12" t="s">
        <v>490</v>
      </c>
    </row>
    <row r="40" spans="1:12" hidden="1" x14ac:dyDescent="0.25">
      <c r="A40" s="12">
        <v>38</v>
      </c>
      <c r="B40" s="12" t="s">
        <v>322</v>
      </c>
      <c r="C40" s="12" t="str">
        <f>VLOOKUP(B40,DATA!C:E,3,0)</f>
        <v>Bartec Feam Cable Gland; PNA-06 MON</v>
      </c>
      <c r="D40" s="12">
        <v>175</v>
      </c>
      <c r="E40" s="12"/>
      <c r="F40" s="12">
        <v>175</v>
      </c>
      <c r="G40" s="12">
        <v>175</v>
      </c>
      <c r="H40" s="13">
        <f t="shared" si="0"/>
        <v>0</v>
      </c>
      <c r="I40" s="12" t="s">
        <v>490</v>
      </c>
    </row>
    <row r="41" spans="1:12" hidden="1" x14ac:dyDescent="0.25">
      <c r="A41" s="12">
        <v>39</v>
      </c>
      <c r="B41" s="12" t="s">
        <v>401</v>
      </c>
      <c r="C41" s="12" t="str">
        <f>VLOOKUP(B41,DATA!C:E,3,0)</f>
        <v>Bartec Feam Cable Gland; PNA-07 MON</v>
      </c>
      <c r="D41" s="12">
        <v>40</v>
      </c>
      <c r="E41" s="12"/>
      <c r="F41" s="12">
        <v>40</v>
      </c>
      <c r="G41" s="12">
        <v>40</v>
      </c>
      <c r="H41" s="13">
        <f t="shared" si="0"/>
        <v>0</v>
      </c>
      <c r="I41" s="12" t="s">
        <v>490</v>
      </c>
    </row>
    <row r="42" spans="1:12" hidden="1" x14ac:dyDescent="0.25">
      <c r="A42" s="12">
        <v>40</v>
      </c>
      <c r="B42" s="12" t="s">
        <v>18</v>
      </c>
      <c r="C42" s="12" t="str">
        <f>VLOOKUP(B42,DATA!C:E,3,0)</f>
        <v>Bartec Feam Cable Gland; PNA-01 NON</v>
      </c>
      <c r="D42" s="12">
        <v>633</v>
      </c>
      <c r="E42" s="12"/>
      <c r="F42" s="12">
        <v>633</v>
      </c>
      <c r="G42" s="12">
        <v>633</v>
      </c>
      <c r="H42" s="13">
        <f t="shared" si="0"/>
        <v>0</v>
      </c>
      <c r="I42" s="12" t="s">
        <v>490</v>
      </c>
    </row>
    <row r="43" spans="1:12" hidden="1" x14ac:dyDescent="0.25">
      <c r="A43" s="12">
        <v>41</v>
      </c>
      <c r="B43" s="12" t="s">
        <v>403</v>
      </c>
      <c r="C43" s="12" t="str">
        <f>VLOOKUP(B43,DATA!C:E,3,0)</f>
        <v xml:space="preserve">Bartec Feam Cable Gland;PNA-02 NON, MALE 3/4" NPT in nickle plated brass complete with kit of gaskets in EPDM </v>
      </c>
      <c r="D43" s="12">
        <v>391</v>
      </c>
      <c r="E43" s="12"/>
      <c r="F43" s="12">
        <v>391</v>
      </c>
      <c r="G43" s="12">
        <f>384+6+1</f>
        <v>391</v>
      </c>
      <c r="H43" s="13">
        <f t="shared" si="0"/>
        <v>0</v>
      </c>
      <c r="I43" s="14" t="s">
        <v>490</v>
      </c>
    </row>
    <row r="44" spans="1:12" hidden="1" x14ac:dyDescent="0.25">
      <c r="A44" s="12">
        <v>42</v>
      </c>
      <c r="B44" s="12" t="s">
        <v>405</v>
      </c>
      <c r="C44" s="12" t="str">
        <f>VLOOKUP(B44,DATA!C:E,3,0)</f>
        <v xml:space="preserve">Bartec Feam Cable Gland; PNA-03 NON, male 1" NPT in nickle plated brass complete with kit of gaskets in EPDM  </v>
      </c>
      <c r="D44" s="12">
        <v>87</v>
      </c>
      <c r="E44" s="12"/>
      <c r="F44" s="12">
        <v>87</v>
      </c>
      <c r="G44" s="12">
        <v>87</v>
      </c>
      <c r="H44" s="13">
        <f t="shared" si="0"/>
        <v>0</v>
      </c>
      <c r="I44" s="12" t="s">
        <v>490</v>
      </c>
    </row>
    <row r="45" spans="1:12" hidden="1" x14ac:dyDescent="0.25">
      <c r="A45" s="12">
        <v>43</v>
      </c>
      <c r="B45" s="12" t="s">
        <v>162</v>
      </c>
      <c r="C45" s="12" t="str">
        <f>VLOOKUP(B45,DATA!C:E,3,0)</f>
        <v>Bartec Feam Cable Gland; PNA-04 NON</v>
      </c>
      <c r="D45" s="12">
        <v>389</v>
      </c>
      <c r="E45" s="12"/>
      <c r="F45" s="12">
        <v>389</v>
      </c>
      <c r="G45" s="12">
        <v>388</v>
      </c>
      <c r="H45" s="13">
        <f t="shared" si="0"/>
        <v>-1</v>
      </c>
      <c r="I45" s="14" t="s">
        <v>484</v>
      </c>
    </row>
    <row r="46" spans="1:12" hidden="1" x14ac:dyDescent="0.25">
      <c r="A46" s="12">
        <v>44</v>
      </c>
      <c r="B46" s="12" t="s">
        <v>220</v>
      </c>
      <c r="C46" s="12" t="str">
        <f>VLOOKUP(B46,DATA!C:E,3,0)</f>
        <v>Bartec Feam Cable Gland; PNA-05 NON</v>
      </c>
      <c r="D46" s="12">
        <v>139</v>
      </c>
      <c r="E46" s="12"/>
      <c r="F46" s="12">
        <v>139</v>
      </c>
      <c r="G46" s="12">
        <v>139</v>
      </c>
      <c r="H46" s="13">
        <f t="shared" si="0"/>
        <v>0</v>
      </c>
      <c r="I46" s="12" t="s">
        <v>490</v>
      </c>
    </row>
    <row r="47" spans="1:12" hidden="1" x14ac:dyDescent="0.25">
      <c r="A47" s="12">
        <v>45</v>
      </c>
      <c r="B47" s="12" t="s">
        <v>70</v>
      </c>
      <c r="C47" s="12" t="str">
        <f>VLOOKUP(B47,DATA!C:E,3,0)</f>
        <v>Bartec Feam Cable Gland; PNA-06 NON</v>
      </c>
      <c r="D47" s="12">
        <v>32</v>
      </c>
      <c r="E47" s="12"/>
      <c r="F47" s="12">
        <v>32</v>
      </c>
      <c r="G47" s="12">
        <v>32</v>
      </c>
      <c r="H47" s="13">
        <f t="shared" si="0"/>
        <v>0</v>
      </c>
      <c r="I47" s="12" t="s">
        <v>490</v>
      </c>
    </row>
    <row r="48" spans="1:12" hidden="1" x14ac:dyDescent="0.25">
      <c r="A48" s="12">
        <v>46</v>
      </c>
      <c r="B48" s="12" t="s">
        <v>72</v>
      </c>
      <c r="C48" s="12" t="str">
        <f>VLOOKUP(B48,DATA!C:E,3,0)</f>
        <v>Bartec Feam Cable Gland; PNA-08 NON</v>
      </c>
      <c r="D48" s="12">
        <v>1</v>
      </c>
      <c r="E48" s="12"/>
      <c r="F48" s="12">
        <v>1</v>
      </c>
      <c r="G48" s="12">
        <v>1</v>
      </c>
      <c r="H48" s="13">
        <f t="shared" si="0"/>
        <v>0</v>
      </c>
      <c r="I48" s="12" t="s">
        <v>490</v>
      </c>
    </row>
    <row r="49" spans="1:9" hidden="1" x14ac:dyDescent="0.25">
      <c r="A49" s="12">
        <v>47</v>
      </c>
      <c r="B49" s="12" t="s">
        <v>74</v>
      </c>
      <c r="C49" s="12" t="str">
        <f>VLOOKUP(B49,DATA!C:E,3,0)</f>
        <v>Bartec Feam Cable Gland; PNA-02 NIX</v>
      </c>
      <c r="D49" s="12">
        <v>2</v>
      </c>
      <c r="E49" s="12"/>
      <c r="F49" s="12">
        <v>2</v>
      </c>
      <c r="G49" s="12">
        <v>2</v>
      </c>
      <c r="H49" s="13">
        <f t="shared" si="0"/>
        <v>0</v>
      </c>
      <c r="I49" s="12" t="s">
        <v>490</v>
      </c>
    </row>
    <row r="50" spans="1:9" hidden="1" x14ac:dyDescent="0.25">
      <c r="A50" s="12">
        <v>48</v>
      </c>
      <c r="B50" s="12" t="s">
        <v>120</v>
      </c>
      <c r="C50" s="12" t="str">
        <f>VLOOKUP(B50,DATA!C:E,3,0)</f>
        <v>Bartec Feam Cable Gland; PNA-03 NIX</v>
      </c>
      <c r="D50" s="12">
        <v>37</v>
      </c>
      <c r="E50" s="12"/>
      <c r="F50" s="12">
        <v>37</v>
      </c>
      <c r="G50" s="12">
        <v>37</v>
      </c>
      <c r="H50" s="13">
        <f t="shared" si="0"/>
        <v>0</v>
      </c>
      <c r="I50" s="12" t="s">
        <v>490</v>
      </c>
    </row>
    <row r="51" spans="1:9" hidden="1" x14ac:dyDescent="0.25">
      <c r="A51" s="12">
        <v>49</v>
      </c>
      <c r="B51" s="12" t="s">
        <v>164</v>
      </c>
      <c r="C51" s="12" t="str">
        <f>VLOOKUP(B51,DATA!C:E,3,0)</f>
        <v>Bartec Feam Cable Gland; PNA-04 NIX</v>
      </c>
      <c r="D51" s="12">
        <v>173</v>
      </c>
      <c r="E51" s="12"/>
      <c r="F51" s="12">
        <v>173</v>
      </c>
      <c r="G51" s="12">
        <v>173</v>
      </c>
      <c r="H51" s="13">
        <f t="shared" si="0"/>
        <v>0</v>
      </c>
      <c r="I51" s="12" t="s">
        <v>490</v>
      </c>
    </row>
    <row r="52" spans="1:9" hidden="1" x14ac:dyDescent="0.25">
      <c r="A52" s="12">
        <v>50</v>
      </c>
      <c r="B52" s="12" t="s">
        <v>222</v>
      </c>
      <c r="C52" s="12" t="str">
        <f>VLOOKUP(B52,DATA!C:E,3,0)</f>
        <v>Bartec Feam Cable Gland; PNA-05 NIX</v>
      </c>
      <c r="D52" s="12">
        <v>218</v>
      </c>
      <c r="E52" s="12"/>
      <c r="F52" s="12">
        <v>218</v>
      </c>
      <c r="G52" s="12">
        <v>218</v>
      </c>
      <c r="H52" s="13">
        <f t="shared" si="0"/>
        <v>0</v>
      </c>
      <c r="I52" s="12" t="s">
        <v>490</v>
      </c>
    </row>
    <row r="53" spans="1:9" hidden="1" x14ac:dyDescent="0.25">
      <c r="A53" s="12">
        <v>51</v>
      </c>
      <c r="B53" s="12" t="s">
        <v>407</v>
      </c>
      <c r="C53" s="12" t="str">
        <f>VLOOKUP(B53,DATA!C:E,3,0)</f>
        <v>Bartec, Feam Plugs PLG-1 MON, male M20x1.5, in nickel plated brass, external haxagonal head, Bartec FN</v>
      </c>
      <c r="D53" s="12">
        <v>709</v>
      </c>
      <c r="E53" s="12"/>
      <c r="F53" s="12">
        <v>709</v>
      </c>
      <c r="G53" s="12">
        <v>709</v>
      </c>
      <c r="H53" s="13">
        <f t="shared" si="0"/>
        <v>0</v>
      </c>
      <c r="I53" s="12" t="s">
        <v>490</v>
      </c>
    </row>
    <row r="54" spans="1:9" hidden="1" x14ac:dyDescent="0.25">
      <c r="A54" s="12">
        <v>52</v>
      </c>
      <c r="B54" s="12" t="s">
        <v>324</v>
      </c>
      <c r="C54" s="12" t="str">
        <f>VLOOKUP(B54,DATA!C:E,3,0)</f>
        <v>Bartec, Feam Plugs PLG-2 MON</v>
      </c>
      <c r="D54" s="12">
        <v>827</v>
      </c>
      <c r="E54" s="12"/>
      <c r="F54" s="12">
        <v>827</v>
      </c>
      <c r="G54" s="12">
        <v>827</v>
      </c>
      <c r="H54" s="13">
        <f t="shared" si="0"/>
        <v>0</v>
      </c>
      <c r="I54" s="12" t="s">
        <v>490</v>
      </c>
    </row>
    <row r="55" spans="1:9" hidden="1" x14ac:dyDescent="0.25">
      <c r="A55" s="12">
        <v>53</v>
      </c>
      <c r="B55" s="12" t="s">
        <v>409</v>
      </c>
      <c r="C55" s="12" t="str">
        <f>VLOOKUP(B55,DATA!C:E,3,0)</f>
        <v>Bartec, Feam Plugs PLG-3 MON</v>
      </c>
      <c r="D55" s="12">
        <v>899</v>
      </c>
      <c r="E55" s="12"/>
      <c r="F55" s="12">
        <v>899</v>
      </c>
      <c r="G55" s="12">
        <v>898</v>
      </c>
      <c r="H55" s="13">
        <f t="shared" si="0"/>
        <v>-1</v>
      </c>
      <c r="I55" s="14" t="s">
        <v>482</v>
      </c>
    </row>
    <row r="56" spans="1:9" hidden="1" x14ac:dyDescent="0.25">
      <c r="A56" s="12">
        <v>54</v>
      </c>
      <c r="B56" s="12" t="s">
        <v>411</v>
      </c>
      <c r="C56" s="12" t="str">
        <f>VLOOKUP(B56,DATA!C:E,3,0)</f>
        <v>Bartec, Feam Plugs PLG-4 MON</v>
      </c>
      <c r="D56" s="12">
        <v>191</v>
      </c>
      <c r="E56" s="12"/>
      <c r="F56" s="12">
        <v>191</v>
      </c>
      <c r="G56" s="12">
        <v>191</v>
      </c>
      <c r="H56" s="13">
        <f t="shared" si="0"/>
        <v>0</v>
      </c>
      <c r="I56" s="12" t="s">
        <v>490</v>
      </c>
    </row>
    <row r="57" spans="1:9" hidden="1" x14ac:dyDescent="0.25">
      <c r="A57" s="12">
        <v>55</v>
      </c>
      <c r="B57" s="12" t="s">
        <v>76</v>
      </c>
      <c r="C57" s="12" t="str">
        <f>VLOOKUP(B57,DATA!C:E,3,0)</f>
        <v>Bartec, Feam Plugs PLG-5 MON</v>
      </c>
      <c r="D57" s="12">
        <v>277</v>
      </c>
      <c r="E57" s="12"/>
      <c r="F57" s="12">
        <v>277</v>
      </c>
      <c r="G57" s="12">
        <v>277</v>
      </c>
      <c r="H57" s="13">
        <f t="shared" si="0"/>
        <v>0</v>
      </c>
      <c r="I57" s="12" t="s">
        <v>490</v>
      </c>
    </row>
    <row r="58" spans="1:9" x14ac:dyDescent="0.25">
      <c r="A58" s="12">
        <v>56</v>
      </c>
      <c r="B58" s="12" t="s">
        <v>326</v>
      </c>
      <c r="C58" s="12" t="str">
        <f>VLOOKUP(B58,DATA!C:E,3,0)</f>
        <v>Bartec, Feam Plugs PLG-1 NON, male 1/2", in nickel plated brass, external haxagonal head, Bartec FN</v>
      </c>
      <c r="D58" s="12">
        <v>711</v>
      </c>
      <c r="E58" s="12"/>
      <c r="F58" s="12">
        <v>711</v>
      </c>
      <c r="G58" s="12">
        <v>251</v>
      </c>
      <c r="H58" s="13">
        <f t="shared" si="0"/>
        <v>-460</v>
      </c>
      <c r="I58" s="14" t="s">
        <v>483</v>
      </c>
    </row>
    <row r="59" spans="1:9" x14ac:dyDescent="0.25">
      <c r="A59" s="12">
        <v>57</v>
      </c>
      <c r="B59" s="12" t="s">
        <v>20</v>
      </c>
      <c r="C59" s="12" t="str">
        <f>VLOOKUP(B59,DATA!C:E,3,0)</f>
        <v>Bartec, Feam Plugs PLG-2 NON, male 3/4", in nickel plated brass, external haxagonal head, Bartec FN</v>
      </c>
      <c r="D59" s="12">
        <v>3117</v>
      </c>
      <c r="E59" s="12"/>
      <c r="F59" s="12">
        <v>3117</v>
      </c>
      <c r="G59" s="12">
        <f>2897+120+100</f>
        <v>3117</v>
      </c>
      <c r="H59" s="13">
        <f t="shared" si="0"/>
        <v>0</v>
      </c>
      <c r="I59" s="14" t="s">
        <v>483</v>
      </c>
    </row>
    <row r="60" spans="1:9" x14ac:dyDescent="0.25">
      <c r="A60" s="12">
        <v>58</v>
      </c>
      <c r="B60" s="12" t="s">
        <v>274</v>
      </c>
      <c r="C60" s="12" t="str">
        <f>VLOOKUP(B60,DATA!C:E,3,0)</f>
        <v>Bartec, Feam Plugs PLG-3 NON, male 1", in nickel plated brass, external haxagonal head, Bartec FN</v>
      </c>
      <c r="D60" s="12">
        <v>1609</v>
      </c>
      <c r="E60" s="12"/>
      <c r="F60" s="12">
        <v>1609</v>
      </c>
      <c r="G60" s="12">
        <v>1380</v>
      </c>
      <c r="H60" s="13">
        <f t="shared" si="0"/>
        <v>-229</v>
      </c>
      <c r="I60" s="14" t="s">
        <v>483</v>
      </c>
    </row>
    <row r="61" spans="1:9" hidden="1" x14ac:dyDescent="0.25">
      <c r="A61" s="12">
        <v>59</v>
      </c>
      <c r="B61" s="12" t="s">
        <v>276</v>
      </c>
      <c r="C61" s="12" t="str">
        <f>VLOOKUP(B61,DATA!C:E,3,0)</f>
        <v>Bartec, Feam Plugs PLG-4 NON</v>
      </c>
      <c r="D61" s="12">
        <v>298</v>
      </c>
      <c r="E61" s="12"/>
      <c r="F61" s="12">
        <v>298</v>
      </c>
      <c r="G61" s="12">
        <v>296</v>
      </c>
      <c r="H61" s="13">
        <f t="shared" si="0"/>
        <v>-2</v>
      </c>
      <c r="I61" s="14" t="s">
        <v>482</v>
      </c>
    </row>
    <row r="62" spans="1:9" hidden="1" x14ac:dyDescent="0.25">
      <c r="A62" s="12">
        <v>60</v>
      </c>
      <c r="B62" s="12" t="s">
        <v>224</v>
      </c>
      <c r="C62" s="12" t="str">
        <f>VLOOKUP(B62,DATA!C:E,3,0)</f>
        <v>Bartec, Feam Plugs PLG-5 NON</v>
      </c>
      <c r="D62" s="12">
        <v>401</v>
      </c>
      <c r="E62" s="12"/>
      <c r="F62" s="12">
        <v>401</v>
      </c>
      <c r="G62" s="12">
        <v>401</v>
      </c>
      <c r="H62" s="13">
        <f t="shared" si="0"/>
        <v>0</v>
      </c>
      <c r="I62" s="12" t="s">
        <v>490</v>
      </c>
    </row>
    <row r="63" spans="1:9" x14ac:dyDescent="0.25">
      <c r="A63" s="12">
        <v>61</v>
      </c>
      <c r="B63" s="12" t="s">
        <v>328</v>
      </c>
      <c r="C63" s="12" t="str">
        <f>VLOOKUP(B63,DATA!C:E,3,0)</f>
        <v>Bartec, Feam Plugs PLG-3 MIX</v>
      </c>
      <c r="D63" s="12">
        <v>102</v>
      </c>
      <c r="E63" s="12"/>
      <c r="F63" s="12">
        <v>102</v>
      </c>
      <c r="G63" s="12">
        <v>2</v>
      </c>
      <c r="H63" s="13">
        <f t="shared" si="0"/>
        <v>-100</v>
      </c>
      <c r="I63" s="14" t="s">
        <v>483</v>
      </c>
    </row>
    <row r="64" spans="1:9" hidden="1" x14ac:dyDescent="0.25">
      <c r="A64" s="12">
        <v>62</v>
      </c>
      <c r="B64" s="12" t="s">
        <v>280</v>
      </c>
      <c r="C64" s="12" t="str">
        <f>VLOOKUP(B64,DATA!C:E,3,0)</f>
        <v xml:space="preserve">Bartec Feam External Hex Head Plug in SS316L PLG-6-MIX , Exe &amp; Exd Dual Rated </v>
      </c>
      <c r="D64" s="12">
        <v>67</v>
      </c>
      <c r="E64" s="12"/>
      <c r="F64" s="12">
        <v>67</v>
      </c>
      <c r="G64" s="12">
        <v>67</v>
      </c>
      <c r="H64" s="13">
        <f t="shared" si="0"/>
        <v>0</v>
      </c>
      <c r="I64" s="12" t="s">
        <v>490</v>
      </c>
    </row>
    <row r="65" spans="1:9" hidden="1" x14ac:dyDescent="0.25">
      <c r="A65" s="12">
        <v>63</v>
      </c>
      <c r="B65" s="12" t="s">
        <v>226</v>
      </c>
      <c r="C65" s="12" t="str">
        <f>VLOOKUP(B65,DATA!C:E,3,0)</f>
        <v>Bartec, Feam Plugs PLG-3 NIX</v>
      </c>
      <c r="D65" s="12">
        <v>82</v>
      </c>
      <c r="E65" s="12"/>
      <c r="F65" s="12">
        <v>82</v>
      </c>
      <c r="G65" s="12">
        <f>21+50</f>
        <v>71</v>
      </c>
      <c r="H65" s="13">
        <f t="shared" si="0"/>
        <v>-11</v>
      </c>
      <c r="I65" s="14" t="s">
        <v>484</v>
      </c>
    </row>
    <row r="66" spans="1:9" hidden="1" x14ac:dyDescent="0.25">
      <c r="A66" s="12">
        <v>64</v>
      </c>
      <c r="B66" s="12" t="s">
        <v>24</v>
      </c>
      <c r="C66" s="12" t="str">
        <f>VLOOKUP(B66,DATA!C:E,3,0)</f>
        <v>Bartec, Feam Plugs PLG-4 NIX</v>
      </c>
      <c r="D66" s="12">
        <v>212</v>
      </c>
      <c r="E66" s="12"/>
      <c r="F66" s="12">
        <v>212</v>
      </c>
      <c r="G66" s="12">
        <v>212</v>
      </c>
      <c r="H66" s="13">
        <f t="shared" si="0"/>
        <v>0</v>
      </c>
      <c r="I66" s="12" t="s">
        <v>490</v>
      </c>
    </row>
    <row r="67" spans="1:9" hidden="1" x14ac:dyDescent="0.25">
      <c r="A67" s="12">
        <v>65</v>
      </c>
      <c r="B67" s="12" t="s">
        <v>126</v>
      </c>
      <c r="C67" s="12" t="str">
        <f>VLOOKUP(B67,DATA!C:E,3,0)</f>
        <v>Bartec, Feam Lightining Fixture EVAC101-70HPNA-SM</v>
      </c>
      <c r="D67" s="12">
        <v>3</v>
      </c>
      <c r="E67" s="12"/>
      <c r="F67" s="12">
        <v>3</v>
      </c>
      <c r="G67" s="12">
        <v>3</v>
      </c>
      <c r="H67" s="13">
        <f t="shared" ref="H67:H130" si="1">G67-F67</f>
        <v>0</v>
      </c>
      <c r="I67" s="12" t="s">
        <v>490</v>
      </c>
    </row>
    <row r="68" spans="1:9" hidden="1" x14ac:dyDescent="0.25">
      <c r="A68" s="12">
        <v>66</v>
      </c>
      <c r="B68" s="12" t="s">
        <v>122</v>
      </c>
      <c r="C68" s="12" t="str">
        <f>VLOOKUP(B68,DATA!C:E,3,0)</f>
        <v>Bartec, Feam Lightining Fixture EVAC301-150 W</v>
      </c>
      <c r="D68" s="12">
        <v>2</v>
      </c>
      <c r="E68" s="12"/>
      <c r="F68" s="12">
        <v>2</v>
      </c>
      <c r="G68" s="12">
        <v>2</v>
      </c>
      <c r="H68" s="13">
        <f t="shared" si="1"/>
        <v>0</v>
      </c>
      <c r="I68" s="12" t="s">
        <v>490</v>
      </c>
    </row>
    <row r="69" spans="1:9" hidden="1" x14ac:dyDescent="0.25">
      <c r="A69" s="12">
        <v>67</v>
      </c>
      <c r="B69" s="12" t="s">
        <v>124</v>
      </c>
      <c r="C69" s="12" t="str">
        <f>VLOOKUP(B69,DATA!C:E,3,0)</f>
        <v>Bartec, Feam Lightining Fixture EVAC301-100HPNA-CM</v>
      </c>
      <c r="D69" s="12">
        <v>16</v>
      </c>
      <c r="E69" s="12"/>
      <c r="F69" s="12">
        <v>16</v>
      </c>
      <c r="G69" s="12">
        <v>16</v>
      </c>
      <c r="H69" s="13">
        <f t="shared" si="1"/>
        <v>0</v>
      </c>
      <c r="I69" s="12" t="s">
        <v>490</v>
      </c>
    </row>
    <row r="70" spans="1:9" hidden="1" x14ac:dyDescent="0.25">
      <c r="A70" s="12">
        <v>68</v>
      </c>
      <c r="B70" s="12" t="s">
        <v>331</v>
      </c>
      <c r="C70" s="12" t="str">
        <f>VLOOKUP(B70,DATA!C:E,3,0)</f>
        <v>Bartec, Feam Lightining Fixture EVAC301-250HPNA-SM</v>
      </c>
      <c r="D70" s="12">
        <v>7</v>
      </c>
      <c r="E70" s="12"/>
      <c r="F70" s="12">
        <v>7</v>
      </c>
      <c r="G70" s="12">
        <v>7</v>
      </c>
      <c r="H70" s="13">
        <f t="shared" si="1"/>
        <v>0</v>
      </c>
      <c r="I70" s="12" t="s">
        <v>490</v>
      </c>
    </row>
    <row r="71" spans="1:9" hidden="1" x14ac:dyDescent="0.25">
      <c r="A71" s="12">
        <v>69</v>
      </c>
      <c r="B71" s="12" t="s">
        <v>22</v>
      </c>
      <c r="C71" s="12" t="str">
        <f>VLOOKUP(B71,DATA!C:E,3,0)</f>
        <v>Bartec, Feam Junction and Pulling Box GUAX27</v>
      </c>
      <c r="D71" s="12">
        <v>40</v>
      </c>
      <c r="E71" s="12"/>
      <c r="F71" s="12">
        <v>40</v>
      </c>
      <c r="G71" s="12">
        <v>40</v>
      </c>
      <c r="H71" s="13">
        <f t="shared" si="1"/>
        <v>0</v>
      </c>
      <c r="I71" s="12" t="s">
        <v>490</v>
      </c>
    </row>
    <row r="72" spans="1:9" hidden="1" x14ac:dyDescent="0.25">
      <c r="A72" s="12">
        <v>70</v>
      </c>
      <c r="B72" s="12" t="s">
        <v>78</v>
      </c>
      <c r="C72" s="12" t="str">
        <f>VLOOKUP(B72,DATA!C:E,3,0)</f>
        <v>Bartec, Feam Junction and Pulling Box GUAX59</v>
      </c>
      <c r="D72" s="12">
        <v>27</v>
      </c>
      <c r="E72" s="12"/>
      <c r="F72" s="12">
        <v>27</v>
      </c>
      <c r="G72" s="12">
        <v>27</v>
      </c>
      <c r="H72" s="13">
        <f t="shared" si="1"/>
        <v>0</v>
      </c>
      <c r="I72" s="12" t="s">
        <v>490</v>
      </c>
    </row>
    <row r="73" spans="1:9" hidden="1" x14ac:dyDescent="0.25">
      <c r="A73" s="12">
        <v>71</v>
      </c>
      <c r="B73" s="12" t="s">
        <v>166</v>
      </c>
      <c r="C73" s="12" t="str">
        <f>VLOOKUP(B73,DATA!C:E,3,0)</f>
        <v>Bartec, Feam SS Junction Box ESX 2222 size 220 X 220 X 148mm</v>
      </c>
      <c r="D73" s="12">
        <v>13</v>
      </c>
      <c r="E73" s="12"/>
      <c r="F73" s="12">
        <v>13</v>
      </c>
      <c r="G73" s="12">
        <v>13</v>
      </c>
      <c r="H73" s="13">
        <f t="shared" si="1"/>
        <v>0</v>
      </c>
      <c r="I73" s="12" t="s">
        <v>490</v>
      </c>
    </row>
    <row r="74" spans="1:9" hidden="1" x14ac:dyDescent="0.25">
      <c r="A74" s="12">
        <v>72</v>
      </c>
      <c r="B74" s="12" t="s">
        <v>413</v>
      </c>
      <c r="C74" s="12" t="str">
        <f>VLOOKUP(B74,DATA!C:E,3,0)</f>
        <v>Bartec, Feam SS Junction Box ESX 3322 size 330 X 220 X 200</v>
      </c>
      <c r="D74" s="12">
        <v>9</v>
      </c>
      <c r="E74" s="12"/>
      <c r="F74" s="12">
        <v>9</v>
      </c>
      <c r="G74" s="12">
        <v>9</v>
      </c>
      <c r="H74" s="13">
        <f t="shared" si="1"/>
        <v>0</v>
      </c>
      <c r="I74" s="12" t="s">
        <v>490</v>
      </c>
    </row>
    <row r="75" spans="1:9" hidden="1" x14ac:dyDescent="0.25">
      <c r="A75" s="12">
        <v>73</v>
      </c>
      <c r="B75" s="12" t="s">
        <v>333</v>
      </c>
      <c r="C75" s="12" t="str">
        <f>VLOOKUP(B75,DATA!C:E,3,0)</f>
        <v>Bartec, Feam SS Junction Box ESX 3333 size 330 X 330 X 148</v>
      </c>
      <c r="D75" s="12">
        <v>3</v>
      </c>
      <c r="E75" s="12"/>
      <c r="F75" s="12">
        <v>3</v>
      </c>
      <c r="G75" s="12">
        <v>3</v>
      </c>
      <c r="H75" s="13">
        <f t="shared" si="1"/>
        <v>0</v>
      </c>
      <c r="I75" s="12" t="s">
        <v>490</v>
      </c>
    </row>
    <row r="76" spans="1:9" hidden="1" x14ac:dyDescent="0.25">
      <c r="A76" s="12">
        <v>74</v>
      </c>
      <c r="B76" s="12" t="s">
        <v>335</v>
      </c>
      <c r="C76" s="12" t="str">
        <f>VLOOKUP(B76,DATA!C:E,3,0)</f>
        <v>Bartec, Feam SS Junction Box ESX 3333 size 330 X 330 X 200</v>
      </c>
      <c r="D76" s="12">
        <v>4</v>
      </c>
      <c r="E76" s="12"/>
      <c r="F76" s="12">
        <v>4</v>
      </c>
      <c r="G76" s="12">
        <v>4</v>
      </c>
      <c r="H76" s="13">
        <f t="shared" si="1"/>
        <v>0</v>
      </c>
      <c r="I76" s="14" t="s">
        <v>484</v>
      </c>
    </row>
    <row r="77" spans="1:9" hidden="1" x14ac:dyDescent="0.25">
      <c r="A77" s="12">
        <v>75</v>
      </c>
      <c r="B77" s="12" t="s">
        <v>278</v>
      </c>
      <c r="C77" s="12" t="str">
        <f>VLOOKUP(B77,DATA!C:E,3,0)</f>
        <v>Bartec, Feam Drain &amp; Breather ECDE M20, SS316L Exe Rated</v>
      </c>
      <c r="D77" s="12">
        <v>5</v>
      </c>
      <c r="E77" s="12"/>
      <c r="F77" s="12">
        <v>5</v>
      </c>
      <c r="G77" s="12">
        <v>5</v>
      </c>
      <c r="H77" s="13">
        <f t="shared" si="1"/>
        <v>0</v>
      </c>
      <c r="I77" s="14" t="s">
        <v>484</v>
      </c>
    </row>
    <row r="78" spans="1:9" hidden="1" x14ac:dyDescent="0.25">
      <c r="A78" s="12">
        <v>76</v>
      </c>
      <c r="B78" s="12" t="s">
        <v>466</v>
      </c>
      <c r="C78" s="12" t="str">
        <f>VLOOKUP(B78,DATA!C:E,3,0)</f>
        <v xml:space="preserve">Marine Grade Copper Free Aluminium Horn TYPE: ETH9#024DC(24VDC)ex-d IIC T6 IP66 INERIS 15ATEX0012X/IECEx INE15.0013X(CODE:ETH9#024DC) </v>
      </c>
      <c r="D78" s="12"/>
      <c r="E78" s="12">
        <v>1</v>
      </c>
      <c r="F78" s="12">
        <v>1</v>
      </c>
      <c r="G78" s="12"/>
      <c r="H78" s="13">
        <f t="shared" si="1"/>
        <v>-1</v>
      </c>
      <c r="I78" s="14" t="s">
        <v>485</v>
      </c>
    </row>
    <row r="79" spans="1:9" hidden="1" x14ac:dyDescent="0.25">
      <c r="A79" s="12">
        <v>77</v>
      </c>
      <c r="B79" s="12" t="s">
        <v>168</v>
      </c>
      <c r="C79" s="12" t="str">
        <f>VLOOKUP(B79,DATA!C:E,3,0)</f>
        <v xml:space="preserve">07-3353-4110 Indicator Module Red </v>
      </c>
      <c r="D79" s="12">
        <v>10</v>
      </c>
      <c r="E79" s="12"/>
      <c r="F79" s="12">
        <v>10</v>
      </c>
      <c r="G79" s="12">
        <v>10</v>
      </c>
      <c r="H79" s="13">
        <f t="shared" si="1"/>
        <v>0</v>
      </c>
      <c r="I79" s="12" t="s">
        <v>490</v>
      </c>
    </row>
    <row r="80" spans="1:9" hidden="1" x14ac:dyDescent="0.25">
      <c r="A80" s="12">
        <v>78</v>
      </c>
      <c r="B80" s="12" t="s">
        <v>415</v>
      </c>
      <c r="C80" s="12" t="str">
        <f>VLOOKUP(B80,DATA!C:E,3,0)</f>
        <v xml:space="preserve">07-3353-4120 Indicator Module Green </v>
      </c>
      <c r="D80" s="12">
        <v>2</v>
      </c>
      <c r="E80" s="12"/>
      <c r="F80" s="12">
        <v>2</v>
      </c>
      <c r="G80" s="12">
        <v>0</v>
      </c>
      <c r="H80" s="13">
        <f t="shared" si="1"/>
        <v>-2</v>
      </c>
      <c r="I80" s="14" t="s">
        <v>484</v>
      </c>
    </row>
    <row r="81" spans="1:9" hidden="1" x14ac:dyDescent="0.25">
      <c r="A81" s="12">
        <v>79</v>
      </c>
      <c r="B81" s="12" t="s">
        <v>417</v>
      </c>
      <c r="C81" s="12" t="str">
        <f>VLOOKUP(B81,DATA!C:E,3,0)</f>
        <v xml:space="preserve">07-3323-4200 Switching Module 2NO </v>
      </c>
      <c r="D81" s="12">
        <v>92</v>
      </c>
      <c r="E81" s="12"/>
      <c r="F81" s="12">
        <v>92</v>
      </c>
      <c r="G81" s="12">
        <v>92</v>
      </c>
      <c r="H81" s="13">
        <f t="shared" si="1"/>
        <v>0</v>
      </c>
      <c r="I81" s="12" t="s">
        <v>490</v>
      </c>
    </row>
    <row r="82" spans="1:9" hidden="1" x14ac:dyDescent="0.25">
      <c r="A82" s="12">
        <v>80</v>
      </c>
      <c r="B82" s="12" t="s">
        <v>80</v>
      </c>
      <c r="C82" s="12" t="str">
        <f>VLOOKUP(B82,DATA!C:E,3,0)</f>
        <v>Bartec Feam Cable Gland; PAP-02 NIX</v>
      </c>
      <c r="D82" s="12">
        <v>559</v>
      </c>
      <c r="E82" s="12"/>
      <c r="F82" s="12">
        <v>559</v>
      </c>
      <c r="G82" s="12">
        <v>559</v>
      </c>
      <c r="H82" s="13">
        <f t="shared" si="1"/>
        <v>0</v>
      </c>
      <c r="I82" s="12" t="s">
        <v>490</v>
      </c>
    </row>
    <row r="83" spans="1:9" hidden="1" x14ac:dyDescent="0.25">
      <c r="A83" s="12">
        <v>81</v>
      </c>
      <c r="B83" s="12" t="s">
        <v>128</v>
      </c>
      <c r="C83" s="12" t="str">
        <f>VLOOKUP(B83,DATA!C:E,3,0)</f>
        <v>Bartec Feam Cable Gland; PAP-03 NIX</v>
      </c>
      <c r="D83" s="12">
        <v>849</v>
      </c>
      <c r="E83" s="12"/>
      <c r="F83" s="12">
        <v>849</v>
      </c>
      <c r="G83" s="12">
        <v>849</v>
      </c>
      <c r="H83" s="13">
        <f t="shared" si="1"/>
        <v>0</v>
      </c>
      <c r="I83" s="12" t="s">
        <v>490</v>
      </c>
    </row>
    <row r="84" spans="1:9" hidden="1" x14ac:dyDescent="0.25">
      <c r="A84" s="12">
        <v>82</v>
      </c>
      <c r="B84" s="12" t="s">
        <v>130</v>
      </c>
      <c r="C84" s="12" t="str">
        <f>VLOOKUP(B84,DATA!C:E,3,0)</f>
        <v xml:space="preserve">Bartec Feam Cable Gland; PAP-04 NIX </v>
      </c>
      <c r="D84" s="12">
        <v>77</v>
      </c>
      <c r="E84" s="12"/>
      <c r="F84" s="12">
        <v>77</v>
      </c>
      <c r="G84" s="12">
        <v>77</v>
      </c>
      <c r="H84" s="13">
        <f t="shared" si="1"/>
        <v>0</v>
      </c>
      <c r="I84" s="12" t="s">
        <v>490</v>
      </c>
    </row>
    <row r="85" spans="1:9" hidden="1" x14ac:dyDescent="0.25">
      <c r="A85" s="12">
        <v>83</v>
      </c>
      <c r="B85" s="12" t="s">
        <v>132</v>
      </c>
      <c r="C85" s="12" t="str">
        <f>VLOOKUP(B85,DATA!C:E,3,0)</f>
        <v xml:space="preserve">Bartec Feam Cable Gland; PAP-05 NIX </v>
      </c>
      <c r="D85" s="12">
        <v>59</v>
      </c>
      <c r="E85" s="12"/>
      <c r="F85" s="12">
        <v>59</v>
      </c>
      <c r="G85" s="12">
        <v>59</v>
      </c>
      <c r="H85" s="13">
        <f t="shared" si="1"/>
        <v>0</v>
      </c>
      <c r="I85" s="12" t="s">
        <v>490</v>
      </c>
    </row>
    <row r="86" spans="1:9" hidden="1" x14ac:dyDescent="0.25">
      <c r="A86" s="12">
        <v>84</v>
      </c>
      <c r="B86" s="12" t="s">
        <v>228</v>
      </c>
      <c r="C86" s="12" t="str">
        <f>VLOOKUP(B86,DATA!C:E,3,0)</f>
        <v xml:space="preserve">60A 3W4P HZD INTERLOCK RECEPT.MARINE GRADE COPPER FREE ALUMINIUM JUNCTION BOX TYPE EJB-21 Ex-d IIB+H2 T5 IP66 size 285x245x169mm; Model no:EJB 21 </v>
      </c>
      <c r="D86" s="12">
        <v>29</v>
      </c>
      <c r="E86" s="12"/>
      <c r="F86" s="12">
        <v>29</v>
      </c>
      <c r="G86" s="12">
        <v>29</v>
      </c>
      <c r="H86" s="13">
        <f t="shared" si="1"/>
        <v>0</v>
      </c>
      <c r="I86" s="12" t="s">
        <v>490</v>
      </c>
    </row>
    <row r="87" spans="1:9" hidden="1" x14ac:dyDescent="0.25">
      <c r="A87" s="12">
        <v>85</v>
      </c>
      <c r="B87" s="12" t="s">
        <v>82</v>
      </c>
      <c r="C87" s="12" t="str">
        <f>VLOOKUP(B87,DATA!C:E,3,0)</f>
        <v xml:space="preserve">Bartec, Feam SS Junction Box ESX 4433 size 330 X 440 X 200mm </v>
      </c>
      <c r="D87" s="12">
        <v>1</v>
      </c>
      <c r="E87" s="12"/>
      <c r="F87" s="12">
        <v>1</v>
      </c>
      <c r="G87" s="12">
        <v>0</v>
      </c>
      <c r="H87" s="13">
        <f t="shared" si="1"/>
        <v>-1</v>
      </c>
      <c r="I87" s="14" t="s">
        <v>484</v>
      </c>
    </row>
    <row r="88" spans="1:9" hidden="1" x14ac:dyDescent="0.25">
      <c r="A88" s="12">
        <v>86</v>
      </c>
      <c r="B88" s="12" t="s">
        <v>282</v>
      </c>
      <c r="C88" s="12" t="str">
        <f>VLOOKUP(B88,DATA!C:E,3,0)</f>
        <v xml:space="preserve">3-SS Cable Glands Including Accessories (PNA-R-01-NIX) </v>
      </c>
      <c r="D88" s="12">
        <v>417</v>
      </c>
      <c r="E88" s="12"/>
      <c r="F88" s="12">
        <v>417</v>
      </c>
      <c r="G88" s="12">
        <v>416</v>
      </c>
      <c r="H88" s="13">
        <f t="shared" si="1"/>
        <v>-1</v>
      </c>
      <c r="I88" s="14" t="s">
        <v>482</v>
      </c>
    </row>
    <row r="89" spans="1:9" hidden="1" x14ac:dyDescent="0.25">
      <c r="A89" s="12">
        <v>87</v>
      </c>
      <c r="B89" s="12" t="s">
        <v>419</v>
      </c>
      <c r="C89" s="12" t="str">
        <f>VLOOKUP(B89,DATA!C:E,3,0)</f>
        <v xml:space="preserve">3-SS Cable Glands Including Accessories (PNA-R-05-NIX) </v>
      </c>
      <c r="D89" s="12">
        <v>109</v>
      </c>
      <c r="E89" s="12"/>
      <c r="F89" s="12">
        <v>109</v>
      </c>
      <c r="G89" s="12">
        <v>109</v>
      </c>
      <c r="H89" s="13">
        <f t="shared" si="1"/>
        <v>0</v>
      </c>
      <c r="I89" s="12" t="s">
        <v>490</v>
      </c>
    </row>
    <row r="90" spans="1:9" hidden="1" x14ac:dyDescent="0.25">
      <c r="A90" s="12">
        <v>88</v>
      </c>
      <c r="B90" s="12" t="s">
        <v>284</v>
      </c>
      <c r="C90" s="12" t="str">
        <f>VLOOKUP(B90,DATA!C:E,3,0)</f>
        <v xml:space="preserve">3-SS Cable Glands Including Accessories (PAP-08-NIX) </v>
      </c>
      <c r="D90" s="12">
        <v>10</v>
      </c>
      <c r="E90" s="12"/>
      <c r="F90" s="12">
        <v>10</v>
      </c>
      <c r="G90" s="12">
        <v>10</v>
      </c>
      <c r="H90" s="13">
        <f t="shared" si="1"/>
        <v>0</v>
      </c>
      <c r="I90" s="12" t="s">
        <v>490</v>
      </c>
    </row>
    <row r="91" spans="1:9" hidden="1" x14ac:dyDescent="0.25">
      <c r="A91" s="12">
        <v>89</v>
      </c>
      <c r="B91" s="12" t="s">
        <v>286</v>
      </c>
      <c r="C91" s="12" t="str">
        <f>VLOOKUP(B91,DATA!C:E,3,0)</f>
        <v xml:space="preserve">3-SS Cable Glands Including Accessories (PAP-R-02-MIX) </v>
      </c>
      <c r="D91" s="12">
        <v>317</v>
      </c>
      <c r="E91" s="12"/>
      <c r="F91" s="12">
        <v>317</v>
      </c>
      <c r="G91" s="12">
        <v>317</v>
      </c>
      <c r="H91" s="13">
        <f t="shared" si="1"/>
        <v>0</v>
      </c>
      <c r="I91" s="12" t="s">
        <v>490</v>
      </c>
    </row>
    <row r="92" spans="1:9" hidden="1" x14ac:dyDescent="0.25">
      <c r="A92" s="12">
        <v>90</v>
      </c>
      <c r="B92" s="12" t="s">
        <v>337</v>
      </c>
      <c r="C92" s="12" t="str">
        <f>VLOOKUP(B92,DATA!C:E,3,0)</f>
        <v xml:space="preserve">3-SS Cable Glands Including Accessories (PAP-R-03-MIX) </v>
      </c>
      <c r="D92" s="12">
        <v>751</v>
      </c>
      <c r="E92" s="12"/>
      <c r="F92" s="12">
        <v>751</v>
      </c>
      <c r="G92" s="12">
        <v>751</v>
      </c>
      <c r="H92" s="13">
        <f t="shared" si="1"/>
        <v>0</v>
      </c>
      <c r="I92" s="12" t="s">
        <v>490</v>
      </c>
    </row>
    <row r="93" spans="1:9" hidden="1" x14ac:dyDescent="0.25">
      <c r="A93" s="12">
        <v>91</v>
      </c>
      <c r="B93" s="12" t="s">
        <v>27</v>
      </c>
      <c r="C93" s="12" t="str">
        <f>VLOOKUP(B93,DATA!C:E,3,0)</f>
        <v xml:space="preserve">3-SS Cable Glands Including Accessories (PAP-R-05-MIX) </v>
      </c>
      <c r="D93" s="12">
        <v>885</v>
      </c>
      <c r="E93" s="12"/>
      <c r="F93" s="12">
        <v>885</v>
      </c>
      <c r="G93" s="12">
        <v>880</v>
      </c>
      <c r="H93" s="13">
        <f t="shared" si="1"/>
        <v>-5</v>
      </c>
      <c r="I93" s="14" t="s">
        <v>484</v>
      </c>
    </row>
    <row r="94" spans="1:9" hidden="1" x14ac:dyDescent="0.25">
      <c r="A94" s="12">
        <v>92</v>
      </c>
      <c r="B94" s="12" t="s">
        <v>421</v>
      </c>
      <c r="C94" s="12" t="str">
        <f>VLOOKUP(B94,DATA!C:E,3,0)</f>
        <v xml:space="preserve">3-SS Cable Glands Including Accessories (PNA-02-MIX) </v>
      </c>
      <c r="D94" s="12">
        <v>1</v>
      </c>
      <c r="E94" s="12"/>
      <c r="F94" s="12">
        <v>1</v>
      </c>
      <c r="G94" s="12">
        <v>0</v>
      </c>
      <c r="H94" s="13">
        <f t="shared" si="1"/>
        <v>-1</v>
      </c>
      <c r="I94" s="14" t="s">
        <v>484</v>
      </c>
    </row>
    <row r="95" spans="1:9" hidden="1" x14ac:dyDescent="0.25">
      <c r="A95" s="12">
        <v>93</v>
      </c>
      <c r="B95" s="12" t="s">
        <v>423</v>
      </c>
      <c r="C95" s="12" t="str">
        <f>VLOOKUP(B95,DATA!C:E,3,0)</f>
        <v xml:space="preserve">3-SS Cable Glands Including Accessories (PNA-03-MIX) </v>
      </c>
      <c r="D95" s="12">
        <v>6</v>
      </c>
      <c r="E95" s="12"/>
      <c r="F95" s="12">
        <v>6</v>
      </c>
      <c r="G95" s="12">
        <v>6</v>
      </c>
      <c r="H95" s="13">
        <f t="shared" si="1"/>
        <v>0</v>
      </c>
      <c r="I95" s="12" t="s">
        <v>490</v>
      </c>
    </row>
    <row r="96" spans="1:9" hidden="1" x14ac:dyDescent="0.25">
      <c r="A96" s="12">
        <v>94</v>
      </c>
      <c r="B96" s="12" t="s">
        <v>84</v>
      </c>
      <c r="C96" s="12" t="str">
        <f>VLOOKUP(B96,DATA!C:E,3,0)</f>
        <v xml:space="preserve">3-SS Cable Glands Including Accessories (PNA-R-02-NIX) </v>
      </c>
      <c r="D96" s="12">
        <v>128</v>
      </c>
      <c r="E96" s="12"/>
      <c r="F96" s="12">
        <v>128</v>
      </c>
      <c r="G96" s="12">
        <v>128</v>
      </c>
      <c r="H96" s="13">
        <f t="shared" si="1"/>
        <v>0</v>
      </c>
      <c r="I96" s="12" t="s">
        <v>490</v>
      </c>
    </row>
    <row r="97" spans="1:9" hidden="1" x14ac:dyDescent="0.25">
      <c r="A97" s="12">
        <v>95</v>
      </c>
      <c r="B97" s="12" t="s">
        <v>339</v>
      </c>
      <c r="C97" s="12" t="str">
        <f>VLOOKUP(B97,DATA!C:E,3,0)</f>
        <v xml:space="preserve">2-Cable Glands Including Accessories (PAP-09-NON) </v>
      </c>
      <c r="D97" s="12">
        <v>10</v>
      </c>
      <c r="E97" s="12"/>
      <c r="F97" s="12">
        <v>10</v>
      </c>
      <c r="G97" s="12">
        <v>10</v>
      </c>
      <c r="H97" s="13">
        <f t="shared" si="1"/>
        <v>0</v>
      </c>
      <c r="I97" s="12" t="s">
        <v>490</v>
      </c>
    </row>
    <row r="98" spans="1:9" hidden="1" x14ac:dyDescent="0.25">
      <c r="A98" s="12">
        <v>96</v>
      </c>
      <c r="B98" s="12" t="s">
        <v>425</v>
      </c>
      <c r="C98" s="12" t="str">
        <f>VLOOKUP(B98,DATA!C:E,3,0)</f>
        <v xml:space="preserve">3-SS Cable Gland including Accessories (PNA-R-06-NIX) </v>
      </c>
      <c r="D98" s="12">
        <v>67</v>
      </c>
      <c r="E98" s="12"/>
      <c r="F98" s="12">
        <v>67</v>
      </c>
      <c r="G98" s="12">
        <v>67</v>
      </c>
      <c r="H98" s="13">
        <f t="shared" si="1"/>
        <v>0</v>
      </c>
      <c r="I98" s="12" t="s">
        <v>490</v>
      </c>
    </row>
    <row r="99" spans="1:9" hidden="1" x14ac:dyDescent="0.25">
      <c r="A99" s="12">
        <v>97</v>
      </c>
      <c r="B99" s="12" t="s">
        <v>86</v>
      </c>
      <c r="C99" s="12" t="str">
        <f>VLOOKUP(B99,DATA!C:E,3,0)</f>
        <v xml:space="preserve">Bartec Feam Cable Gland; PAP-R-01-MON </v>
      </c>
      <c r="D99" s="12">
        <v>319</v>
      </c>
      <c r="E99" s="12"/>
      <c r="F99" s="12">
        <v>319</v>
      </c>
      <c r="G99" s="12">
        <v>318</v>
      </c>
      <c r="H99" s="13">
        <f t="shared" si="1"/>
        <v>-1</v>
      </c>
      <c r="I99" s="14" t="s">
        <v>482</v>
      </c>
    </row>
    <row r="100" spans="1:9" hidden="1" x14ac:dyDescent="0.25">
      <c r="A100" s="12">
        <v>98</v>
      </c>
      <c r="B100" s="12" t="s">
        <v>88</v>
      </c>
      <c r="C100" s="12" t="str">
        <f>VLOOKUP(B100,DATA!C:E,3,0)</f>
        <v xml:space="preserve">3-SS Cable Glands Including Accessories   (PAP-R-04-MIX) </v>
      </c>
      <c r="D100" s="12">
        <v>118</v>
      </c>
      <c r="E100" s="12"/>
      <c r="F100" s="12">
        <v>118</v>
      </c>
      <c r="G100" s="12">
        <v>118</v>
      </c>
      <c r="H100" s="13">
        <f t="shared" si="1"/>
        <v>0</v>
      </c>
      <c r="I100" s="12" t="s">
        <v>490</v>
      </c>
    </row>
    <row r="101" spans="1:9" hidden="1" x14ac:dyDescent="0.25">
      <c r="A101" s="12">
        <v>99</v>
      </c>
      <c r="B101" s="12" t="s">
        <v>29</v>
      </c>
      <c r="C101" s="12" t="str">
        <f>VLOOKUP(B101,DATA!C:E,3,0)</f>
        <v xml:space="preserve">Bartec, Feam SS Junction Box ESX 8060(600X800X250) </v>
      </c>
      <c r="D101" s="12">
        <v>1</v>
      </c>
      <c r="E101" s="12"/>
      <c r="F101" s="12">
        <v>1</v>
      </c>
      <c r="G101" s="12">
        <v>1</v>
      </c>
      <c r="H101" s="13">
        <f t="shared" si="1"/>
        <v>0</v>
      </c>
      <c r="I101" s="12" t="s">
        <v>490</v>
      </c>
    </row>
    <row r="102" spans="1:9" hidden="1" x14ac:dyDescent="0.25">
      <c r="A102" s="12">
        <v>100</v>
      </c>
      <c r="B102" s="12" t="s">
        <v>230</v>
      </c>
      <c r="C102" s="12" t="str">
        <f>VLOOKUP(B102,DATA!C:E,3,0)</f>
        <v xml:space="preserve">3-SS Cable Gland including Accessories  (PNA-R-04-NIX) </v>
      </c>
      <c r="D102" s="12">
        <v>62</v>
      </c>
      <c r="E102" s="12"/>
      <c r="F102" s="12">
        <v>62</v>
      </c>
      <c r="G102" s="12">
        <v>62</v>
      </c>
      <c r="H102" s="13">
        <f t="shared" si="1"/>
        <v>0</v>
      </c>
      <c r="I102" s="12" t="s">
        <v>490</v>
      </c>
    </row>
    <row r="103" spans="1:9" hidden="1" x14ac:dyDescent="0.25">
      <c r="A103" s="12">
        <v>101</v>
      </c>
      <c r="B103" s="12" t="s">
        <v>427</v>
      </c>
      <c r="C103" s="12" t="str">
        <f>VLOOKUP(B103,DATA!C:E,3,0)</f>
        <v xml:space="preserve">MAKE : BARTEC; SWITCH MODULE Ex db eb IIC TYPE 1NO +1NC Contact; ORDER CODE: 07-3324-4400  </v>
      </c>
      <c r="D103" s="12">
        <v>71</v>
      </c>
      <c r="E103" s="12"/>
      <c r="F103" s="12">
        <v>71</v>
      </c>
      <c r="G103" s="12">
        <v>71</v>
      </c>
      <c r="H103" s="13">
        <f t="shared" si="1"/>
        <v>0</v>
      </c>
      <c r="I103" s="12" t="s">
        <v>490</v>
      </c>
    </row>
    <row r="104" spans="1:9" hidden="1" x14ac:dyDescent="0.25">
      <c r="A104" s="12">
        <v>102</v>
      </c>
      <c r="B104" s="12" t="s">
        <v>232</v>
      </c>
      <c r="C104" s="12" t="str">
        <f>VLOOKUP(B104,DATA!C:E,3,0)</f>
        <v>Bartec Feam Cable Gland; PAP-R-09-NON, MALE 4" NPT in nickle plated brass complete with kit of gaskets in EPDM + FS0904 with all accessories</v>
      </c>
      <c r="D104" s="12">
        <v>27</v>
      </c>
      <c r="E104" s="12"/>
      <c r="F104" s="12">
        <v>27</v>
      </c>
      <c r="G104" s="12">
        <v>27</v>
      </c>
      <c r="H104" s="13">
        <f t="shared" si="1"/>
        <v>0</v>
      </c>
      <c r="I104" s="12" t="s">
        <v>490</v>
      </c>
    </row>
    <row r="105" spans="1:9" hidden="1" x14ac:dyDescent="0.25">
      <c r="A105" s="12">
        <v>103</v>
      </c>
      <c r="B105" s="12" t="s">
        <v>341</v>
      </c>
      <c r="C105" s="12" t="str">
        <f>VLOOKUP(B105,DATA!C:E,3,0)</f>
        <v xml:space="preserve">3-SS Cable Glands Including Accessories  PAP-06 NIX </v>
      </c>
      <c r="D105" s="12">
        <v>252</v>
      </c>
      <c r="E105" s="12"/>
      <c r="F105" s="12">
        <v>252</v>
      </c>
      <c r="G105" s="12">
        <v>252</v>
      </c>
      <c r="H105" s="13">
        <f t="shared" si="1"/>
        <v>0</v>
      </c>
      <c r="I105" s="12" t="s">
        <v>490</v>
      </c>
    </row>
    <row r="106" spans="1:9" hidden="1" x14ac:dyDescent="0.25">
      <c r="A106" s="12">
        <v>104</v>
      </c>
      <c r="B106" s="12" t="s">
        <v>134</v>
      </c>
      <c r="C106" s="12" t="str">
        <f>VLOOKUP(B106,DATA!C:E,3,0)</f>
        <v xml:space="preserve">Bartec, Feam SS Junction Box ESX 4433-6 size 440x330x200MM  </v>
      </c>
      <c r="D106" s="12">
        <v>8</v>
      </c>
      <c r="E106" s="12"/>
      <c r="F106" s="12">
        <v>8</v>
      </c>
      <c r="G106" s="12"/>
      <c r="H106" s="13">
        <f t="shared" si="1"/>
        <v>-8</v>
      </c>
      <c r="I106" s="14" t="s">
        <v>478</v>
      </c>
    </row>
    <row r="107" spans="1:9" hidden="1" x14ac:dyDescent="0.25">
      <c r="A107" s="12">
        <v>105</v>
      </c>
      <c r="B107" s="12" t="s">
        <v>31</v>
      </c>
      <c r="C107" s="12" t="str">
        <f>VLOOKUP(B107,DATA!C:E,3,0)</f>
        <v xml:space="preserve">3-SS Cable Glands Including Accessories (PNA-R-01-MIX) </v>
      </c>
      <c r="D107" s="12">
        <v>512</v>
      </c>
      <c r="E107" s="12"/>
      <c r="F107" s="12">
        <v>512</v>
      </c>
      <c r="G107" s="12">
        <v>512</v>
      </c>
      <c r="H107" s="13">
        <f t="shared" si="1"/>
        <v>0</v>
      </c>
      <c r="I107" s="12" t="s">
        <v>490</v>
      </c>
    </row>
    <row r="108" spans="1:9" hidden="1" x14ac:dyDescent="0.25">
      <c r="A108" s="12">
        <v>106</v>
      </c>
      <c r="B108" s="12" t="s">
        <v>90</v>
      </c>
      <c r="C108" s="12" t="str">
        <f>VLOOKUP(B108,DATA!C:E,3,0)</f>
        <v xml:space="preserve">Bartec M50 SS316 locknut &amp; IP washer </v>
      </c>
      <c r="D108" s="12">
        <v>179</v>
      </c>
      <c r="E108" s="12"/>
      <c r="F108" s="12">
        <v>179</v>
      </c>
      <c r="G108" s="12">
        <v>179</v>
      </c>
      <c r="H108" s="13">
        <f t="shared" si="1"/>
        <v>0</v>
      </c>
      <c r="I108" s="12" t="s">
        <v>490</v>
      </c>
    </row>
    <row r="109" spans="1:9" hidden="1" x14ac:dyDescent="0.25">
      <c r="A109" s="12">
        <v>107</v>
      </c>
      <c r="B109" s="12" t="s">
        <v>33</v>
      </c>
      <c r="C109" s="12" t="str">
        <f>VLOOKUP(B109,DATA!C:E,3,0)</f>
        <v xml:space="preserve">MAKE : BARTEC; Emergency stop Pull to release with labelling; ORDER CODE: 07-3400-N200 </v>
      </c>
      <c r="D109" s="12">
        <v>246</v>
      </c>
      <c r="E109" s="12"/>
      <c r="F109" s="12">
        <v>246</v>
      </c>
      <c r="G109" s="12">
        <v>246</v>
      </c>
      <c r="H109" s="13">
        <f t="shared" si="1"/>
        <v>0</v>
      </c>
      <c r="I109" s="12" t="s">
        <v>490</v>
      </c>
    </row>
    <row r="110" spans="1:9" hidden="1" x14ac:dyDescent="0.25">
      <c r="A110" s="12">
        <v>108</v>
      </c>
      <c r="B110" s="12" t="s">
        <v>170</v>
      </c>
      <c r="C110" s="12" t="str">
        <f>VLOOKUP(B110,DATA!C:E,3,0)</f>
        <v xml:space="preserve">INDICATION LAMP, Green;PN:05-0003-001400 </v>
      </c>
      <c r="D110" s="12">
        <v>6</v>
      </c>
      <c r="E110" s="12"/>
      <c r="F110" s="12">
        <v>6</v>
      </c>
      <c r="G110" s="12">
        <v>6</v>
      </c>
      <c r="H110" s="13">
        <f t="shared" si="1"/>
        <v>0</v>
      </c>
      <c r="I110" s="12" t="s">
        <v>490</v>
      </c>
    </row>
    <row r="111" spans="1:9" hidden="1" x14ac:dyDescent="0.25">
      <c r="A111" s="12">
        <v>109</v>
      </c>
      <c r="B111" s="12" t="s">
        <v>343</v>
      </c>
      <c r="C111" s="12" t="str">
        <f>VLOOKUP(B111,DATA!C:E,3,0)</f>
        <v xml:space="preserve">INDICATION LAMP-Red;PN:05-0003-001300  </v>
      </c>
      <c r="D111" s="12">
        <v>9</v>
      </c>
      <c r="E111" s="12"/>
      <c r="F111" s="12">
        <v>9</v>
      </c>
      <c r="G111" s="12">
        <v>9</v>
      </c>
      <c r="H111" s="13">
        <f t="shared" si="1"/>
        <v>0</v>
      </c>
      <c r="I111" s="12" t="s">
        <v>490</v>
      </c>
    </row>
    <row r="112" spans="1:9" hidden="1" x14ac:dyDescent="0.25">
      <c r="A112" s="12">
        <v>110</v>
      </c>
      <c r="B112" s="12" t="s">
        <v>429</v>
      </c>
      <c r="C112" s="12" t="str">
        <f>VLOOKUP(B112,DATA!C:E,3,0)</f>
        <v xml:space="preserve">Bartec Feam Cable Gland; PAP-R 02 MON + KIT </v>
      </c>
      <c r="D112" s="12">
        <v>724</v>
      </c>
      <c r="E112" s="12"/>
      <c r="F112" s="12">
        <v>724</v>
      </c>
      <c r="G112" s="12">
        <v>723</v>
      </c>
      <c r="H112" s="13">
        <f t="shared" si="1"/>
        <v>-1</v>
      </c>
      <c r="I112" s="14" t="s">
        <v>482</v>
      </c>
    </row>
    <row r="113" spans="1:9" hidden="1" x14ac:dyDescent="0.25">
      <c r="A113" s="12">
        <v>111</v>
      </c>
      <c r="B113" s="12" t="s">
        <v>35</v>
      </c>
      <c r="C113" s="12" t="str">
        <f>VLOOKUP(B113,DATA!C:E,3,0)</f>
        <v xml:space="preserve">Bartec Feam Cable Gland; PAP-R 03 MON + KIT </v>
      </c>
      <c r="D113" s="12">
        <v>663</v>
      </c>
      <c r="E113" s="12"/>
      <c r="F113" s="12">
        <v>663</v>
      </c>
      <c r="G113" s="12">
        <v>663</v>
      </c>
      <c r="H113" s="13">
        <f t="shared" si="1"/>
        <v>0</v>
      </c>
      <c r="I113" s="12" t="s">
        <v>490</v>
      </c>
    </row>
    <row r="114" spans="1:9" hidden="1" x14ac:dyDescent="0.25">
      <c r="A114" s="12">
        <v>112</v>
      </c>
      <c r="B114" s="12" t="s">
        <v>92</v>
      </c>
      <c r="C114" s="12" t="str">
        <f>VLOOKUP(B114,DATA!C:E,3,0)</f>
        <v xml:space="preserve">Bartec Feam Cable Gland; PAP-R 04 MON + KIT </v>
      </c>
      <c r="D114" s="12">
        <v>450</v>
      </c>
      <c r="E114" s="12"/>
      <c r="F114" s="12">
        <v>450</v>
      </c>
      <c r="G114" s="12">
        <v>449</v>
      </c>
      <c r="H114" s="13">
        <f t="shared" si="1"/>
        <v>-1</v>
      </c>
      <c r="I114" s="14" t="s">
        <v>482</v>
      </c>
    </row>
    <row r="115" spans="1:9" hidden="1" x14ac:dyDescent="0.25">
      <c r="A115" s="12">
        <v>113</v>
      </c>
      <c r="B115" s="12" t="s">
        <v>234</v>
      </c>
      <c r="C115" s="12" t="str">
        <f>VLOOKUP(B115,DATA!C:E,3,0)</f>
        <v xml:space="preserve">Bartec Feam Cable Gland; PAP-R 05 MON + KIT </v>
      </c>
      <c r="D115" s="12">
        <v>370</v>
      </c>
      <c r="E115" s="12"/>
      <c r="F115" s="12">
        <v>370</v>
      </c>
      <c r="G115" s="12">
        <v>370</v>
      </c>
      <c r="H115" s="13">
        <f t="shared" si="1"/>
        <v>0</v>
      </c>
      <c r="I115" s="12" t="s">
        <v>490</v>
      </c>
    </row>
    <row r="116" spans="1:9" hidden="1" x14ac:dyDescent="0.25">
      <c r="A116" s="12">
        <v>114</v>
      </c>
      <c r="B116" s="12" t="s">
        <v>136</v>
      </c>
      <c r="C116" s="12" t="str">
        <f>VLOOKUP(B116,DATA!C:E,3,0)</f>
        <v xml:space="preserve">3-SS Cable Glands Including Accessories (PAP-R-06-MIX) </v>
      </c>
      <c r="D116" s="12">
        <v>200</v>
      </c>
      <c r="E116" s="12"/>
      <c r="F116" s="12">
        <v>200</v>
      </c>
      <c r="G116" s="12">
        <v>200</v>
      </c>
      <c r="H116" s="13">
        <f t="shared" si="1"/>
        <v>0</v>
      </c>
      <c r="I116" s="12" t="s">
        <v>490</v>
      </c>
    </row>
    <row r="117" spans="1:9" hidden="1" x14ac:dyDescent="0.25">
      <c r="A117" s="12">
        <v>115</v>
      </c>
      <c r="B117" s="12" t="s">
        <v>172</v>
      </c>
      <c r="C117" s="12" t="str">
        <f>VLOOKUP(B117,DATA!C:E,3,0)</f>
        <v xml:space="preserve">3-SS Cable Glands Including Accessories (PAP-R-07-MIX) </v>
      </c>
      <c r="D117" s="12">
        <v>24</v>
      </c>
      <c r="E117" s="12"/>
      <c r="F117" s="12">
        <v>24</v>
      </c>
      <c r="G117" s="12">
        <v>24</v>
      </c>
      <c r="H117" s="13">
        <f t="shared" si="1"/>
        <v>0</v>
      </c>
      <c r="I117" s="12" t="s">
        <v>490</v>
      </c>
    </row>
    <row r="118" spans="1:9" hidden="1" x14ac:dyDescent="0.25">
      <c r="A118" s="12">
        <v>116</v>
      </c>
      <c r="B118" s="12" t="s">
        <v>345</v>
      </c>
      <c r="C118" s="12" t="str">
        <f>VLOOKUP(B118,DATA!C:E,3,0)</f>
        <v xml:space="preserve">1 X Marine Grade Copper Free Aluminum Instrument Housing w/ two Hubs 3/4" Type EMH92S Ex d IIC </v>
      </c>
      <c r="D118" s="12">
        <v>9</v>
      </c>
      <c r="E118" s="12"/>
      <c r="F118" s="12">
        <v>9</v>
      </c>
      <c r="G118" s="12">
        <v>9</v>
      </c>
      <c r="H118" s="13">
        <f t="shared" si="1"/>
        <v>0</v>
      </c>
      <c r="I118" s="12" t="s">
        <v>490</v>
      </c>
    </row>
    <row r="119" spans="1:9" hidden="1" x14ac:dyDescent="0.25">
      <c r="A119" s="12">
        <v>117</v>
      </c>
      <c r="B119" s="12" t="s">
        <v>94</v>
      </c>
      <c r="C119" s="12" t="str">
        <f>VLOOKUP(B119,DATA!C:E,3,0)</f>
        <v xml:space="preserve">Bartec Feam Cable Gland; PNA-R-02-MIX + KIT </v>
      </c>
      <c r="D119" s="12">
        <v>765</v>
      </c>
      <c r="E119" s="12"/>
      <c r="F119" s="12">
        <v>765</v>
      </c>
      <c r="G119" s="12">
        <v>765</v>
      </c>
      <c r="H119" s="13">
        <f t="shared" si="1"/>
        <v>0</v>
      </c>
      <c r="I119" s="12" t="s">
        <v>490</v>
      </c>
    </row>
    <row r="120" spans="1:9" hidden="1" x14ac:dyDescent="0.25">
      <c r="A120" s="12">
        <v>118</v>
      </c>
      <c r="B120" s="12" t="s">
        <v>236</v>
      </c>
      <c r="C120" s="12" t="str">
        <f>VLOOKUP(B120,DATA!C:E,3,0)</f>
        <v xml:space="preserve">Bartec Feam Cable Gland; PNA-R-02-NIX + KIT </v>
      </c>
      <c r="D120" s="12">
        <v>345</v>
      </c>
      <c r="E120" s="12"/>
      <c r="F120" s="12">
        <v>345</v>
      </c>
      <c r="G120" s="12">
        <v>345</v>
      </c>
      <c r="H120" s="13">
        <f t="shared" si="1"/>
        <v>0</v>
      </c>
      <c r="I120" s="12" t="s">
        <v>490</v>
      </c>
    </row>
    <row r="121" spans="1:9" hidden="1" x14ac:dyDescent="0.25">
      <c r="A121" s="12">
        <v>119</v>
      </c>
      <c r="B121" s="12" t="s">
        <v>96</v>
      </c>
      <c r="C121" s="12" t="str">
        <f>VLOOKUP(B121,DATA!C:E,3,0)</f>
        <v>Bartec, Feam Plugs PLG-06-MON</v>
      </c>
      <c r="D121" s="12">
        <v>86</v>
      </c>
      <c r="E121" s="12"/>
      <c r="F121" s="12">
        <v>86</v>
      </c>
      <c r="G121" s="12">
        <v>86</v>
      </c>
      <c r="H121" s="13">
        <f t="shared" si="1"/>
        <v>0</v>
      </c>
      <c r="I121" s="12" t="s">
        <v>490</v>
      </c>
    </row>
    <row r="122" spans="1:9" hidden="1" x14ac:dyDescent="0.25">
      <c r="A122" s="12">
        <v>120</v>
      </c>
      <c r="B122" s="12" t="s">
        <v>238</v>
      </c>
      <c r="C122" s="12" t="str">
        <f>VLOOKUP(B122,DATA!C:E,3,0)</f>
        <v xml:space="preserve">Bartec, Feam Plugs PLG-06-NON </v>
      </c>
      <c r="D122" s="12">
        <v>327</v>
      </c>
      <c r="E122" s="12"/>
      <c r="F122" s="12">
        <v>327</v>
      </c>
      <c r="G122" s="12">
        <v>327</v>
      </c>
      <c r="H122" s="13">
        <f t="shared" si="1"/>
        <v>0</v>
      </c>
      <c r="I122" s="12" t="s">
        <v>490</v>
      </c>
    </row>
    <row r="123" spans="1:9" hidden="1" x14ac:dyDescent="0.25">
      <c r="A123" s="12">
        <v>121</v>
      </c>
      <c r="B123" s="12" t="s">
        <v>347</v>
      </c>
      <c r="C123" s="12" t="str">
        <f>VLOOKUP(B123,DATA!C:E,3,0)</f>
        <v>Bartec, Feam Plugs; Reducers; REB-02N-02-MIX</v>
      </c>
      <c r="D123" s="12">
        <v>134</v>
      </c>
      <c r="E123" s="12"/>
      <c r="F123" s="12">
        <v>134</v>
      </c>
      <c r="G123" s="12">
        <v>134</v>
      </c>
      <c r="H123" s="13">
        <f t="shared" si="1"/>
        <v>0</v>
      </c>
      <c r="I123" s="12" t="s">
        <v>490</v>
      </c>
    </row>
    <row r="124" spans="1:9" hidden="1" x14ac:dyDescent="0.25">
      <c r="A124" s="12">
        <v>122</v>
      </c>
      <c r="B124" s="12" t="s">
        <v>37</v>
      </c>
      <c r="C124" s="12" t="str">
        <f>VLOOKUP(B124,DATA!C:E,3,0)</f>
        <v>Bartec, Feam Plugs; Reducers; RE-05N-02-NIX</v>
      </c>
      <c r="D124" s="12">
        <v>100</v>
      </c>
      <c r="E124" s="12"/>
      <c r="F124" s="12">
        <v>100</v>
      </c>
      <c r="G124" s="12">
        <v>100</v>
      </c>
      <c r="H124" s="13">
        <f t="shared" si="1"/>
        <v>0</v>
      </c>
      <c r="I124" s="12" t="s">
        <v>490</v>
      </c>
    </row>
    <row r="125" spans="1:9" hidden="1" x14ac:dyDescent="0.25">
      <c r="A125" s="12">
        <v>123</v>
      </c>
      <c r="B125" s="12" t="s">
        <v>174</v>
      </c>
      <c r="C125" s="12" t="str">
        <f>VLOOKUP(B125,DATA!C:E,3,0)</f>
        <v>Bartec, Feam Plugs; Reducers; RE-03N-01-MIX</v>
      </c>
      <c r="D125" s="12">
        <v>100</v>
      </c>
      <c r="E125" s="12"/>
      <c r="F125" s="12">
        <v>100</v>
      </c>
      <c r="G125" s="12">
        <v>100</v>
      </c>
      <c r="H125" s="13">
        <f t="shared" si="1"/>
        <v>0</v>
      </c>
      <c r="I125" s="12" t="s">
        <v>490</v>
      </c>
    </row>
    <row r="126" spans="1:9" hidden="1" x14ac:dyDescent="0.25">
      <c r="A126" s="12">
        <v>124</v>
      </c>
      <c r="B126" s="12" t="s">
        <v>349</v>
      </c>
      <c r="C126" s="12" t="str">
        <f>VLOOKUP(B126,DATA!C:E,3,0)</f>
        <v>Bartec, Feam Plugs; Reducers; RE-04N-01-MIX</v>
      </c>
      <c r="D126" s="12">
        <v>200</v>
      </c>
      <c r="E126" s="12"/>
      <c r="F126" s="12">
        <v>200</v>
      </c>
      <c r="G126" s="12">
        <v>200</v>
      </c>
      <c r="H126" s="13">
        <f t="shared" si="1"/>
        <v>0</v>
      </c>
      <c r="I126" s="12" t="s">
        <v>490</v>
      </c>
    </row>
    <row r="127" spans="1:9" hidden="1" x14ac:dyDescent="0.25">
      <c r="A127" s="12">
        <v>125</v>
      </c>
      <c r="B127" s="12" t="s">
        <v>240</v>
      </c>
      <c r="C127" s="12" t="str">
        <f>VLOOKUP(B127,DATA!C:E,3,0)</f>
        <v>Bartec, Feam Plugs; Reducers; RE-04N-03-NIX</v>
      </c>
      <c r="D127" s="12">
        <v>44</v>
      </c>
      <c r="E127" s="12"/>
      <c r="F127" s="12">
        <v>44</v>
      </c>
      <c r="G127" s="12">
        <v>44</v>
      </c>
      <c r="H127" s="13">
        <f t="shared" si="1"/>
        <v>0</v>
      </c>
      <c r="I127" s="12" t="s">
        <v>490</v>
      </c>
    </row>
    <row r="128" spans="1:9" hidden="1" x14ac:dyDescent="0.25">
      <c r="A128" s="12">
        <v>126</v>
      </c>
      <c r="B128" s="12" t="s">
        <v>176</v>
      </c>
      <c r="C128" s="12" t="str">
        <f>VLOOKUP(B128,DATA!C:E,3,0)</f>
        <v>Bartec, Feam Plugs; Reducers; RE-03N-02-NIX</v>
      </c>
      <c r="D128" s="12">
        <v>4</v>
      </c>
      <c r="E128" s="12"/>
      <c r="F128" s="12">
        <v>4</v>
      </c>
      <c r="G128" s="12">
        <v>4</v>
      </c>
      <c r="H128" s="13">
        <f t="shared" si="1"/>
        <v>0</v>
      </c>
      <c r="I128" s="12" t="s">
        <v>490</v>
      </c>
    </row>
    <row r="129" spans="1:9" hidden="1" x14ac:dyDescent="0.25">
      <c r="A129" s="12">
        <v>127</v>
      </c>
      <c r="B129" s="12" t="s">
        <v>138</v>
      </c>
      <c r="C129" s="12" t="str">
        <f>VLOOKUP(B129,DATA!C:E,3,0)</f>
        <v>Bartec, Feam Plugs; Reducers; REB-02N-01-MIX</v>
      </c>
      <c r="D129" s="12">
        <v>86</v>
      </c>
      <c r="E129" s="12"/>
      <c r="F129" s="12">
        <v>86</v>
      </c>
      <c r="G129" s="12">
        <v>86</v>
      </c>
      <c r="H129" s="13">
        <f t="shared" si="1"/>
        <v>0</v>
      </c>
      <c r="I129" s="12" t="s">
        <v>490</v>
      </c>
    </row>
    <row r="130" spans="1:9" hidden="1" x14ac:dyDescent="0.25">
      <c r="A130" s="12">
        <v>128</v>
      </c>
      <c r="B130" s="12" t="s">
        <v>178</v>
      </c>
      <c r="C130" s="12" t="str">
        <f>VLOOKUP(B130,DATA!C:E,3,0)</f>
        <v>Bartec, Feam Plugs; Reducers; RE-02N-01-MIX</v>
      </c>
      <c r="D130" s="12">
        <v>103</v>
      </c>
      <c r="E130" s="12"/>
      <c r="F130" s="12">
        <v>103</v>
      </c>
      <c r="G130" s="12">
        <v>103</v>
      </c>
      <c r="H130" s="13">
        <f t="shared" si="1"/>
        <v>0</v>
      </c>
      <c r="I130" s="12" t="s">
        <v>490</v>
      </c>
    </row>
    <row r="131" spans="1:9" hidden="1" x14ac:dyDescent="0.25">
      <c r="A131" s="12">
        <v>129</v>
      </c>
      <c r="B131" s="12" t="s">
        <v>288</v>
      </c>
      <c r="C131" s="12" t="str">
        <f>VLOOKUP(B131,DATA!C:E,3,0)</f>
        <v xml:space="preserve">M20 NPTM x 1/2" NPTF Adapter SS316 EXD; Model:REB01N01MIX </v>
      </c>
      <c r="D131" s="12">
        <v>2</v>
      </c>
      <c r="E131" s="12"/>
      <c r="F131" s="12">
        <v>2</v>
      </c>
      <c r="G131" s="12">
        <v>2</v>
      </c>
      <c r="H131" s="13">
        <f t="shared" ref="H131:H194" si="2">G131-F131</f>
        <v>0</v>
      </c>
      <c r="I131" s="12" t="s">
        <v>490</v>
      </c>
    </row>
    <row r="132" spans="1:9" hidden="1" x14ac:dyDescent="0.25">
      <c r="A132" s="12">
        <v>130</v>
      </c>
      <c r="B132" s="12" t="s">
        <v>39</v>
      </c>
      <c r="C132" s="12" t="str">
        <f>VLOOKUP(B132,DATA!C:E,3,0)</f>
        <v xml:space="preserve">Bartec; SS316L Drain &amp; Breather ECD1 NIX 1/2",Exd rated </v>
      </c>
      <c r="D132" s="12">
        <v>33</v>
      </c>
      <c r="E132" s="12"/>
      <c r="F132" s="12">
        <v>33</v>
      </c>
      <c r="G132" s="12">
        <v>32</v>
      </c>
      <c r="H132" s="13">
        <f t="shared" si="2"/>
        <v>-1</v>
      </c>
      <c r="I132" s="14" t="s">
        <v>484</v>
      </c>
    </row>
    <row r="133" spans="1:9" hidden="1" x14ac:dyDescent="0.25">
      <c r="A133" s="12">
        <v>131</v>
      </c>
      <c r="B133" s="12" t="s">
        <v>180</v>
      </c>
      <c r="C133" s="12" t="str">
        <f>VLOOKUP(B133,DATA!C:E,3,0)</f>
        <v xml:space="preserve">Bartec Feam Cable Gland; PNA-R-08 NIX + KIT </v>
      </c>
      <c r="D133" s="12">
        <v>25</v>
      </c>
      <c r="E133" s="12"/>
      <c r="F133" s="12">
        <v>25</v>
      </c>
      <c r="G133" s="12">
        <v>25</v>
      </c>
      <c r="H133" s="13">
        <f t="shared" si="2"/>
        <v>0</v>
      </c>
      <c r="I133" s="12" t="s">
        <v>490</v>
      </c>
    </row>
    <row r="134" spans="1:9" hidden="1" x14ac:dyDescent="0.25">
      <c r="A134" s="12">
        <v>132</v>
      </c>
      <c r="B134" s="12" t="s">
        <v>242</v>
      </c>
      <c r="C134" s="12" t="str">
        <f>VLOOKUP(B134,DATA!C:E,3,0)</f>
        <v xml:space="preserve">Yellow Lamp Module: 07-3353-4130 </v>
      </c>
      <c r="D134" s="12">
        <v>50</v>
      </c>
      <c r="E134" s="12"/>
      <c r="F134" s="12">
        <v>50</v>
      </c>
      <c r="G134" s="12">
        <v>50</v>
      </c>
      <c r="H134" s="13">
        <f t="shared" si="2"/>
        <v>0</v>
      </c>
      <c r="I134" s="12" t="s">
        <v>490</v>
      </c>
    </row>
    <row r="135" spans="1:9" hidden="1" x14ac:dyDescent="0.25">
      <c r="A135" s="12">
        <v>133</v>
      </c>
      <c r="B135" s="12" t="s">
        <v>140</v>
      </c>
      <c r="C135" s="12" t="str">
        <f>VLOOKUP(B135,DATA!C:E,3,0)</f>
        <v xml:space="preserve">Yellow Lamp Module Actuator: 05-0003-001500  </v>
      </c>
      <c r="D135" s="12">
        <v>50</v>
      </c>
      <c r="E135" s="12"/>
      <c r="F135" s="12">
        <v>50</v>
      </c>
      <c r="G135" s="12">
        <v>50</v>
      </c>
      <c r="H135" s="13">
        <f t="shared" si="2"/>
        <v>0</v>
      </c>
      <c r="I135" s="12" t="s">
        <v>490</v>
      </c>
    </row>
    <row r="136" spans="1:9" hidden="1" x14ac:dyDescent="0.25">
      <c r="A136" s="12">
        <v>134</v>
      </c>
      <c r="B136" s="12" t="s">
        <v>182</v>
      </c>
      <c r="C136" s="12" t="str">
        <f>VLOOKUP(B136,DATA!C:E,3,0)</f>
        <v xml:space="preserve">BartecL;Push Button;PN:05-0003-000700  </v>
      </c>
      <c r="D136" s="12">
        <v>95</v>
      </c>
      <c r="E136" s="12"/>
      <c r="F136" s="12">
        <v>95</v>
      </c>
      <c r="G136" s="12">
        <v>95</v>
      </c>
      <c r="H136" s="13">
        <f t="shared" si="2"/>
        <v>0</v>
      </c>
      <c r="I136" s="12" t="s">
        <v>490</v>
      </c>
    </row>
    <row r="137" spans="1:9" hidden="1" x14ac:dyDescent="0.25">
      <c r="A137" s="12">
        <v>135</v>
      </c>
      <c r="B137" s="12" t="s">
        <v>98</v>
      </c>
      <c r="C137" s="12" t="str">
        <f>VLOOKUP(B137,DATA!C:E,3,0)</f>
        <v>Bartec Feam Cable Gland; PAP-R01-MXX , male M20 in Stainless steel complete with Kit of gaskets in EPDDM + FS0904</v>
      </c>
      <c r="D137" s="12">
        <v>8</v>
      </c>
      <c r="E137" s="12"/>
      <c r="F137" s="12">
        <v>8</v>
      </c>
      <c r="G137" s="12">
        <v>8</v>
      </c>
      <c r="H137" s="13">
        <f t="shared" si="2"/>
        <v>0</v>
      </c>
      <c r="I137" s="12" t="s">
        <v>490</v>
      </c>
    </row>
    <row r="138" spans="1:9" hidden="1" x14ac:dyDescent="0.25">
      <c r="A138" s="12">
        <v>136</v>
      </c>
      <c r="B138" s="12" t="s">
        <v>351</v>
      </c>
      <c r="C138" s="12" t="str">
        <f>VLOOKUP(B138,DATA!C:E,3,0)</f>
        <v xml:space="preserve">Barrier cable gland, armored cable type PAP-R-01-NXX execution Ex d/e/I IIC, size 1 , male 1/2" NPT, in stainless steel complete with kit of gaskets in EPDM + Accessories + FS0904-1 </v>
      </c>
      <c r="D138" s="12">
        <v>108</v>
      </c>
      <c r="E138" s="12"/>
      <c r="F138" s="12">
        <v>108</v>
      </c>
      <c r="G138" s="12">
        <v>108</v>
      </c>
      <c r="H138" s="13">
        <f t="shared" si="2"/>
        <v>0</v>
      </c>
      <c r="I138" s="12" t="s">
        <v>490</v>
      </c>
    </row>
    <row r="139" spans="1:9" hidden="1" x14ac:dyDescent="0.25">
      <c r="A139" s="12">
        <v>137</v>
      </c>
      <c r="B139" s="12" t="s">
        <v>431</v>
      </c>
      <c r="C139" s="12" t="str">
        <f>VLOOKUP(B139,DATA!C:E,3,0)</f>
        <v>Bartec Reducer; RE02N01-NXX + Kit</v>
      </c>
      <c r="D139" s="12">
        <v>603</v>
      </c>
      <c r="E139" s="12"/>
      <c r="F139" s="12">
        <v>603</v>
      </c>
      <c r="G139" s="12">
        <v>103</v>
      </c>
      <c r="H139" s="13">
        <f t="shared" si="2"/>
        <v>-500</v>
      </c>
      <c r="I139" s="14" t="s">
        <v>486</v>
      </c>
    </row>
    <row r="140" spans="1:9" hidden="1" x14ac:dyDescent="0.25">
      <c r="A140" s="12">
        <v>138</v>
      </c>
      <c r="B140" s="12" t="s">
        <v>100</v>
      </c>
      <c r="C140" s="12" t="str">
        <f>VLOOKUP(B140,DATA!C:E,3,0)</f>
        <v>Bartec Feam Cable Gland; PAP-01-MXX + Kit</v>
      </c>
      <c r="D140" s="12">
        <v>1637</v>
      </c>
      <c r="E140" s="12"/>
      <c r="F140" s="12">
        <v>1637</v>
      </c>
      <c r="G140" s="12">
        <v>1637</v>
      </c>
      <c r="H140" s="13">
        <f t="shared" si="2"/>
        <v>0</v>
      </c>
      <c r="I140" s="12" t="s">
        <v>490</v>
      </c>
    </row>
    <row r="141" spans="1:9" hidden="1" x14ac:dyDescent="0.25">
      <c r="A141" s="12">
        <v>139</v>
      </c>
      <c r="B141" s="12" t="s">
        <v>290</v>
      </c>
      <c r="C141" s="12" t="str">
        <f>VLOOKUP(B141,DATA!C:E,3,0)</f>
        <v>Bartec Feam Cable Gland; PAP-02-MXX + Kit</v>
      </c>
      <c r="D141" s="12">
        <v>1836</v>
      </c>
      <c r="E141" s="12"/>
      <c r="F141" s="12">
        <v>1836</v>
      </c>
      <c r="G141" s="12">
        <v>1836</v>
      </c>
      <c r="H141" s="13">
        <f t="shared" si="2"/>
        <v>0</v>
      </c>
      <c r="I141" s="12" t="s">
        <v>490</v>
      </c>
    </row>
    <row r="142" spans="1:9" hidden="1" x14ac:dyDescent="0.25">
      <c r="A142" s="12">
        <v>140</v>
      </c>
      <c r="B142" s="12" t="s">
        <v>102</v>
      </c>
      <c r="C142" s="12" t="str">
        <f>VLOOKUP(B142,DATA!C:E,3,0)</f>
        <v>Bartec, Feam Plugs PLG-07-NON</v>
      </c>
      <c r="D142" s="12">
        <v>160</v>
      </c>
      <c r="E142" s="12"/>
      <c r="F142" s="12">
        <v>160</v>
      </c>
      <c r="G142" s="12">
        <v>160</v>
      </c>
      <c r="H142" s="13">
        <f t="shared" si="2"/>
        <v>0</v>
      </c>
      <c r="I142" s="12" t="s">
        <v>490</v>
      </c>
    </row>
    <row r="143" spans="1:9" hidden="1" x14ac:dyDescent="0.25">
      <c r="A143" s="12">
        <v>141</v>
      </c>
      <c r="B143" s="12" t="s">
        <v>184</v>
      </c>
      <c r="C143" s="12" t="str">
        <f>VLOOKUP(B143,DATA!C:E,3,0)</f>
        <v xml:space="preserve">Bartec, Feam Plugs PLG-08-NON </v>
      </c>
      <c r="D143" s="12">
        <v>118</v>
      </c>
      <c r="E143" s="12"/>
      <c r="F143" s="12">
        <v>118</v>
      </c>
      <c r="G143" s="12">
        <v>118</v>
      </c>
      <c r="H143" s="13">
        <f t="shared" si="2"/>
        <v>0</v>
      </c>
      <c r="I143" s="12" t="s">
        <v>490</v>
      </c>
    </row>
    <row r="144" spans="1:9" hidden="1" x14ac:dyDescent="0.25">
      <c r="A144" s="12">
        <v>142</v>
      </c>
      <c r="B144" s="12" t="s">
        <v>433</v>
      </c>
      <c r="C144" s="12" t="str">
        <f>VLOOKUP(B144,DATA!C:E,3,0)</f>
        <v>Switch ON/OFF, 2 Poles 16A EFSC1</v>
      </c>
      <c r="D144" s="12">
        <v>1</v>
      </c>
      <c r="E144" s="12"/>
      <c r="F144" s="12">
        <v>1</v>
      </c>
      <c r="G144" s="12">
        <v>1</v>
      </c>
      <c r="H144" s="13">
        <f t="shared" si="2"/>
        <v>0</v>
      </c>
      <c r="I144" s="12" t="s">
        <v>490</v>
      </c>
    </row>
    <row r="145" spans="1:9" hidden="1" x14ac:dyDescent="0.25">
      <c r="A145" s="12">
        <v>143</v>
      </c>
      <c r="B145" s="12" t="s">
        <v>353</v>
      </c>
      <c r="C145" s="12" t="str">
        <f>VLOOKUP(B145,DATA!C:E,3,0)</f>
        <v>Lamp Accessories; 05-0003-000900</v>
      </c>
      <c r="D145" s="12">
        <v>25</v>
      </c>
      <c r="E145" s="12"/>
      <c r="F145" s="12">
        <v>25</v>
      </c>
      <c r="G145" s="12">
        <v>25</v>
      </c>
      <c r="H145" s="13">
        <f t="shared" si="2"/>
        <v>0</v>
      </c>
      <c r="I145" s="12" t="s">
        <v>490</v>
      </c>
    </row>
    <row r="146" spans="1:9" hidden="1" x14ac:dyDescent="0.25">
      <c r="A146" s="12">
        <v>144</v>
      </c>
      <c r="B146" s="12" t="s">
        <v>244</v>
      </c>
      <c r="C146" s="12" t="str">
        <f>VLOOKUP(B146,DATA!C:E,3,0)</f>
        <v xml:space="preserve">MAKE : BARTEC; LAMP MODULE Ex db eb IIC TYPE AC/DC WHITE; ORDER CODE: 07-3354-4140 </v>
      </c>
      <c r="D146" s="12">
        <v>28</v>
      </c>
      <c r="E146" s="12"/>
      <c r="F146" s="12">
        <v>28</v>
      </c>
      <c r="G146" s="12">
        <v>13</v>
      </c>
      <c r="H146" s="13">
        <f t="shared" si="2"/>
        <v>-15</v>
      </c>
      <c r="I146" s="14" t="s">
        <v>487</v>
      </c>
    </row>
    <row r="147" spans="1:9" hidden="1" x14ac:dyDescent="0.25">
      <c r="A147" s="12">
        <v>145</v>
      </c>
      <c r="B147" s="12" t="s">
        <v>292</v>
      </c>
      <c r="C147" s="12" t="str">
        <f>VLOOKUP(B147,DATA!C:E,3,0)</f>
        <v xml:space="preserve">MAKE : BARTEC; II 2G Ex eb IIC Gb White Indication Lamp; ORDER CODE: 07-3400-LW00 </v>
      </c>
      <c r="D147" s="12">
        <v>28</v>
      </c>
      <c r="E147" s="12"/>
      <c r="F147" s="12">
        <v>28</v>
      </c>
      <c r="G147" s="12">
        <v>13</v>
      </c>
      <c r="H147" s="13">
        <f t="shared" si="2"/>
        <v>-15</v>
      </c>
      <c r="I147" s="14" t="s">
        <v>487</v>
      </c>
    </row>
    <row r="148" spans="1:9" hidden="1" x14ac:dyDescent="0.25">
      <c r="A148" s="12">
        <v>146</v>
      </c>
      <c r="B148" s="12" t="s">
        <v>142</v>
      </c>
      <c r="C148" s="12" t="str">
        <f>VLOOKUP(B148,DATA!C:E,3,0)</f>
        <v xml:space="preserve">Selector switch 3 position PN:05-0003-001000 </v>
      </c>
      <c r="D148" s="12">
        <v>65</v>
      </c>
      <c r="E148" s="12"/>
      <c r="F148" s="12">
        <v>65</v>
      </c>
      <c r="G148" s="12">
        <v>65</v>
      </c>
      <c r="H148" s="13">
        <f t="shared" si="2"/>
        <v>0</v>
      </c>
      <c r="I148" s="12" t="s">
        <v>490</v>
      </c>
    </row>
    <row r="149" spans="1:9" hidden="1" x14ac:dyDescent="0.25">
      <c r="A149" s="12">
        <v>147</v>
      </c>
      <c r="B149" s="12" t="s">
        <v>246</v>
      </c>
      <c r="C149" s="12" t="str">
        <f>VLOOKUP(B149,DATA!C:E,3,0)</f>
        <v>Bartec Product; REB-01N01MXX</v>
      </c>
      <c r="D149" s="12">
        <v>897</v>
      </c>
      <c r="E149" s="12"/>
      <c r="F149" s="12">
        <v>897</v>
      </c>
      <c r="G149" s="12">
        <v>897</v>
      </c>
      <c r="H149" s="13">
        <f t="shared" si="2"/>
        <v>0</v>
      </c>
      <c r="I149" s="12" t="s">
        <v>490</v>
      </c>
    </row>
    <row r="150" spans="1:9" hidden="1" x14ac:dyDescent="0.25">
      <c r="A150" s="12">
        <v>148</v>
      </c>
      <c r="B150" s="12" t="s">
        <v>42</v>
      </c>
      <c r="C150" s="12" t="str">
        <f>VLOOKUP(B150,DATA!C:E,3,0)</f>
        <v>Bartec Product; REB-02N01MXX</v>
      </c>
      <c r="D150" s="12">
        <v>136</v>
      </c>
      <c r="E150" s="12"/>
      <c r="F150" s="12">
        <v>136</v>
      </c>
      <c r="G150" s="12">
        <v>136</v>
      </c>
      <c r="H150" s="13">
        <f t="shared" si="2"/>
        <v>0</v>
      </c>
      <c r="I150" s="12" t="s">
        <v>490</v>
      </c>
    </row>
    <row r="151" spans="1:9" hidden="1" x14ac:dyDescent="0.25">
      <c r="A151" s="12">
        <v>149</v>
      </c>
      <c r="B151" s="12" t="s">
        <v>186</v>
      </c>
      <c r="C151" s="12" t="str">
        <f>VLOOKUP(B151,DATA!C:E,3,0)</f>
        <v>Bartec Product; REB-03N02MXX</v>
      </c>
      <c r="D151" s="12">
        <v>249</v>
      </c>
      <c r="E151" s="12"/>
      <c r="F151" s="12">
        <v>249</v>
      </c>
      <c r="G151" s="12">
        <v>249</v>
      </c>
      <c r="H151" s="13">
        <f t="shared" si="2"/>
        <v>0</v>
      </c>
      <c r="I151" s="12" t="s">
        <v>490</v>
      </c>
    </row>
    <row r="152" spans="1:9" hidden="1" x14ac:dyDescent="0.25">
      <c r="A152" s="12">
        <v>150</v>
      </c>
      <c r="B152" s="12" t="s">
        <v>355</v>
      </c>
      <c r="C152" s="12" t="str">
        <f>VLOOKUP(B152,DATA!C:E,3,0)</f>
        <v>Bartec Product; REB-04N03MXX</v>
      </c>
      <c r="D152" s="12">
        <v>100</v>
      </c>
      <c r="E152" s="12"/>
      <c r="F152" s="12">
        <v>100</v>
      </c>
      <c r="G152" s="12">
        <v>100</v>
      </c>
      <c r="H152" s="13">
        <f t="shared" si="2"/>
        <v>0</v>
      </c>
      <c r="I152" s="12" t="s">
        <v>490</v>
      </c>
    </row>
    <row r="153" spans="1:9" hidden="1" x14ac:dyDescent="0.25">
      <c r="A153" s="12">
        <v>151</v>
      </c>
      <c r="B153" s="12" t="s">
        <v>104</v>
      </c>
      <c r="C153" s="12" t="str">
        <f>VLOOKUP(B153,DATA!C:E,3,0)</f>
        <v>Bartec Product; RE-02N01MXX</v>
      </c>
      <c r="D153" s="12">
        <v>176</v>
      </c>
      <c r="E153" s="12"/>
      <c r="F153" s="12">
        <v>176</v>
      </c>
      <c r="G153" s="12">
        <v>176</v>
      </c>
      <c r="H153" s="13">
        <f t="shared" si="2"/>
        <v>0</v>
      </c>
      <c r="I153" s="12" t="s">
        <v>490</v>
      </c>
    </row>
    <row r="154" spans="1:9" hidden="1" x14ac:dyDescent="0.25">
      <c r="A154" s="12">
        <v>152</v>
      </c>
      <c r="B154" s="12" t="s">
        <v>435</v>
      </c>
      <c r="C154" s="12" t="str">
        <f>VLOOKUP(B154,DATA!C:E,3,0)</f>
        <v xml:space="preserve">Bartec cable gland, Unarmored cable type PNA-03-NXX execution Ex d/e/I IIC, size 3 , male 1" NPT, in stainless steel complete with kit of gaskets in EPDM + Accessories </v>
      </c>
      <c r="D154" s="12">
        <v>400</v>
      </c>
      <c r="E154" s="12"/>
      <c r="F154" s="12">
        <v>400</v>
      </c>
      <c r="G154" s="12">
        <v>400</v>
      </c>
      <c r="H154" s="13">
        <f t="shared" si="2"/>
        <v>0</v>
      </c>
      <c r="I154" s="12" t="s">
        <v>490</v>
      </c>
    </row>
    <row r="155" spans="1:9" hidden="1" x14ac:dyDescent="0.25">
      <c r="A155" s="12">
        <v>153</v>
      </c>
      <c r="B155" s="12" t="s">
        <v>248</v>
      </c>
      <c r="C155" s="12" t="str">
        <f>VLOOKUP(B155,DATA!C:E,3,0)</f>
        <v xml:space="preserve">Bartec cable gland, Unarmored cable type PNA-04-NXX execution Ex d/e/I IIC, size 4 , male 1 1/4" NPT, in stainless steel complete with kit of gaskets in EPDM + Accessories </v>
      </c>
      <c r="D155" s="12">
        <v>265</v>
      </c>
      <c r="E155" s="12"/>
      <c r="F155" s="12">
        <v>265</v>
      </c>
      <c r="G155" s="12">
        <v>265</v>
      </c>
      <c r="H155" s="13">
        <f t="shared" si="2"/>
        <v>0</v>
      </c>
      <c r="I155" s="12" t="s">
        <v>490</v>
      </c>
    </row>
    <row r="156" spans="1:9" hidden="1" x14ac:dyDescent="0.25">
      <c r="A156" s="12">
        <v>154</v>
      </c>
      <c r="B156" s="12" t="s">
        <v>188</v>
      </c>
      <c r="C156" s="12" t="str">
        <f>VLOOKUP(B156,DATA!C:E,3,0)</f>
        <v xml:space="preserve">Bartec Product; SS316L PAP-01-NXX+kit accessories Bartec cable gland, armored cable type PAP-01-NXX execution Ex d/e/I IIC, size 1 , male 1/2" NPT, in stainless steel complete with kit of gaskets in EPDM + Accessories </v>
      </c>
      <c r="D156" s="12">
        <v>405</v>
      </c>
      <c r="E156" s="12"/>
      <c r="F156" s="12">
        <v>405</v>
      </c>
      <c r="G156" s="12">
        <v>405</v>
      </c>
      <c r="H156" s="13">
        <f t="shared" si="2"/>
        <v>0</v>
      </c>
      <c r="I156" s="12" t="s">
        <v>490</v>
      </c>
    </row>
    <row r="157" spans="1:9" hidden="1" x14ac:dyDescent="0.25">
      <c r="A157" s="12">
        <v>155</v>
      </c>
      <c r="B157" s="12" t="s">
        <v>357</v>
      </c>
      <c r="C157" s="12" t="str">
        <f>VLOOKUP(B157,DATA!C:E,3,0)</f>
        <v>Bartec Product; SS316L PAP-02-NXX+kit accessories</v>
      </c>
      <c r="D157" s="12">
        <v>40</v>
      </c>
      <c r="E157" s="12"/>
      <c r="F157" s="12">
        <v>40</v>
      </c>
      <c r="G157" s="12">
        <v>40</v>
      </c>
      <c r="H157" s="13">
        <f t="shared" si="2"/>
        <v>0</v>
      </c>
      <c r="I157" s="12" t="s">
        <v>490</v>
      </c>
    </row>
    <row r="158" spans="1:9" hidden="1" x14ac:dyDescent="0.25">
      <c r="A158" s="12">
        <v>156</v>
      </c>
      <c r="B158" s="12" t="s">
        <v>437</v>
      </c>
      <c r="C158" s="12" t="str">
        <f>VLOOKUP(B158,DATA!C:E,3,0)</f>
        <v>Bartec Product; SS316L PAP-03-NXX+kit accessories</v>
      </c>
      <c r="D158" s="12">
        <v>89</v>
      </c>
      <c r="E158" s="12"/>
      <c r="F158" s="12">
        <v>89</v>
      </c>
      <c r="G158" s="12">
        <v>89</v>
      </c>
      <c r="H158" s="13">
        <f t="shared" si="2"/>
        <v>0</v>
      </c>
      <c r="I158" s="12" t="s">
        <v>490</v>
      </c>
    </row>
    <row r="159" spans="1:9" hidden="1" x14ac:dyDescent="0.25">
      <c r="A159" s="12">
        <v>157</v>
      </c>
      <c r="B159" s="12" t="s">
        <v>359</v>
      </c>
      <c r="C159" s="12" t="str">
        <f>VLOOKUP(B159,DATA!C:E,3,0)</f>
        <v>Bartec Product; SS316L PAP-06-NXX+kit accessories</v>
      </c>
      <c r="D159" s="12">
        <v>100</v>
      </c>
      <c r="E159" s="12"/>
      <c r="F159" s="12">
        <v>100</v>
      </c>
      <c r="G159" s="12">
        <v>100</v>
      </c>
      <c r="H159" s="13">
        <f t="shared" si="2"/>
        <v>0</v>
      </c>
      <c r="I159" s="12" t="s">
        <v>490</v>
      </c>
    </row>
    <row r="160" spans="1:9" hidden="1" x14ac:dyDescent="0.25">
      <c r="A160" s="12">
        <v>158</v>
      </c>
      <c r="B160" s="12" t="s">
        <v>250</v>
      </c>
      <c r="C160" s="12" t="str">
        <f>VLOOKUP(B160,DATA!C:E,3,0)</f>
        <v>Bartec Product; SS316L PAP-R-04-NXX+kit accessories</v>
      </c>
      <c r="D160" s="12">
        <v>650</v>
      </c>
      <c r="E160" s="12"/>
      <c r="F160" s="12">
        <v>650</v>
      </c>
      <c r="G160" s="12">
        <v>650</v>
      </c>
      <c r="H160" s="13">
        <f t="shared" si="2"/>
        <v>0</v>
      </c>
      <c r="I160" s="12" t="s">
        <v>490</v>
      </c>
    </row>
    <row r="161" spans="1:9" hidden="1" x14ac:dyDescent="0.25">
      <c r="A161" s="12">
        <v>159</v>
      </c>
      <c r="B161" s="12" t="s">
        <v>44</v>
      </c>
      <c r="C161" s="12" t="str">
        <f>VLOOKUP(B161,DATA!C:E,3,0)</f>
        <v>Bartec Product; SS316L PAP-R-05-NXX+kit accessories</v>
      </c>
      <c r="D161" s="12">
        <v>502</v>
      </c>
      <c r="E161" s="12"/>
      <c r="F161" s="12">
        <v>502</v>
      </c>
      <c r="G161" s="12">
        <v>502</v>
      </c>
      <c r="H161" s="13">
        <f t="shared" si="2"/>
        <v>0</v>
      </c>
      <c r="I161" s="12" t="s">
        <v>490</v>
      </c>
    </row>
    <row r="162" spans="1:9" hidden="1" x14ac:dyDescent="0.25">
      <c r="A162" s="12">
        <v>160</v>
      </c>
      <c r="B162" s="12" t="s">
        <v>106</v>
      </c>
      <c r="C162" s="12" t="str">
        <f>VLOOKUP(B162,DATA!C:E,3,0)</f>
        <v>Bartec Product; SS316L PAP-R-06-NXX+kit accessories</v>
      </c>
      <c r="D162" s="12">
        <v>224</v>
      </c>
      <c r="E162" s="12"/>
      <c r="F162" s="12">
        <v>224</v>
      </c>
      <c r="G162" s="12">
        <v>224</v>
      </c>
      <c r="H162" s="13">
        <f t="shared" si="2"/>
        <v>0</v>
      </c>
      <c r="I162" s="12" t="s">
        <v>490</v>
      </c>
    </row>
    <row r="163" spans="1:9" hidden="1" x14ac:dyDescent="0.25">
      <c r="A163" s="12">
        <v>161</v>
      </c>
      <c r="B163" s="12" t="s">
        <v>46</v>
      </c>
      <c r="C163" s="12" t="str">
        <f>VLOOKUP(B163,DATA!C:E,3,0)</f>
        <v>Bartec Product; SS316L PNA-04-MXX+kit accessories</v>
      </c>
      <c r="D163" s="12">
        <v>88</v>
      </c>
      <c r="E163" s="12"/>
      <c r="F163" s="12">
        <v>88</v>
      </c>
      <c r="G163" s="12">
        <v>88</v>
      </c>
      <c r="H163" s="13">
        <f t="shared" si="2"/>
        <v>0</v>
      </c>
      <c r="I163" s="12" t="s">
        <v>490</v>
      </c>
    </row>
    <row r="164" spans="1:9" hidden="1" x14ac:dyDescent="0.25">
      <c r="A164" s="12">
        <v>162</v>
      </c>
      <c r="B164" s="12" t="s">
        <v>439</v>
      </c>
      <c r="C164" s="12" t="str">
        <f>VLOOKUP(B164,DATA!C:E,3,0)</f>
        <v>Bartec Product; SS316L PNA-05-MXX+kit accessories</v>
      </c>
      <c r="D164" s="12">
        <v>37</v>
      </c>
      <c r="E164" s="12"/>
      <c r="F164" s="12">
        <v>37</v>
      </c>
      <c r="G164" s="12">
        <v>37</v>
      </c>
      <c r="H164" s="13">
        <f t="shared" si="2"/>
        <v>0</v>
      </c>
      <c r="I164" s="12" t="s">
        <v>490</v>
      </c>
    </row>
    <row r="165" spans="1:9" hidden="1" x14ac:dyDescent="0.25">
      <c r="A165" s="12">
        <v>163</v>
      </c>
      <c r="B165" s="12" t="s">
        <v>252</v>
      </c>
      <c r="C165" s="12" t="str">
        <f>VLOOKUP(B165,DATA!C:E,3,0)</f>
        <v>Bartec Product; SS316L 1-1/2" MALE TO 3/4" FEMALE TYPE RE#05N02NXX</v>
      </c>
      <c r="D165" s="12">
        <v>1113</v>
      </c>
      <c r="E165" s="12"/>
      <c r="F165" s="12">
        <v>1113</v>
      </c>
      <c r="G165" s="12">
        <v>1113</v>
      </c>
      <c r="H165" s="13">
        <f t="shared" si="2"/>
        <v>0</v>
      </c>
      <c r="I165" s="12" t="s">
        <v>490</v>
      </c>
    </row>
    <row r="166" spans="1:9" hidden="1" x14ac:dyDescent="0.25">
      <c r="A166" s="12">
        <v>164</v>
      </c>
      <c r="B166" s="12" t="s">
        <v>361</v>
      </c>
      <c r="C166" s="12" t="str">
        <f>VLOOKUP(B166,DATA!C:E,3,0)</f>
        <v>Bartec Product; SS316L 3/4" MALE TO 1/2" FEMALE TYPE RE#02N01NXX</v>
      </c>
      <c r="D166" s="12">
        <v>30</v>
      </c>
      <c r="E166" s="12"/>
      <c r="F166" s="12">
        <v>30</v>
      </c>
      <c r="G166" s="12">
        <v>30</v>
      </c>
      <c r="H166" s="13">
        <f t="shared" si="2"/>
        <v>0</v>
      </c>
      <c r="I166" s="12" t="s">
        <v>490</v>
      </c>
    </row>
    <row r="167" spans="1:9" hidden="1" x14ac:dyDescent="0.25">
      <c r="A167" s="12">
        <v>165</v>
      </c>
      <c r="B167" s="12" t="s">
        <v>190</v>
      </c>
      <c r="C167" s="12" t="str">
        <f>VLOOKUP(B167,DATA!C:E,3,0)</f>
        <v>Bartec Product; SS316L 1" MALE TO 3/4" FEMALE TYPE RE#03N02NXX</v>
      </c>
      <c r="D167" s="12">
        <v>87</v>
      </c>
      <c r="E167" s="12"/>
      <c r="F167" s="12">
        <v>87</v>
      </c>
      <c r="G167" s="12">
        <v>82</v>
      </c>
      <c r="H167" s="13">
        <f t="shared" si="2"/>
        <v>-5</v>
      </c>
      <c r="I167" s="14" t="s">
        <v>484</v>
      </c>
    </row>
    <row r="168" spans="1:9" hidden="1" x14ac:dyDescent="0.25">
      <c r="A168" s="12">
        <v>166</v>
      </c>
      <c r="B168" s="12" t="s">
        <v>441</v>
      </c>
      <c r="C168" s="12" t="str">
        <f>VLOOKUP(B168,DATA!C:E,3,0)</f>
        <v>Bartec Product; SS316L  ADAPTOR 1/2" MALE TO 3/4" FEMALE TYPE REB#02N01NXX</v>
      </c>
      <c r="D168" s="12">
        <v>101</v>
      </c>
      <c r="E168" s="12"/>
      <c r="F168" s="12">
        <v>101</v>
      </c>
      <c r="G168" s="12">
        <v>101</v>
      </c>
      <c r="H168" s="13">
        <f t="shared" si="2"/>
        <v>0</v>
      </c>
      <c r="I168" s="12" t="s">
        <v>490</v>
      </c>
    </row>
    <row r="169" spans="1:9" hidden="1" x14ac:dyDescent="0.25">
      <c r="A169" s="12">
        <v>167</v>
      </c>
      <c r="B169" s="12" t="s">
        <v>443</v>
      </c>
      <c r="C169" s="12" t="str">
        <f>VLOOKUP(B169,DATA!C:E,3,0)</f>
        <v>Bartec Product; SS316L PAP-03-MXX+kit accessories</v>
      </c>
      <c r="D169" s="12">
        <v>420</v>
      </c>
      <c r="E169" s="12"/>
      <c r="F169" s="12">
        <v>420</v>
      </c>
      <c r="G169" s="12">
        <v>420</v>
      </c>
      <c r="H169" s="13">
        <f t="shared" si="2"/>
        <v>0</v>
      </c>
      <c r="I169" s="12" t="s">
        <v>490</v>
      </c>
    </row>
    <row r="170" spans="1:9" hidden="1" x14ac:dyDescent="0.25">
      <c r="A170" s="12">
        <v>168</v>
      </c>
      <c r="B170" s="12" t="s">
        <v>445</v>
      </c>
      <c r="C170" s="12" t="str">
        <f>VLOOKUP(B170,DATA!C:E,3,0)</f>
        <v>Bartec Product; SS316L PAP-05-MXX+kit accessories</v>
      </c>
      <c r="D170" s="12">
        <v>292</v>
      </c>
      <c r="E170" s="12"/>
      <c r="F170" s="12">
        <v>292</v>
      </c>
      <c r="G170" s="12">
        <v>292</v>
      </c>
      <c r="H170" s="13">
        <f t="shared" si="2"/>
        <v>0</v>
      </c>
      <c r="I170" s="12" t="s">
        <v>490</v>
      </c>
    </row>
    <row r="171" spans="1:9" hidden="1" x14ac:dyDescent="0.25">
      <c r="A171" s="12">
        <v>169</v>
      </c>
      <c r="B171" s="12" t="s">
        <v>192</v>
      </c>
      <c r="C171" s="12" t="str">
        <f>VLOOKUP(B171,DATA!C:E,3,0)</f>
        <v>Bartec Product; SS316L PAP-06-MXX+kit accessories</v>
      </c>
      <c r="D171" s="12">
        <v>194</v>
      </c>
      <c r="E171" s="12"/>
      <c r="F171" s="12">
        <v>194</v>
      </c>
      <c r="G171" s="12">
        <v>194</v>
      </c>
      <c r="H171" s="13">
        <f t="shared" si="2"/>
        <v>0</v>
      </c>
      <c r="I171" s="12" t="s">
        <v>490</v>
      </c>
    </row>
    <row r="172" spans="1:9" hidden="1" x14ac:dyDescent="0.25">
      <c r="A172" s="12">
        <v>170</v>
      </c>
      <c r="B172" s="12" t="s">
        <v>48</v>
      </c>
      <c r="C172" s="12" t="str">
        <f>VLOOKUP(B172,DATA!C:E,3,0)</f>
        <v>Bartec Product; SS316L PAP-R-02-MXX+kit accessories</v>
      </c>
      <c r="D172" s="12">
        <v>763</v>
      </c>
      <c r="E172" s="12"/>
      <c r="F172" s="12">
        <v>763</v>
      </c>
      <c r="G172" s="12">
        <v>763</v>
      </c>
      <c r="H172" s="13">
        <f t="shared" si="2"/>
        <v>0</v>
      </c>
      <c r="I172" s="12" t="s">
        <v>490</v>
      </c>
    </row>
    <row r="173" spans="1:9" hidden="1" x14ac:dyDescent="0.25">
      <c r="A173" s="12">
        <v>171</v>
      </c>
      <c r="B173" s="12" t="s">
        <v>254</v>
      </c>
      <c r="C173" s="12" t="str">
        <f>VLOOKUP(B173,DATA!C:E,3,0)</f>
        <v>Bartec Product; SS316L PAP-R-04-MXX+kit accessories</v>
      </c>
      <c r="D173" s="12">
        <v>163</v>
      </c>
      <c r="E173" s="12"/>
      <c r="F173" s="12">
        <v>163</v>
      </c>
      <c r="G173" s="12">
        <v>163</v>
      </c>
      <c r="H173" s="13">
        <f t="shared" si="2"/>
        <v>0</v>
      </c>
      <c r="I173" s="12" t="s">
        <v>490</v>
      </c>
    </row>
    <row r="174" spans="1:9" hidden="1" x14ac:dyDescent="0.25">
      <c r="A174" s="12">
        <v>172</v>
      </c>
      <c r="B174" s="12" t="s">
        <v>363</v>
      </c>
      <c r="C174" s="12" t="str">
        <f>VLOOKUP(B174,DATA!C:E,3,0)</f>
        <v>Bartec Product; SS316L PNA-R-01-MXX+kit accessories</v>
      </c>
      <c r="D174" s="12">
        <v>78</v>
      </c>
      <c r="E174" s="12"/>
      <c r="F174" s="12">
        <v>78</v>
      </c>
      <c r="G174" s="12">
        <v>78</v>
      </c>
      <c r="H174" s="13">
        <f t="shared" si="2"/>
        <v>0</v>
      </c>
      <c r="I174" s="12" t="s">
        <v>490</v>
      </c>
    </row>
    <row r="175" spans="1:9" hidden="1" x14ac:dyDescent="0.25">
      <c r="A175" s="12">
        <v>173</v>
      </c>
      <c r="B175" s="12" t="s">
        <v>50</v>
      </c>
      <c r="C175" s="12" t="str">
        <f>VLOOKUP(B175,DATA!C:E,3,0)</f>
        <v xml:space="preserve">Barrier cable gland, Unarmored cable type PNA-R-01-NXX execution Ex d/e/I IIC, size 1 , male 1/2" NPT, in stainless steel complete with kit of gaskets in EPDM + Accessories + FS0904-1 </v>
      </c>
      <c r="D175" s="12">
        <v>983</v>
      </c>
      <c r="E175" s="12"/>
      <c r="F175" s="12">
        <v>983</v>
      </c>
      <c r="G175" s="12">
        <v>983</v>
      </c>
      <c r="H175" s="13">
        <f t="shared" si="2"/>
        <v>0</v>
      </c>
      <c r="I175" s="12" t="s">
        <v>490</v>
      </c>
    </row>
    <row r="176" spans="1:9" hidden="1" x14ac:dyDescent="0.25">
      <c r="A176" s="12">
        <v>174</v>
      </c>
      <c r="B176" s="12" t="s">
        <v>294</v>
      </c>
      <c r="C176" s="12" t="str">
        <f>VLOOKUP(B176,DATA!C:E,3,0)</f>
        <v>Bartec Product; SS316L PNA-R-02-NXX+kit accessories</v>
      </c>
      <c r="D176" s="12">
        <v>665</v>
      </c>
      <c r="E176" s="12"/>
      <c r="F176" s="12">
        <v>665</v>
      </c>
      <c r="G176" s="12">
        <v>665</v>
      </c>
      <c r="H176" s="13">
        <f t="shared" si="2"/>
        <v>0</v>
      </c>
      <c r="I176" s="12" t="s">
        <v>490</v>
      </c>
    </row>
    <row r="177" spans="1:14" hidden="1" x14ac:dyDescent="0.25">
      <c r="A177" s="12">
        <v>175</v>
      </c>
      <c r="B177" s="12" t="s">
        <v>194</v>
      </c>
      <c r="C177" s="12" t="str">
        <f>VLOOKUP(B177,DATA!C:E,3,0)</f>
        <v xml:space="preserve">Barrier cable gland, Unarmored cable type PNA-R-03-NXX execution Ex d/e/I IIC, size 3 , male 1" NPT, in stainless steel complete with kit of gaskets in EPDM + Accessories + FS0904-3 </v>
      </c>
      <c r="D177" s="12">
        <v>593</v>
      </c>
      <c r="E177" s="12"/>
      <c r="F177" s="12">
        <v>593</v>
      </c>
      <c r="G177" s="12">
        <v>593</v>
      </c>
      <c r="H177" s="13">
        <f t="shared" si="2"/>
        <v>0</v>
      </c>
      <c r="I177" s="12" t="s">
        <v>490</v>
      </c>
    </row>
    <row r="178" spans="1:14" hidden="1" x14ac:dyDescent="0.25">
      <c r="A178" s="12">
        <v>176</v>
      </c>
      <c r="B178" s="12" t="s">
        <v>365</v>
      </c>
      <c r="C178" s="12" t="str">
        <f>VLOOKUP(B178,DATA!C:E,3,0)</f>
        <v>Bartec Product; SS316L PNA-R-04-NXX+kit accessories</v>
      </c>
      <c r="D178" s="12">
        <v>295</v>
      </c>
      <c r="E178" s="12"/>
      <c r="F178" s="12">
        <v>295</v>
      </c>
      <c r="G178" s="12">
        <v>295</v>
      </c>
      <c r="H178" s="13">
        <f t="shared" si="2"/>
        <v>0</v>
      </c>
      <c r="I178" s="12" t="s">
        <v>490</v>
      </c>
    </row>
    <row r="179" spans="1:14" hidden="1" x14ac:dyDescent="0.25">
      <c r="A179" s="12">
        <v>177</v>
      </c>
      <c r="B179" s="12" t="s">
        <v>196</v>
      </c>
      <c r="C179" s="12" t="str">
        <f>VLOOKUP(B179,DATA!C:E,3,0)</f>
        <v>Bartec Product; SS316L PNA-R-05-NXX+kit accessories</v>
      </c>
      <c r="D179" s="12">
        <v>385</v>
      </c>
      <c r="E179" s="12"/>
      <c r="F179" s="12">
        <v>385</v>
      </c>
      <c r="G179" s="12">
        <v>385</v>
      </c>
      <c r="H179" s="13">
        <f t="shared" si="2"/>
        <v>0</v>
      </c>
      <c r="I179" s="12" t="s">
        <v>490</v>
      </c>
    </row>
    <row r="180" spans="1:14" hidden="1" x14ac:dyDescent="0.25">
      <c r="A180" s="12">
        <v>178</v>
      </c>
      <c r="B180" s="12" t="s">
        <v>198</v>
      </c>
      <c r="C180" s="12" t="str">
        <f>VLOOKUP(B180,DATA!C:E,3,0)</f>
        <v>Bartec Product; SS316L PNA-R-06-NXX+kit accessories</v>
      </c>
      <c r="D180" s="12">
        <v>383</v>
      </c>
      <c r="E180" s="12"/>
      <c r="F180" s="12">
        <v>383</v>
      </c>
      <c r="G180" s="12">
        <v>383</v>
      </c>
      <c r="H180" s="13">
        <f t="shared" si="2"/>
        <v>0</v>
      </c>
      <c r="I180" s="12" t="s">
        <v>490</v>
      </c>
    </row>
    <row r="181" spans="1:14" hidden="1" x14ac:dyDescent="0.25">
      <c r="A181" s="12">
        <v>179</v>
      </c>
      <c r="B181" s="12" t="s">
        <v>144</v>
      </c>
      <c r="C181" s="12" t="str">
        <f>VLOOKUP(B181,DATA!C:E,3,0)</f>
        <v xml:space="preserve">Bartec cable gland, Unarmored cable type PNA-01-NXX execution Ex d/e/I IIC, size 1 , male 1/2" NPT, in stainless steel complete with kit of gaskets in EPDM + Accessories  </v>
      </c>
      <c r="D181" s="12">
        <v>1483</v>
      </c>
      <c r="E181" s="12"/>
      <c r="F181" s="12">
        <v>1483</v>
      </c>
      <c r="G181" s="12">
        <v>1483</v>
      </c>
      <c r="H181" s="13">
        <f t="shared" si="2"/>
        <v>0</v>
      </c>
      <c r="I181" s="12" t="s">
        <v>490</v>
      </c>
    </row>
    <row r="182" spans="1:14" hidden="1" x14ac:dyDescent="0.25">
      <c r="A182" s="12">
        <v>180</v>
      </c>
      <c r="B182" s="12" t="s">
        <v>447</v>
      </c>
      <c r="C182" s="12" t="str">
        <f>VLOOKUP(B182,DATA!C:E,3,0)</f>
        <v xml:space="preserve">Bartec cable gland, Unarmored cable type PNA-02-NXX execution Ex d/e/I IIC, size 2 , male 3/4" NPT, in stainless steel complete with kit of gaskets in EPDM + Accessories </v>
      </c>
      <c r="D182" s="12">
        <v>407</v>
      </c>
      <c r="E182" s="12"/>
      <c r="F182" s="12">
        <v>407</v>
      </c>
      <c r="G182" s="12">
        <v>407</v>
      </c>
      <c r="H182" s="13">
        <f t="shared" si="2"/>
        <v>0</v>
      </c>
      <c r="I182" s="12" t="s">
        <v>490</v>
      </c>
    </row>
    <row r="183" spans="1:14" hidden="1" x14ac:dyDescent="0.25">
      <c r="A183" s="12">
        <v>181</v>
      </c>
      <c r="B183" s="12" t="s">
        <v>52</v>
      </c>
      <c r="C183" s="12" t="str">
        <f>VLOOKUP(B183,DATA!C:E,3,0)</f>
        <v xml:space="preserve">Bartec Product; SS316L PAP-04-MXX+kit accessories </v>
      </c>
      <c r="D183" s="12">
        <v>294</v>
      </c>
      <c r="E183" s="12"/>
      <c r="F183" s="12">
        <v>294</v>
      </c>
      <c r="G183" s="12">
        <v>294</v>
      </c>
      <c r="H183" s="13">
        <f t="shared" si="2"/>
        <v>0</v>
      </c>
      <c r="I183" s="12" t="s">
        <v>490</v>
      </c>
    </row>
    <row r="184" spans="1:14" hidden="1" x14ac:dyDescent="0.25">
      <c r="A184" s="12">
        <v>182</v>
      </c>
      <c r="B184" s="12" t="s">
        <v>367</v>
      </c>
      <c r="C184" s="12" t="str">
        <f>VLOOKUP(B184,DATA!C:E,3,0)</f>
        <v xml:space="preserve">Bartec Feam Cable Gland; PAP-R-06-MON </v>
      </c>
      <c r="D184" s="12">
        <v>100</v>
      </c>
      <c r="E184" s="12"/>
      <c r="F184" s="12">
        <v>100</v>
      </c>
      <c r="G184" s="12">
        <v>100</v>
      </c>
      <c r="H184" s="13">
        <f t="shared" si="2"/>
        <v>0</v>
      </c>
      <c r="I184" s="12" t="s">
        <v>490</v>
      </c>
    </row>
    <row r="185" spans="1:14" hidden="1" x14ac:dyDescent="0.25">
      <c r="A185" s="12">
        <v>183</v>
      </c>
      <c r="B185" s="12" t="s">
        <v>369</v>
      </c>
      <c r="C185" s="12" t="str">
        <f>VLOOKUP(B185,DATA!C:E,3,0)</f>
        <v>Bartec Product; PLG-01-MXX</v>
      </c>
      <c r="D185" s="12">
        <v>2490</v>
      </c>
      <c r="E185" s="12"/>
      <c r="F185" s="12">
        <v>2490</v>
      </c>
      <c r="G185" s="12">
        <v>2490</v>
      </c>
      <c r="H185" s="13">
        <f t="shared" si="2"/>
        <v>0</v>
      </c>
      <c r="I185" s="12" t="s">
        <v>490</v>
      </c>
    </row>
    <row r="186" spans="1:14" hidden="1" x14ac:dyDescent="0.25">
      <c r="A186" s="12">
        <v>184</v>
      </c>
      <c r="B186" s="12" t="s">
        <v>256</v>
      </c>
      <c r="C186" s="12" t="str">
        <f>VLOOKUP(B186,DATA!C:E,3,0)</f>
        <v>Bartec Product;PLG-02-MXX</v>
      </c>
      <c r="D186" s="12">
        <v>9</v>
      </c>
      <c r="E186" s="12"/>
      <c r="F186" s="12">
        <v>9</v>
      </c>
      <c r="G186" s="12">
        <v>5</v>
      </c>
      <c r="H186" s="13">
        <f t="shared" si="2"/>
        <v>-4</v>
      </c>
      <c r="I186" s="14" t="s">
        <v>484</v>
      </c>
    </row>
    <row r="187" spans="1:14" x14ac:dyDescent="0.25">
      <c r="A187" s="12">
        <v>185</v>
      </c>
      <c r="B187" s="12" t="s">
        <v>296</v>
      </c>
      <c r="C187" s="12" t="str">
        <f>VLOOKUP(B187,DATA!C:E,3,0)</f>
        <v>Bartec Product;PLG-03-MXX</v>
      </c>
      <c r="D187" s="12">
        <v>100</v>
      </c>
      <c r="E187" s="12"/>
      <c r="F187" s="12">
        <v>100</v>
      </c>
      <c r="G187" s="12">
        <v>0</v>
      </c>
      <c r="H187" s="13">
        <f t="shared" si="2"/>
        <v>-100</v>
      </c>
      <c r="I187" s="14" t="s">
        <v>483</v>
      </c>
    </row>
    <row r="188" spans="1:14" hidden="1" x14ac:dyDescent="0.25">
      <c r="A188" s="12">
        <v>186</v>
      </c>
      <c r="B188" s="12" t="s">
        <v>200</v>
      </c>
      <c r="C188" s="12" t="str">
        <f>VLOOKUP(B188,DATA!C:E,3,0)</f>
        <v>Plug male type PLG, execution Ex d/e IIC, male 1/2"NPT, in stainless steel AISI316L, external hexagonal head (Collar Type), BARTEC FN, IECEx certificate. PLG-01-NXX</v>
      </c>
      <c r="D188" s="12">
        <v>7088</v>
      </c>
      <c r="E188" s="12"/>
      <c r="F188" s="12">
        <v>7088</v>
      </c>
      <c r="G188" s="12">
        <v>7088</v>
      </c>
      <c r="H188" s="13">
        <f t="shared" si="2"/>
        <v>0</v>
      </c>
      <c r="I188" s="12" t="s">
        <v>490</v>
      </c>
    </row>
    <row r="189" spans="1:14" hidden="1" x14ac:dyDescent="0.25">
      <c r="A189" s="12">
        <v>187</v>
      </c>
      <c r="B189" s="12" t="s">
        <v>371</v>
      </c>
      <c r="C189" s="12" t="str">
        <f>VLOOKUP(B189,DATA!C:E,3,0)</f>
        <v>Bartec Product; PLG-02-NXX</v>
      </c>
      <c r="D189" s="12">
        <v>883</v>
      </c>
      <c r="E189" s="12"/>
      <c r="F189" s="12">
        <v>883</v>
      </c>
      <c r="G189" s="12">
        <v>876</v>
      </c>
      <c r="H189" s="13">
        <f t="shared" si="2"/>
        <v>-7</v>
      </c>
      <c r="I189" s="14" t="s">
        <v>484</v>
      </c>
    </row>
    <row r="190" spans="1:14" hidden="1" x14ac:dyDescent="0.25">
      <c r="A190" s="12">
        <v>188</v>
      </c>
      <c r="B190" s="12" t="s">
        <v>298</v>
      </c>
      <c r="C190" s="12" t="str">
        <f>VLOOKUP(B190,DATA!C:E,3,0)</f>
        <v>Bartec Product; PLG-03-NXX</v>
      </c>
      <c r="D190" s="12">
        <v>219</v>
      </c>
      <c r="E190" s="12"/>
      <c r="F190" s="12">
        <v>219</v>
      </c>
      <c r="G190" s="12">
        <v>219</v>
      </c>
      <c r="H190" s="13">
        <f t="shared" si="2"/>
        <v>0</v>
      </c>
      <c r="I190" s="12" t="s">
        <v>490</v>
      </c>
    </row>
    <row r="191" spans="1:14" hidden="1" x14ac:dyDescent="0.25">
      <c r="A191" s="12">
        <v>189</v>
      </c>
      <c r="B191" s="12" t="s">
        <v>146</v>
      </c>
      <c r="C191" s="12" t="str">
        <f>VLOOKUP(B191,DATA!C:E,3,0)</f>
        <v>Bartec Product; PLG-05-NXX</v>
      </c>
      <c r="D191" s="12">
        <v>10</v>
      </c>
      <c r="E191" s="12"/>
      <c r="F191" s="12">
        <v>10</v>
      </c>
      <c r="G191" s="12">
        <v>10</v>
      </c>
      <c r="H191" s="13">
        <f t="shared" si="2"/>
        <v>0</v>
      </c>
      <c r="I191" s="12" t="s">
        <v>490</v>
      </c>
    </row>
    <row r="192" spans="1:14" hidden="1" x14ac:dyDescent="0.25">
      <c r="A192" s="12">
        <v>190</v>
      </c>
      <c r="B192" s="12" t="s">
        <v>373</v>
      </c>
      <c r="C192" s="12" t="str">
        <f>VLOOKUP(B192,DATA!C:E,3,0)</f>
        <v xml:space="preserve">PAP-R-08 NXX, execution Ex d/e/I IIC, size 8, male 3"NPT, in SS AISI316L, Barrier cable gland with all accessories + FS0904.  </v>
      </c>
      <c r="D192" s="12">
        <v>4</v>
      </c>
      <c r="E192" s="12"/>
      <c r="F192" s="12">
        <v>4</v>
      </c>
      <c r="G192" s="12">
        <v>4</v>
      </c>
      <c r="H192" s="13">
        <f t="shared" si="2"/>
        <v>0</v>
      </c>
      <c r="I192" s="12" t="s">
        <v>490</v>
      </c>
      <c r="N192">
        <f>+N187+N189</f>
        <v>0</v>
      </c>
    </row>
    <row r="193" spans="1:9" hidden="1" x14ac:dyDescent="0.25">
      <c r="A193" s="12">
        <v>191</v>
      </c>
      <c r="B193" s="12" t="s">
        <v>54</v>
      </c>
      <c r="C193" s="12" t="str">
        <f>VLOOKUP(B193,DATA!C:E,3,0)</f>
        <v xml:space="preserve">Ammeeter AM72 , X/1A, 0-20 A with fixing kit EXE </v>
      </c>
      <c r="D193" s="12">
        <v>2</v>
      </c>
      <c r="E193" s="12"/>
      <c r="F193" s="12">
        <v>2</v>
      </c>
      <c r="G193" s="12">
        <v>2</v>
      </c>
      <c r="H193" s="13">
        <f t="shared" si="2"/>
        <v>0</v>
      </c>
      <c r="I193" s="12" t="s">
        <v>490</v>
      </c>
    </row>
    <row r="194" spans="1:9" hidden="1" x14ac:dyDescent="0.25">
      <c r="A194" s="12">
        <v>192</v>
      </c>
      <c r="B194" s="12" t="s">
        <v>449</v>
      </c>
      <c r="C194" s="12" t="str">
        <f>VLOOKUP(B194,DATA!C:E,3,0)</f>
        <v xml:space="preserve">Ammeeter AM72 , X/5A, 0-20 A with fixing kit EXE </v>
      </c>
      <c r="D194" s="12">
        <v>2</v>
      </c>
      <c r="E194" s="12"/>
      <c r="F194" s="12">
        <v>2</v>
      </c>
      <c r="G194" s="12">
        <v>2</v>
      </c>
      <c r="H194" s="13">
        <f t="shared" si="2"/>
        <v>0</v>
      </c>
      <c r="I194" s="12" t="s">
        <v>490</v>
      </c>
    </row>
    <row r="195" spans="1:9" x14ac:dyDescent="0.25">
      <c r="A195" s="12">
        <v>193</v>
      </c>
      <c r="B195" s="12" t="s">
        <v>451</v>
      </c>
      <c r="C195" s="12" t="str">
        <f>VLOOKUP(B195,DATA!C:E,3,0)</f>
        <v>Nickle plated brass collar type Reducer 3/4" NPT Male to 1/2" NPT Female Ex-d/ Ex-e IIC IP66, RE02N01NON</v>
      </c>
      <c r="D195" s="12">
        <v>78</v>
      </c>
      <c r="E195" s="12"/>
      <c r="F195" s="12">
        <v>78</v>
      </c>
      <c r="G195" s="12">
        <v>0</v>
      </c>
      <c r="H195" s="13">
        <f t="shared" ref="H195:H232" si="3">G195-F195</f>
        <v>-78</v>
      </c>
      <c r="I195" s="14" t="s">
        <v>483</v>
      </c>
    </row>
    <row r="196" spans="1:9" hidden="1" x14ac:dyDescent="0.25">
      <c r="A196" s="12">
        <v>194</v>
      </c>
      <c r="B196" s="12" t="s">
        <v>258</v>
      </c>
      <c r="C196" s="12" t="str">
        <f>VLOOKUP(B196,DATA!C:E,3,0)</f>
        <v>RE03N02NONReducer male-female type RE, execution Ex d/e IIC, male 1"NPT, female 3/4"NPT, in nickel platedbrass RE03N02NON</v>
      </c>
      <c r="D196" s="12">
        <v>200</v>
      </c>
      <c r="E196" s="12"/>
      <c r="F196" s="12">
        <v>200</v>
      </c>
      <c r="G196" s="12">
        <v>200</v>
      </c>
      <c r="H196" s="13">
        <f t="shared" si="3"/>
        <v>0</v>
      </c>
      <c r="I196" s="12" t="s">
        <v>490</v>
      </c>
    </row>
    <row r="197" spans="1:9" hidden="1" x14ac:dyDescent="0.25">
      <c r="A197" s="12">
        <v>195</v>
      </c>
      <c r="B197" s="12" t="s">
        <v>300</v>
      </c>
      <c r="C197" s="12" t="str">
        <f>VLOOKUP(B197,DATA!C:E,3,0)</f>
        <v xml:space="preserve">Bartec Product; PNA-09 NON </v>
      </c>
      <c r="D197" s="12">
        <v>6</v>
      </c>
      <c r="E197" s="12"/>
      <c r="F197" s="12">
        <v>6</v>
      </c>
      <c r="G197" s="12">
        <v>6</v>
      </c>
      <c r="H197" s="13">
        <f t="shared" si="3"/>
        <v>0</v>
      </c>
      <c r="I197" s="12" t="s">
        <v>490</v>
      </c>
    </row>
    <row r="198" spans="1:9" hidden="1" x14ac:dyDescent="0.25">
      <c r="A198" s="12">
        <v>196</v>
      </c>
      <c r="B198" s="12" t="s">
        <v>148</v>
      </c>
      <c r="C198" s="12" t="str">
        <f>VLOOKUP(B198,DATA!C:E,3,0)</f>
        <v xml:space="preserve">Bartec Product; PNA‐06 NIX </v>
      </c>
      <c r="D198" s="12">
        <v>20</v>
      </c>
      <c r="E198" s="12"/>
      <c r="F198" s="12">
        <v>20</v>
      </c>
      <c r="G198" s="12">
        <v>20</v>
      </c>
      <c r="H198" s="13">
        <f t="shared" si="3"/>
        <v>0</v>
      </c>
      <c r="I198" s="12" t="s">
        <v>490</v>
      </c>
    </row>
    <row r="199" spans="1:9" hidden="1" x14ac:dyDescent="0.25">
      <c r="A199" s="12">
        <v>197</v>
      </c>
      <c r="B199" s="12" t="s">
        <v>375</v>
      </c>
      <c r="C199" s="12" t="str">
        <f>VLOOKUP(B199,DATA!C:E,3,0)</f>
        <v xml:space="preserve">JB 2 X 1/2" With Din Rail, Model: GUAL 17 </v>
      </c>
      <c r="D199" s="12">
        <v>8</v>
      </c>
      <c r="E199" s="12"/>
      <c r="F199" s="12">
        <v>8</v>
      </c>
      <c r="G199" s="12"/>
      <c r="H199" s="13">
        <f t="shared" si="3"/>
        <v>-8</v>
      </c>
      <c r="I199" s="14" t="s">
        <v>488</v>
      </c>
    </row>
    <row r="200" spans="1:9" hidden="1" x14ac:dyDescent="0.25">
      <c r="A200" s="12">
        <v>198</v>
      </c>
      <c r="B200" s="12" t="s">
        <v>56</v>
      </c>
      <c r="C200" s="12" t="str">
        <f>VLOOKUP(B200,DATA!C:E,3,0)</f>
        <v xml:space="preserve">Bartec Product; PAP-R-09 NON 3-1/2" </v>
      </c>
      <c r="D200" s="12">
        <v>8</v>
      </c>
      <c r="E200" s="12"/>
      <c r="F200" s="12">
        <v>8</v>
      </c>
      <c r="G200" s="12">
        <v>8</v>
      </c>
      <c r="H200" s="13">
        <f t="shared" si="3"/>
        <v>0</v>
      </c>
      <c r="I200" s="12" t="s">
        <v>490</v>
      </c>
    </row>
    <row r="201" spans="1:9" hidden="1" x14ac:dyDescent="0.25">
      <c r="A201" s="12">
        <v>199</v>
      </c>
      <c r="B201" s="12" t="s">
        <v>453</v>
      </c>
      <c r="C201" s="12" t="str">
        <f>VLOOKUP(B201,DATA!C:E,3,0)</f>
        <v xml:space="preserve">Bartec Product; PNA-R-04 MIX </v>
      </c>
      <c r="D201" s="12">
        <v>1</v>
      </c>
      <c r="E201" s="12"/>
      <c r="F201" s="12">
        <v>1</v>
      </c>
      <c r="G201" s="12">
        <v>1</v>
      </c>
      <c r="H201" s="13">
        <f t="shared" si="3"/>
        <v>0</v>
      </c>
      <c r="I201" s="12" t="s">
        <v>490</v>
      </c>
    </row>
    <row r="202" spans="1:9" hidden="1" x14ac:dyDescent="0.25">
      <c r="A202" s="12">
        <v>200</v>
      </c>
      <c r="B202" s="12" t="s">
        <v>150</v>
      </c>
      <c r="C202" s="12" t="str">
        <f>VLOOKUP(B202,DATA!C:E,3,0)</f>
        <v>SS316 (Ex'd') Reducer : 1 1/2" NPTM X 1" NPTF Part Number RE05N03NXX</v>
      </c>
      <c r="D202" s="12">
        <v>1</v>
      </c>
      <c r="E202" s="12"/>
      <c r="F202" s="12">
        <v>1</v>
      </c>
      <c r="G202" s="12">
        <v>1</v>
      </c>
      <c r="H202" s="13">
        <f t="shared" si="3"/>
        <v>0</v>
      </c>
      <c r="I202" s="12" t="s">
        <v>490</v>
      </c>
    </row>
    <row r="203" spans="1:9" hidden="1" x14ac:dyDescent="0.25">
      <c r="A203" s="12">
        <v>201</v>
      </c>
      <c r="B203" s="12" t="s">
        <v>152</v>
      </c>
      <c r="C203" s="12" t="str">
        <f>VLOOKUP(B203,DATA!C:E,3,0)</f>
        <v>Reducer male-female type RE03N01NXX, execution Ex d/e IIC, male 1"NPT, female 1/2"NPT, in stainless steel AISI316L, BARTEC FN, IECEx certificate</v>
      </c>
      <c r="D203" s="12">
        <v>61</v>
      </c>
      <c r="E203" s="12"/>
      <c r="F203" s="12">
        <v>61</v>
      </c>
      <c r="G203" s="12">
        <v>61</v>
      </c>
      <c r="H203" s="13">
        <f t="shared" si="3"/>
        <v>0</v>
      </c>
      <c r="I203" s="12" t="s">
        <v>490</v>
      </c>
    </row>
    <row r="204" spans="1:9" hidden="1" x14ac:dyDescent="0.25">
      <c r="A204" s="12">
        <v>202</v>
      </c>
      <c r="B204" s="12" t="s">
        <v>260</v>
      </c>
      <c r="C204" s="12" t="str">
        <f>VLOOKUP(B204,DATA!C:E,3,0)</f>
        <v>Reducer female-male type REB01N01MXX, execution Ex d/e IIC, female 1/2"NPT, male M20x1.5, in stainless steel AISI316L, BARTEC FN, IECEx certificate</v>
      </c>
      <c r="D204" s="12">
        <v>7820</v>
      </c>
      <c r="E204" s="12"/>
      <c r="F204" s="12">
        <v>7820</v>
      </c>
      <c r="G204" s="12">
        <v>7820</v>
      </c>
      <c r="H204" s="13">
        <f t="shared" si="3"/>
        <v>0</v>
      </c>
      <c r="I204" s="12" t="s">
        <v>490</v>
      </c>
    </row>
    <row r="205" spans="1:9" hidden="1" x14ac:dyDescent="0.25">
      <c r="A205" s="12">
        <v>203</v>
      </c>
      <c r="B205" s="12" t="s">
        <v>108</v>
      </c>
      <c r="C205" s="12" t="str">
        <f>VLOOKUP(B205,DATA!C:E,3,0)</f>
        <v>Reducer female-male type REB02N02MXX, execution Ex d/e IIC, female 3/4"NPT, male M25x1.5, in stainless steel AISI316L, BARTEC FN, IECEx certificate</v>
      </c>
      <c r="D205" s="12">
        <v>2079</v>
      </c>
      <c r="E205" s="12"/>
      <c r="F205" s="12">
        <v>2079</v>
      </c>
      <c r="G205" s="12">
        <v>2079</v>
      </c>
      <c r="H205" s="13">
        <f t="shared" si="3"/>
        <v>0</v>
      </c>
      <c r="I205" s="12" t="s">
        <v>490</v>
      </c>
    </row>
    <row r="206" spans="1:9" hidden="1" x14ac:dyDescent="0.25">
      <c r="A206" s="12">
        <v>204</v>
      </c>
      <c r="B206" s="12" t="s">
        <v>110</v>
      </c>
      <c r="C206" s="12" t="str">
        <f>VLOOKUP(B206,DATA!C:E,3,0)</f>
        <v>Reducer female-male type REB03N03MXX, execution Ex d/e IIC, female 1"NPT, male M32x1.5, in stainless steel AISI316L, BARTEC FN,  IECEx certificate</v>
      </c>
      <c r="D206" s="12">
        <v>27</v>
      </c>
      <c r="E206" s="12"/>
      <c r="F206" s="12">
        <v>27</v>
      </c>
      <c r="G206" s="12">
        <v>27</v>
      </c>
      <c r="H206" s="13">
        <f t="shared" si="3"/>
        <v>0</v>
      </c>
      <c r="I206" s="12" t="s">
        <v>490</v>
      </c>
    </row>
    <row r="207" spans="1:9" hidden="1" x14ac:dyDescent="0.25">
      <c r="A207" s="12">
        <v>205</v>
      </c>
      <c r="B207" s="12" t="s">
        <v>112</v>
      </c>
      <c r="C207" s="12" t="str">
        <f>VLOOKUP(B207,DATA!C:E,3,0)</f>
        <v>Reducer female-male type REB04N04MXX, execution Ex d/e IIC, female 1-1/4"NPT, male M40x1.5, in stainless steel AISI316L, BARTEC FN,  IECEx certificate</v>
      </c>
      <c r="D207" s="12">
        <v>319</v>
      </c>
      <c r="E207" s="12"/>
      <c r="F207" s="12">
        <v>319</v>
      </c>
      <c r="G207" s="12">
        <v>315</v>
      </c>
      <c r="H207" s="13">
        <f t="shared" si="3"/>
        <v>-4</v>
      </c>
      <c r="I207" s="14" t="s">
        <v>484</v>
      </c>
    </row>
    <row r="208" spans="1:9" hidden="1" x14ac:dyDescent="0.25">
      <c r="A208" s="12">
        <v>206</v>
      </c>
      <c r="B208" s="12" t="s">
        <v>377</v>
      </c>
      <c r="C208" s="12" t="str">
        <f>VLOOKUP(B208,DATA!C:E,3,0)</f>
        <v>armored cable type PAP, execution Ex d/e/i IIC, size 7, male 2-1/2"NPT, in stainless steel AISI316L,with kit of gaskets in EPDM, BARTEC FN, ATEX-IECEx-EAC certificate Kit accessories + FS0904 for cable gland male 2-1/2"NPT; PAP-R-07-NXX</v>
      </c>
      <c r="D208" s="12">
        <v>24</v>
      </c>
      <c r="E208" s="12"/>
      <c r="F208" s="12">
        <v>24</v>
      </c>
      <c r="G208" s="12">
        <v>24</v>
      </c>
      <c r="H208" s="13">
        <f t="shared" si="3"/>
        <v>0</v>
      </c>
      <c r="I208" s="12" t="s">
        <v>490</v>
      </c>
    </row>
    <row r="209" spans="1:9" hidden="1" x14ac:dyDescent="0.25">
      <c r="A209" s="12">
        <v>207</v>
      </c>
      <c r="B209" s="12" t="s">
        <v>379</v>
      </c>
      <c r="C209" s="12" t="str">
        <f>VLOOKUP(B209,DATA!C:E,3,0)</f>
        <v xml:space="preserve">Barrier cable gland, armored cable type PAP-R-02-NXX execution Ex d/e/I IIC, size 2 , male 3/4" NPT, in stainless steel complete with kit of gaskets in EPDM + Accessories + FS0904-2 </v>
      </c>
      <c r="D209" s="12">
        <v>663</v>
      </c>
      <c r="E209" s="12"/>
      <c r="F209" s="12">
        <v>663</v>
      </c>
      <c r="G209" s="12">
        <f>198+464</f>
        <v>662</v>
      </c>
      <c r="H209" s="13">
        <f t="shared" si="3"/>
        <v>-1</v>
      </c>
      <c r="I209" s="14" t="s">
        <v>484</v>
      </c>
    </row>
    <row r="210" spans="1:9" hidden="1" x14ac:dyDescent="0.25">
      <c r="A210" s="12">
        <v>208</v>
      </c>
      <c r="B210" s="12" t="s">
        <v>58</v>
      </c>
      <c r="C210" s="12" t="str">
        <f>VLOOKUP(B210,DATA!C:E,3,0)</f>
        <v xml:space="preserve">Reducre female-male type REB05N05MXX, execution Ex d/e IIC, female  1-1/2" NPT, male M50x1.5, in stainless steel AISI316L </v>
      </c>
      <c r="D210" s="12">
        <v>257</v>
      </c>
      <c r="E210" s="12"/>
      <c r="F210" s="12">
        <v>257</v>
      </c>
      <c r="G210" s="12">
        <v>257</v>
      </c>
      <c r="H210" s="13">
        <f t="shared" si="3"/>
        <v>0</v>
      </c>
      <c r="I210" s="12" t="s">
        <v>490</v>
      </c>
    </row>
    <row r="211" spans="1:9" hidden="1" x14ac:dyDescent="0.25">
      <c r="A211" s="12">
        <v>209</v>
      </c>
      <c r="B211" s="12" t="s">
        <v>302</v>
      </c>
      <c r="C211" s="12" t="str">
        <f>VLOOKUP(B211,DATA!C:E,3,0)</f>
        <v>Reducer female-male type REB06N06MXX, execution Ex d/e IIC, female 2"NPT, male M63x1.5, in stainless steel AISI316L, BARTEC FN,  IECEx certificate</v>
      </c>
      <c r="D211" s="12">
        <v>38</v>
      </c>
      <c r="E211" s="12"/>
      <c r="F211" s="12">
        <v>38</v>
      </c>
      <c r="G211" s="12">
        <v>38</v>
      </c>
      <c r="H211" s="13">
        <f t="shared" si="3"/>
        <v>0</v>
      </c>
      <c r="I211" s="12" t="s">
        <v>490</v>
      </c>
    </row>
    <row r="212" spans="1:9" hidden="1" x14ac:dyDescent="0.25">
      <c r="A212" s="12">
        <v>210</v>
      </c>
      <c r="B212" s="12" t="s">
        <v>455</v>
      </c>
      <c r="C212" s="12" t="str">
        <f>VLOOKUP(B212,DATA!C:E,3,0)</f>
        <v>Reducer female-male type REB07N07MXX, execution Ex d/e IIC, female 2-1/2"NPT, male M75x1.5, in stainless steel AISI316L, BARTEC FN,  IECEx certificate</v>
      </c>
      <c r="D212" s="12">
        <v>22</v>
      </c>
      <c r="E212" s="12"/>
      <c r="F212" s="12">
        <v>22</v>
      </c>
      <c r="G212" s="12">
        <v>22</v>
      </c>
      <c r="H212" s="13">
        <f t="shared" si="3"/>
        <v>0</v>
      </c>
      <c r="I212" s="12" t="s">
        <v>490</v>
      </c>
    </row>
    <row r="213" spans="1:9" hidden="1" x14ac:dyDescent="0.25">
      <c r="A213" s="12">
        <v>211</v>
      </c>
      <c r="B213" s="12" t="s">
        <v>114</v>
      </c>
      <c r="C213" s="12" t="str">
        <f>VLOOKUP(B213,DATA!C:E,3,0)</f>
        <v xml:space="preserve">HEXAGONAL HEAD COLLAR; PLG-04-NXX  </v>
      </c>
      <c r="D213" s="12">
        <v>135</v>
      </c>
      <c r="E213" s="12"/>
      <c r="F213" s="12">
        <v>135</v>
      </c>
      <c r="G213" s="12">
        <v>134</v>
      </c>
      <c r="H213" s="13">
        <f t="shared" si="3"/>
        <v>-1</v>
      </c>
      <c r="I213" s="14" t="s">
        <v>484</v>
      </c>
    </row>
    <row r="214" spans="1:9" hidden="1" x14ac:dyDescent="0.25">
      <c r="A214" s="12">
        <v>212</v>
      </c>
      <c r="B214" s="12" t="s">
        <v>202</v>
      </c>
      <c r="C214" s="12" t="str">
        <f>VLOOKUP(B214,DATA!C:E,3,0)</f>
        <v>3/4" NPT MALE TO 1/2" NPT FEMALE ( RING TYPE RE02N01NXX )</v>
      </c>
      <c r="D214" s="12">
        <v>103</v>
      </c>
      <c r="E214" s="12"/>
      <c r="F214" s="12">
        <v>103</v>
      </c>
      <c r="G214" s="12">
        <v>103</v>
      </c>
      <c r="H214" s="13">
        <f t="shared" si="3"/>
        <v>0</v>
      </c>
      <c r="I214" s="12" t="s">
        <v>490</v>
      </c>
    </row>
    <row r="215" spans="1:9" hidden="1" x14ac:dyDescent="0.25">
      <c r="A215" s="12">
        <v>213</v>
      </c>
      <c r="B215" s="12" t="s">
        <v>262</v>
      </c>
      <c r="C215" s="12" t="str">
        <f>VLOOKUP(B215,DATA!C:E,3,0)</f>
        <v>3/4" NPT MALE TO 1/2" NPT FEMALE ( COLLAR TYPE REB02N01NXX)</v>
      </c>
      <c r="D215" s="12">
        <v>969</v>
      </c>
      <c r="E215" s="12"/>
      <c r="F215" s="12">
        <v>969</v>
      </c>
      <c r="G215" s="12">
        <v>998</v>
      </c>
      <c r="H215" s="13">
        <f t="shared" si="3"/>
        <v>29</v>
      </c>
      <c r="I215" s="14" t="s">
        <v>489</v>
      </c>
    </row>
    <row r="216" spans="1:9" hidden="1" x14ac:dyDescent="0.25">
      <c r="A216" s="12">
        <v>214</v>
      </c>
      <c r="B216" s="12" t="s">
        <v>154</v>
      </c>
      <c r="C216" s="12" t="str">
        <f>VLOOKUP(B216,DATA!C:E,3,0)</f>
        <v>SS316L ADAPTOR, 1/2" MALE TO M20 FEMALE, COLLAR R TYPE ADAPTOR Exe / Exd, IP 66 TYPE, REB01N01MXX</v>
      </c>
      <c r="D216" s="12">
        <v>80</v>
      </c>
      <c r="E216" s="12"/>
      <c r="F216" s="12">
        <v>80</v>
      </c>
      <c r="G216" s="12">
        <v>74</v>
      </c>
      <c r="H216" s="13">
        <f t="shared" si="3"/>
        <v>-6</v>
      </c>
      <c r="I216" s="14" t="s">
        <v>484</v>
      </c>
    </row>
    <row r="217" spans="1:9" hidden="1" x14ac:dyDescent="0.25">
      <c r="A217" s="12">
        <v>215</v>
      </c>
      <c r="B217" s="12" t="s">
        <v>381</v>
      </c>
      <c r="C217" s="12" t="str">
        <f>VLOOKUP(B217,DATA!C:E,3,0)</f>
        <v xml:space="preserve">Bartec Feam Cable Gland; PNA-R-01-NON, MALE 1/2" NPT in nickle plated brass complete with kit of gaskets in EPDM + FS0904 with all accessories </v>
      </c>
      <c r="D217" s="12">
        <v>713</v>
      </c>
      <c r="E217" s="12"/>
      <c r="F217" s="12">
        <v>713</v>
      </c>
      <c r="G217" s="12">
        <v>713</v>
      </c>
      <c r="H217" s="13">
        <f t="shared" si="3"/>
        <v>0</v>
      </c>
      <c r="I217" s="12" t="s">
        <v>490</v>
      </c>
    </row>
    <row r="218" spans="1:9" hidden="1" x14ac:dyDescent="0.25">
      <c r="A218" s="12">
        <v>216</v>
      </c>
      <c r="B218" s="12" t="s">
        <v>60</v>
      </c>
      <c r="C218" s="12" t="str">
        <f>VLOOKUP(B218,DATA!C:E,3,0)</f>
        <v xml:space="preserve">Bartec Feam Cable Gland; PNA-R-02-NON, MALE 3/4" NPT in nickle plated brass complete with kit of gaskets in EPDM + FS0904 with all accessories </v>
      </c>
      <c r="D218" s="12">
        <v>3065</v>
      </c>
      <c r="E218" s="12"/>
      <c r="F218" s="12">
        <v>3065</v>
      </c>
      <c r="G218" s="12">
        <f>2228+837</f>
        <v>3065</v>
      </c>
      <c r="H218" s="13">
        <f t="shared" si="3"/>
        <v>0</v>
      </c>
      <c r="I218" s="12" t="s">
        <v>490</v>
      </c>
    </row>
    <row r="219" spans="1:9" hidden="1" x14ac:dyDescent="0.25">
      <c r="A219" s="12">
        <v>217</v>
      </c>
      <c r="B219" s="12" t="s">
        <v>204</v>
      </c>
      <c r="C219" s="12" t="str">
        <f>VLOOKUP(B219,DATA!C:E,3,0)</f>
        <v>Bartec Feam Cable Gland; PNA-R-03-NON, MALE 1" NPT in nickle plated brass complete with kit of gaskets in EPDM + FS0904 with all accessories</v>
      </c>
      <c r="D219" s="12">
        <v>80</v>
      </c>
      <c r="E219" s="12"/>
      <c r="F219" s="12">
        <v>80</v>
      </c>
      <c r="G219" s="12">
        <v>80</v>
      </c>
      <c r="H219" s="13">
        <f t="shared" si="3"/>
        <v>0</v>
      </c>
      <c r="I219" s="12" t="s">
        <v>490</v>
      </c>
    </row>
    <row r="220" spans="1:9" hidden="1" x14ac:dyDescent="0.25">
      <c r="A220" s="12">
        <v>218</v>
      </c>
      <c r="B220" s="12" t="s">
        <v>304</v>
      </c>
      <c r="C220" s="12" t="str">
        <f>VLOOKUP(B220,DATA!C:E,3,0)</f>
        <v>Bartec Feam Cable Gland; PNA-R-04-NON, MALE 1 1 /4" NPT in nickle plated brass complete with kit of gaskets in EPDM + FS0904 with all accessories</v>
      </c>
      <c r="D220" s="12">
        <v>58</v>
      </c>
      <c r="E220" s="12"/>
      <c r="F220" s="12">
        <v>58</v>
      </c>
      <c r="G220" s="12">
        <v>58</v>
      </c>
      <c r="H220" s="13">
        <f t="shared" si="3"/>
        <v>0</v>
      </c>
      <c r="I220" s="12" t="s">
        <v>490</v>
      </c>
    </row>
    <row r="221" spans="1:9" hidden="1" x14ac:dyDescent="0.25">
      <c r="A221" s="12">
        <v>219</v>
      </c>
      <c r="B221" s="12" t="s">
        <v>383</v>
      </c>
      <c r="C221" s="12" t="str">
        <f>VLOOKUP(B221,DATA!C:E,3,0)</f>
        <v xml:space="preserve">Nickle plated brass collar type adaptor M20 Male to 3/4" NPT Female Ex-d/ Ex-e IIC IP66, REB02N01MON </v>
      </c>
      <c r="D221" s="12">
        <v>75</v>
      </c>
      <c r="E221" s="12"/>
      <c r="F221" s="12">
        <v>75</v>
      </c>
      <c r="G221" s="12">
        <v>75</v>
      </c>
      <c r="H221" s="13">
        <f t="shared" si="3"/>
        <v>0</v>
      </c>
      <c r="I221" s="12" t="s">
        <v>490</v>
      </c>
    </row>
    <row r="222" spans="1:9" hidden="1" x14ac:dyDescent="0.25">
      <c r="A222" s="12">
        <v>220</v>
      </c>
      <c r="B222" s="12" t="s">
        <v>206</v>
      </c>
      <c r="C222" s="12" t="str">
        <f>VLOOKUP(B222,DATA!C:E,3,0)</f>
        <v>Barrier cable gland, armored cable type PAP-R-03-NXX execution Ex d/e/I IIC, size 3 , male 1" NPT, in stainless steel complete with kit of gaskets in EPDM + Accessories + FS0904-3</v>
      </c>
      <c r="D222" s="12">
        <v>381</v>
      </c>
      <c r="E222" s="12"/>
      <c r="F222" s="12">
        <v>381</v>
      </c>
      <c r="G222" s="12">
        <v>381</v>
      </c>
      <c r="H222" s="13">
        <f t="shared" si="3"/>
        <v>0</v>
      </c>
      <c r="I222" s="12" t="s">
        <v>490</v>
      </c>
    </row>
    <row r="223" spans="1:9" hidden="1" x14ac:dyDescent="0.25">
      <c r="A223" s="12">
        <v>221</v>
      </c>
      <c r="B223" s="12" t="s">
        <v>264</v>
      </c>
      <c r="C223" s="12" t="str">
        <f>VLOOKUP(B223,DATA!C:E,3,0)</f>
        <v xml:space="preserve">Seal compound part number - INN-FS0904-1 </v>
      </c>
      <c r="D223" s="12">
        <v>29</v>
      </c>
      <c r="E223" s="12"/>
      <c r="F223" s="12">
        <v>29</v>
      </c>
      <c r="G223" s="12">
        <v>29</v>
      </c>
      <c r="H223" s="13">
        <f t="shared" si="3"/>
        <v>0</v>
      </c>
      <c r="I223" s="12" t="s">
        <v>490</v>
      </c>
    </row>
    <row r="224" spans="1:9" hidden="1" x14ac:dyDescent="0.25">
      <c r="A224" s="12">
        <v>222</v>
      </c>
      <c r="B224" s="12" t="s">
        <v>62</v>
      </c>
      <c r="C224" s="12" t="str">
        <f>VLOOKUP(B224,DATA!C:E,3,0)</f>
        <v>Seal compound part number - INN-FS0904-2</v>
      </c>
      <c r="D224" s="12">
        <v>20</v>
      </c>
      <c r="E224" s="12"/>
      <c r="F224" s="12">
        <v>20</v>
      </c>
      <c r="G224" s="12">
        <v>20</v>
      </c>
      <c r="H224" s="13">
        <f t="shared" si="3"/>
        <v>0</v>
      </c>
      <c r="I224" s="12" t="s">
        <v>490</v>
      </c>
    </row>
    <row r="225" spans="1:9" hidden="1" x14ac:dyDescent="0.25">
      <c r="A225" s="12">
        <v>223</v>
      </c>
      <c r="B225" s="12" t="s">
        <v>306</v>
      </c>
      <c r="C225" s="12" t="str">
        <f>VLOOKUP(B225,DATA!C:E,3,0)</f>
        <v>Seal compound part number - INN-FS0904-5</v>
      </c>
      <c r="D225" s="12">
        <v>15</v>
      </c>
      <c r="E225" s="12"/>
      <c r="F225" s="12">
        <v>15</v>
      </c>
      <c r="G225" s="12">
        <v>15</v>
      </c>
      <c r="H225" s="13">
        <f t="shared" si="3"/>
        <v>0</v>
      </c>
      <c r="I225" s="12" t="s">
        <v>490</v>
      </c>
    </row>
    <row r="226" spans="1:9" hidden="1" x14ac:dyDescent="0.25">
      <c r="A226" s="12">
        <v>224</v>
      </c>
      <c r="B226" s="12" t="s">
        <v>457</v>
      </c>
      <c r="C226" s="12" t="str">
        <f>VLOOKUP(B226,DATA!C:E,3,0)</f>
        <v>Reducer female-male type REB02M01NON, execution Ex d/e IIC, female M25, male 1/2"NPT, in nickel plated brass, BARTEC FN, IECEx certificate</v>
      </c>
      <c r="D226" s="12">
        <v>303</v>
      </c>
      <c r="E226" s="12"/>
      <c r="F226" s="12">
        <v>303</v>
      </c>
      <c r="G226" s="12">
        <f>12+291</f>
        <v>303</v>
      </c>
      <c r="H226" s="13">
        <f t="shared" si="3"/>
        <v>0</v>
      </c>
      <c r="I226" s="12" t="s">
        <v>490</v>
      </c>
    </row>
    <row r="227" spans="1:9" x14ac:dyDescent="0.25">
      <c r="A227" s="12">
        <v>225</v>
      </c>
      <c r="B227" s="12" t="s">
        <v>459</v>
      </c>
      <c r="C227" s="12" t="str">
        <f>VLOOKUP(B227,DATA!C:E,3,0)</f>
        <v>Bartec Product; Emergency stop Twist to release, with labeling Ex e, Zone 1 and 21 07-3400-R200</v>
      </c>
      <c r="D227" s="12">
        <v>20</v>
      </c>
      <c r="E227" s="12"/>
      <c r="F227" s="12">
        <v>20</v>
      </c>
      <c r="G227" s="12">
        <v>0</v>
      </c>
      <c r="H227" s="13">
        <f t="shared" si="3"/>
        <v>-20</v>
      </c>
      <c r="I227" s="14" t="s">
        <v>483</v>
      </c>
    </row>
    <row r="228" spans="1:9" hidden="1" x14ac:dyDescent="0.25">
      <c r="A228" s="12">
        <v>226</v>
      </c>
      <c r="B228" s="12" t="s">
        <v>461</v>
      </c>
      <c r="C228" s="12" t="str">
        <f>VLOOKUP(B228,DATA!C:E,3,0)</f>
        <v>Bartec Product; RE03N01NON Reducer male-female type RE, execution Ex d/e IIC, male 1"NPT, female 1/2"NPT, in nickel platedbrass RE03N01NON</v>
      </c>
      <c r="D228" s="12">
        <v>200</v>
      </c>
      <c r="E228" s="12"/>
      <c r="F228" s="12">
        <v>200</v>
      </c>
      <c r="G228" s="12">
        <v>200</v>
      </c>
      <c r="H228" s="13">
        <f t="shared" si="3"/>
        <v>0</v>
      </c>
      <c r="I228" s="12" t="s">
        <v>490</v>
      </c>
    </row>
    <row r="229" spans="1:9" hidden="1" x14ac:dyDescent="0.25">
      <c r="A229" s="12">
        <v>227</v>
      </c>
      <c r="B229" s="12" t="s">
        <v>385</v>
      </c>
      <c r="C229" s="12" t="str">
        <f>VLOOKUP(B229,DATA!C:E,3,0)</f>
        <v>REB03M03NXXFS Reducer female-male type REB, execution Ex d/e IIC, female M32x1.5, male 1"NPT, in stainless steelAISI316L</v>
      </c>
      <c r="D229" s="12">
        <v>10</v>
      </c>
      <c r="E229" s="12"/>
      <c r="F229" s="12">
        <v>10</v>
      </c>
      <c r="G229" s="12">
        <v>10</v>
      </c>
      <c r="H229" s="13">
        <f t="shared" si="3"/>
        <v>0</v>
      </c>
      <c r="I229" s="12" t="s">
        <v>490</v>
      </c>
    </row>
    <row r="230" spans="1:9" hidden="1" x14ac:dyDescent="0.25">
      <c r="A230" s="12">
        <v>228</v>
      </c>
      <c r="B230" s="12" t="s">
        <v>266</v>
      </c>
      <c r="C230" s="12" t="str">
        <f>VLOOKUP(B230,DATA!C:E,3,0)</f>
        <v xml:space="preserve">0-50003-001700  Bartec Component </v>
      </c>
      <c r="D230" s="12">
        <v>3</v>
      </c>
      <c r="E230" s="12"/>
      <c r="F230" s="12">
        <v>3</v>
      </c>
      <c r="G230" s="12">
        <v>0</v>
      </c>
      <c r="H230" s="13">
        <f t="shared" si="3"/>
        <v>-3</v>
      </c>
      <c r="I230" s="14" t="s">
        <v>487</v>
      </c>
    </row>
    <row r="231" spans="1:9" hidden="1" x14ac:dyDescent="0.25">
      <c r="A231" s="12">
        <v>229</v>
      </c>
      <c r="B231" s="12" t="s">
        <v>387</v>
      </c>
      <c r="C231" s="12" t="str">
        <f>VLOOKUP(B231,DATA!C:E,3,0)</f>
        <v xml:space="preserve">07-3353-4150 Bartec Component </v>
      </c>
      <c r="D231" s="12">
        <v>3</v>
      </c>
      <c r="E231" s="12"/>
      <c r="F231" s="12">
        <v>3</v>
      </c>
      <c r="G231" s="12">
        <v>0</v>
      </c>
      <c r="H231" s="13">
        <f t="shared" si="3"/>
        <v>-3</v>
      </c>
      <c r="I231" s="14" t="s">
        <v>487</v>
      </c>
    </row>
    <row r="232" spans="1:9" hidden="1" x14ac:dyDescent="0.25">
      <c r="A232" s="12">
        <v>230</v>
      </c>
      <c r="B232" s="12" t="s">
        <v>208</v>
      </c>
      <c r="C232" s="12" t="str">
        <f>VLOOKUP(B232,DATA!C:E,3,0)</f>
        <v>415MM H x 315MM W x 249MM D (EJB31)JUNCTION BOX, EXPLOSION PROOF 3X 3/4" NPT ENTRIES 1 X 1" NPT ENTRIES 1 X 1/2" NPT ENTRIES AT BOTTOM -6 X FUSE TERMINAL,25MM2, (FUSE- 10X38) -6 X 10X38 HRC FUSE, 6 X FEED-THROUGH TERMINAL3 X FEED. 3X 3/4" N</v>
      </c>
      <c r="D232" s="12">
        <v>40</v>
      </c>
      <c r="E232" s="12"/>
      <c r="F232" s="12">
        <v>40</v>
      </c>
      <c r="G232" s="12">
        <v>40</v>
      </c>
      <c r="H232" s="13">
        <f t="shared" si="3"/>
        <v>0</v>
      </c>
      <c r="I232" s="12" t="s">
        <v>490</v>
      </c>
    </row>
    <row r="233" spans="1:9" hidden="1" x14ac:dyDescent="0.25">
      <c r="A233" s="12"/>
      <c r="B233" s="12" t="s">
        <v>469</v>
      </c>
      <c r="C233" s="12"/>
      <c r="D233" s="12">
        <v>92819</v>
      </c>
      <c r="E233" s="12">
        <v>2</v>
      </c>
      <c r="F233" s="12">
        <v>92821</v>
      </c>
      <c r="G233" s="12"/>
      <c r="H233" s="12"/>
      <c r="I233" s="12"/>
    </row>
    <row r="236" spans="1:9" x14ac:dyDescent="0.25">
      <c r="I236" t="s">
        <v>481</v>
      </c>
    </row>
  </sheetData>
  <autoFilter ref="A2:N233" xr:uid="{A101C740-47CD-4D3D-A9A7-7BEFFB414DDF}">
    <filterColumn colId="8">
      <filters>
        <filter val="Pending for closing"/>
        <filter val="Pending to clos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572E5-0567-46F1-AD6E-32C003B60762}">
  <dimension ref="A1:F231"/>
  <sheetViews>
    <sheetView workbookViewId="0">
      <selection activeCell="C1" sqref="C1"/>
    </sheetView>
  </sheetViews>
  <sheetFormatPr defaultRowHeight="15" x14ac:dyDescent="0.25"/>
  <cols>
    <col min="1" max="1" width="4" bestFit="1" customWidth="1"/>
    <col min="2" max="2" width="5.42578125" bestFit="1" customWidth="1"/>
    <col min="3" max="3" width="10.140625" bestFit="1" customWidth="1"/>
    <col min="4" max="4" width="23.28515625" bestFit="1" customWidth="1"/>
    <col min="5" max="5" width="100.42578125" customWidth="1"/>
    <col min="6" max="6" width="5" bestFit="1" customWidth="1"/>
  </cols>
  <sheetData>
    <row r="1" spans="1:6" x14ac:dyDescent="0.25">
      <c r="A1" s="1" t="s">
        <v>468</v>
      </c>
      <c r="B1" s="1" t="s">
        <v>474</v>
      </c>
      <c r="C1" s="2" t="s">
        <v>477</v>
      </c>
      <c r="D1" s="3" t="s">
        <v>475</v>
      </c>
      <c r="E1" s="3" t="s">
        <v>476</v>
      </c>
      <c r="F1" s="3" t="s">
        <v>473</v>
      </c>
    </row>
    <row r="2" spans="1:6" x14ac:dyDescent="0.25">
      <c r="A2" s="4">
        <v>1</v>
      </c>
      <c r="B2" s="5" t="s">
        <v>2</v>
      </c>
      <c r="C2" s="5" t="s">
        <v>27</v>
      </c>
      <c r="D2" s="5" t="s">
        <v>4</v>
      </c>
      <c r="E2" s="5" t="s">
        <v>28</v>
      </c>
      <c r="F2" s="6">
        <v>885</v>
      </c>
    </row>
    <row r="3" spans="1:6" x14ac:dyDescent="0.25">
      <c r="A3" s="4">
        <v>2</v>
      </c>
      <c r="B3" s="5" t="s">
        <v>2</v>
      </c>
      <c r="C3" s="5" t="s">
        <v>31</v>
      </c>
      <c r="D3" s="5" t="s">
        <v>4</v>
      </c>
      <c r="E3" s="5" t="s">
        <v>32</v>
      </c>
      <c r="F3" s="6">
        <v>512</v>
      </c>
    </row>
    <row r="4" spans="1:6" x14ac:dyDescent="0.25">
      <c r="A4" s="4">
        <v>3</v>
      </c>
      <c r="B4" s="5" t="s">
        <v>2</v>
      </c>
      <c r="C4" s="5" t="s">
        <v>50</v>
      </c>
      <c r="D4" s="5" t="s">
        <v>4</v>
      </c>
      <c r="E4" s="5" t="s">
        <v>51</v>
      </c>
      <c r="F4" s="6">
        <v>983</v>
      </c>
    </row>
    <row r="5" spans="1:6" x14ac:dyDescent="0.25">
      <c r="A5" s="4">
        <v>4</v>
      </c>
      <c r="B5" s="5" t="s">
        <v>2</v>
      </c>
      <c r="C5" s="5" t="s">
        <v>54</v>
      </c>
      <c r="D5" s="5" t="s">
        <v>4</v>
      </c>
      <c r="E5" s="5" t="s">
        <v>55</v>
      </c>
      <c r="F5" s="6">
        <v>2</v>
      </c>
    </row>
    <row r="6" spans="1:6" x14ac:dyDescent="0.25">
      <c r="A6" s="4">
        <v>5</v>
      </c>
      <c r="B6" s="5" t="s">
        <v>2</v>
      </c>
      <c r="C6" s="5" t="s">
        <v>58</v>
      </c>
      <c r="D6" s="5" t="s">
        <v>4</v>
      </c>
      <c r="E6" s="5" t="s">
        <v>59</v>
      </c>
      <c r="F6" s="6">
        <v>257</v>
      </c>
    </row>
    <row r="7" spans="1:6" x14ac:dyDescent="0.25">
      <c r="A7" s="4">
        <v>6</v>
      </c>
      <c r="B7" s="5" t="s">
        <v>2</v>
      </c>
      <c r="C7" s="5" t="s">
        <v>62</v>
      </c>
      <c r="D7" s="5" t="s">
        <v>4</v>
      </c>
      <c r="E7" s="5" t="s">
        <v>63</v>
      </c>
      <c r="F7" s="6">
        <v>20</v>
      </c>
    </row>
    <row r="8" spans="1:6" x14ac:dyDescent="0.25">
      <c r="A8" s="4">
        <v>7</v>
      </c>
      <c r="B8" s="5" t="s">
        <v>2</v>
      </c>
      <c r="C8" s="5" t="s">
        <v>84</v>
      </c>
      <c r="D8" s="5" t="s">
        <v>4</v>
      </c>
      <c r="E8" s="5" t="s">
        <v>85</v>
      </c>
      <c r="F8" s="6">
        <v>128</v>
      </c>
    </row>
    <row r="9" spans="1:6" x14ac:dyDescent="0.25">
      <c r="A9" s="4">
        <v>8</v>
      </c>
      <c r="B9" s="5" t="s">
        <v>2</v>
      </c>
      <c r="C9" s="5" t="s">
        <v>88</v>
      </c>
      <c r="D9" s="5" t="s">
        <v>4</v>
      </c>
      <c r="E9" s="5" t="s">
        <v>89</v>
      </c>
      <c r="F9" s="6">
        <v>118</v>
      </c>
    </row>
    <row r="10" spans="1:6" x14ac:dyDescent="0.25">
      <c r="A10" s="4">
        <v>9</v>
      </c>
      <c r="B10" s="5" t="s">
        <v>2</v>
      </c>
      <c r="C10" s="5" t="s">
        <v>114</v>
      </c>
      <c r="D10" s="5" t="s">
        <v>4</v>
      </c>
      <c r="E10" s="5" t="s">
        <v>115</v>
      </c>
      <c r="F10" s="6">
        <v>135</v>
      </c>
    </row>
    <row r="11" spans="1:6" x14ac:dyDescent="0.25">
      <c r="A11" s="4">
        <v>10</v>
      </c>
      <c r="B11" s="5" t="s">
        <v>2</v>
      </c>
      <c r="C11" s="5" t="s">
        <v>136</v>
      </c>
      <c r="D11" s="5" t="s">
        <v>4</v>
      </c>
      <c r="E11" s="5" t="s">
        <v>137</v>
      </c>
      <c r="F11" s="6">
        <v>200</v>
      </c>
    </row>
    <row r="12" spans="1:6" x14ac:dyDescent="0.25">
      <c r="A12" s="4">
        <v>11</v>
      </c>
      <c r="B12" s="5" t="s">
        <v>2</v>
      </c>
      <c r="C12" s="5" t="s">
        <v>140</v>
      </c>
      <c r="D12" s="5" t="s">
        <v>4</v>
      </c>
      <c r="E12" s="5" t="s">
        <v>141</v>
      </c>
      <c r="F12" s="6">
        <v>50</v>
      </c>
    </row>
    <row r="13" spans="1:6" x14ac:dyDescent="0.25">
      <c r="A13" s="4">
        <v>12</v>
      </c>
      <c r="B13" s="5" t="s">
        <v>2</v>
      </c>
      <c r="C13" s="5" t="s">
        <v>142</v>
      </c>
      <c r="D13" s="5" t="s">
        <v>4</v>
      </c>
      <c r="E13" s="5" t="s">
        <v>143</v>
      </c>
      <c r="F13" s="6">
        <v>65</v>
      </c>
    </row>
    <row r="14" spans="1:6" x14ac:dyDescent="0.25">
      <c r="A14" s="4">
        <v>13</v>
      </c>
      <c r="B14" s="5" t="s">
        <v>2</v>
      </c>
      <c r="C14" s="5" t="s">
        <v>150</v>
      </c>
      <c r="D14" s="5" t="s">
        <v>4</v>
      </c>
      <c r="E14" s="5" t="s">
        <v>151</v>
      </c>
      <c r="F14" s="6">
        <v>1</v>
      </c>
    </row>
    <row r="15" spans="1:6" x14ac:dyDescent="0.25">
      <c r="A15" s="4">
        <v>14</v>
      </c>
      <c r="B15" s="5" t="s">
        <v>2</v>
      </c>
      <c r="C15" s="5" t="s">
        <v>154</v>
      </c>
      <c r="D15" s="5" t="s">
        <v>4</v>
      </c>
      <c r="E15" s="5" t="s">
        <v>155</v>
      </c>
      <c r="F15" s="6">
        <v>80</v>
      </c>
    </row>
    <row r="16" spans="1:6" x14ac:dyDescent="0.25">
      <c r="A16" s="4">
        <v>15</v>
      </c>
      <c r="B16" s="5" t="s">
        <v>2</v>
      </c>
      <c r="C16" s="5" t="s">
        <v>168</v>
      </c>
      <c r="D16" s="5" t="s">
        <v>4</v>
      </c>
      <c r="E16" s="5" t="s">
        <v>169</v>
      </c>
      <c r="F16" s="6">
        <v>10</v>
      </c>
    </row>
    <row r="17" spans="1:6" x14ac:dyDescent="0.25">
      <c r="A17" s="4">
        <v>16</v>
      </c>
      <c r="B17" s="5" t="s">
        <v>2</v>
      </c>
      <c r="C17" s="5" t="s">
        <v>170</v>
      </c>
      <c r="D17" s="5" t="s">
        <v>4</v>
      </c>
      <c r="E17" s="5" t="s">
        <v>171</v>
      </c>
      <c r="F17" s="6">
        <v>6</v>
      </c>
    </row>
    <row r="18" spans="1:6" x14ac:dyDescent="0.25">
      <c r="A18" s="4">
        <v>17</v>
      </c>
      <c r="B18" s="5" t="s">
        <v>2</v>
      </c>
      <c r="C18" s="5" t="s">
        <v>172</v>
      </c>
      <c r="D18" s="5" t="s">
        <v>4</v>
      </c>
      <c r="E18" s="5" t="s">
        <v>173</v>
      </c>
      <c r="F18" s="6">
        <v>24</v>
      </c>
    </row>
    <row r="19" spans="1:6" x14ac:dyDescent="0.25">
      <c r="A19" s="4">
        <v>18</v>
      </c>
      <c r="B19" s="5" t="s">
        <v>2</v>
      </c>
      <c r="C19" s="5" t="s">
        <v>194</v>
      </c>
      <c r="D19" s="5" t="s">
        <v>4</v>
      </c>
      <c r="E19" s="5" t="s">
        <v>195</v>
      </c>
      <c r="F19" s="6">
        <v>593</v>
      </c>
    </row>
    <row r="20" spans="1:6" x14ac:dyDescent="0.25">
      <c r="A20" s="4">
        <v>19</v>
      </c>
      <c r="B20" s="5" t="s">
        <v>2</v>
      </c>
      <c r="C20" s="5" t="s">
        <v>202</v>
      </c>
      <c r="D20" s="5" t="s">
        <v>4</v>
      </c>
      <c r="E20" s="5" t="s">
        <v>203</v>
      </c>
      <c r="F20" s="6">
        <v>103</v>
      </c>
    </row>
    <row r="21" spans="1:6" x14ac:dyDescent="0.25">
      <c r="A21" s="4">
        <v>20</v>
      </c>
      <c r="B21" s="5" t="s">
        <v>2</v>
      </c>
      <c r="C21" s="5" t="s">
        <v>206</v>
      </c>
      <c r="D21" s="5" t="s">
        <v>4</v>
      </c>
      <c r="E21" s="5" t="s">
        <v>207</v>
      </c>
      <c r="F21" s="6">
        <v>381</v>
      </c>
    </row>
    <row r="22" spans="1:6" x14ac:dyDescent="0.25">
      <c r="A22" s="4">
        <v>21</v>
      </c>
      <c r="B22" s="5" t="s">
        <v>2</v>
      </c>
      <c r="C22" s="5" t="s">
        <v>208</v>
      </c>
      <c r="D22" s="5" t="s">
        <v>4</v>
      </c>
      <c r="E22" s="5" t="s">
        <v>209</v>
      </c>
      <c r="F22" s="6">
        <v>40</v>
      </c>
    </row>
    <row r="23" spans="1:6" x14ac:dyDescent="0.25">
      <c r="A23" s="4">
        <v>22</v>
      </c>
      <c r="B23" s="5" t="s">
        <v>2</v>
      </c>
      <c r="C23" s="5" t="s">
        <v>228</v>
      </c>
      <c r="D23" s="5" t="s">
        <v>4</v>
      </c>
      <c r="E23" s="5" t="s">
        <v>229</v>
      </c>
      <c r="F23" s="6">
        <v>29</v>
      </c>
    </row>
    <row r="24" spans="1:6" x14ac:dyDescent="0.25">
      <c r="A24" s="4">
        <v>23</v>
      </c>
      <c r="B24" s="5" t="s">
        <v>2</v>
      </c>
      <c r="C24" s="5" t="s">
        <v>230</v>
      </c>
      <c r="D24" s="5" t="s">
        <v>4</v>
      </c>
      <c r="E24" s="5" t="s">
        <v>231</v>
      </c>
      <c r="F24" s="6">
        <v>62</v>
      </c>
    </row>
    <row r="25" spans="1:6" x14ac:dyDescent="0.25">
      <c r="A25" s="4">
        <v>24</v>
      </c>
      <c r="B25" s="5" t="s">
        <v>2</v>
      </c>
      <c r="C25" s="5" t="s">
        <v>242</v>
      </c>
      <c r="D25" s="5" t="s">
        <v>4</v>
      </c>
      <c r="E25" s="5" t="s">
        <v>243</v>
      </c>
      <c r="F25" s="6">
        <v>50</v>
      </c>
    </row>
    <row r="26" spans="1:6" x14ac:dyDescent="0.25">
      <c r="A26" s="4">
        <v>25</v>
      </c>
      <c r="B26" s="5" t="s">
        <v>2</v>
      </c>
      <c r="C26" s="5" t="s">
        <v>258</v>
      </c>
      <c r="D26" s="5" t="s">
        <v>4</v>
      </c>
      <c r="E26" s="5" t="s">
        <v>259</v>
      </c>
      <c r="F26" s="6">
        <v>200</v>
      </c>
    </row>
    <row r="27" spans="1:6" x14ac:dyDescent="0.25">
      <c r="A27" s="4">
        <v>26</v>
      </c>
      <c r="B27" s="5" t="s">
        <v>2</v>
      </c>
      <c r="C27" s="5" t="s">
        <v>262</v>
      </c>
      <c r="D27" s="5" t="s">
        <v>4</v>
      </c>
      <c r="E27" s="5" t="s">
        <v>263</v>
      </c>
      <c r="F27" s="6">
        <v>969</v>
      </c>
    </row>
    <row r="28" spans="1:6" x14ac:dyDescent="0.25">
      <c r="A28" s="4">
        <v>27</v>
      </c>
      <c r="B28" s="5" t="s">
        <v>2</v>
      </c>
      <c r="C28" s="5" t="s">
        <v>264</v>
      </c>
      <c r="D28" s="5" t="s">
        <v>4</v>
      </c>
      <c r="E28" s="5" t="s">
        <v>265</v>
      </c>
      <c r="F28" s="6">
        <v>29</v>
      </c>
    </row>
    <row r="29" spans="1:6" x14ac:dyDescent="0.25">
      <c r="A29" s="4">
        <v>28</v>
      </c>
      <c r="B29" s="5" t="s">
        <v>2</v>
      </c>
      <c r="C29" s="5" t="s">
        <v>282</v>
      </c>
      <c r="D29" s="5" t="s">
        <v>4</v>
      </c>
      <c r="E29" s="5" t="s">
        <v>283</v>
      </c>
      <c r="F29" s="6">
        <v>417</v>
      </c>
    </row>
    <row r="30" spans="1:6" x14ac:dyDescent="0.25">
      <c r="A30" s="4">
        <v>29</v>
      </c>
      <c r="B30" s="5" t="s">
        <v>2</v>
      </c>
      <c r="C30" s="5" t="s">
        <v>284</v>
      </c>
      <c r="D30" s="5" t="s">
        <v>4</v>
      </c>
      <c r="E30" s="5" t="s">
        <v>285</v>
      </c>
      <c r="F30" s="6">
        <v>10</v>
      </c>
    </row>
    <row r="31" spans="1:6" x14ac:dyDescent="0.25">
      <c r="A31" s="4">
        <v>30</v>
      </c>
      <c r="B31" s="5" t="s">
        <v>2</v>
      </c>
      <c r="C31" s="5" t="s">
        <v>286</v>
      </c>
      <c r="D31" s="5" t="s">
        <v>4</v>
      </c>
      <c r="E31" s="5" t="s">
        <v>287</v>
      </c>
      <c r="F31" s="6">
        <v>317</v>
      </c>
    </row>
    <row r="32" spans="1:6" x14ac:dyDescent="0.25">
      <c r="A32" s="4">
        <v>31</v>
      </c>
      <c r="B32" s="5" t="s">
        <v>2</v>
      </c>
      <c r="C32" s="5" t="s">
        <v>288</v>
      </c>
      <c r="D32" s="5" t="s">
        <v>4</v>
      </c>
      <c r="E32" s="5" t="s">
        <v>289</v>
      </c>
      <c r="F32" s="6">
        <v>2</v>
      </c>
    </row>
    <row r="33" spans="1:6" x14ac:dyDescent="0.25">
      <c r="A33" s="4">
        <v>32</v>
      </c>
      <c r="B33" s="5" t="s">
        <v>2</v>
      </c>
      <c r="C33" s="5" t="s">
        <v>306</v>
      </c>
      <c r="D33" s="5" t="s">
        <v>4</v>
      </c>
      <c r="E33" s="5" t="s">
        <v>307</v>
      </c>
      <c r="F33" s="6">
        <v>15</v>
      </c>
    </row>
    <row r="34" spans="1:6" x14ac:dyDescent="0.25">
      <c r="A34" s="4">
        <v>33</v>
      </c>
      <c r="B34" s="5" t="s">
        <v>2</v>
      </c>
      <c r="C34" s="5" t="s">
        <v>337</v>
      </c>
      <c r="D34" s="5" t="s">
        <v>4</v>
      </c>
      <c r="E34" s="5" t="s">
        <v>338</v>
      </c>
      <c r="F34" s="6">
        <v>751</v>
      </c>
    </row>
    <row r="35" spans="1:6" x14ac:dyDescent="0.25">
      <c r="A35" s="4">
        <v>34</v>
      </c>
      <c r="B35" s="5" t="s">
        <v>2</v>
      </c>
      <c r="C35" s="5" t="s">
        <v>339</v>
      </c>
      <c r="D35" s="5" t="s">
        <v>4</v>
      </c>
      <c r="E35" s="5" t="s">
        <v>340</v>
      </c>
      <c r="F35" s="6">
        <v>10</v>
      </c>
    </row>
    <row r="36" spans="1:6" x14ac:dyDescent="0.25">
      <c r="A36" s="4">
        <v>35</v>
      </c>
      <c r="B36" s="5" t="s">
        <v>2</v>
      </c>
      <c r="C36" s="5" t="s">
        <v>341</v>
      </c>
      <c r="D36" s="5" t="s">
        <v>4</v>
      </c>
      <c r="E36" s="5" t="s">
        <v>342</v>
      </c>
      <c r="F36" s="6">
        <v>252</v>
      </c>
    </row>
    <row r="37" spans="1:6" x14ac:dyDescent="0.25">
      <c r="A37" s="4">
        <v>36</v>
      </c>
      <c r="B37" s="5" t="s">
        <v>2</v>
      </c>
      <c r="C37" s="5" t="s">
        <v>343</v>
      </c>
      <c r="D37" s="5" t="s">
        <v>4</v>
      </c>
      <c r="E37" s="5" t="s">
        <v>344</v>
      </c>
      <c r="F37" s="6">
        <v>9</v>
      </c>
    </row>
    <row r="38" spans="1:6" x14ac:dyDescent="0.25">
      <c r="A38" s="4">
        <v>37</v>
      </c>
      <c r="B38" s="5" t="s">
        <v>2</v>
      </c>
      <c r="C38" s="5" t="s">
        <v>345</v>
      </c>
      <c r="D38" s="5" t="s">
        <v>4</v>
      </c>
      <c r="E38" s="5" t="s">
        <v>346</v>
      </c>
      <c r="F38" s="6">
        <v>9</v>
      </c>
    </row>
    <row r="39" spans="1:6" x14ac:dyDescent="0.25">
      <c r="A39" s="4">
        <v>38</v>
      </c>
      <c r="B39" s="5" t="s">
        <v>2</v>
      </c>
      <c r="C39" s="5" t="s">
        <v>351</v>
      </c>
      <c r="D39" s="5" t="s">
        <v>4</v>
      </c>
      <c r="E39" s="5" t="s">
        <v>352</v>
      </c>
      <c r="F39" s="6">
        <v>108</v>
      </c>
    </row>
    <row r="40" spans="1:6" x14ac:dyDescent="0.25">
      <c r="A40" s="4">
        <v>39</v>
      </c>
      <c r="B40" s="5" t="s">
        <v>2</v>
      </c>
      <c r="C40" s="5" t="s">
        <v>353</v>
      </c>
      <c r="D40" s="5" t="s">
        <v>4</v>
      </c>
      <c r="E40" s="5" t="s">
        <v>354</v>
      </c>
      <c r="F40" s="6">
        <v>25</v>
      </c>
    </row>
    <row r="41" spans="1:6" x14ac:dyDescent="0.25">
      <c r="A41" s="4">
        <v>40</v>
      </c>
      <c r="B41" s="5" t="s">
        <v>2</v>
      </c>
      <c r="C41" s="5" t="s">
        <v>373</v>
      </c>
      <c r="D41" s="5" t="s">
        <v>4</v>
      </c>
      <c r="E41" s="5" t="s">
        <v>374</v>
      </c>
      <c r="F41" s="6">
        <v>4</v>
      </c>
    </row>
    <row r="42" spans="1:6" x14ac:dyDescent="0.25">
      <c r="A42" s="4">
        <v>41</v>
      </c>
      <c r="B42" s="5" t="s">
        <v>2</v>
      </c>
      <c r="C42" s="5" t="s">
        <v>375</v>
      </c>
      <c r="D42" s="5" t="s">
        <v>4</v>
      </c>
      <c r="E42" s="5" t="s">
        <v>376</v>
      </c>
      <c r="F42" s="6">
        <v>8</v>
      </c>
    </row>
    <row r="43" spans="1:6" x14ac:dyDescent="0.25">
      <c r="A43" s="4">
        <v>42</v>
      </c>
      <c r="B43" s="5" t="s">
        <v>2</v>
      </c>
      <c r="C43" s="5" t="s">
        <v>379</v>
      </c>
      <c r="D43" s="5" t="s">
        <v>4</v>
      </c>
      <c r="E43" s="5" t="s">
        <v>380</v>
      </c>
      <c r="F43" s="6">
        <v>663</v>
      </c>
    </row>
    <row r="44" spans="1:6" x14ac:dyDescent="0.25">
      <c r="A44" s="4">
        <v>43</v>
      </c>
      <c r="B44" s="5" t="s">
        <v>2</v>
      </c>
      <c r="C44" s="5" t="s">
        <v>383</v>
      </c>
      <c r="D44" s="5" t="s">
        <v>4</v>
      </c>
      <c r="E44" s="5" t="s">
        <v>384</v>
      </c>
      <c r="F44" s="6">
        <v>75</v>
      </c>
    </row>
    <row r="45" spans="1:6" x14ac:dyDescent="0.25">
      <c r="A45" s="4">
        <v>44</v>
      </c>
      <c r="B45" s="5" t="s">
        <v>2</v>
      </c>
      <c r="C45" s="5" t="s">
        <v>385</v>
      </c>
      <c r="D45" s="5" t="s">
        <v>4</v>
      </c>
      <c r="E45" s="5" t="s">
        <v>386</v>
      </c>
      <c r="F45" s="6">
        <v>10</v>
      </c>
    </row>
    <row r="46" spans="1:6" x14ac:dyDescent="0.25">
      <c r="A46" s="4">
        <v>45</v>
      </c>
      <c r="B46" s="5" t="s">
        <v>2</v>
      </c>
      <c r="C46" s="5" t="s">
        <v>415</v>
      </c>
      <c r="D46" s="5" t="s">
        <v>4</v>
      </c>
      <c r="E46" s="5" t="s">
        <v>416</v>
      </c>
      <c r="F46" s="6">
        <v>2</v>
      </c>
    </row>
    <row r="47" spans="1:6" x14ac:dyDescent="0.25">
      <c r="A47" s="4">
        <v>46</v>
      </c>
      <c r="B47" s="5" t="s">
        <v>2</v>
      </c>
      <c r="C47" s="5" t="s">
        <v>417</v>
      </c>
      <c r="D47" s="5" t="s">
        <v>4</v>
      </c>
      <c r="E47" s="5" t="s">
        <v>418</v>
      </c>
      <c r="F47" s="6">
        <v>92</v>
      </c>
    </row>
    <row r="48" spans="1:6" x14ac:dyDescent="0.25">
      <c r="A48" s="4">
        <v>47</v>
      </c>
      <c r="B48" s="5" t="s">
        <v>2</v>
      </c>
      <c r="C48" s="5" t="s">
        <v>419</v>
      </c>
      <c r="D48" s="5" t="s">
        <v>4</v>
      </c>
      <c r="E48" s="5" t="s">
        <v>420</v>
      </c>
      <c r="F48" s="6">
        <v>109</v>
      </c>
    </row>
    <row r="49" spans="1:6" x14ac:dyDescent="0.25">
      <c r="A49" s="4">
        <v>48</v>
      </c>
      <c r="B49" s="5" t="s">
        <v>2</v>
      </c>
      <c r="C49" s="5" t="s">
        <v>421</v>
      </c>
      <c r="D49" s="5" t="s">
        <v>4</v>
      </c>
      <c r="E49" s="5" t="s">
        <v>422</v>
      </c>
      <c r="F49" s="6">
        <v>1</v>
      </c>
    </row>
    <row r="50" spans="1:6" x14ac:dyDescent="0.25">
      <c r="A50" s="4">
        <v>49</v>
      </c>
      <c r="B50" s="5" t="s">
        <v>2</v>
      </c>
      <c r="C50" s="5" t="s">
        <v>423</v>
      </c>
      <c r="D50" s="5" t="s">
        <v>4</v>
      </c>
      <c r="E50" s="5" t="s">
        <v>424</v>
      </c>
      <c r="F50" s="6">
        <v>6</v>
      </c>
    </row>
    <row r="51" spans="1:6" x14ac:dyDescent="0.25">
      <c r="A51" s="4">
        <v>50</v>
      </c>
      <c r="B51" s="5" t="s">
        <v>2</v>
      </c>
      <c r="C51" s="5" t="s">
        <v>425</v>
      </c>
      <c r="D51" s="5" t="s">
        <v>4</v>
      </c>
      <c r="E51" s="5" t="s">
        <v>426</v>
      </c>
      <c r="F51" s="6">
        <v>67</v>
      </c>
    </row>
    <row r="52" spans="1:6" x14ac:dyDescent="0.25">
      <c r="A52" s="4">
        <v>51</v>
      </c>
      <c r="B52" s="5" t="s">
        <v>2</v>
      </c>
      <c r="C52" s="5" t="s">
        <v>433</v>
      </c>
      <c r="D52" s="5" t="s">
        <v>4</v>
      </c>
      <c r="E52" s="5" t="s">
        <v>434</v>
      </c>
      <c r="F52" s="6">
        <v>1</v>
      </c>
    </row>
    <row r="53" spans="1:6" x14ac:dyDescent="0.25">
      <c r="A53" s="4">
        <v>52</v>
      </c>
      <c r="B53" s="5" t="s">
        <v>2</v>
      </c>
      <c r="C53" s="5" t="s">
        <v>449</v>
      </c>
      <c r="D53" s="5" t="s">
        <v>4</v>
      </c>
      <c r="E53" s="5" t="s">
        <v>450</v>
      </c>
      <c r="F53" s="6">
        <v>2</v>
      </c>
    </row>
    <row r="54" spans="1:6" x14ac:dyDescent="0.25">
      <c r="A54" s="4">
        <v>53</v>
      </c>
      <c r="B54" s="5" t="s">
        <v>2</v>
      </c>
      <c r="C54" s="5" t="s">
        <v>451</v>
      </c>
      <c r="D54" s="5" t="s">
        <v>4</v>
      </c>
      <c r="E54" s="5" t="s">
        <v>452</v>
      </c>
      <c r="F54" s="6">
        <v>78</v>
      </c>
    </row>
    <row r="55" spans="1:6" x14ac:dyDescent="0.25">
      <c r="A55" s="4">
        <v>54</v>
      </c>
      <c r="B55" s="5" t="s">
        <v>463</v>
      </c>
      <c r="C55" s="5" t="s">
        <v>466</v>
      </c>
      <c r="D55" s="5" t="s">
        <v>4</v>
      </c>
      <c r="E55" s="5" t="s">
        <v>467</v>
      </c>
      <c r="F55" s="6">
        <v>1</v>
      </c>
    </row>
    <row r="56" spans="1:6" x14ac:dyDescent="0.25">
      <c r="A56" s="4">
        <v>55</v>
      </c>
      <c r="B56" s="5" t="s">
        <v>2</v>
      </c>
      <c r="C56" s="5" t="s">
        <v>3</v>
      </c>
      <c r="D56" s="5" t="s">
        <v>4</v>
      </c>
      <c r="E56" s="5" t="s">
        <v>5</v>
      </c>
      <c r="F56" s="6">
        <v>857</v>
      </c>
    </row>
    <row r="57" spans="1:6" x14ac:dyDescent="0.25">
      <c r="A57" s="4">
        <v>56</v>
      </c>
      <c r="B57" s="5" t="s">
        <v>2</v>
      </c>
      <c r="C57" s="5" t="s">
        <v>6</v>
      </c>
      <c r="D57" s="5" t="s">
        <v>4</v>
      </c>
      <c r="E57" s="5" t="s">
        <v>7</v>
      </c>
      <c r="F57" s="6">
        <v>1220</v>
      </c>
    </row>
    <row r="58" spans="1:6" x14ac:dyDescent="0.25">
      <c r="A58" s="4">
        <v>57</v>
      </c>
      <c r="B58" s="5" t="s">
        <v>2</v>
      </c>
      <c r="C58" s="5" t="s">
        <v>8</v>
      </c>
      <c r="D58" s="5" t="s">
        <v>4</v>
      </c>
      <c r="E58" s="5" t="s">
        <v>9</v>
      </c>
      <c r="F58" s="6">
        <v>164</v>
      </c>
    </row>
    <row r="59" spans="1:6" x14ac:dyDescent="0.25">
      <c r="A59" s="4">
        <v>58</v>
      </c>
      <c r="B59" s="5" t="s">
        <v>2</v>
      </c>
      <c r="C59" s="5" t="s">
        <v>10</v>
      </c>
      <c r="D59" s="5" t="s">
        <v>4</v>
      </c>
      <c r="E59" s="5" t="s">
        <v>11</v>
      </c>
      <c r="F59" s="6">
        <v>835</v>
      </c>
    </row>
    <row r="60" spans="1:6" x14ac:dyDescent="0.25">
      <c r="A60" s="4">
        <v>59</v>
      </c>
      <c r="B60" s="5" t="s">
        <v>2</v>
      </c>
      <c r="C60" s="5" t="s">
        <v>12</v>
      </c>
      <c r="D60" s="5" t="s">
        <v>4</v>
      </c>
      <c r="E60" s="5" t="s">
        <v>13</v>
      </c>
      <c r="F60" s="6">
        <v>152</v>
      </c>
    </row>
    <row r="61" spans="1:6" x14ac:dyDescent="0.25">
      <c r="A61" s="4">
        <v>60</v>
      </c>
      <c r="B61" s="5" t="s">
        <v>2</v>
      </c>
      <c r="C61" s="5" t="s">
        <v>14</v>
      </c>
      <c r="D61" s="5" t="s">
        <v>4</v>
      </c>
      <c r="E61" s="5" t="s">
        <v>15</v>
      </c>
      <c r="F61" s="6">
        <v>874</v>
      </c>
    </row>
    <row r="62" spans="1:6" x14ac:dyDescent="0.25">
      <c r="A62" s="4">
        <v>61</v>
      </c>
      <c r="B62" s="5" t="s">
        <v>2</v>
      </c>
      <c r="C62" s="5" t="s">
        <v>16</v>
      </c>
      <c r="D62" s="5" t="s">
        <v>4</v>
      </c>
      <c r="E62" s="5" t="s">
        <v>17</v>
      </c>
      <c r="F62" s="6">
        <v>242</v>
      </c>
    </row>
    <row r="63" spans="1:6" x14ac:dyDescent="0.25">
      <c r="A63" s="4">
        <v>62</v>
      </c>
      <c r="B63" s="5" t="s">
        <v>2</v>
      </c>
      <c r="C63" s="5" t="s">
        <v>18</v>
      </c>
      <c r="D63" s="5" t="s">
        <v>4</v>
      </c>
      <c r="E63" s="5" t="s">
        <v>19</v>
      </c>
      <c r="F63" s="6">
        <v>633</v>
      </c>
    </row>
    <row r="64" spans="1:6" x14ac:dyDescent="0.25">
      <c r="A64" s="4">
        <v>63</v>
      </c>
      <c r="B64" s="5" t="s">
        <v>2</v>
      </c>
      <c r="C64" s="5" t="s">
        <v>20</v>
      </c>
      <c r="D64" s="5" t="s">
        <v>4</v>
      </c>
      <c r="E64" s="5" t="s">
        <v>21</v>
      </c>
      <c r="F64" s="6">
        <v>3425</v>
      </c>
    </row>
    <row r="65" spans="1:6" x14ac:dyDescent="0.25">
      <c r="A65" s="4">
        <v>64</v>
      </c>
      <c r="B65" s="5" t="s">
        <v>2</v>
      </c>
      <c r="C65" s="5" t="s">
        <v>22</v>
      </c>
      <c r="D65" s="5" t="s">
        <v>4</v>
      </c>
      <c r="E65" s="5" t="s">
        <v>23</v>
      </c>
      <c r="F65" s="6">
        <v>40</v>
      </c>
    </row>
    <row r="66" spans="1:6" x14ac:dyDescent="0.25">
      <c r="A66" s="4">
        <v>65</v>
      </c>
      <c r="B66" s="5" t="s">
        <v>2</v>
      </c>
      <c r="C66" s="5" t="s">
        <v>24</v>
      </c>
      <c r="D66" s="5" t="s">
        <v>4</v>
      </c>
      <c r="E66" s="5" t="s">
        <v>25</v>
      </c>
      <c r="F66" s="6">
        <v>212</v>
      </c>
    </row>
    <row r="67" spans="1:6" x14ac:dyDescent="0.25">
      <c r="A67" s="4">
        <v>66</v>
      </c>
      <c r="B67" s="5" t="s">
        <v>2</v>
      </c>
      <c r="C67" s="5" t="s">
        <v>29</v>
      </c>
      <c r="D67" s="5" t="s">
        <v>4</v>
      </c>
      <c r="E67" s="5" t="s">
        <v>30</v>
      </c>
      <c r="F67" s="6">
        <v>1</v>
      </c>
    </row>
    <row r="68" spans="1:6" x14ac:dyDescent="0.25">
      <c r="A68" s="4">
        <v>67</v>
      </c>
      <c r="B68" s="5" t="s">
        <v>2</v>
      </c>
      <c r="C68" s="5" t="s">
        <v>33</v>
      </c>
      <c r="D68" s="5" t="s">
        <v>4</v>
      </c>
      <c r="E68" s="5" t="s">
        <v>34</v>
      </c>
      <c r="F68" s="6">
        <v>246</v>
      </c>
    </row>
    <row r="69" spans="1:6" x14ac:dyDescent="0.25">
      <c r="A69" s="4">
        <v>68</v>
      </c>
      <c r="B69" s="5" t="s">
        <v>2</v>
      </c>
      <c r="C69" s="5" t="s">
        <v>35</v>
      </c>
      <c r="D69" s="5" t="s">
        <v>4</v>
      </c>
      <c r="E69" s="5" t="s">
        <v>36</v>
      </c>
      <c r="F69" s="6">
        <v>663</v>
      </c>
    </row>
    <row r="70" spans="1:6" x14ac:dyDescent="0.25">
      <c r="A70" s="4">
        <v>69</v>
      </c>
      <c r="B70" s="5" t="s">
        <v>2</v>
      </c>
      <c r="C70" s="5" t="s">
        <v>37</v>
      </c>
      <c r="D70" s="5" t="s">
        <v>4</v>
      </c>
      <c r="E70" s="5" t="s">
        <v>38</v>
      </c>
      <c r="F70" s="6">
        <v>100</v>
      </c>
    </row>
    <row r="71" spans="1:6" x14ac:dyDescent="0.25">
      <c r="A71" s="4">
        <v>70</v>
      </c>
      <c r="B71" s="5" t="s">
        <v>2</v>
      </c>
      <c r="C71" s="5" t="s">
        <v>39</v>
      </c>
      <c r="D71" s="5" t="s">
        <v>4</v>
      </c>
      <c r="E71" s="5" t="s">
        <v>40</v>
      </c>
      <c r="F71" s="6">
        <v>33</v>
      </c>
    </row>
    <row r="72" spans="1:6" x14ac:dyDescent="0.25">
      <c r="A72" s="4">
        <v>71</v>
      </c>
      <c r="B72" s="5" t="s">
        <v>2</v>
      </c>
      <c r="C72" s="5" t="s">
        <v>42</v>
      </c>
      <c r="D72" s="5" t="s">
        <v>4</v>
      </c>
      <c r="E72" s="5" t="s">
        <v>43</v>
      </c>
      <c r="F72" s="6">
        <v>136</v>
      </c>
    </row>
    <row r="73" spans="1:6" x14ac:dyDescent="0.25">
      <c r="A73" s="4">
        <v>72</v>
      </c>
      <c r="B73" s="5" t="s">
        <v>2</v>
      </c>
      <c r="C73" s="5" t="s">
        <v>44</v>
      </c>
      <c r="D73" s="5" t="s">
        <v>4</v>
      </c>
      <c r="E73" s="5" t="s">
        <v>45</v>
      </c>
      <c r="F73" s="6">
        <v>502</v>
      </c>
    </row>
    <row r="74" spans="1:6" x14ac:dyDescent="0.25">
      <c r="A74" s="4">
        <v>73</v>
      </c>
      <c r="B74" s="5" t="s">
        <v>2</v>
      </c>
      <c r="C74" s="5" t="s">
        <v>46</v>
      </c>
      <c r="D74" s="5" t="s">
        <v>4</v>
      </c>
      <c r="E74" s="5" t="s">
        <v>47</v>
      </c>
      <c r="F74" s="6">
        <v>88</v>
      </c>
    </row>
    <row r="75" spans="1:6" x14ac:dyDescent="0.25">
      <c r="A75" s="4">
        <v>74</v>
      </c>
      <c r="B75" s="5" t="s">
        <v>2</v>
      </c>
      <c r="C75" s="5" t="s">
        <v>48</v>
      </c>
      <c r="D75" s="5" t="s">
        <v>4</v>
      </c>
      <c r="E75" s="5" t="s">
        <v>49</v>
      </c>
      <c r="F75" s="6">
        <v>763</v>
      </c>
    </row>
    <row r="76" spans="1:6" x14ac:dyDescent="0.25">
      <c r="A76" s="4">
        <v>75</v>
      </c>
      <c r="B76" s="5" t="s">
        <v>2</v>
      </c>
      <c r="C76" s="5" t="s">
        <v>52</v>
      </c>
      <c r="D76" s="5" t="s">
        <v>4</v>
      </c>
      <c r="E76" s="5" t="s">
        <v>53</v>
      </c>
      <c r="F76" s="6">
        <v>294</v>
      </c>
    </row>
    <row r="77" spans="1:6" x14ac:dyDescent="0.25">
      <c r="A77" s="4">
        <v>76</v>
      </c>
      <c r="B77" s="5" t="s">
        <v>2</v>
      </c>
      <c r="C77" s="5" t="s">
        <v>56</v>
      </c>
      <c r="D77" s="5" t="s">
        <v>4</v>
      </c>
      <c r="E77" s="5" t="s">
        <v>57</v>
      </c>
      <c r="F77" s="6">
        <v>8</v>
      </c>
    </row>
    <row r="78" spans="1:6" x14ac:dyDescent="0.25">
      <c r="A78" s="4">
        <v>77</v>
      </c>
      <c r="B78" s="5" t="s">
        <v>2</v>
      </c>
      <c r="C78" s="5" t="s">
        <v>60</v>
      </c>
      <c r="D78" s="5" t="s">
        <v>4</v>
      </c>
      <c r="E78" s="5" t="s">
        <v>61</v>
      </c>
      <c r="F78" s="6">
        <v>3065</v>
      </c>
    </row>
    <row r="79" spans="1:6" x14ac:dyDescent="0.25">
      <c r="A79" s="4">
        <v>78</v>
      </c>
      <c r="B79" s="5" t="s">
        <v>2</v>
      </c>
      <c r="C79" s="5" t="s">
        <v>64</v>
      </c>
      <c r="D79" s="5" t="s">
        <v>4</v>
      </c>
      <c r="E79" s="5" t="s">
        <v>65</v>
      </c>
      <c r="F79" s="6">
        <v>412</v>
      </c>
    </row>
    <row r="80" spans="1:6" x14ac:dyDescent="0.25">
      <c r="A80" s="4">
        <v>79</v>
      </c>
      <c r="B80" s="5" t="s">
        <v>2</v>
      </c>
      <c r="C80" s="5" t="s">
        <v>66</v>
      </c>
      <c r="D80" s="5" t="s">
        <v>4</v>
      </c>
      <c r="E80" s="5" t="s">
        <v>67</v>
      </c>
      <c r="F80" s="6">
        <v>167</v>
      </c>
    </row>
    <row r="81" spans="1:6" x14ac:dyDescent="0.25">
      <c r="A81" s="4">
        <v>80</v>
      </c>
      <c r="B81" s="5" t="s">
        <v>2</v>
      </c>
      <c r="C81" s="5" t="s">
        <v>68</v>
      </c>
      <c r="D81" s="5" t="s">
        <v>4</v>
      </c>
      <c r="E81" s="5" t="s">
        <v>69</v>
      </c>
      <c r="F81" s="6">
        <v>456</v>
      </c>
    </row>
    <row r="82" spans="1:6" x14ac:dyDescent="0.25">
      <c r="A82" s="4">
        <v>81</v>
      </c>
      <c r="B82" s="5" t="s">
        <v>2</v>
      </c>
      <c r="C82" s="5" t="s">
        <v>70</v>
      </c>
      <c r="D82" s="5" t="s">
        <v>4</v>
      </c>
      <c r="E82" s="5" t="s">
        <v>71</v>
      </c>
      <c r="F82" s="6">
        <v>32</v>
      </c>
    </row>
    <row r="83" spans="1:6" x14ac:dyDescent="0.25">
      <c r="A83" s="4">
        <v>82</v>
      </c>
      <c r="B83" s="5" t="s">
        <v>2</v>
      </c>
      <c r="C83" s="5" t="s">
        <v>72</v>
      </c>
      <c r="D83" s="5" t="s">
        <v>4</v>
      </c>
      <c r="E83" s="5" t="s">
        <v>73</v>
      </c>
      <c r="F83" s="6">
        <v>1</v>
      </c>
    </row>
    <row r="84" spans="1:6" x14ac:dyDescent="0.25">
      <c r="A84" s="4">
        <v>83</v>
      </c>
      <c r="B84" s="5" t="s">
        <v>2</v>
      </c>
      <c r="C84" s="5" t="s">
        <v>74</v>
      </c>
      <c r="D84" s="5" t="s">
        <v>4</v>
      </c>
      <c r="E84" s="5" t="s">
        <v>75</v>
      </c>
      <c r="F84" s="6">
        <v>2</v>
      </c>
    </row>
    <row r="85" spans="1:6" x14ac:dyDescent="0.25">
      <c r="A85" s="4">
        <v>84</v>
      </c>
      <c r="B85" s="5" t="s">
        <v>2</v>
      </c>
      <c r="C85" s="5" t="s">
        <v>76</v>
      </c>
      <c r="D85" s="5" t="s">
        <v>4</v>
      </c>
      <c r="E85" s="5" t="s">
        <v>77</v>
      </c>
      <c r="F85" s="6">
        <v>277</v>
      </c>
    </row>
    <row r="86" spans="1:6" x14ac:dyDescent="0.25">
      <c r="A86" s="4">
        <v>85</v>
      </c>
      <c r="B86" s="5" t="s">
        <v>2</v>
      </c>
      <c r="C86" s="5" t="s">
        <v>78</v>
      </c>
      <c r="D86" s="5" t="s">
        <v>4</v>
      </c>
      <c r="E86" s="5" t="s">
        <v>79</v>
      </c>
      <c r="F86" s="6">
        <v>27</v>
      </c>
    </row>
    <row r="87" spans="1:6" x14ac:dyDescent="0.25">
      <c r="A87" s="4">
        <v>86</v>
      </c>
      <c r="B87" s="5" t="s">
        <v>2</v>
      </c>
      <c r="C87" s="5" t="s">
        <v>80</v>
      </c>
      <c r="D87" s="5" t="s">
        <v>4</v>
      </c>
      <c r="E87" s="5" t="s">
        <v>81</v>
      </c>
      <c r="F87" s="6">
        <v>559</v>
      </c>
    </row>
    <row r="88" spans="1:6" x14ac:dyDescent="0.25">
      <c r="A88" s="4">
        <v>87</v>
      </c>
      <c r="B88" s="5" t="s">
        <v>2</v>
      </c>
      <c r="C88" s="5" t="s">
        <v>82</v>
      </c>
      <c r="D88" s="7"/>
      <c r="E88" s="5" t="s">
        <v>83</v>
      </c>
      <c r="F88" s="6">
        <v>1</v>
      </c>
    </row>
    <row r="89" spans="1:6" x14ac:dyDescent="0.25">
      <c r="A89" s="4">
        <v>88</v>
      </c>
      <c r="B89" s="5" t="s">
        <v>2</v>
      </c>
      <c r="C89" s="5" t="s">
        <v>86</v>
      </c>
      <c r="D89" s="5" t="s">
        <v>4</v>
      </c>
      <c r="E89" s="5" t="s">
        <v>87</v>
      </c>
      <c r="F89" s="6">
        <v>319</v>
      </c>
    </row>
    <row r="90" spans="1:6" x14ac:dyDescent="0.25">
      <c r="A90" s="4">
        <v>89</v>
      </c>
      <c r="B90" s="5" t="s">
        <v>2</v>
      </c>
      <c r="C90" s="5" t="s">
        <v>90</v>
      </c>
      <c r="D90" s="5" t="s">
        <v>41</v>
      </c>
      <c r="E90" s="5" t="s">
        <v>91</v>
      </c>
      <c r="F90" s="6">
        <v>179</v>
      </c>
    </row>
    <row r="91" spans="1:6" x14ac:dyDescent="0.25">
      <c r="A91" s="4">
        <v>90</v>
      </c>
      <c r="B91" s="5" t="s">
        <v>2</v>
      </c>
      <c r="C91" s="5" t="s">
        <v>92</v>
      </c>
      <c r="D91" s="5" t="s">
        <v>4</v>
      </c>
      <c r="E91" s="5" t="s">
        <v>93</v>
      </c>
      <c r="F91" s="6">
        <v>450</v>
      </c>
    </row>
    <row r="92" spans="1:6" x14ac:dyDescent="0.25">
      <c r="A92" s="4">
        <v>91</v>
      </c>
      <c r="B92" s="5" t="s">
        <v>2</v>
      </c>
      <c r="C92" s="5" t="s">
        <v>94</v>
      </c>
      <c r="D92" s="5" t="s">
        <v>4</v>
      </c>
      <c r="E92" s="5" t="s">
        <v>95</v>
      </c>
      <c r="F92" s="6">
        <v>765</v>
      </c>
    </row>
    <row r="93" spans="1:6" x14ac:dyDescent="0.25">
      <c r="A93" s="4">
        <v>92</v>
      </c>
      <c r="B93" s="5" t="s">
        <v>2</v>
      </c>
      <c r="C93" s="5" t="s">
        <v>96</v>
      </c>
      <c r="D93" s="5" t="s">
        <v>4</v>
      </c>
      <c r="E93" s="5" t="s">
        <v>97</v>
      </c>
      <c r="F93" s="6">
        <v>86</v>
      </c>
    </row>
    <row r="94" spans="1:6" x14ac:dyDescent="0.25">
      <c r="A94" s="4">
        <v>93</v>
      </c>
      <c r="B94" s="5" t="s">
        <v>2</v>
      </c>
      <c r="C94" s="5" t="s">
        <v>98</v>
      </c>
      <c r="D94" s="5" t="s">
        <v>4</v>
      </c>
      <c r="E94" s="5" t="s">
        <v>99</v>
      </c>
      <c r="F94" s="6">
        <v>8</v>
      </c>
    </row>
    <row r="95" spans="1:6" x14ac:dyDescent="0.25">
      <c r="A95" s="4">
        <v>94</v>
      </c>
      <c r="B95" s="5" t="s">
        <v>2</v>
      </c>
      <c r="C95" s="5" t="s">
        <v>100</v>
      </c>
      <c r="D95" s="5" t="s">
        <v>4</v>
      </c>
      <c r="E95" s="5" t="s">
        <v>101</v>
      </c>
      <c r="F95" s="6">
        <v>1637</v>
      </c>
    </row>
    <row r="96" spans="1:6" x14ac:dyDescent="0.25">
      <c r="A96" s="4">
        <v>95</v>
      </c>
      <c r="B96" s="5" t="s">
        <v>2</v>
      </c>
      <c r="C96" s="5" t="s">
        <v>102</v>
      </c>
      <c r="D96" s="5" t="s">
        <v>4</v>
      </c>
      <c r="E96" s="5" t="s">
        <v>103</v>
      </c>
      <c r="F96" s="6">
        <v>160</v>
      </c>
    </row>
    <row r="97" spans="1:6" x14ac:dyDescent="0.25">
      <c r="A97" s="4">
        <v>96</v>
      </c>
      <c r="B97" s="5" t="s">
        <v>2</v>
      </c>
      <c r="C97" s="5" t="s">
        <v>104</v>
      </c>
      <c r="D97" s="5" t="s">
        <v>4</v>
      </c>
      <c r="E97" s="5" t="s">
        <v>105</v>
      </c>
      <c r="F97" s="6">
        <v>176</v>
      </c>
    </row>
    <row r="98" spans="1:6" x14ac:dyDescent="0.25">
      <c r="A98" s="4">
        <v>97</v>
      </c>
      <c r="B98" s="5" t="s">
        <v>2</v>
      </c>
      <c r="C98" s="5" t="s">
        <v>106</v>
      </c>
      <c r="D98" s="5" t="s">
        <v>4</v>
      </c>
      <c r="E98" s="5" t="s">
        <v>107</v>
      </c>
      <c r="F98" s="6">
        <v>224</v>
      </c>
    </row>
    <row r="99" spans="1:6" x14ac:dyDescent="0.25">
      <c r="A99" s="4">
        <v>98</v>
      </c>
      <c r="B99" s="5" t="s">
        <v>2</v>
      </c>
      <c r="C99" s="5" t="s">
        <v>108</v>
      </c>
      <c r="D99" s="5" t="s">
        <v>4</v>
      </c>
      <c r="E99" s="5" t="s">
        <v>109</v>
      </c>
      <c r="F99" s="6">
        <v>2079</v>
      </c>
    </row>
    <row r="100" spans="1:6" x14ac:dyDescent="0.25">
      <c r="A100" s="4">
        <v>99</v>
      </c>
      <c r="B100" s="5" t="s">
        <v>2</v>
      </c>
      <c r="C100" s="5" t="s">
        <v>110</v>
      </c>
      <c r="D100" s="5" t="s">
        <v>4</v>
      </c>
      <c r="E100" s="5" t="s">
        <v>111</v>
      </c>
      <c r="F100" s="6">
        <v>27</v>
      </c>
    </row>
    <row r="101" spans="1:6" x14ac:dyDescent="0.25">
      <c r="A101" s="4">
        <v>100</v>
      </c>
      <c r="B101" s="5" t="s">
        <v>2</v>
      </c>
      <c r="C101" s="5" t="s">
        <v>112</v>
      </c>
      <c r="D101" s="5" t="s">
        <v>4</v>
      </c>
      <c r="E101" s="5" t="s">
        <v>113</v>
      </c>
      <c r="F101" s="6">
        <v>319</v>
      </c>
    </row>
    <row r="102" spans="1:6" x14ac:dyDescent="0.25">
      <c r="A102" s="4">
        <v>101</v>
      </c>
      <c r="B102" s="5" t="s">
        <v>2</v>
      </c>
      <c r="C102" s="5" t="s">
        <v>116</v>
      </c>
      <c r="D102" s="5" t="s">
        <v>4</v>
      </c>
      <c r="E102" s="5" t="s">
        <v>117</v>
      </c>
      <c r="F102" s="6">
        <v>30</v>
      </c>
    </row>
    <row r="103" spans="1:6" x14ac:dyDescent="0.25">
      <c r="A103" s="4">
        <v>102</v>
      </c>
      <c r="B103" s="5" t="s">
        <v>2</v>
      </c>
      <c r="C103" s="5" t="s">
        <v>118</v>
      </c>
      <c r="D103" s="5" t="s">
        <v>4</v>
      </c>
      <c r="E103" s="5" t="s">
        <v>119</v>
      </c>
      <c r="F103" s="6">
        <v>408</v>
      </c>
    </row>
    <row r="104" spans="1:6" x14ac:dyDescent="0.25">
      <c r="A104" s="4">
        <v>103</v>
      </c>
      <c r="B104" s="5" t="s">
        <v>2</v>
      </c>
      <c r="C104" s="5" t="s">
        <v>120</v>
      </c>
      <c r="D104" s="5" t="s">
        <v>4</v>
      </c>
      <c r="E104" s="5" t="s">
        <v>121</v>
      </c>
      <c r="F104" s="6">
        <v>37</v>
      </c>
    </row>
    <row r="105" spans="1:6" x14ac:dyDescent="0.25">
      <c r="A105" s="4">
        <v>104</v>
      </c>
      <c r="B105" s="5" t="s">
        <v>2</v>
      </c>
      <c r="C105" s="5" t="s">
        <v>122</v>
      </c>
      <c r="D105" s="5" t="s">
        <v>4</v>
      </c>
      <c r="E105" s="5" t="s">
        <v>123</v>
      </c>
      <c r="F105" s="6">
        <v>2</v>
      </c>
    </row>
    <row r="106" spans="1:6" x14ac:dyDescent="0.25">
      <c r="A106" s="4">
        <v>105</v>
      </c>
      <c r="B106" s="5" t="s">
        <v>2</v>
      </c>
      <c r="C106" s="5" t="s">
        <v>124</v>
      </c>
      <c r="D106" s="5" t="s">
        <v>4</v>
      </c>
      <c r="E106" s="5" t="s">
        <v>125</v>
      </c>
      <c r="F106" s="6">
        <v>16</v>
      </c>
    </row>
    <row r="107" spans="1:6" x14ac:dyDescent="0.25">
      <c r="A107" s="4">
        <v>106</v>
      </c>
      <c r="B107" s="5" t="s">
        <v>2</v>
      </c>
      <c r="C107" s="5" t="s">
        <v>126</v>
      </c>
      <c r="D107" s="5" t="s">
        <v>4</v>
      </c>
      <c r="E107" s="5" t="s">
        <v>127</v>
      </c>
      <c r="F107" s="6">
        <v>3</v>
      </c>
    </row>
    <row r="108" spans="1:6" x14ac:dyDescent="0.25">
      <c r="A108" s="4">
        <v>107</v>
      </c>
      <c r="B108" s="5" t="s">
        <v>2</v>
      </c>
      <c r="C108" s="5" t="s">
        <v>128</v>
      </c>
      <c r="D108" s="5" t="s">
        <v>4</v>
      </c>
      <c r="E108" s="5" t="s">
        <v>129</v>
      </c>
      <c r="F108" s="6">
        <v>849</v>
      </c>
    </row>
    <row r="109" spans="1:6" x14ac:dyDescent="0.25">
      <c r="A109" s="4">
        <v>108</v>
      </c>
      <c r="B109" s="5" t="s">
        <v>2</v>
      </c>
      <c r="C109" s="5" t="s">
        <v>130</v>
      </c>
      <c r="D109" s="5" t="s">
        <v>4</v>
      </c>
      <c r="E109" s="5" t="s">
        <v>131</v>
      </c>
      <c r="F109" s="6">
        <v>77</v>
      </c>
    </row>
    <row r="110" spans="1:6" x14ac:dyDescent="0.25">
      <c r="A110" s="4">
        <v>109</v>
      </c>
      <c r="B110" s="5" t="s">
        <v>2</v>
      </c>
      <c r="C110" s="5" t="s">
        <v>132</v>
      </c>
      <c r="D110" s="5" t="s">
        <v>4</v>
      </c>
      <c r="E110" s="5" t="s">
        <v>133</v>
      </c>
      <c r="F110" s="6">
        <v>59</v>
      </c>
    </row>
    <row r="111" spans="1:6" x14ac:dyDescent="0.25">
      <c r="A111" s="4">
        <v>110</v>
      </c>
      <c r="B111" s="5" t="s">
        <v>2</v>
      </c>
      <c r="C111" s="5" t="s">
        <v>134</v>
      </c>
      <c r="D111" s="5" t="s">
        <v>26</v>
      </c>
      <c r="E111" s="5" t="s">
        <v>135</v>
      </c>
      <c r="F111" s="6">
        <v>8</v>
      </c>
    </row>
    <row r="112" spans="1:6" x14ac:dyDescent="0.25">
      <c r="A112" s="4">
        <v>111</v>
      </c>
      <c r="B112" s="5" t="s">
        <v>2</v>
      </c>
      <c r="C112" s="5" t="s">
        <v>138</v>
      </c>
      <c r="D112" s="5" t="s">
        <v>4</v>
      </c>
      <c r="E112" s="5" t="s">
        <v>139</v>
      </c>
      <c r="F112" s="6">
        <v>86</v>
      </c>
    </row>
    <row r="113" spans="1:6" x14ac:dyDescent="0.25">
      <c r="A113" s="4">
        <v>112</v>
      </c>
      <c r="B113" s="5" t="s">
        <v>2</v>
      </c>
      <c r="C113" s="5" t="s">
        <v>144</v>
      </c>
      <c r="D113" s="5" t="s">
        <v>4</v>
      </c>
      <c r="E113" s="5" t="s">
        <v>145</v>
      </c>
      <c r="F113" s="6">
        <v>1483</v>
      </c>
    </row>
    <row r="114" spans="1:6" x14ac:dyDescent="0.25">
      <c r="A114" s="4">
        <v>113</v>
      </c>
      <c r="B114" s="5" t="s">
        <v>2</v>
      </c>
      <c r="C114" s="5" t="s">
        <v>146</v>
      </c>
      <c r="D114" s="5" t="s">
        <v>4</v>
      </c>
      <c r="E114" s="5" t="s">
        <v>147</v>
      </c>
      <c r="F114" s="6">
        <v>10</v>
      </c>
    </row>
    <row r="115" spans="1:6" x14ac:dyDescent="0.25">
      <c r="A115" s="4">
        <v>114</v>
      </c>
      <c r="B115" s="5" t="s">
        <v>2</v>
      </c>
      <c r="C115" s="5" t="s">
        <v>148</v>
      </c>
      <c r="D115" s="5" t="s">
        <v>4</v>
      </c>
      <c r="E115" s="5" t="s">
        <v>149</v>
      </c>
      <c r="F115" s="6">
        <v>20</v>
      </c>
    </row>
    <row r="116" spans="1:6" x14ac:dyDescent="0.25">
      <c r="A116" s="4">
        <v>115</v>
      </c>
      <c r="B116" s="5" t="s">
        <v>2</v>
      </c>
      <c r="C116" s="5" t="s">
        <v>152</v>
      </c>
      <c r="D116" s="5" t="s">
        <v>4</v>
      </c>
      <c r="E116" s="5" t="s">
        <v>153</v>
      </c>
      <c r="F116" s="6">
        <v>61</v>
      </c>
    </row>
    <row r="117" spans="1:6" x14ac:dyDescent="0.25">
      <c r="A117" s="4">
        <v>116</v>
      </c>
      <c r="B117" s="5" t="s">
        <v>2</v>
      </c>
      <c r="C117" s="5" t="s">
        <v>156</v>
      </c>
      <c r="D117" s="5" t="s">
        <v>4</v>
      </c>
      <c r="E117" s="5" t="s">
        <v>157</v>
      </c>
      <c r="F117" s="6">
        <v>1777</v>
      </c>
    </row>
    <row r="118" spans="1:6" x14ac:dyDescent="0.25">
      <c r="A118" s="4">
        <v>117</v>
      </c>
      <c r="B118" s="5" t="s">
        <v>2</v>
      </c>
      <c r="C118" s="5" t="s">
        <v>158</v>
      </c>
      <c r="D118" s="5" t="s">
        <v>4</v>
      </c>
      <c r="E118" s="5" t="s">
        <v>159</v>
      </c>
      <c r="F118" s="6">
        <v>770</v>
      </c>
    </row>
    <row r="119" spans="1:6" x14ac:dyDescent="0.25">
      <c r="A119" s="4">
        <v>118</v>
      </c>
      <c r="B119" s="5" t="s">
        <v>2</v>
      </c>
      <c r="C119" s="5" t="s">
        <v>160</v>
      </c>
      <c r="D119" s="5" t="s">
        <v>4</v>
      </c>
      <c r="E119" s="5" t="s">
        <v>161</v>
      </c>
      <c r="F119" s="6">
        <v>283</v>
      </c>
    </row>
    <row r="120" spans="1:6" x14ac:dyDescent="0.25">
      <c r="A120" s="4">
        <v>119</v>
      </c>
      <c r="B120" s="5" t="s">
        <v>2</v>
      </c>
      <c r="C120" s="5" t="s">
        <v>162</v>
      </c>
      <c r="D120" s="5" t="s">
        <v>4</v>
      </c>
      <c r="E120" s="5" t="s">
        <v>163</v>
      </c>
      <c r="F120" s="6">
        <v>389</v>
      </c>
    </row>
    <row r="121" spans="1:6" x14ac:dyDescent="0.25">
      <c r="A121" s="4">
        <v>120</v>
      </c>
      <c r="B121" s="5" t="s">
        <v>2</v>
      </c>
      <c r="C121" s="5" t="s">
        <v>164</v>
      </c>
      <c r="D121" s="5" t="s">
        <v>4</v>
      </c>
      <c r="E121" s="5" t="s">
        <v>165</v>
      </c>
      <c r="F121" s="6">
        <v>173</v>
      </c>
    </row>
    <row r="122" spans="1:6" x14ac:dyDescent="0.25">
      <c r="A122" s="4">
        <v>121</v>
      </c>
      <c r="B122" s="5" t="s">
        <v>2</v>
      </c>
      <c r="C122" s="5" t="s">
        <v>166</v>
      </c>
      <c r="D122" s="5" t="s">
        <v>4</v>
      </c>
      <c r="E122" s="5" t="s">
        <v>167</v>
      </c>
      <c r="F122" s="6">
        <v>13</v>
      </c>
    </row>
    <row r="123" spans="1:6" x14ac:dyDescent="0.25">
      <c r="A123" s="4">
        <v>122</v>
      </c>
      <c r="B123" s="5" t="s">
        <v>2</v>
      </c>
      <c r="C123" s="5" t="s">
        <v>174</v>
      </c>
      <c r="D123" s="5" t="s">
        <v>4</v>
      </c>
      <c r="E123" s="5" t="s">
        <v>175</v>
      </c>
      <c r="F123" s="6">
        <v>100</v>
      </c>
    </row>
    <row r="124" spans="1:6" x14ac:dyDescent="0.25">
      <c r="A124" s="4">
        <v>123</v>
      </c>
      <c r="B124" s="5" t="s">
        <v>2</v>
      </c>
      <c r="C124" s="5" t="s">
        <v>176</v>
      </c>
      <c r="D124" s="5" t="s">
        <v>4</v>
      </c>
      <c r="E124" s="5" t="s">
        <v>177</v>
      </c>
      <c r="F124" s="6">
        <v>4</v>
      </c>
    </row>
    <row r="125" spans="1:6" x14ac:dyDescent="0.25">
      <c r="A125" s="4">
        <v>124</v>
      </c>
      <c r="B125" s="5" t="s">
        <v>2</v>
      </c>
      <c r="C125" s="5" t="s">
        <v>178</v>
      </c>
      <c r="D125" s="5" t="s">
        <v>4</v>
      </c>
      <c r="E125" s="5" t="s">
        <v>179</v>
      </c>
      <c r="F125" s="6">
        <v>103</v>
      </c>
    </row>
    <row r="126" spans="1:6" x14ac:dyDescent="0.25">
      <c r="A126" s="4">
        <v>125</v>
      </c>
      <c r="B126" s="5" t="s">
        <v>2</v>
      </c>
      <c r="C126" s="5" t="s">
        <v>180</v>
      </c>
      <c r="D126" s="5" t="s">
        <v>4</v>
      </c>
      <c r="E126" s="5" t="s">
        <v>181</v>
      </c>
      <c r="F126" s="6">
        <v>25</v>
      </c>
    </row>
    <row r="127" spans="1:6" x14ac:dyDescent="0.25">
      <c r="A127" s="4">
        <v>126</v>
      </c>
      <c r="B127" s="5" t="s">
        <v>2</v>
      </c>
      <c r="C127" s="5" t="s">
        <v>182</v>
      </c>
      <c r="D127" s="5" t="s">
        <v>4</v>
      </c>
      <c r="E127" s="5" t="s">
        <v>183</v>
      </c>
      <c r="F127" s="6">
        <v>95</v>
      </c>
    </row>
    <row r="128" spans="1:6" x14ac:dyDescent="0.25">
      <c r="A128" s="4">
        <v>127</v>
      </c>
      <c r="B128" s="5" t="s">
        <v>2</v>
      </c>
      <c r="C128" s="5" t="s">
        <v>184</v>
      </c>
      <c r="D128" s="5" t="s">
        <v>4</v>
      </c>
      <c r="E128" s="5" t="s">
        <v>185</v>
      </c>
      <c r="F128" s="6">
        <v>118</v>
      </c>
    </row>
    <row r="129" spans="1:6" x14ac:dyDescent="0.25">
      <c r="A129" s="4">
        <v>128</v>
      </c>
      <c r="B129" s="5" t="s">
        <v>2</v>
      </c>
      <c r="C129" s="5" t="s">
        <v>186</v>
      </c>
      <c r="D129" s="5" t="s">
        <v>4</v>
      </c>
      <c r="E129" s="5" t="s">
        <v>187</v>
      </c>
      <c r="F129" s="6">
        <v>249</v>
      </c>
    </row>
    <row r="130" spans="1:6" x14ac:dyDescent="0.25">
      <c r="A130" s="4">
        <v>129</v>
      </c>
      <c r="B130" s="5" t="s">
        <v>2</v>
      </c>
      <c r="C130" s="5" t="s">
        <v>188</v>
      </c>
      <c r="D130" s="5" t="s">
        <v>4</v>
      </c>
      <c r="E130" s="5" t="s">
        <v>189</v>
      </c>
      <c r="F130" s="6">
        <v>405</v>
      </c>
    </row>
    <row r="131" spans="1:6" x14ac:dyDescent="0.25">
      <c r="A131" s="4">
        <v>130</v>
      </c>
      <c r="B131" s="5" t="s">
        <v>2</v>
      </c>
      <c r="C131" s="5" t="s">
        <v>190</v>
      </c>
      <c r="D131" s="5" t="s">
        <v>4</v>
      </c>
      <c r="E131" s="5" t="s">
        <v>191</v>
      </c>
      <c r="F131" s="6">
        <v>87</v>
      </c>
    </row>
    <row r="132" spans="1:6" x14ac:dyDescent="0.25">
      <c r="A132" s="4">
        <v>131</v>
      </c>
      <c r="B132" s="5" t="s">
        <v>2</v>
      </c>
      <c r="C132" s="5" t="s">
        <v>192</v>
      </c>
      <c r="D132" s="5" t="s">
        <v>4</v>
      </c>
      <c r="E132" s="5" t="s">
        <v>193</v>
      </c>
      <c r="F132" s="6">
        <v>194</v>
      </c>
    </row>
    <row r="133" spans="1:6" x14ac:dyDescent="0.25">
      <c r="A133" s="4">
        <v>132</v>
      </c>
      <c r="B133" s="5" t="s">
        <v>2</v>
      </c>
      <c r="C133" s="5" t="s">
        <v>196</v>
      </c>
      <c r="D133" s="5" t="s">
        <v>4</v>
      </c>
      <c r="E133" s="5" t="s">
        <v>197</v>
      </c>
      <c r="F133" s="6">
        <v>385</v>
      </c>
    </row>
    <row r="134" spans="1:6" x14ac:dyDescent="0.25">
      <c r="A134" s="4">
        <v>133</v>
      </c>
      <c r="B134" s="5" t="s">
        <v>2</v>
      </c>
      <c r="C134" s="5" t="s">
        <v>198</v>
      </c>
      <c r="D134" s="5" t="s">
        <v>4</v>
      </c>
      <c r="E134" s="5" t="s">
        <v>199</v>
      </c>
      <c r="F134" s="6">
        <v>383</v>
      </c>
    </row>
    <row r="135" spans="1:6" x14ac:dyDescent="0.25">
      <c r="A135" s="4">
        <v>134</v>
      </c>
      <c r="B135" s="5" t="s">
        <v>2</v>
      </c>
      <c r="C135" s="5" t="s">
        <v>200</v>
      </c>
      <c r="D135" s="5" t="s">
        <v>4</v>
      </c>
      <c r="E135" s="5" t="s">
        <v>201</v>
      </c>
      <c r="F135" s="6">
        <v>7288</v>
      </c>
    </row>
    <row r="136" spans="1:6" x14ac:dyDescent="0.25">
      <c r="A136" s="4">
        <v>135</v>
      </c>
      <c r="B136" s="5" t="s">
        <v>2</v>
      </c>
      <c r="C136" s="5" t="s">
        <v>204</v>
      </c>
      <c r="D136" s="5" t="s">
        <v>4</v>
      </c>
      <c r="E136" s="5" t="s">
        <v>205</v>
      </c>
      <c r="F136" s="6">
        <v>80</v>
      </c>
    </row>
    <row r="137" spans="1:6" x14ac:dyDescent="0.25">
      <c r="A137" s="4">
        <v>136</v>
      </c>
      <c r="B137" s="5" t="s">
        <v>2</v>
      </c>
      <c r="C137" s="5" t="s">
        <v>210</v>
      </c>
      <c r="D137" s="5" t="s">
        <v>4</v>
      </c>
      <c r="E137" s="5" t="s">
        <v>211</v>
      </c>
      <c r="F137" s="6">
        <v>99</v>
      </c>
    </row>
    <row r="138" spans="1:6" x14ac:dyDescent="0.25">
      <c r="A138" s="4">
        <v>137</v>
      </c>
      <c r="B138" s="5" t="s">
        <v>2</v>
      </c>
      <c r="C138" s="5" t="s">
        <v>212</v>
      </c>
      <c r="D138" s="5" t="s">
        <v>4</v>
      </c>
      <c r="E138" s="5" t="s">
        <v>213</v>
      </c>
      <c r="F138" s="6">
        <v>177</v>
      </c>
    </row>
    <row r="139" spans="1:6" x14ac:dyDescent="0.25">
      <c r="A139" s="4">
        <v>138</v>
      </c>
      <c r="B139" s="5" t="s">
        <v>2</v>
      </c>
      <c r="C139" s="5" t="s">
        <v>214</v>
      </c>
      <c r="D139" s="5" t="s">
        <v>4</v>
      </c>
      <c r="E139" s="5" t="s">
        <v>215</v>
      </c>
      <c r="F139" s="6">
        <v>2</v>
      </c>
    </row>
    <row r="140" spans="1:6" x14ac:dyDescent="0.25">
      <c r="A140" s="4">
        <v>139</v>
      </c>
      <c r="B140" s="5" t="s">
        <v>2</v>
      </c>
      <c r="C140" s="5" t="s">
        <v>216</v>
      </c>
      <c r="D140" s="5" t="s">
        <v>4</v>
      </c>
      <c r="E140" s="5" t="s">
        <v>217</v>
      </c>
      <c r="F140" s="6">
        <v>271</v>
      </c>
    </row>
    <row r="141" spans="1:6" x14ac:dyDescent="0.25">
      <c r="A141" s="4">
        <v>140</v>
      </c>
      <c r="B141" s="5" t="s">
        <v>2</v>
      </c>
      <c r="C141" s="5" t="s">
        <v>218</v>
      </c>
      <c r="D141" s="5" t="s">
        <v>4</v>
      </c>
      <c r="E141" s="5" t="s">
        <v>219</v>
      </c>
      <c r="F141" s="6">
        <v>2533</v>
      </c>
    </row>
    <row r="142" spans="1:6" x14ac:dyDescent="0.25">
      <c r="A142" s="4">
        <v>141</v>
      </c>
      <c r="B142" s="5" t="s">
        <v>2</v>
      </c>
      <c r="C142" s="5" t="s">
        <v>220</v>
      </c>
      <c r="D142" s="5" t="s">
        <v>4</v>
      </c>
      <c r="E142" s="5" t="s">
        <v>221</v>
      </c>
      <c r="F142" s="6">
        <v>139</v>
      </c>
    </row>
    <row r="143" spans="1:6" x14ac:dyDescent="0.25">
      <c r="A143" s="4">
        <v>142</v>
      </c>
      <c r="B143" s="5" t="s">
        <v>2</v>
      </c>
      <c r="C143" s="5" t="s">
        <v>222</v>
      </c>
      <c r="D143" s="5" t="s">
        <v>4</v>
      </c>
      <c r="E143" s="5" t="s">
        <v>223</v>
      </c>
      <c r="F143" s="6">
        <v>218</v>
      </c>
    </row>
    <row r="144" spans="1:6" x14ac:dyDescent="0.25">
      <c r="A144" s="4">
        <v>143</v>
      </c>
      <c r="B144" s="5" t="s">
        <v>2</v>
      </c>
      <c r="C144" s="5" t="s">
        <v>224</v>
      </c>
      <c r="D144" s="5" t="s">
        <v>4</v>
      </c>
      <c r="E144" s="5" t="s">
        <v>225</v>
      </c>
      <c r="F144" s="6">
        <v>401</v>
      </c>
    </row>
    <row r="145" spans="1:6" x14ac:dyDescent="0.25">
      <c r="A145" s="4">
        <v>144</v>
      </c>
      <c r="B145" s="5" t="s">
        <v>2</v>
      </c>
      <c r="C145" s="5" t="s">
        <v>226</v>
      </c>
      <c r="D145" s="5" t="s">
        <v>4</v>
      </c>
      <c r="E145" s="5" t="s">
        <v>227</v>
      </c>
      <c r="F145" s="6">
        <v>132</v>
      </c>
    </row>
    <row r="146" spans="1:6" x14ac:dyDescent="0.25">
      <c r="A146" s="4">
        <v>145</v>
      </c>
      <c r="B146" s="5" t="s">
        <v>2</v>
      </c>
      <c r="C146" s="5" t="s">
        <v>232</v>
      </c>
      <c r="D146" s="5" t="s">
        <v>4</v>
      </c>
      <c r="E146" s="5" t="s">
        <v>233</v>
      </c>
      <c r="F146" s="6">
        <v>27</v>
      </c>
    </row>
    <row r="147" spans="1:6" x14ac:dyDescent="0.25">
      <c r="A147" s="4">
        <v>146</v>
      </c>
      <c r="B147" s="5" t="s">
        <v>2</v>
      </c>
      <c r="C147" s="5" t="s">
        <v>234</v>
      </c>
      <c r="D147" s="5" t="s">
        <v>4</v>
      </c>
      <c r="E147" s="5" t="s">
        <v>235</v>
      </c>
      <c r="F147" s="6">
        <v>370</v>
      </c>
    </row>
    <row r="148" spans="1:6" x14ac:dyDescent="0.25">
      <c r="A148" s="4">
        <v>147</v>
      </c>
      <c r="B148" s="5" t="s">
        <v>2</v>
      </c>
      <c r="C148" s="5" t="s">
        <v>236</v>
      </c>
      <c r="D148" s="5" t="s">
        <v>4</v>
      </c>
      <c r="E148" s="5" t="s">
        <v>237</v>
      </c>
      <c r="F148" s="6">
        <v>345</v>
      </c>
    </row>
    <row r="149" spans="1:6" x14ac:dyDescent="0.25">
      <c r="A149" s="4">
        <v>148</v>
      </c>
      <c r="B149" s="5" t="s">
        <v>2</v>
      </c>
      <c r="C149" s="5" t="s">
        <v>238</v>
      </c>
      <c r="D149" s="5" t="s">
        <v>4</v>
      </c>
      <c r="E149" s="5" t="s">
        <v>239</v>
      </c>
      <c r="F149" s="6">
        <v>363</v>
      </c>
    </row>
    <row r="150" spans="1:6" x14ac:dyDescent="0.25">
      <c r="A150" s="4">
        <v>149</v>
      </c>
      <c r="B150" s="5" t="s">
        <v>2</v>
      </c>
      <c r="C150" s="5" t="s">
        <v>240</v>
      </c>
      <c r="D150" s="5" t="s">
        <v>4</v>
      </c>
      <c r="E150" s="5" t="s">
        <v>241</v>
      </c>
      <c r="F150" s="6">
        <v>44</v>
      </c>
    </row>
    <row r="151" spans="1:6" x14ac:dyDescent="0.25">
      <c r="A151" s="4">
        <v>150</v>
      </c>
      <c r="B151" s="5" t="s">
        <v>2</v>
      </c>
      <c r="C151" s="5" t="s">
        <v>244</v>
      </c>
      <c r="D151" s="5" t="s">
        <v>4</v>
      </c>
      <c r="E151" s="5" t="s">
        <v>245</v>
      </c>
      <c r="F151" s="6">
        <v>28</v>
      </c>
    </row>
    <row r="152" spans="1:6" x14ac:dyDescent="0.25">
      <c r="A152" s="4">
        <v>151</v>
      </c>
      <c r="B152" s="5" t="s">
        <v>2</v>
      </c>
      <c r="C152" s="5" t="s">
        <v>246</v>
      </c>
      <c r="D152" s="5" t="s">
        <v>4</v>
      </c>
      <c r="E152" s="5" t="s">
        <v>247</v>
      </c>
      <c r="F152" s="6">
        <v>897</v>
      </c>
    </row>
    <row r="153" spans="1:6" x14ac:dyDescent="0.25">
      <c r="A153" s="4">
        <v>152</v>
      </c>
      <c r="B153" s="5" t="s">
        <v>2</v>
      </c>
      <c r="C153" s="5" t="s">
        <v>248</v>
      </c>
      <c r="D153" s="5" t="s">
        <v>4</v>
      </c>
      <c r="E153" s="5" t="s">
        <v>249</v>
      </c>
      <c r="F153" s="6">
        <v>265</v>
      </c>
    </row>
    <row r="154" spans="1:6" x14ac:dyDescent="0.25">
      <c r="A154" s="4">
        <v>153</v>
      </c>
      <c r="B154" s="5" t="s">
        <v>2</v>
      </c>
      <c r="C154" s="5" t="s">
        <v>250</v>
      </c>
      <c r="D154" s="5" t="s">
        <v>4</v>
      </c>
      <c r="E154" s="5" t="s">
        <v>251</v>
      </c>
      <c r="F154" s="6">
        <v>650</v>
      </c>
    </row>
    <row r="155" spans="1:6" x14ac:dyDescent="0.25">
      <c r="A155" s="4">
        <v>154</v>
      </c>
      <c r="B155" s="5" t="s">
        <v>2</v>
      </c>
      <c r="C155" s="5" t="s">
        <v>252</v>
      </c>
      <c r="D155" s="5" t="s">
        <v>4</v>
      </c>
      <c r="E155" s="5" t="s">
        <v>253</v>
      </c>
      <c r="F155" s="6">
        <v>1113</v>
      </c>
    </row>
    <row r="156" spans="1:6" x14ac:dyDescent="0.25">
      <c r="A156" s="4">
        <v>155</v>
      </c>
      <c r="B156" s="5" t="s">
        <v>2</v>
      </c>
      <c r="C156" s="5" t="s">
        <v>254</v>
      </c>
      <c r="D156" s="5" t="s">
        <v>4</v>
      </c>
      <c r="E156" s="5" t="s">
        <v>255</v>
      </c>
      <c r="F156" s="6">
        <v>163</v>
      </c>
    </row>
    <row r="157" spans="1:6" x14ac:dyDescent="0.25">
      <c r="A157" s="4">
        <v>156</v>
      </c>
      <c r="B157" s="5" t="s">
        <v>2</v>
      </c>
      <c r="C157" s="5" t="s">
        <v>256</v>
      </c>
      <c r="D157" s="5" t="s">
        <v>4</v>
      </c>
      <c r="E157" s="5" t="s">
        <v>257</v>
      </c>
      <c r="F157" s="6">
        <v>9</v>
      </c>
    </row>
    <row r="158" spans="1:6" x14ac:dyDescent="0.25">
      <c r="A158" s="4">
        <v>157</v>
      </c>
      <c r="B158" s="5" t="s">
        <v>2</v>
      </c>
      <c r="C158" s="5" t="s">
        <v>260</v>
      </c>
      <c r="D158" s="5" t="s">
        <v>4</v>
      </c>
      <c r="E158" s="5" t="s">
        <v>261</v>
      </c>
      <c r="F158" s="6">
        <v>7820</v>
      </c>
    </row>
    <row r="159" spans="1:6" x14ac:dyDescent="0.25">
      <c r="A159" s="4">
        <v>158</v>
      </c>
      <c r="B159" s="5" t="s">
        <v>2</v>
      </c>
      <c r="C159" s="5" t="s">
        <v>266</v>
      </c>
      <c r="D159" s="5" t="s">
        <v>4</v>
      </c>
      <c r="E159" s="5" t="s">
        <v>267</v>
      </c>
      <c r="F159" s="6">
        <v>3</v>
      </c>
    </row>
    <row r="160" spans="1:6" x14ac:dyDescent="0.25">
      <c r="A160" s="4">
        <v>159</v>
      </c>
      <c r="B160" s="5" t="s">
        <v>2</v>
      </c>
      <c r="C160" s="5" t="s">
        <v>268</v>
      </c>
      <c r="D160" s="5" t="s">
        <v>4</v>
      </c>
      <c r="E160" s="5" t="s">
        <v>269</v>
      </c>
      <c r="F160" s="6">
        <v>192</v>
      </c>
    </row>
    <row r="161" spans="1:6" x14ac:dyDescent="0.25">
      <c r="A161" s="4">
        <v>160</v>
      </c>
      <c r="B161" s="5" t="s">
        <v>2</v>
      </c>
      <c r="C161" s="5" t="s">
        <v>270</v>
      </c>
      <c r="D161" s="5" t="s">
        <v>4</v>
      </c>
      <c r="E161" s="5" t="s">
        <v>271</v>
      </c>
      <c r="F161" s="6">
        <v>229</v>
      </c>
    </row>
    <row r="162" spans="1:6" x14ac:dyDescent="0.25">
      <c r="A162" s="4">
        <v>161</v>
      </c>
      <c r="B162" s="5" t="s">
        <v>2</v>
      </c>
      <c r="C162" s="5" t="s">
        <v>272</v>
      </c>
      <c r="D162" s="5" t="s">
        <v>4</v>
      </c>
      <c r="E162" s="5" t="s">
        <v>273</v>
      </c>
      <c r="F162" s="6">
        <v>325</v>
      </c>
    </row>
    <row r="163" spans="1:6" x14ac:dyDescent="0.25">
      <c r="A163" s="4">
        <v>162</v>
      </c>
      <c r="B163" s="5" t="s">
        <v>2</v>
      </c>
      <c r="C163" s="5" t="s">
        <v>274</v>
      </c>
      <c r="D163" s="5" t="s">
        <v>4</v>
      </c>
      <c r="E163" s="5" t="s">
        <v>275</v>
      </c>
      <c r="F163" s="6">
        <v>1609</v>
      </c>
    </row>
    <row r="164" spans="1:6" x14ac:dyDescent="0.25">
      <c r="A164" s="4">
        <v>163</v>
      </c>
      <c r="B164" s="5" t="s">
        <v>2</v>
      </c>
      <c r="C164" s="5" t="s">
        <v>276</v>
      </c>
      <c r="D164" s="5" t="s">
        <v>4</v>
      </c>
      <c r="E164" s="5" t="s">
        <v>277</v>
      </c>
      <c r="F164" s="6">
        <v>298</v>
      </c>
    </row>
    <row r="165" spans="1:6" x14ac:dyDescent="0.25">
      <c r="A165" s="4">
        <v>164</v>
      </c>
      <c r="B165" s="5" t="s">
        <v>2</v>
      </c>
      <c r="C165" s="5" t="s">
        <v>278</v>
      </c>
      <c r="D165" s="5" t="s">
        <v>4</v>
      </c>
      <c r="E165" s="5" t="s">
        <v>279</v>
      </c>
      <c r="F165" s="6">
        <v>5</v>
      </c>
    </row>
    <row r="166" spans="1:6" x14ac:dyDescent="0.25">
      <c r="A166" s="4">
        <v>165</v>
      </c>
      <c r="B166" s="5" t="s">
        <v>2</v>
      </c>
      <c r="C166" s="5" t="s">
        <v>280</v>
      </c>
      <c r="D166" s="5" t="s">
        <v>4</v>
      </c>
      <c r="E166" s="5" t="s">
        <v>281</v>
      </c>
      <c r="F166" s="6">
        <v>67</v>
      </c>
    </row>
    <row r="167" spans="1:6" x14ac:dyDescent="0.25">
      <c r="A167" s="4">
        <v>166</v>
      </c>
      <c r="B167" s="5" t="s">
        <v>2</v>
      </c>
      <c r="C167" s="5" t="s">
        <v>290</v>
      </c>
      <c r="D167" s="5" t="s">
        <v>4</v>
      </c>
      <c r="E167" s="5" t="s">
        <v>291</v>
      </c>
      <c r="F167" s="6">
        <v>1836</v>
      </c>
    </row>
    <row r="168" spans="1:6" x14ac:dyDescent="0.25">
      <c r="A168" s="4">
        <v>167</v>
      </c>
      <c r="B168" s="5" t="s">
        <v>2</v>
      </c>
      <c r="C168" s="5" t="s">
        <v>292</v>
      </c>
      <c r="D168" s="5" t="s">
        <v>4</v>
      </c>
      <c r="E168" s="5" t="s">
        <v>293</v>
      </c>
      <c r="F168" s="6">
        <v>28</v>
      </c>
    </row>
    <row r="169" spans="1:6" x14ac:dyDescent="0.25">
      <c r="A169" s="4">
        <v>168</v>
      </c>
      <c r="B169" s="5" t="s">
        <v>2</v>
      </c>
      <c r="C169" s="5" t="s">
        <v>294</v>
      </c>
      <c r="D169" s="5" t="s">
        <v>4</v>
      </c>
      <c r="E169" s="5" t="s">
        <v>295</v>
      </c>
      <c r="F169" s="6">
        <v>665</v>
      </c>
    </row>
    <row r="170" spans="1:6" x14ac:dyDescent="0.25">
      <c r="A170" s="4">
        <v>169</v>
      </c>
      <c r="B170" s="5" t="s">
        <v>2</v>
      </c>
      <c r="C170" s="5" t="s">
        <v>296</v>
      </c>
      <c r="D170" s="5" t="s">
        <v>4</v>
      </c>
      <c r="E170" s="5" t="s">
        <v>297</v>
      </c>
      <c r="F170" s="6">
        <v>100</v>
      </c>
    </row>
    <row r="171" spans="1:6" x14ac:dyDescent="0.25">
      <c r="A171" s="4">
        <v>170</v>
      </c>
      <c r="B171" s="5" t="s">
        <v>2</v>
      </c>
      <c r="C171" s="5" t="s">
        <v>298</v>
      </c>
      <c r="D171" s="5" t="s">
        <v>4</v>
      </c>
      <c r="E171" s="5" t="s">
        <v>299</v>
      </c>
      <c r="F171" s="6">
        <v>219</v>
      </c>
    </row>
    <row r="172" spans="1:6" x14ac:dyDescent="0.25">
      <c r="A172" s="4">
        <v>171</v>
      </c>
      <c r="B172" s="5" t="s">
        <v>2</v>
      </c>
      <c r="C172" s="5" t="s">
        <v>300</v>
      </c>
      <c r="D172" s="5" t="s">
        <v>4</v>
      </c>
      <c r="E172" s="5" t="s">
        <v>301</v>
      </c>
      <c r="F172" s="6">
        <v>6</v>
      </c>
    </row>
    <row r="173" spans="1:6" x14ac:dyDescent="0.25">
      <c r="A173" s="4">
        <v>172</v>
      </c>
      <c r="B173" s="5" t="s">
        <v>2</v>
      </c>
      <c r="C173" s="5" t="s">
        <v>302</v>
      </c>
      <c r="D173" s="5" t="s">
        <v>4</v>
      </c>
      <c r="E173" s="5" t="s">
        <v>303</v>
      </c>
      <c r="F173" s="6">
        <v>38</v>
      </c>
    </row>
    <row r="174" spans="1:6" x14ac:dyDescent="0.25">
      <c r="A174" s="4">
        <v>173</v>
      </c>
      <c r="B174" s="5" t="s">
        <v>2</v>
      </c>
      <c r="C174" s="5" t="s">
        <v>304</v>
      </c>
      <c r="D174" s="5" t="s">
        <v>4</v>
      </c>
      <c r="E174" s="5" t="s">
        <v>305</v>
      </c>
      <c r="F174" s="6">
        <v>58</v>
      </c>
    </row>
    <row r="175" spans="1:6" x14ac:dyDescent="0.25">
      <c r="A175" s="4">
        <v>174</v>
      </c>
      <c r="B175" s="5" t="s">
        <v>2</v>
      </c>
      <c r="C175" s="5" t="s">
        <v>308</v>
      </c>
      <c r="D175" s="5" t="s">
        <v>4</v>
      </c>
      <c r="E175" s="5" t="s">
        <v>309</v>
      </c>
      <c r="F175" s="6">
        <v>50</v>
      </c>
    </row>
    <row r="176" spans="1:6" x14ac:dyDescent="0.25">
      <c r="A176" s="4">
        <v>175</v>
      </c>
      <c r="B176" s="5" t="s">
        <v>2</v>
      </c>
      <c r="C176" s="5" t="s">
        <v>310</v>
      </c>
      <c r="D176" s="5" t="s">
        <v>4</v>
      </c>
      <c r="E176" s="5" t="s">
        <v>311</v>
      </c>
      <c r="F176" s="6">
        <v>4</v>
      </c>
    </row>
    <row r="177" spans="1:6" x14ac:dyDescent="0.25">
      <c r="A177" s="4">
        <v>176</v>
      </c>
      <c r="B177" s="5" t="s">
        <v>2</v>
      </c>
      <c r="C177" s="5" t="s">
        <v>312</v>
      </c>
      <c r="D177" s="5" t="s">
        <v>4</v>
      </c>
      <c r="E177" s="5" t="s">
        <v>313</v>
      </c>
      <c r="F177" s="6">
        <v>1821</v>
      </c>
    </row>
    <row r="178" spans="1:6" x14ac:dyDescent="0.25">
      <c r="A178" s="4">
        <v>177</v>
      </c>
      <c r="B178" s="5" t="s">
        <v>2</v>
      </c>
      <c r="C178" s="5" t="s">
        <v>314</v>
      </c>
      <c r="D178" s="5" t="s">
        <v>4</v>
      </c>
      <c r="E178" s="5" t="s">
        <v>315</v>
      </c>
      <c r="F178" s="6">
        <v>495</v>
      </c>
    </row>
    <row r="179" spans="1:6" x14ac:dyDescent="0.25">
      <c r="A179" s="4">
        <v>178</v>
      </c>
      <c r="B179" s="5" t="s">
        <v>2</v>
      </c>
      <c r="C179" s="5" t="s">
        <v>316</v>
      </c>
      <c r="D179" s="5" t="s">
        <v>4</v>
      </c>
      <c r="E179" s="5" t="s">
        <v>317</v>
      </c>
      <c r="F179" s="6">
        <v>485</v>
      </c>
    </row>
    <row r="180" spans="1:6" x14ac:dyDescent="0.25">
      <c r="A180" s="4">
        <v>179</v>
      </c>
      <c r="B180" s="5" t="s">
        <v>2</v>
      </c>
      <c r="C180" s="5" t="s">
        <v>318</v>
      </c>
      <c r="D180" s="5" t="s">
        <v>4</v>
      </c>
      <c r="E180" s="5" t="s">
        <v>319</v>
      </c>
      <c r="F180" s="6">
        <v>4213</v>
      </c>
    </row>
    <row r="181" spans="1:6" x14ac:dyDescent="0.25">
      <c r="A181" s="4">
        <v>180</v>
      </c>
      <c r="B181" s="5" t="s">
        <v>2</v>
      </c>
      <c r="C181" s="5" t="s">
        <v>320</v>
      </c>
      <c r="D181" s="5" t="s">
        <v>4</v>
      </c>
      <c r="E181" s="5" t="s">
        <v>321</v>
      </c>
      <c r="F181" s="6">
        <v>15</v>
      </c>
    </row>
    <row r="182" spans="1:6" x14ac:dyDescent="0.25">
      <c r="A182" s="4">
        <v>181</v>
      </c>
      <c r="B182" s="5" t="s">
        <v>2</v>
      </c>
      <c r="C182" s="5" t="s">
        <v>322</v>
      </c>
      <c r="D182" s="5" t="s">
        <v>4</v>
      </c>
      <c r="E182" s="5" t="s">
        <v>323</v>
      </c>
      <c r="F182" s="6">
        <v>175</v>
      </c>
    </row>
    <row r="183" spans="1:6" x14ac:dyDescent="0.25">
      <c r="A183" s="4">
        <v>182</v>
      </c>
      <c r="B183" s="5" t="s">
        <v>2</v>
      </c>
      <c r="C183" s="5" t="s">
        <v>324</v>
      </c>
      <c r="D183" s="5" t="s">
        <v>4</v>
      </c>
      <c r="E183" s="5" t="s">
        <v>325</v>
      </c>
      <c r="F183" s="6">
        <v>827</v>
      </c>
    </row>
    <row r="184" spans="1:6" x14ac:dyDescent="0.25">
      <c r="A184" s="4">
        <v>183</v>
      </c>
      <c r="B184" s="5" t="s">
        <v>2</v>
      </c>
      <c r="C184" s="5" t="s">
        <v>326</v>
      </c>
      <c r="D184" s="5" t="s">
        <v>4</v>
      </c>
      <c r="E184" s="5" t="s">
        <v>327</v>
      </c>
      <c r="F184" s="6">
        <v>711</v>
      </c>
    </row>
    <row r="185" spans="1:6" x14ac:dyDescent="0.25">
      <c r="A185" s="4">
        <v>184</v>
      </c>
      <c r="B185" s="5" t="s">
        <v>2</v>
      </c>
      <c r="C185" s="5" t="s">
        <v>328</v>
      </c>
      <c r="D185" s="5" t="s">
        <v>329</v>
      </c>
      <c r="E185" s="5" t="s">
        <v>330</v>
      </c>
      <c r="F185" s="6">
        <v>102</v>
      </c>
    </row>
    <row r="186" spans="1:6" x14ac:dyDescent="0.25">
      <c r="A186" s="4">
        <v>185</v>
      </c>
      <c r="B186" s="5" t="s">
        <v>2</v>
      </c>
      <c r="C186" s="5" t="s">
        <v>331</v>
      </c>
      <c r="D186" s="5" t="s">
        <v>4</v>
      </c>
      <c r="E186" s="5" t="s">
        <v>332</v>
      </c>
      <c r="F186" s="6">
        <v>7</v>
      </c>
    </row>
    <row r="187" spans="1:6" x14ac:dyDescent="0.25">
      <c r="A187" s="4">
        <v>186</v>
      </c>
      <c r="B187" s="5" t="s">
        <v>2</v>
      </c>
      <c r="C187" s="5" t="s">
        <v>333</v>
      </c>
      <c r="D187" s="7"/>
      <c r="E187" s="5" t="s">
        <v>334</v>
      </c>
      <c r="F187" s="6">
        <v>3</v>
      </c>
    </row>
    <row r="188" spans="1:6" x14ac:dyDescent="0.25">
      <c r="A188" s="4">
        <v>187</v>
      </c>
      <c r="B188" s="5" t="s">
        <v>2</v>
      </c>
      <c r="C188" s="5" t="s">
        <v>335</v>
      </c>
      <c r="D188" s="5" t="s">
        <v>4</v>
      </c>
      <c r="E188" s="5" t="s">
        <v>336</v>
      </c>
      <c r="F188" s="6">
        <v>4</v>
      </c>
    </row>
    <row r="189" spans="1:6" x14ac:dyDescent="0.25">
      <c r="A189" s="4">
        <v>188</v>
      </c>
      <c r="B189" s="5" t="s">
        <v>2</v>
      </c>
      <c r="C189" s="5" t="s">
        <v>347</v>
      </c>
      <c r="D189" s="5" t="s">
        <v>4</v>
      </c>
      <c r="E189" s="5" t="s">
        <v>348</v>
      </c>
      <c r="F189" s="6">
        <v>134</v>
      </c>
    </row>
    <row r="190" spans="1:6" x14ac:dyDescent="0.25">
      <c r="A190" s="4">
        <v>189</v>
      </c>
      <c r="B190" s="5" t="s">
        <v>2</v>
      </c>
      <c r="C190" s="5" t="s">
        <v>349</v>
      </c>
      <c r="D190" s="5" t="s">
        <v>4</v>
      </c>
      <c r="E190" s="5" t="s">
        <v>350</v>
      </c>
      <c r="F190" s="6">
        <v>200</v>
      </c>
    </row>
    <row r="191" spans="1:6" x14ac:dyDescent="0.25">
      <c r="A191" s="4">
        <v>190</v>
      </c>
      <c r="B191" s="5" t="s">
        <v>2</v>
      </c>
      <c r="C191" s="5" t="s">
        <v>355</v>
      </c>
      <c r="D191" s="5" t="s">
        <v>4</v>
      </c>
      <c r="E191" s="5" t="s">
        <v>356</v>
      </c>
      <c r="F191" s="6">
        <v>100</v>
      </c>
    </row>
    <row r="192" spans="1:6" x14ac:dyDescent="0.25">
      <c r="A192" s="4">
        <v>191</v>
      </c>
      <c r="B192" s="5" t="s">
        <v>2</v>
      </c>
      <c r="C192" s="5" t="s">
        <v>357</v>
      </c>
      <c r="D192" s="5" t="s">
        <v>4</v>
      </c>
      <c r="E192" s="5" t="s">
        <v>358</v>
      </c>
      <c r="F192" s="6">
        <v>40</v>
      </c>
    </row>
    <row r="193" spans="1:6" x14ac:dyDescent="0.25">
      <c r="A193" s="4">
        <v>192</v>
      </c>
      <c r="B193" s="5" t="s">
        <v>2</v>
      </c>
      <c r="C193" s="5" t="s">
        <v>359</v>
      </c>
      <c r="D193" s="5" t="s">
        <v>4</v>
      </c>
      <c r="E193" s="5" t="s">
        <v>360</v>
      </c>
      <c r="F193" s="6">
        <v>100</v>
      </c>
    </row>
    <row r="194" spans="1:6" x14ac:dyDescent="0.25">
      <c r="A194" s="4">
        <v>193</v>
      </c>
      <c r="B194" s="5" t="s">
        <v>2</v>
      </c>
      <c r="C194" s="5" t="s">
        <v>361</v>
      </c>
      <c r="D194" s="5" t="s">
        <v>4</v>
      </c>
      <c r="E194" s="5" t="s">
        <v>362</v>
      </c>
      <c r="F194" s="6">
        <v>30</v>
      </c>
    </row>
    <row r="195" spans="1:6" x14ac:dyDescent="0.25">
      <c r="A195" s="4">
        <v>194</v>
      </c>
      <c r="B195" s="5" t="s">
        <v>2</v>
      </c>
      <c r="C195" s="5" t="s">
        <v>363</v>
      </c>
      <c r="D195" s="5" t="s">
        <v>4</v>
      </c>
      <c r="E195" s="5" t="s">
        <v>364</v>
      </c>
      <c r="F195" s="6">
        <v>78</v>
      </c>
    </row>
    <row r="196" spans="1:6" x14ac:dyDescent="0.25">
      <c r="A196" s="4">
        <v>195</v>
      </c>
      <c r="B196" s="5" t="s">
        <v>2</v>
      </c>
      <c r="C196" s="5" t="s">
        <v>365</v>
      </c>
      <c r="D196" s="5" t="s">
        <v>4</v>
      </c>
      <c r="E196" s="5" t="s">
        <v>366</v>
      </c>
      <c r="F196" s="6">
        <v>295</v>
      </c>
    </row>
    <row r="197" spans="1:6" x14ac:dyDescent="0.25">
      <c r="A197" s="4">
        <v>196</v>
      </c>
      <c r="B197" s="5" t="s">
        <v>2</v>
      </c>
      <c r="C197" s="5" t="s">
        <v>367</v>
      </c>
      <c r="D197" s="5" t="s">
        <v>4</v>
      </c>
      <c r="E197" s="5" t="s">
        <v>368</v>
      </c>
      <c r="F197" s="6">
        <v>100</v>
      </c>
    </row>
    <row r="198" spans="1:6" x14ac:dyDescent="0.25">
      <c r="A198" s="4">
        <v>197</v>
      </c>
      <c r="B198" s="5" t="s">
        <v>2</v>
      </c>
      <c r="C198" s="5" t="s">
        <v>369</v>
      </c>
      <c r="D198" s="5" t="s">
        <v>4</v>
      </c>
      <c r="E198" s="5" t="s">
        <v>370</v>
      </c>
      <c r="F198" s="6">
        <v>2490</v>
      </c>
    </row>
    <row r="199" spans="1:6" x14ac:dyDescent="0.25">
      <c r="A199" s="4">
        <v>198</v>
      </c>
      <c r="B199" s="5" t="s">
        <v>2</v>
      </c>
      <c r="C199" s="5" t="s">
        <v>371</v>
      </c>
      <c r="D199" s="5" t="s">
        <v>4</v>
      </c>
      <c r="E199" s="5" t="s">
        <v>372</v>
      </c>
      <c r="F199" s="6">
        <v>883</v>
      </c>
    </row>
    <row r="200" spans="1:6" x14ac:dyDescent="0.25">
      <c r="A200" s="4">
        <v>199</v>
      </c>
      <c r="B200" s="5" t="s">
        <v>2</v>
      </c>
      <c r="C200" s="5" t="s">
        <v>377</v>
      </c>
      <c r="D200" s="5" t="s">
        <v>4</v>
      </c>
      <c r="E200" s="5" t="s">
        <v>378</v>
      </c>
      <c r="F200" s="6">
        <v>24</v>
      </c>
    </row>
    <row r="201" spans="1:6" x14ac:dyDescent="0.25">
      <c r="A201" s="4">
        <v>200</v>
      </c>
      <c r="B201" s="5" t="s">
        <v>2</v>
      </c>
      <c r="C201" s="5" t="s">
        <v>381</v>
      </c>
      <c r="D201" s="5" t="s">
        <v>4</v>
      </c>
      <c r="E201" s="5" t="s">
        <v>382</v>
      </c>
      <c r="F201" s="6">
        <v>713</v>
      </c>
    </row>
    <row r="202" spans="1:6" x14ac:dyDescent="0.25">
      <c r="A202" s="4">
        <v>201</v>
      </c>
      <c r="B202" s="5" t="s">
        <v>2</v>
      </c>
      <c r="C202" s="5" t="s">
        <v>387</v>
      </c>
      <c r="D202" s="5" t="s">
        <v>4</v>
      </c>
      <c r="E202" s="5" t="s">
        <v>388</v>
      </c>
      <c r="F202" s="6">
        <v>3</v>
      </c>
    </row>
    <row r="203" spans="1:6" x14ac:dyDescent="0.25">
      <c r="A203" s="4">
        <v>202</v>
      </c>
      <c r="B203" s="5" t="s">
        <v>2</v>
      </c>
      <c r="C203" s="5" t="s">
        <v>389</v>
      </c>
      <c r="D203" s="5" t="s">
        <v>4</v>
      </c>
      <c r="E203" s="5" t="s">
        <v>390</v>
      </c>
      <c r="F203" s="6">
        <v>231</v>
      </c>
    </row>
    <row r="204" spans="1:6" x14ac:dyDescent="0.25">
      <c r="A204" s="4">
        <v>203</v>
      </c>
      <c r="B204" s="5" t="s">
        <v>2</v>
      </c>
      <c r="C204" s="5" t="s">
        <v>391</v>
      </c>
      <c r="D204" s="5" t="s">
        <v>4</v>
      </c>
      <c r="E204" s="5" t="s">
        <v>392</v>
      </c>
      <c r="F204" s="6">
        <v>23</v>
      </c>
    </row>
    <row r="205" spans="1:6" x14ac:dyDescent="0.25">
      <c r="A205" s="4">
        <v>204</v>
      </c>
      <c r="B205" s="5" t="s">
        <v>2</v>
      </c>
      <c r="C205" s="5" t="s">
        <v>393</v>
      </c>
      <c r="D205" s="5" t="s">
        <v>4</v>
      </c>
      <c r="E205" s="5" t="s">
        <v>394</v>
      </c>
      <c r="F205" s="6">
        <v>447</v>
      </c>
    </row>
    <row r="206" spans="1:6" x14ac:dyDescent="0.25">
      <c r="A206" s="4">
        <v>205</v>
      </c>
      <c r="B206" s="5" t="s">
        <v>2</v>
      </c>
      <c r="C206" s="5" t="s">
        <v>395</v>
      </c>
      <c r="D206" s="5" t="s">
        <v>4</v>
      </c>
      <c r="E206" s="5" t="s">
        <v>396</v>
      </c>
      <c r="F206" s="6">
        <v>1748</v>
      </c>
    </row>
    <row r="207" spans="1:6" x14ac:dyDescent="0.25">
      <c r="A207" s="4">
        <v>206</v>
      </c>
      <c r="B207" s="5" t="s">
        <v>2</v>
      </c>
      <c r="C207" s="5" t="s">
        <v>397</v>
      </c>
      <c r="D207" s="5" t="s">
        <v>4</v>
      </c>
      <c r="E207" s="5" t="s">
        <v>398</v>
      </c>
      <c r="F207" s="6">
        <v>36</v>
      </c>
    </row>
    <row r="208" spans="1:6" x14ac:dyDescent="0.25">
      <c r="A208" s="4">
        <v>207</v>
      </c>
      <c r="B208" s="5" t="s">
        <v>2</v>
      </c>
      <c r="C208" s="5" t="s">
        <v>399</v>
      </c>
      <c r="D208" s="5" t="s">
        <v>4</v>
      </c>
      <c r="E208" s="5" t="s">
        <v>400</v>
      </c>
      <c r="F208" s="6">
        <v>511</v>
      </c>
    </row>
    <row r="209" spans="1:6" x14ac:dyDescent="0.25">
      <c r="A209" s="4">
        <v>208</v>
      </c>
      <c r="B209" s="5" t="s">
        <v>2</v>
      </c>
      <c r="C209" s="5" t="s">
        <v>401</v>
      </c>
      <c r="D209" s="5" t="s">
        <v>4</v>
      </c>
      <c r="E209" s="5" t="s">
        <v>402</v>
      </c>
      <c r="F209" s="6">
        <v>40</v>
      </c>
    </row>
    <row r="210" spans="1:6" x14ac:dyDescent="0.25">
      <c r="A210" s="4">
        <v>209</v>
      </c>
      <c r="B210" s="5" t="s">
        <v>2</v>
      </c>
      <c r="C210" s="5" t="s">
        <v>403</v>
      </c>
      <c r="D210" s="5" t="s">
        <v>4</v>
      </c>
      <c r="E210" s="5" t="s">
        <v>404</v>
      </c>
      <c r="F210" s="6">
        <v>391</v>
      </c>
    </row>
    <row r="211" spans="1:6" x14ac:dyDescent="0.25">
      <c r="A211" s="4">
        <v>210</v>
      </c>
      <c r="B211" s="5" t="s">
        <v>2</v>
      </c>
      <c r="C211" s="5" t="s">
        <v>405</v>
      </c>
      <c r="D211" s="5" t="s">
        <v>4</v>
      </c>
      <c r="E211" s="5" t="s">
        <v>406</v>
      </c>
      <c r="F211" s="6">
        <v>87</v>
      </c>
    </row>
    <row r="212" spans="1:6" x14ac:dyDescent="0.25">
      <c r="A212" s="4">
        <v>211</v>
      </c>
      <c r="B212" s="5" t="s">
        <v>2</v>
      </c>
      <c r="C212" s="5" t="s">
        <v>407</v>
      </c>
      <c r="D212" s="5" t="s">
        <v>4</v>
      </c>
      <c r="E212" s="5" t="s">
        <v>408</v>
      </c>
      <c r="F212" s="6">
        <v>709</v>
      </c>
    </row>
    <row r="213" spans="1:6" x14ac:dyDescent="0.25">
      <c r="A213" s="4">
        <v>212</v>
      </c>
      <c r="B213" s="5" t="s">
        <v>2</v>
      </c>
      <c r="C213" s="5" t="s">
        <v>409</v>
      </c>
      <c r="D213" s="5" t="s">
        <v>4</v>
      </c>
      <c r="E213" s="5" t="s">
        <v>410</v>
      </c>
      <c r="F213" s="6">
        <v>899</v>
      </c>
    </row>
    <row r="214" spans="1:6" x14ac:dyDescent="0.25">
      <c r="A214" s="4">
        <v>213</v>
      </c>
      <c r="B214" s="5" t="s">
        <v>2</v>
      </c>
      <c r="C214" s="5" t="s">
        <v>411</v>
      </c>
      <c r="D214" s="5" t="s">
        <v>4</v>
      </c>
      <c r="E214" s="5" t="s">
        <v>412</v>
      </c>
      <c r="F214" s="6">
        <v>191</v>
      </c>
    </row>
    <row r="215" spans="1:6" x14ac:dyDescent="0.25">
      <c r="A215" s="4">
        <v>214</v>
      </c>
      <c r="B215" s="5" t="s">
        <v>2</v>
      </c>
      <c r="C215" s="5" t="s">
        <v>413</v>
      </c>
      <c r="D215" s="5" t="s">
        <v>4</v>
      </c>
      <c r="E215" s="5" t="s">
        <v>414</v>
      </c>
      <c r="F215" s="6">
        <v>9</v>
      </c>
    </row>
    <row r="216" spans="1:6" x14ac:dyDescent="0.25">
      <c r="A216" s="4">
        <v>215</v>
      </c>
      <c r="B216" s="5" t="s">
        <v>2</v>
      </c>
      <c r="C216" s="5" t="s">
        <v>427</v>
      </c>
      <c r="D216" s="5" t="s">
        <v>4</v>
      </c>
      <c r="E216" s="5" t="s">
        <v>428</v>
      </c>
      <c r="F216" s="6">
        <v>71</v>
      </c>
    </row>
    <row r="217" spans="1:6" x14ac:dyDescent="0.25">
      <c r="A217" s="4">
        <v>216</v>
      </c>
      <c r="B217" s="5" t="s">
        <v>2</v>
      </c>
      <c r="C217" s="5" t="s">
        <v>429</v>
      </c>
      <c r="D217" s="5" t="s">
        <v>4</v>
      </c>
      <c r="E217" s="5" t="s">
        <v>430</v>
      </c>
      <c r="F217" s="6">
        <v>724</v>
      </c>
    </row>
    <row r="218" spans="1:6" x14ac:dyDescent="0.25">
      <c r="A218" s="4">
        <v>217</v>
      </c>
      <c r="B218" s="5" t="s">
        <v>2</v>
      </c>
      <c r="C218" s="5" t="s">
        <v>431</v>
      </c>
      <c r="D218" s="5" t="s">
        <v>4</v>
      </c>
      <c r="E218" s="5" t="s">
        <v>432</v>
      </c>
      <c r="F218" s="6">
        <v>603</v>
      </c>
    </row>
    <row r="219" spans="1:6" x14ac:dyDescent="0.25">
      <c r="A219" s="4">
        <v>218</v>
      </c>
      <c r="B219" s="5" t="s">
        <v>2</v>
      </c>
      <c r="C219" s="5" t="s">
        <v>435</v>
      </c>
      <c r="D219" s="5" t="s">
        <v>4</v>
      </c>
      <c r="E219" s="5" t="s">
        <v>436</v>
      </c>
      <c r="F219" s="6">
        <v>400</v>
      </c>
    </row>
    <row r="220" spans="1:6" x14ac:dyDescent="0.25">
      <c r="A220" s="4">
        <v>219</v>
      </c>
      <c r="B220" s="5" t="s">
        <v>2</v>
      </c>
      <c r="C220" s="5" t="s">
        <v>437</v>
      </c>
      <c r="D220" s="5" t="s">
        <v>4</v>
      </c>
      <c r="E220" s="5" t="s">
        <v>438</v>
      </c>
      <c r="F220" s="6">
        <v>89</v>
      </c>
    </row>
    <row r="221" spans="1:6" x14ac:dyDescent="0.25">
      <c r="A221" s="4">
        <v>220</v>
      </c>
      <c r="B221" s="5" t="s">
        <v>2</v>
      </c>
      <c r="C221" s="5" t="s">
        <v>439</v>
      </c>
      <c r="D221" s="5" t="s">
        <v>4</v>
      </c>
      <c r="E221" s="5" t="s">
        <v>440</v>
      </c>
      <c r="F221" s="6">
        <v>37</v>
      </c>
    </row>
    <row r="222" spans="1:6" x14ac:dyDescent="0.25">
      <c r="A222" s="4">
        <v>221</v>
      </c>
      <c r="B222" s="5" t="s">
        <v>2</v>
      </c>
      <c r="C222" s="5" t="s">
        <v>441</v>
      </c>
      <c r="D222" s="5" t="s">
        <v>4</v>
      </c>
      <c r="E222" s="5" t="s">
        <v>442</v>
      </c>
      <c r="F222" s="6">
        <v>101</v>
      </c>
    </row>
    <row r="223" spans="1:6" x14ac:dyDescent="0.25">
      <c r="A223" s="4">
        <v>222</v>
      </c>
      <c r="B223" s="5" t="s">
        <v>2</v>
      </c>
      <c r="C223" s="5" t="s">
        <v>443</v>
      </c>
      <c r="D223" s="5" t="s">
        <v>4</v>
      </c>
      <c r="E223" s="5" t="s">
        <v>444</v>
      </c>
      <c r="F223" s="6">
        <v>420</v>
      </c>
    </row>
    <row r="224" spans="1:6" x14ac:dyDescent="0.25">
      <c r="A224" s="4">
        <v>223</v>
      </c>
      <c r="B224" s="5" t="s">
        <v>2</v>
      </c>
      <c r="C224" s="5" t="s">
        <v>445</v>
      </c>
      <c r="D224" s="5" t="s">
        <v>4</v>
      </c>
      <c r="E224" s="5" t="s">
        <v>446</v>
      </c>
      <c r="F224" s="6">
        <v>292</v>
      </c>
    </row>
    <row r="225" spans="1:6" x14ac:dyDescent="0.25">
      <c r="A225" s="4">
        <v>224</v>
      </c>
      <c r="B225" s="5" t="s">
        <v>2</v>
      </c>
      <c r="C225" s="5" t="s">
        <v>447</v>
      </c>
      <c r="D225" s="5" t="s">
        <v>4</v>
      </c>
      <c r="E225" s="5" t="s">
        <v>448</v>
      </c>
      <c r="F225" s="6">
        <v>407</v>
      </c>
    </row>
    <row r="226" spans="1:6" x14ac:dyDescent="0.25">
      <c r="A226" s="4">
        <v>225</v>
      </c>
      <c r="B226" s="5" t="s">
        <v>2</v>
      </c>
      <c r="C226" s="5" t="s">
        <v>453</v>
      </c>
      <c r="D226" s="5" t="s">
        <v>4</v>
      </c>
      <c r="E226" s="5" t="s">
        <v>454</v>
      </c>
      <c r="F226" s="6">
        <v>1</v>
      </c>
    </row>
    <row r="227" spans="1:6" x14ac:dyDescent="0.25">
      <c r="A227" s="4">
        <v>226</v>
      </c>
      <c r="B227" s="5" t="s">
        <v>2</v>
      </c>
      <c r="C227" s="5" t="s">
        <v>455</v>
      </c>
      <c r="D227" s="5" t="s">
        <v>4</v>
      </c>
      <c r="E227" s="5" t="s">
        <v>456</v>
      </c>
      <c r="F227" s="6">
        <v>22</v>
      </c>
    </row>
    <row r="228" spans="1:6" x14ac:dyDescent="0.25">
      <c r="A228" s="4">
        <v>227</v>
      </c>
      <c r="B228" s="5" t="s">
        <v>2</v>
      </c>
      <c r="C228" s="5" t="s">
        <v>457</v>
      </c>
      <c r="D228" s="5" t="s">
        <v>4</v>
      </c>
      <c r="E228" s="5" t="s">
        <v>458</v>
      </c>
      <c r="F228" s="6">
        <v>303</v>
      </c>
    </row>
    <row r="229" spans="1:6" x14ac:dyDescent="0.25">
      <c r="A229" s="4">
        <v>228</v>
      </c>
      <c r="B229" s="5" t="s">
        <v>2</v>
      </c>
      <c r="C229" s="5" t="s">
        <v>459</v>
      </c>
      <c r="D229" s="5" t="s">
        <v>4</v>
      </c>
      <c r="E229" s="5" t="s">
        <v>460</v>
      </c>
      <c r="F229" s="6">
        <v>20</v>
      </c>
    </row>
    <row r="230" spans="1:6" x14ac:dyDescent="0.25">
      <c r="A230" s="4">
        <v>229</v>
      </c>
      <c r="B230" s="5" t="s">
        <v>2</v>
      </c>
      <c r="C230" s="5" t="s">
        <v>461</v>
      </c>
      <c r="D230" s="5" t="s">
        <v>4</v>
      </c>
      <c r="E230" s="5" t="s">
        <v>462</v>
      </c>
      <c r="F230" s="6">
        <v>200</v>
      </c>
    </row>
    <row r="231" spans="1:6" x14ac:dyDescent="0.25">
      <c r="A231" s="4">
        <v>230</v>
      </c>
      <c r="B231" s="5" t="s">
        <v>463</v>
      </c>
      <c r="C231" s="5" t="s">
        <v>464</v>
      </c>
      <c r="D231" s="5" t="s">
        <v>4</v>
      </c>
      <c r="E231" s="5" t="s">
        <v>465</v>
      </c>
      <c r="F231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Counting Sheet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2025-11-09T13:12:36Z</dcterms:created>
  <dcterms:modified xsi:type="dcterms:W3CDTF">2025-11-13T13:23:28Z</dcterms:modified>
</cp:coreProperties>
</file>