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dc917b976fdfaa/Desktop/Quarterly Dashboard Visualisation/"/>
    </mc:Choice>
  </mc:AlternateContent>
  <xr:revisionPtr revIDLastSave="199" documentId="8_{86164BBA-578C-486C-A8B4-7F02D2C83FC1}" xr6:coauthVersionLast="47" xr6:coauthVersionMax="47" xr10:uidLastSave="{1D26A878-90F8-48E0-A26C-618F39C72E5D}"/>
  <bookViews>
    <workbookView xWindow="-108" yWindow="-108" windowWidth="23256" windowHeight="12456" xr2:uid="{B0D51A29-2084-4670-9E40-EAADDFEC1E63}"/>
  </bookViews>
  <sheets>
    <sheet name="Reports " sheetId="9" r:id="rId1"/>
    <sheet name="Sheet3" sheetId="5" state="hidden" r:id="rId2"/>
    <sheet name="COUNT" sheetId="4" r:id="rId3"/>
    <sheet name="Items" sheetId="3" r:id="rId4"/>
  </sheets>
  <externalReferences>
    <externalReference r:id="rId5"/>
  </externalReferences>
  <definedNames>
    <definedName name="_xlnm._FilterDatabase" localSheetId="2" hidden="1">COUNT!$A$1:$J$3005</definedName>
    <definedName name="mylog">'[1]MYSKF LOG'!$A$1:$D$2031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9" l="1"/>
  <c r="J4" i="9"/>
  <c r="I5" i="5"/>
  <c r="I4" i="5"/>
  <c r="J5" i="9"/>
  <c r="J6" i="9" l="1"/>
  <c r="J7" i="9"/>
  <c r="J8" i="9"/>
  <c r="I8" i="5"/>
  <c r="I7" i="5"/>
  <c r="I6" i="5"/>
</calcChain>
</file>

<file path=xl/sharedStrings.xml><?xml version="1.0" encoding="utf-8"?>
<sst xmlns="http://schemas.openxmlformats.org/spreadsheetml/2006/main" count="29132" uniqueCount="4676">
  <si>
    <t xml:space="preserve">System on hand </t>
  </si>
  <si>
    <t xml:space="preserve">Variation </t>
  </si>
  <si>
    <t>Remaks</t>
  </si>
  <si>
    <t>Reported</t>
  </si>
  <si>
    <t>INS</t>
  </si>
  <si>
    <t>Matching</t>
  </si>
  <si>
    <t>MOSTHAFA</t>
  </si>
  <si>
    <t>Glass Beads, K9332ZJ</t>
  </si>
  <si>
    <t>Bellows, L9819AA</t>
  </si>
  <si>
    <t>O-Ring, F9300AJ</t>
  </si>
  <si>
    <t>Flow Fitting, FF40-S22</t>
  </si>
  <si>
    <t>Universal sensor cable, WU10-V-S-05</t>
  </si>
  <si>
    <t>Pressure Clamp (Basic Type), NFTA4S-00</t>
  </si>
  <si>
    <t>Tempetarure Transmitter , YTA610-JA1A2DB/SU2</t>
  </si>
  <si>
    <t>CLOSED</t>
  </si>
  <si>
    <t>Counter Electrode, K9332MJ</t>
  </si>
  <si>
    <t>Seat Valve, K9041HC</t>
  </si>
  <si>
    <t>Retun Suppiler</t>
  </si>
  <si>
    <t>2 Way Parker Manifold, HDS2HLHFRCMLME12-4B</t>
  </si>
  <si>
    <t>Parker manifold; HNLS2V8F8M4F</t>
  </si>
  <si>
    <t>Block &amp; Bleed manifold :W5AASA-N4TE-2AM1BZ</t>
  </si>
  <si>
    <t>2 Valve Manifold;SAFMHA-N4N4-AM01BZxx</t>
  </si>
  <si>
    <t>Temperature Transmitter:YTA610-FA1C4DK/SU25</t>
  </si>
  <si>
    <t>Analog Digital I/O Module, A2MMM843-SS1010</t>
  </si>
  <si>
    <t>Analog Digital I/O Module, A2MDV843-0S1010</t>
  </si>
  <si>
    <t>2 way manifold, G12FMS/NA</t>
  </si>
  <si>
    <t>5-WAy Manifold, Y53S/NA/SSB</t>
  </si>
  <si>
    <t>2 way manifold, Y24S/NA</t>
  </si>
  <si>
    <t>O-RING,OEM,P/N:B1023ER</t>
  </si>
  <si>
    <t>Yokogawa O-Ring F9341JP</t>
  </si>
  <si>
    <t>Clamp Meter:Model:CL150</t>
  </si>
  <si>
    <t>Temperature Transmitter;YTA610-JA1A2DJ/SU2/X2</t>
  </si>
  <si>
    <t>HEAD OFFICE</t>
  </si>
  <si>
    <t>NUSAIR</t>
  </si>
  <si>
    <t>Bartec Feam Cable Gland; PAP-04 MON</t>
  </si>
  <si>
    <t>Bartec Feam Cable Gland; PAP-08 MON</t>
  </si>
  <si>
    <t>Bartec Feam Cable Gland; PAP-08 NON</t>
  </si>
  <si>
    <t>Bartec Feam Cable Gland; PAP-02 MIX</t>
  </si>
  <si>
    <t>Bartec Feam Cable Gland; PAP-03 MIX</t>
  </si>
  <si>
    <t>Bartec Feam Cable Gland; PAP-04 MIX</t>
  </si>
  <si>
    <t>Bartec Feam Cable Gland; PAP-05 MIX</t>
  </si>
  <si>
    <t>Bartec Feam Cable Gland; PAP-06 MIX</t>
  </si>
  <si>
    <t>Bartec Feam Cable Gland; PAP-R 04 NIX</t>
  </si>
  <si>
    <t>Bartec Feam Cable Gland; PAP-R 06 NIX</t>
  </si>
  <si>
    <t>RESAVED</t>
  </si>
  <si>
    <t>Bartec Feam Cable Gland; PAP-R 05 NON</t>
  </si>
  <si>
    <t>Bartec Feam Cable Gland; PAP-R 06 NON</t>
  </si>
  <si>
    <t>Bartec Feam Cable Gland; PNA-01 MON</t>
  </si>
  <si>
    <t>Bartec Feam Cable Gland; PNA-02 MON</t>
  </si>
  <si>
    <t>Bartec Feam Cable Gland; PNA-03 MON</t>
  </si>
  <si>
    <t>Bartec Feam Cable Gland; PNA-04 MON</t>
  </si>
  <si>
    <t>Bartec Feam Cable Gland; PNA-05 MON</t>
  </si>
  <si>
    <t>Bartec Feam Cable Gland; PNA-06 MON</t>
  </si>
  <si>
    <t>Bartec Feam Cable Gland; PNA-07 MON</t>
  </si>
  <si>
    <t>Bartec Feam Cable Gland; PNA-01 NON</t>
  </si>
  <si>
    <t>Bartec Feam Cable Gland; PNA-04 NON</t>
  </si>
  <si>
    <t>Bartec Feam Cable Gland; PNA-05 NON</t>
  </si>
  <si>
    <t>Bartec Feam Cable Gland; PNA-06 NON</t>
  </si>
  <si>
    <t>Bartec Feam Cable Gland; PNA-08 NON</t>
  </si>
  <si>
    <t>Bartec Feam Cable Gland; PNA-02 NIX</t>
  </si>
  <si>
    <t>Bartec Feam Cable Gland; PNA-03 NIX</t>
  </si>
  <si>
    <t>Bartec Feam Cable Gland; PNA-04 NIX</t>
  </si>
  <si>
    <t>Bartec Feam Cable Gland; PNA-05 NIX</t>
  </si>
  <si>
    <t>Bartec, Feam Plugs PLG-3 MON</t>
  </si>
  <si>
    <t>Bartec, Feam Plugs PLG-4 MON</t>
  </si>
  <si>
    <t>Bartec, Feam Plugs PLG-5 MON</t>
  </si>
  <si>
    <t>Bartec, Feam Plugs PLG-4 NON</t>
  </si>
  <si>
    <t>Bartec, Feam Plugs PLG-5 NON</t>
  </si>
  <si>
    <t>Bartec, Feam Plugs PLG-3 MIX</t>
  </si>
  <si>
    <t>Bartec, Feam Plugs PLG-5 MIX</t>
  </si>
  <si>
    <t>Bartec, Feam Plugs PLG-3 NIX</t>
  </si>
  <si>
    <t>PENDING TO CLOSE</t>
  </si>
  <si>
    <t>Bartec, Feam Plugs PLG-4 NIX</t>
  </si>
  <si>
    <t>Bartec, Feam Plugs PLG-6 NIX</t>
  </si>
  <si>
    <t>Bartec, Feam Lightining Fixture EVAC301-150 W</t>
  </si>
  <si>
    <t>Bartec, Feam Junction and Pulling Box GUAX27</t>
  </si>
  <si>
    <t>Bartec, Feam Junction and Pulling Box GUAX59</t>
  </si>
  <si>
    <t>Bartec Feam Cable Gland; PAP-02 NIX</t>
  </si>
  <si>
    <t>Bartec Feam Cable Gland; PAP-03 NIX</t>
  </si>
  <si>
    <t>GLAND SS LOCK WASHER &amp;PVC 1P WASHER 1/2"</t>
  </si>
  <si>
    <t>GLAND SS LOCK WASHER &amp;PVC 1P WASHER 3/4"</t>
  </si>
  <si>
    <t>GLAND SS LOCK WASHER &amp;PVC 1P WASHER 1-1/2"</t>
  </si>
  <si>
    <t>M40 SS316 locknut &amp; IP washer</t>
  </si>
  <si>
    <t>Bartec, Feam Plugs PLG-06-MON</t>
  </si>
  <si>
    <t>Bartec, Feam Plugs; Reducers; REB-02N-02-MIX</t>
  </si>
  <si>
    <t>Bartec, Feam Plugs; Reducers; RE-05N-02-NIX</t>
  </si>
  <si>
    <t>Bartec, Feam Plugs; Reducers; RE-03N-01-MIX</t>
  </si>
  <si>
    <t>Bartec, Feam Plugs; Reducers; RE-04N-01-MIX</t>
  </si>
  <si>
    <t>Bartec, Feam Plugs; Reducers; RE-04N-03-NIX</t>
  </si>
  <si>
    <t>Bartec, Feam Plugs; Reducers; RE-03N-01-NIX</t>
  </si>
  <si>
    <t>Bartec, Feam Plugs; Reducers; RE-03N-02-NIX</t>
  </si>
  <si>
    <t>Bartec, Feam Plugs; Reducers; REB-02N-01-MIX</t>
  </si>
  <si>
    <t>Bartec Reducer; RE02N01-NXX + Kit</t>
  </si>
  <si>
    <t>Bartec Feam Cable Gland; PAP-01-MXX + Kit</t>
  </si>
  <si>
    <t>Bartec Feam Cable Gland; PAP-02-MXX + Kit</t>
  </si>
  <si>
    <t>Bartec, Feam Plugs PLG-07-NON</t>
  </si>
  <si>
    <t>3" Nickel plated brass Locknut with IP washer</t>
  </si>
  <si>
    <t>PVC Coated Junction Box 3"X 1-1/2" GUAT 59</t>
  </si>
  <si>
    <t>Switch ON/OFF, 2 Poles 16A EFSC1</t>
  </si>
  <si>
    <t>Lamp Accessories; 05-0003-000900</t>
  </si>
  <si>
    <t>Bartec Product; REB-01N01MXX</t>
  </si>
  <si>
    <t>Bartec Product; REB-03N02MXX</t>
  </si>
  <si>
    <t>Bartec Product; REB-04N03MXX</t>
  </si>
  <si>
    <t>Bartec Product;PLG-03-MXX</t>
  </si>
  <si>
    <t>Bartec Product; PLG-02-NXX</t>
  </si>
  <si>
    <t>Bartec Product; PLG-05-NXX</t>
  </si>
  <si>
    <t>M75 SS316 LOCK AND IP WASHER</t>
  </si>
  <si>
    <t>Seal compound part number - INN-FS0904-2</t>
  </si>
  <si>
    <t>Switch Module; 07-3331-1C06</t>
  </si>
  <si>
    <t>Seal compound part number - INN-FS0904-5</t>
  </si>
  <si>
    <t>P&amp;F Product; NCB40-FP-N0-P1; P/N: 70133036</t>
  </si>
  <si>
    <t>FATTAH</t>
  </si>
  <si>
    <t>Pepperl+Fuchs Inductive Sensor (NJ5-18GK-N)</t>
  </si>
  <si>
    <t>Pepperl+Fuchs Inductive Sensor (NJ5-11-NG-6M)</t>
  </si>
  <si>
    <t>Pepperl+Fuchs Inductive Sensor (KSD2-GW2-PRO)</t>
  </si>
  <si>
    <t>Pepperl+Fuchs Inductive Sensor (NJ40+U1+A2)</t>
  </si>
  <si>
    <t>P+F, Female Connector</t>
  </si>
  <si>
    <t>Pepperl+Fuchs Inductive Sensor (NJ2-11-SN-G)</t>
  </si>
  <si>
    <t>Pepperl+Fuchs Inductive Sensor (NJ40+U1+E2)</t>
  </si>
  <si>
    <t>Pepperl+Fuchs Inductive Sensor (NBB20-U1-E2)</t>
  </si>
  <si>
    <t>Pepperl+Fuchs Capacitive Sensor (CJ6-18GK-N)</t>
  </si>
  <si>
    <t>Pepperl+Fuchs Cable Connector (V1-W-2M-PVC)</t>
  </si>
  <si>
    <t>CASH SALES</t>
  </si>
  <si>
    <t>P+F, Inductive Sensor Model No.: NJ2-12GK-SN</t>
  </si>
  <si>
    <t>PEPPERL+FUCHS; FDH-SW-P; Software</t>
  </si>
  <si>
    <t>P&amp;F Segment Protector;R2-SP-IC6</t>
  </si>
  <si>
    <t>P&amp;F Segment Protector; R2-SP-IC10</t>
  </si>
  <si>
    <t>P&amp;F Power Feed Module; KFD2-EB2; P/N: 189783</t>
  </si>
  <si>
    <t>P+F Zener Barrier; Z 978; P/N:017862</t>
  </si>
  <si>
    <t>P+F Mounting Kit; SMK 4</t>
  </si>
  <si>
    <t>P&amp;F Product; NBB8-18GM60-US; P/N:198076</t>
  </si>
  <si>
    <t>P&amp;F Product; NBB20-U1-Z2; P/N:70126034</t>
  </si>
  <si>
    <t>P&amp;F Product; R2-SP-IC4; P/N: 235826 (S/P)</t>
  </si>
  <si>
    <t>P&amp;F Product; R2-SP-IC12; P/N: 235825 (S/P) "</t>
  </si>
  <si>
    <t>P&amp;F Product; ACC-R2-SW.3; P/N:221501 (S/P)</t>
  </si>
  <si>
    <t>P&amp;F Product; R2-SP-IC6; P/N: 235827 (S/P)</t>
  </si>
  <si>
    <t>P&amp;F Product; NBN15-30GM40-Z0; P/N: 088214</t>
  </si>
  <si>
    <t>"P&amp;F Product; NCB15-30GM50-Z5; P/N: 182912 "</t>
  </si>
  <si>
    <t>FAROOK</t>
  </si>
  <si>
    <t>SCREW: CROSS HD, TYPE P121| P/N-BL000882</t>
  </si>
  <si>
    <t>PLUNGER, PUMP: 6 MM, 20 HUB, SS| P/N-BL079306</t>
  </si>
  <si>
    <t>VALVE, DOUBLE VALVE, 4571/3.1| P/N-BL080838</t>
  </si>
  <si>
    <t>SCREW, M6X20, A 2-70| P/N-BL100234</t>
  </si>
  <si>
    <t>GEAR: WORM WHEEL, RATIO 28/2| P/N-BL250914</t>
  </si>
  <si>
    <t>SHAFT: C 45| P/N-BL250934</t>
  </si>
  <si>
    <t>ROD: CONNECTING, UNIFONT90| P/N-BL251059</t>
  </si>
  <si>
    <t>ALA</t>
  </si>
  <si>
    <t>Lube Pump PN-PU01AB07</t>
  </si>
  <si>
    <t>RETAINING RING,PN-13-063</t>
  </si>
  <si>
    <t>RETAINING RING,PN-13-064</t>
  </si>
  <si>
    <t>RETAINING RING,PN-13-065</t>
  </si>
  <si>
    <t>O-RING,PN-14-029UA</t>
  </si>
  <si>
    <t>O-RING,PN--14-125UA</t>
  </si>
  <si>
    <t>BEARING BALL ,PN-21-067</t>
  </si>
  <si>
    <t>BEARING BALL ,PN-21-068</t>
  </si>
  <si>
    <t>RELIEF VALVE ,PN-71-816</t>
  </si>
  <si>
    <t>KEY, PN-KE01AA01AA25212</t>
  </si>
  <si>
    <t>FILTER NIPPLE,PN-NJ01AA01</t>
  </si>
  <si>
    <t>SEAL, 1-1/4" SH JC,PN-SE04AA10L</t>
  </si>
  <si>
    <t>SEAL,PN-SE04AA18L</t>
  </si>
  <si>
    <t>MECHANICAL SEAL,PN-SE04AA20L</t>
  </si>
  <si>
    <t>SEAL, JCE-1/2", UK,PN-SE04AA32J</t>
  </si>
  <si>
    <t>SLEEVE, SHAFT ,PN-SL01AA12DD</t>
  </si>
  <si>
    <t>SHAFT SLEEVE,PN-SL02AA01DD1</t>
  </si>
  <si>
    <t>STUD INDUCER,PN-ST06AA01DB3</t>
  </si>
  <si>
    <t>STUD INDUCER,PN-ST06AK06BB38075</t>
  </si>
  <si>
    <t>EXTRA FITTING FOR 25-007,PN-15-346</t>
  </si>
  <si>
    <t>BEARING: JOURNAL,PN-BE09AG09</t>
  </si>
  <si>
    <t>PUMP: LUBE,PN-PU04AK01</t>
  </si>
  <si>
    <t>O RING,PN-14-004UA</t>
  </si>
  <si>
    <t>O RING ,PN-14-024UA</t>
  </si>
  <si>
    <t>O RING,14-046UA</t>
  </si>
  <si>
    <t>Nut-Hex,PN-04-003AF</t>
  </si>
  <si>
    <t>Screw -Hex-Head,PN-02-039AF</t>
  </si>
  <si>
    <t>Washer -Plain,PN-06-003AF</t>
  </si>
  <si>
    <t>O-Ring,PN-14-007UC</t>
  </si>
  <si>
    <t>INPUT SHAFT ASSY 400HP,PN-SH01AG18AA</t>
  </si>
  <si>
    <t>O-RING, PN- 14-332UC</t>
  </si>
  <si>
    <t>JOURNAL BEARING, LOWER, PN- BE09AA11</t>
  </si>
  <si>
    <t>OLD DESIGN SIGHT GLASS, PN-GA01AA06</t>
  </si>
  <si>
    <t>STUD INDUCER, PN- ST06AA01DB2</t>
  </si>
  <si>
    <t>SHAFT ASSY IDLER, PN- SH01AA05E</t>
  </si>
  <si>
    <t>Screw, Hex.3/8-16X1, PN-02-021AF</t>
  </si>
  <si>
    <t>Washer, Lock, 3/8, PN-07-010AF</t>
  </si>
  <si>
    <t>BOLT HEX 1/2-13X4, PN- 02-002AF</t>
  </si>
  <si>
    <t>O-RING,PN-14-046UT</t>
  </si>
  <si>
    <t>Orifice Seperator,PN-OR02AA04DB05</t>
  </si>
  <si>
    <t>O-RING REPAIR KIT, PN- RKORP322UD87DB5</t>
  </si>
  <si>
    <t>O-ring Repair Kit, PN- RKORP311UA24</t>
  </si>
  <si>
    <t>O-ring Repair Kit, PN- RKORP311UC24</t>
  </si>
  <si>
    <t>O-ring Repair Kit, PN- RKORP311UN24</t>
  </si>
  <si>
    <t>O-ring Repair Kit, PN- RKORP322UN24</t>
  </si>
  <si>
    <t>O-ring Repair Kit, PN- RKORP311UN85</t>
  </si>
  <si>
    <t>O-ring Repair Kit, PN- RKORP311UD85</t>
  </si>
  <si>
    <t>O-ring Repair Kit, PN- RKORP311TA85</t>
  </si>
  <si>
    <t>Mechanical Seal, PN- SE04AD18N</t>
  </si>
  <si>
    <t>Service Kit- PN- 840120-SERVICEKIT</t>
  </si>
  <si>
    <t>Service Kit, PN- 840121-SERVICEKIT</t>
  </si>
  <si>
    <t>Service Kit, PN- 840122-SERVICEKIT</t>
  </si>
  <si>
    <t>Service Kit, PN- 840123-SERVICEKIT</t>
  </si>
  <si>
    <t>Service Kit, PN- 124-SERVICEKIT</t>
  </si>
  <si>
    <t>GEARBOX, PN- EXCGBOX11473738</t>
  </si>
  <si>
    <t>GEARBOX, PN- EXCGBOX11421617</t>
  </si>
  <si>
    <t>O RING REPAIR KIT, PN- RKORP311UT13DB6</t>
  </si>
  <si>
    <t>O-RING KALREZ COMPOUND 6375, PN- 14-053TR</t>
  </si>
  <si>
    <t>LMV 322, PN- GBOXD871439-1</t>
  </si>
  <si>
    <t>O-ring Repair Kit, PN- RKORP322UA87DB6</t>
  </si>
  <si>
    <t>New Gear Box PK-South s/n 98418107/08</t>
  </si>
  <si>
    <t>RACE, BALL BEARING 6213 - P.N-BBB011</t>
  </si>
  <si>
    <t>CAP, FRONT, CARBON STEEL - P.N-C67002615</t>
  </si>
  <si>
    <t>CAP, BACK, CARBON STEEL - P.N-C68002616</t>
  </si>
  <si>
    <t>O-RING 14-040UC</t>
  </si>
  <si>
    <t>GEARBOX OUTPUT SEAL KIT (LOW RPM) KT01SE98A0</t>
  </si>
  <si>
    <t>GASKET gk01aa02</t>
  </si>
  <si>
    <t>ROTATING FACE RJ09AA02RE</t>
  </si>
  <si>
    <t>FILL &amp; VENT FITTING 25-002</t>
  </si>
  <si>
    <t>BALL BEARING 21-160</t>
  </si>
  <si>
    <t>SUNDYNE SEAL INPUT SHAFT SE03AA01</t>
  </si>
  <si>
    <t>THRUST WASHER WA05AA13B</t>
  </si>
  <si>
    <t>THRUST WASHER WA05AA13A</t>
  </si>
  <si>
    <t>ROTATING FACE RJ09AD13RE</t>
  </si>
  <si>
    <t>GASKET GK01AA01</t>
  </si>
  <si>
    <t>TAB WASHER, IMPELLER WA02AA01DB2</t>
  </si>
  <si>
    <t>O-RING 14-004UC</t>
  </si>
  <si>
    <t>O-RING 14-223UC</t>
  </si>
  <si>
    <t>JOURNAL BEARING BE09AA01688</t>
  </si>
  <si>
    <t>SHAFT SLEEVE SL01AD18DB1</t>
  </si>
  <si>
    <t>O-RING Part No.14-046UC</t>
  </si>
  <si>
    <t>MECHANICAL SEAL SE04AA02A</t>
  </si>
  <si>
    <t>SPRING SP07AB01</t>
  </si>
  <si>
    <t>TAB WASHER, IMPELLER WA02NA02DB</t>
  </si>
  <si>
    <t>JOURNAL BEARING BE09AB03</t>
  </si>
  <si>
    <t>SHAFT SLEEVE SL02AA01DB1</t>
  </si>
  <si>
    <t>JOURNAL BEARING BE09AG15</t>
  </si>
  <si>
    <t>BREATHER 25-007</t>
  </si>
  <si>
    <t>MECHANICAL SEAL SE04AA20F</t>
  </si>
  <si>
    <t>JOURNAL BEARING BE09AB04</t>
  </si>
  <si>
    <t>KEY KE01AA01BB25069</t>
  </si>
  <si>
    <t>MECHANICAL SEAL SE04AA16A</t>
  </si>
  <si>
    <t>O-RING 14-095UC</t>
  </si>
  <si>
    <t>JOURNAL BEARING BE09AA10</t>
  </si>
  <si>
    <t>TAB WASHER, IMPELLER WA02AA05DB</t>
  </si>
  <si>
    <t>INDUCER STUD ST06AA01BB3</t>
  </si>
  <si>
    <t>MECHANICAL SEAL SE04AA18A</t>
  </si>
  <si>
    <t>LEVEL GAUGE GA01AA05</t>
  </si>
  <si>
    <t>MECHANICAL SEAL SE05AA04A</t>
  </si>
  <si>
    <t>MECHANICAL SEAL SE04AW01B10</t>
  </si>
  <si>
    <t>SHIM SP01AA04-KIT</t>
  </si>
  <si>
    <t>ROTATING FACE RJ09AA13A</t>
  </si>
  <si>
    <t>FILTER CARTRIDGE F22-030CARTRIDGE</t>
  </si>
  <si>
    <t>SHAFT SLEEVE SL01AD18DD1</t>
  </si>
  <si>
    <t>THRUST WASHER WA05AA13C</t>
  </si>
  <si>
    <t>O-RING 14-046UK</t>
  </si>
  <si>
    <t>MECHANICAL SEAL SE04AA12A</t>
  </si>
  <si>
    <t>MECHANICAL SEAL SE04AD18F</t>
  </si>
  <si>
    <t>MECHANICAL SEAL SE04AA10A</t>
  </si>
  <si>
    <t>O-RING 14-053TP</t>
  </si>
  <si>
    <t>ROTATING FACE RJ09AD29DDUC</t>
  </si>
  <si>
    <t>SHAFT SLEEVE SL01AD02DD</t>
  </si>
  <si>
    <t>INDUCER STUD ST06AA01BB2</t>
  </si>
  <si>
    <t>O-RING 14-081UA</t>
  </si>
  <si>
    <t>O-RING 14-013UA</t>
  </si>
  <si>
    <t>O-RING 14-046TA</t>
  </si>
  <si>
    <t>O-RING 14-004UD</t>
  </si>
  <si>
    <t>O-RING 14-024UC</t>
  </si>
  <si>
    <t>O-RING 14-004TA</t>
  </si>
  <si>
    <t>Washer, Flat F06-016AF</t>
  </si>
  <si>
    <t>SEAL REPAIR KIT RK01SE20F</t>
  </si>
  <si>
    <t>MECHANICAL SEAL SEAL40103132</t>
  </si>
  <si>
    <t>INDUCER JN12AC11DB10</t>
  </si>
  <si>
    <t>SHAFT SLEEVE SL01AA03DD1</t>
  </si>
  <si>
    <t>SEAL REPAIR KIT RK01SE18A</t>
  </si>
  <si>
    <t>SCREW 02-027DJ</t>
  </si>
  <si>
    <t>O-RING 14-304UC</t>
  </si>
  <si>
    <t>ROTATING FACE RJ09AA22SD</t>
  </si>
  <si>
    <t>O-RING 14-024UD</t>
  </si>
  <si>
    <t>SHAFT SLEEVE SL01AA03DH1</t>
  </si>
  <si>
    <t>TEMPERATURE GAUGE ATEX F41-501</t>
  </si>
  <si>
    <t>BALL BEARING 21-033</t>
  </si>
  <si>
    <t>O-RING 14-046UN</t>
  </si>
  <si>
    <t>BALL BEARING 21-118</t>
  </si>
  <si>
    <t>BALL BEARING 21-117</t>
  </si>
  <si>
    <t>SEAL REPAIR KIT RK01SE60RA1UC1A</t>
  </si>
  <si>
    <t>IDLER SHAFT ASSEMBLY SH01AA03D2 SH01AA03X2</t>
  </si>
  <si>
    <t>HIGH SPEED SHAFT ASSY SH01BA018S SH01BA018X</t>
  </si>
  <si>
    <t>MECHANICAL SEAL SE04AA28A</t>
  </si>
  <si>
    <t>O-RING 14-009UK</t>
  </si>
  <si>
    <t>WASHER 1/2 06-008AF</t>
  </si>
  <si>
    <t>SEAL PACKING GRAPHITE RJ10AA13TG181</t>
  </si>
  <si>
    <t>GEARBOX OUTPUT SEAL KIT (LOW RPM) KT01SE98A1</t>
  </si>
  <si>
    <t>O-RING 14-052TA</t>
  </si>
  <si>
    <t>FILTER ELEMENT 22-468</t>
  </si>
  <si>
    <t>O-RING 14-137UA</t>
  </si>
  <si>
    <t>O-RING 14-047TA</t>
  </si>
  <si>
    <t>GASKET GK01MN03</t>
  </si>
  <si>
    <t>O-RING 14-128UA</t>
  </si>
  <si>
    <t>ROTATING FACE RJ09AA02RJ</t>
  </si>
  <si>
    <t>O-RING 14-126UC</t>
  </si>
  <si>
    <t>JOURNAL BEARING BE09SP11B1 BE09SP11XX</t>
  </si>
  <si>
    <t>JOURNAL BEARING BE09SP08B1 BE09SP08XX</t>
  </si>
  <si>
    <t>O-RING 14-004UN</t>
  </si>
  <si>
    <t>BALL BEARING 21-098</t>
  </si>
  <si>
    <t>O-RING 14-047UD</t>
  </si>
  <si>
    <t>MECHANICAL SEAL SE04SP07UC2RP</t>
  </si>
  <si>
    <t>SHAFT SLEEVE SL01AD18DH1</t>
  </si>
  <si>
    <t>GASKET GK01MN02</t>
  </si>
  <si>
    <t>O-RING 14-127UC</t>
  </si>
  <si>
    <t>KEY KE01AA01BB12062</t>
  </si>
  <si>
    <t>RETAINER RE11AA05DB</t>
  </si>
  <si>
    <t>SEAL HOUSING HO08FL07DB</t>
  </si>
  <si>
    <t>LABYRINTH SL01SJ01</t>
  </si>
  <si>
    <t>MECHANICAL SEAL SE05AA05A</t>
  </si>
  <si>
    <t>LABYRINTH SE03SJ01GJ</t>
  </si>
  <si>
    <t>BALL BEARING 21-143</t>
  </si>
  <si>
    <t>BALL BEARING 21-148</t>
  </si>
  <si>
    <t>SEAL REPAIR KIT RK01AD22RA1UC1A</t>
  </si>
  <si>
    <t>Thermal Barrier Gasket, PN-gk01aa02</t>
  </si>
  <si>
    <t>FLEXITALIC GASKET, PN-20-099-S</t>
  </si>
  <si>
    <t>SHAFT SLEEVE, PN-SL01AA03DB1</t>
  </si>
  <si>
    <t>Idler Shaft Assy, PN-SH01AA03C2</t>
  </si>
  <si>
    <t>A/A1 THRUST BEARING . PN # P1562G9350</t>
  </si>
  <si>
    <t>GASKET, 5". PN # P2320C073</t>
  </si>
  <si>
    <t>RETAINER RING OIL SEAL BULLGR. PN # P27J161</t>
  </si>
  <si>
    <t>SEAL ASSEMBLY,BH. PN # 254398-8</t>
  </si>
  <si>
    <t>COUPLING. PN # P2320J292</t>
  </si>
  <si>
    <t>b &amp; C frame SEAL ASSEMBLY. PN # P7963A3012</t>
  </si>
  <si>
    <t>SKF BEARING - 32308 J2/Q</t>
  </si>
  <si>
    <t>SHAMRY</t>
  </si>
  <si>
    <t>SKF BEARING - 6216</t>
  </si>
  <si>
    <t>SKF BEARING-1314/C3</t>
  </si>
  <si>
    <t>SKF BEARING-23024 CC/W33</t>
  </si>
  <si>
    <t>SKF BEARING-3314 ANR/C3</t>
  </si>
  <si>
    <t>SKF BEARING-6034 M/C3</t>
  </si>
  <si>
    <t>SKF BEARING -6307-2RS1/C3GJN</t>
  </si>
  <si>
    <t>SKF BEARING -NU 2218 ECJ/C3</t>
  </si>
  <si>
    <t>SKF Product SY 55 TF</t>
  </si>
  <si>
    <t>SKF BEARINGS - AXK 3047</t>
  </si>
  <si>
    <t>SKF BEARING - NU 314 ECJ</t>
  </si>
  <si>
    <t>SKF BEARING - 3304 A-2RS1TN9/MT33</t>
  </si>
  <si>
    <t>SKF BEARING - 3305 A/C3</t>
  </si>
  <si>
    <t>SKF BEARING - 3305 A-2RS1TN9/C3MT33</t>
  </si>
  <si>
    <t>SKF BEARING - 3305 A-2Z/C3</t>
  </si>
  <si>
    <t>SKF BEARING - 3305 A-2Z/C3MT33</t>
  </si>
  <si>
    <t>SKF BEARING - 3306 A/C3</t>
  </si>
  <si>
    <t>SKF BEARING - 3306 A-2RS1</t>
  </si>
  <si>
    <t>SKF BEARING - 3306 A-2RS1/C3</t>
  </si>
  <si>
    <t>SKF BEARING - 3306 A-2Z</t>
  </si>
  <si>
    <t>SKF BEARING - 3306 A-2Z/C3</t>
  </si>
  <si>
    <t>SKF BEARING - 3307 A/C3</t>
  </si>
  <si>
    <t>SKF BEARING - 3307 A-2RS1</t>
  </si>
  <si>
    <t>SKF BEARING - 3307 A-2RS1/C3</t>
  </si>
  <si>
    <t>SKF BEARING - 3307 A-2Z</t>
  </si>
  <si>
    <t>SKF BEARING - 3308 A/C3</t>
  </si>
  <si>
    <t>SKF BEARING - 3308 A-2RS1/C3</t>
  </si>
  <si>
    <t>SKF BEARING - 3308 A-2Z</t>
  </si>
  <si>
    <t>SKF BEARING - 3308 A-2Z/C3</t>
  </si>
  <si>
    <t>SKF BEARING - 3309 A</t>
  </si>
  <si>
    <t>SKF BEARING - 3309 A/C3</t>
  </si>
  <si>
    <t>SKF BEARING - 3309 A-2RS1</t>
  </si>
  <si>
    <t>SKF BEARING - 3309 A-2Z</t>
  </si>
  <si>
    <t>SKF BEARING - 3309 A-2Z/C3</t>
  </si>
  <si>
    <t>SKF BEARING - 3309 ANR</t>
  </si>
  <si>
    <t>SKF BEARING - 3310 A</t>
  </si>
  <si>
    <t>SKF BEARING - 3310 A/C3</t>
  </si>
  <si>
    <t>SKF BEARING - 3310 A-2RS1</t>
  </si>
  <si>
    <t>SKF BEARING - 3310 A-2RS1/C3</t>
  </si>
  <si>
    <t>SKF BEARING - 3310 A-2Z</t>
  </si>
  <si>
    <t>SKF BEARING - 3310 A-2Z/C3</t>
  </si>
  <si>
    <t>SKF BEARING - 3310 A-2Z/C3MT33</t>
  </si>
  <si>
    <t>SKF BEARING - 3311 A</t>
  </si>
  <si>
    <t>SKF BEARING - 3311 A/C3</t>
  </si>
  <si>
    <t>SKF BEARING - 3311 A-2Z/C3</t>
  </si>
  <si>
    <t>SKF BEARING - 3311 ANR/C3</t>
  </si>
  <si>
    <t>SKF BEARING - 3312 A</t>
  </si>
  <si>
    <t>SKF BEARING - 3312 A/C3</t>
  </si>
  <si>
    <t>SKF BEARING - 3312 A-2Z/C3</t>
  </si>
  <si>
    <t>SKF BEARING - 3313 A</t>
  </si>
  <si>
    <t>SKF BEARING - 3313 A/C3</t>
  </si>
  <si>
    <t>SKF BEARING - 3313 A-2Z/C3</t>
  </si>
  <si>
    <t>SKF BEARING - 3314 A</t>
  </si>
  <si>
    <t>SKF BEARING - 3314 A/C3</t>
  </si>
  <si>
    <t>SKF BEARING - 3314 A-2Z/C3</t>
  </si>
  <si>
    <t>SKF BEARING - 3315 A/C3</t>
  </si>
  <si>
    <t>SKF BEARING - 3316 A/C3</t>
  </si>
  <si>
    <t>SKF BEARING - 3317 A/C3</t>
  </si>
  <si>
    <t>SKF BEARING - 3318 A</t>
  </si>
  <si>
    <t>SKF BEARING - 3318 A/C3</t>
  </si>
  <si>
    <t>SKF BEARING - 3319 A/C3</t>
  </si>
  <si>
    <t>SKF BEARING - 3322 A</t>
  </si>
  <si>
    <t>SKF BEARING - 30203 J2</t>
  </si>
  <si>
    <t>SKF BEARING - 30204 J2/Q</t>
  </si>
  <si>
    <t>SKF BEARING - 30205 J2/Q</t>
  </si>
  <si>
    <t>SKF BEARING - 30206 J2/Q</t>
  </si>
  <si>
    <t>SKF BEARING - 30207 J2/Q</t>
  </si>
  <si>
    <t>SKF BEARING - 30209 J2/Q</t>
  </si>
  <si>
    <t>SKF BEARING - 30211 J2/Q</t>
  </si>
  <si>
    <t>SKF BEARING - 30212 J2/Q</t>
  </si>
  <si>
    <t>SKF BEARING - 30213 J2/Q</t>
  </si>
  <si>
    <t>SKF BEARING - 30217 J2/Q</t>
  </si>
  <si>
    <t>SKF BEARING - 30304 J2/Q</t>
  </si>
  <si>
    <t>SKF BEARING - 30307 J2/Q</t>
  </si>
  <si>
    <t>SKF BEARING - 30308 J2/Q</t>
  </si>
  <si>
    <t>SKF BEARING - 30309 J2/Q</t>
  </si>
  <si>
    <t>SKF BEARING - 30310 J2/Q</t>
  </si>
  <si>
    <t>SKF BEARING - 30311 J2/Q</t>
  </si>
  <si>
    <t>SKF BEARING - 30312 J2/Q</t>
  </si>
  <si>
    <t>SKF BEARING - 30314 J2/Q</t>
  </si>
  <si>
    <t>SKF BEARING - 30317 J2</t>
  </si>
  <si>
    <t>SKF BEARING - 31311 J2/Q</t>
  </si>
  <si>
    <t>SKF BEARING - 31316 J1/QCL7A</t>
  </si>
  <si>
    <t>SKF BEARING - 32004 X/Q</t>
  </si>
  <si>
    <t>SKF BEARING - 32006 X/Q</t>
  </si>
  <si>
    <t>SKF BEARING - 32007 J2/Q</t>
  </si>
  <si>
    <t>SKF BEARING - 32007 X/Q</t>
  </si>
  <si>
    <t>SKF BEARING - 32008 X/Q</t>
  </si>
  <si>
    <t>SKF BEARING - 32011 X/Q</t>
  </si>
  <si>
    <t>SKF BEARING - 32013 X/Q</t>
  </si>
  <si>
    <t>SKF BEARING - 32014 X/Q</t>
  </si>
  <si>
    <t>SKF BEARING - 32015 X/Q</t>
  </si>
  <si>
    <t>SKF BEARING - 32016 X/Q</t>
  </si>
  <si>
    <t>SKF BEARING - 32207 J2/Q</t>
  </si>
  <si>
    <t>SKF BEARING - 32208 J2/Q</t>
  </si>
  <si>
    <t>SKF BEARING - 32209 J2/Q</t>
  </si>
  <si>
    <t>SKF BEARING - 32211 J2/Q</t>
  </si>
  <si>
    <t>SKF BEARING - 32213 J2/Q</t>
  </si>
  <si>
    <t>SKF BEARING - 32219 J2</t>
  </si>
  <si>
    <t>SKF BEARING - 32303 J2</t>
  </si>
  <si>
    <t>SKF BEARING - 32304 J2/Q</t>
  </si>
  <si>
    <t>SKF BEARING - 32310 J2/Q</t>
  </si>
  <si>
    <t>SKF BEARING - 32314 J2/Q</t>
  </si>
  <si>
    <t>SKF BEARING - 32315 J2</t>
  </si>
  <si>
    <t>SKF BEARING - 32317 J2</t>
  </si>
  <si>
    <t>SKF BEARING - 32318 J2</t>
  </si>
  <si>
    <t>SKF BEARING - 32319 J2</t>
  </si>
  <si>
    <t>SKF BEARING - 32320 J2</t>
  </si>
  <si>
    <t>SKF BEARING - 33012/Q</t>
  </si>
  <si>
    <t>SKF BEARING - 33013/Q</t>
  </si>
  <si>
    <t>SKF BEARING - 33014</t>
  </si>
  <si>
    <t>SKF BEARING - 33115/Q</t>
  </si>
  <si>
    <t>SKF BEARING - 33116/Q</t>
  </si>
  <si>
    <t>SKF BEARING - 33117/Q</t>
  </si>
  <si>
    <t>SKF BEARING - 33118/Q</t>
  </si>
  <si>
    <t>SKF BEARING - 33206/Q</t>
  </si>
  <si>
    <t>SKF BEARING - 33207/Q</t>
  </si>
  <si>
    <t>SKF BEARING - 33208/Q</t>
  </si>
  <si>
    <t>SKF BEARING - 33209/Q</t>
  </si>
  <si>
    <t>SKF BEARING - 33210/Q</t>
  </si>
  <si>
    <t>SKF BEARING - 33211/Q</t>
  </si>
  <si>
    <t>SKF BEARING - 33212/Q</t>
  </si>
  <si>
    <t>SKF BEARING - 33213/Q</t>
  </si>
  <si>
    <t>SKF BEARING - 33215/Q</t>
  </si>
  <si>
    <t>SKF BEARING - 33216/Q</t>
  </si>
  <si>
    <t>SKF BEARING - 33217/Q</t>
  </si>
  <si>
    <t>SKF BEARING - 4205 ATN9</t>
  </si>
  <si>
    <t>SKF BEARING - 4206 ATN9</t>
  </si>
  <si>
    <t>SKF BEARING - 4210 ATN9</t>
  </si>
  <si>
    <t>SKF BEARING - 4214 ATN9</t>
  </si>
  <si>
    <t>SKF BEARING - 4215 ATN9</t>
  </si>
  <si>
    <t>SKF BEARING - 4305 ATN9</t>
  </si>
  <si>
    <t>SKF BEARING - 6000</t>
  </si>
  <si>
    <t>SKF BEARING - 6000-2RSH</t>
  </si>
  <si>
    <t>SKF BEARING - 6000-2RSH/C3</t>
  </si>
  <si>
    <t>SKF BEARING - 6000-2Z</t>
  </si>
  <si>
    <t>SKF BEARING - 6000-2Z/C3</t>
  </si>
  <si>
    <t>SKF BEARING - 6000-ZTN9</t>
  </si>
  <si>
    <t>SKF BEARING - 6001/C3</t>
  </si>
  <si>
    <t>SKF BEARING - 6001-2RSH</t>
  </si>
  <si>
    <t>SKF BEARING - 6001-2RSH/C3</t>
  </si>
  <si>
    <t>SKF BEARING - 6001-2Z/C3</t>
  </si>
  <si>
    <t>SKF BEARING - 6002-2RSH</t>
  </si>
  <si>
    <t>SKF BEARING - 6002-2RSH/C3</t>
  </si>
  <si>
    <t>SKF BEARING - 6002-2Z</t>
  </si>
  <si>
    <t>SKF BEARING - 6002-2Z/C3</t>
  </si>
  <si>
    <t>SKF BEARING - 6003</t>
  </si>
  <si>
    <t>SKF BEARING - 6003-2RSH/C3</t>
  </si>
  <si>
    <t>SKF BEARING - 6003-2Z</t>
  </si>
  <si>
    <t>SKF BEARING - 6003-2Z/C3</t>
  </si>
  <si>
    <t>SKF BEARING - 6004</t>
  </si>
  <si>
    <t>SKF BEARING - 6004 NR</t>
  </si>
  <si>
    <t>SKF BEARING - 6004/C3</t>
  </si>
  <si>
    <t>SKF BEARING - 6004-2RSH</t>
  </si>
  <si>
    <t>SKF BEARING - 6004-2RSH/C3</t>
  </si>
  <si>
    <t>SKF BEARING - 6004-2RSHNR</t>
  </si>
  <si>
    <t>SKF BEARING - 6004-2Z</t>
  </si>
  <si>
    <t>SKF BEARING - 6004-2Z/C3</t>
  </si>
  <si>
    <t>SKF BEARING - 6004-2ZNR</t>
  </si>
  <si>
    <t>SKF BEARING - 6005-2RSH</t>
  </si>
  <si>
    <t>SKF BEARING - 6005-2RSH/C3</t>
  </si>
  <si>
    <t>SKF BEARING - 6005-2RSHNR</t>
  </si>
  <si>
    <t>SKF BEARING - 6005-2Z</t>
  </si>
  <si>
    <t>SKF BEARING - 6005-2Z/C3</t>
  </si>
  <si>
    <t>SKF BEARING - 6006</t>
  </si>
  <si>
    <t>SKF BEARING - 6006-2RS1</t>
  </si>
  <si>
    <t>SKF BEARING - 6006-2RS1/C3</t>
  </si>
  <si>
    <t>SKF BEARING - 6006-2Z</t>
  </si>
  <si>
    <t>SKF BEARING - 6006-2Z/C3</t>
  </si>
  <si>
    <t>SKF BEARING - 6007</t>
  </si>
  <si>
    <t>SKF BEARING - 6007/C3</t>
  </si>
  <si>
    <t>SKF BEARING - 6007-2RS1</t>
  </si>
  <si>
    <t>SKF BEARING - 6007-2RS1/C3</t>
  </si>
  <si>
    <t>SKF BEARING - 6007-2Z/C3</t>
  </si>
  <si>
    <t>SKF BEARING - 6008</t>
  </si>
  <si>
    <t>SKF BEARING - 6008-2RS1</t>
  </si>
  <si>
    <t>SKF BEARING - 6008-2RS1/C3</t>
  </si>
  <si>
    <t>SKF BEARING - 6008-2Z/C3</t>
  </si>
  <si>
    <t>SKF BEARING - 6008-RS1</t>
  </si>
  <si>
    <t>SKF BEARING - 6009</t>
  </si>
  <si>
    <t>SKF BEARING - 6009/C3</t>
  </si>
  <si>
    <t>SKF BEARING - 6009-2RS1</t>
  </si>
  <si>
    <t>SKF BEARING - 6009-2RS1/C3</t>
  </si>
  <si>
    <t>SKF BEARING - 6009-2Z/C3</t>
  </si>
  <si>
    <t>SKF BEARING - 6010 NR</t>
  </si>
  <si>
    <t>SKF BEARING - 6010-2RS1/C3</t>
  </si>
  <si>
    <t>SKF BEARING - 6010-2Z/C3</t>
  </si>
  <si>
    <t>SKF BEARING - 6011</t>
  </si>
  <si>
    <t>SKF BEARING - 6011/C3</t>
  </si>
  <si>
    <t>SKF BEARING - 6011-2RS1</t>
  </si>
  <si>
    <t>SKF BEARING - 6011-2RS1/C3</t>
  </si>
  <si>
    <t>SKF BEARING - 6011-2Z/C3</t>
  </si>
  <si>
    <t>SKF BEARING - 6012</t>
  </si>
  <si>
    <t>SKF BEARING - 6012/C3</t>
  </si>
  <si>
    <t>SKF BEARING - 6012/W64</t>
  </si>
  <si>
    <t>SKF BEARING - 6012-2RS1/C3</t>
  </si>
  <si>
    <t>SKF BEARING - 6012-2Z</t>
  </si>
  <si>
    <t>SKF BEARING - 6012-2Z/C3</t>
  </si>
  <si>
    <t>SKF BEARING - 6013/C3</t>
  </si>
  <si>
    <t>SKF BEARING - 6013-2RS1</t>
  </si>
  <si>
    <t>SKF BEARING - 6013-2RS1/C3</t>
  </si>
  <si>
    <t>SKF BEARING - 6013-2Z/C3</t>
  </si>
  <si>
    <t>SKF BEARING - 6013-Z</t>
  </si>
  <si>
    <t>SKF BEARING - 6014/C3</t>
  </si>
  <si>
    <t>SKF BEARING - 6014-2RS1/C3</t>
  </si>
  <si>
    <t>SKF BEARING - 6014-2Z/C3</t>
  </si>
  <si>
    <t>SKF BEARING - 6015/C3</t>
  </si>
  <si>
    <t>SKF BEARING - 6015-2RS1/C3</t>
  </si>
  <si>
    <t>SKF BEARING - 6015-2Z/C3</t>
  </si>
  <si>
    <t>SKF BEARING - 6016/C3</t>
  </si>
  <si>
    <t>SKF BEARING - 6016-2RS1/C3</t>
  </si>
  <si>
    <t>SKF BEARING - 6016-2Z</t>
  </si>
  <si>
    <t>SKF BEARING - 6016-2Z/C3</t>
  </si>
  <si>
    <t>SKF BEARING - 6017</t>
  </si>
  <si>
    <t>SKF BEARING - 6017/C3</t>
  </si>
  <si>
    <t>SKF BEARING - 6017-2RS1/C3</t>
  </si>
  <si>
    <t>SKF BEARING - 6017-2Z</t>
  </si>
  <si>
    <t>SKF BEARING - 6017-2Z/C3</t>
  </si>
  <si>
    <t>SKF BEARING - 6017-Z</t>
  </si>
  <si>
    <t>SKF BEARING - 6018-2RS1</t>
  </si>
  <si>
    <t>SKF BEARING - 6018-2RS1/C3</t>
  </si>
  <si>
    <t>SKF BEARING - 6018-2Z</t>
  </si>
  <si>
    <t>SKF BEARING - 6018-2Z/C3</t>
  </si>
  <si>
    <t>SKF BEARING - 6019-2Z/C3</t>
  </si>
  <si>
    <t>SKF BEARING - 6020</t>
  </si>
  <si>
    <t>SKF BEARING - 6020-2RS1/C3</t>
  </si>
  <si>
    <t>SKF BEARING - 6020-2Z/C3</t>
  </si>
  <si>
    <t>SKF BEARING - 6021</t>
  </si>
  <si>
    <t>SKF BEARING - 6021-2RS1</t>
  </si>
  <si>
    <t>SKF BEARING - 6021-2Z/C3</t>
  </si>
  <si>
    <t>SKF BEARING - 6022</t>
  </si>
  <si>
    <t>SKF BEARING - 6022/C3</t>
  </si>
  <si>
    <t>SKF BEARING - 6022-2Z/C3</t>
  </si>
  <si>
    <t>SKF BEARING - 6024</t>
  </si>
  <si>
    <t>SKF BEARING - 6024/C3</t>
  </si>
  <si>
    <t>SKF BEARING - 6024-2Z/C3</t>
  </si>
  <si>
    <t>SKF BEARING - 6026</t>
  </si>
  <si>
    <t>SKF BEARING - 6026/C3</t>
  </si>
  <si>
    <t>SKF BEARING - 6028</t>
  </si>
  <si>
    <t>SKF BEARING - 6030</t>
  </si>
  <si>
    <t>SKF BEARING - 607-2RSH/C3</t>
  </si>
  <si>
    <t>SKF BEARING - 607-2Z/C3</t>
  </si>
  <si>
    <t>SKF BEARING - 608-2RSH</t>
  </si>
  <si>
    <t>SKF BEARING - 608-2RSH/C3</t>
  </si>
  <si>
    <t>SKF BEARING - 608-2Z</t>
  </si>
  <si>
    <t>SKF BEARING - 608-2Z/C3</t>
  </si>
  <si>
    <t>SKF BEARING - 608-Z/C3</t>
  </si>
  <si>
    <t>SKF BEARING - 609-2RSH/C3</t>
  </si>
  <si>
    <t>SKF BEARING - 609-2Z/C3</t>
  </si>
  <si>
    <t>SKF BEARING - 61800-2Z</t>
  </si>
  <si>
    <t>SKF BEARING - 61801-2RS1</t>
  </si>
  <si>
    <t>SKF BEARING - 61801-2Z</t>
  </si>
  <si>
    <t>SKF BEARING - 61804-2RS1</t>
  </si>
  <si>
    <t>SKF BEARING - 61804-2RZ</t>
  </si>
  <si>
    <t>SKF BEARING - 61805-2RS1</t>
  </si>
  <si>
    <t>SKF BEARING - 61806-2RS1</t>
  </si>
  <si>
    <t>SKF BEARING - 61806-2RZ</t>
  </si>
  <si>
    <t>SKF BEARING - 61807-2RZ</t>
  </si>
  <si>
    <t>SKF BEARING - 61808</t>
  </si>
  <si>
    <t>SKF BEARING - 61808-2RS1</t>
  </si>
  <si>
    <t>SKF BEARING - 61808-2RZ</t>
  </si>
  <si>
    <t>SKF BEARING - 61809-2RZ</t>
  </si>
  <si>
    <t>SKF BEARING - 61810-2RZ</t>
  </si>
  <si>
    <t>SKF BEARING - 61811-2RZ</t>
  </si>
  <si>
    <t>SKF BEARING - 61812-2RS1</t>
  </si>
  <si>
    <t>SKF BEARING - 61812-2RZ</t>
  </si>
  <si>
    <t>SKF BEARING - 61813-2RS1</t>
  </si>
  <si>
    <t>SKF BEARING - 61813-2RZ</t>
  </si>
  <si>
    <t>SKF BEARING - 61814-2RS1</t>
  </si>
  <si>
    <t>SKF BEARING - 61814-2RZ</t>
  </si>
  <si>
    <t>SKF BEARING - 61815/C3</t>
  </si>
  <si>
    <t>SKF BEARING - 61815-2RS1</t>
  </si>
  <si>
    <t>SKF BEARING - 61815-2RZ</t>
  </si>
  <si>
    <t>SKF BEARING - 61816-2RS1</t>
  </si>
  <si>
    <t>SKF BEARING - 61817-2RS1</t>
  </si>
  <si>
    <t>SKF BEARING - 61817-2RZ</t>
  </si>
  <si>
    <t>SKF BEARING - 61818-2RS1</t>
  </si>
  <si>
    <t>SKF BEARING - 61818-2RZ</t>
  </si>
  <si>
    <t>SKF BEARING - 61819-2RS1/C3</t>
  </si>
  <si>
    <t>SKF BEARING - 61900-2RS1</t>
  </si>
  <si>
    <t>SKF BEARING - 61900-2Z</t>
  </si>
  <si>
    <t>SKF BEARING - 61901-2RS1</t>
  </si>
  <si>
    <t>SKF BEARING - 61902-2RS1</t>
  </si>
  <si>
    <t>SKF BEARING - 61902-2Z</t>
  </si>
  <si>
    <t>SKF BEARING - 61903-2RS1</t>
  </si>
  <si>
    <t>SKF BEARING - 61903-2Z</t>
  </si>
  <si>
    <t>SKF BEARING - 61904-2RS1</t>
  </si>
  <si>
    <t>SKF BEARING - 61905</t>
  </si>
  <si>
    <t>SKF BEARING - 61905-2RS1</t>
  </si>
  <si>
    <t>SKF BEARING - 61905-2RZ</t>
  </si>
  <si>
    <t>SKF BEARING - 61906-2RS1</t>
  </si>
  <si>
    <t>SKF BEARING - 61906-2RZ</t>
  </si>
  <si>
    <t>SKF BEARING - 61907-2RZ</t>
  </si>
  <si>
    <t>SKF BEARING - 61908-2RS1</t>
  </si>
  <si>
    <t>SKF BEARING - 61908-2RZ</t>
  </si>
  <si>
    <t>SKF BEARING - 61909-2RS1</t>
  </si>
  <si>
    <t>SKF BEARING - 61910-2RS1</t>
  </si>
  <si>
    <t>SKF BEARING - 61911-2RS1</t>
  </si>
  <si>
    <t>SKF BEARING - 61912-2RS1</t>
  </si>
  <si>
    <t>SKF BEARING - 61913/C3</t>
  </si>
  <si>
    <t>SKF BEARING - 61916-2RS1</t>
  </si>
  <si>
    <t>SKF BEARING - 61936 MA</t>
  </si>
  <si>
    <t>SKF BEARING - 61952 MA</t>
  </si>
  <si>
    <t>SKF BEARING - 6200-2RSH</t>
  </si>
  <si>
    <t>SKF BEARING - 6200-2RSH/C3</t>
  </si>
  <si>
    <t>SKF BEARING - 6200-2Z/C3</t>
  </si>
  <si>
    <t>SKF BEARING - 6201-2RSH</t>
  </si>
  <si>
    <t>SKF BEARING - 6201-2RSH/C3</t>
  </si>
  <si>
    <t>SKF BEARING - 6201-2Z/C3</t>
  </si>
  <si>
    <t>SKF BEARING - 6202/C3</t>
  </si>
  <si>
    <t>SKF BEARING - 6202-2RSH</t>
  </si>
  <si>
    <t>SKF BEARING - 6202-2RSH/C3</t>
  </si>
  <si>
    <t>SKF BEARING - 6202-2Z</t>
  </si>
  <si>
    <t>SKF BEARING - 6202-2Z/C3</t>
  </si>
  <si>
    <t>SKF BEARING - 6202-2ZNR</t>
  </si>
  <si>
    <t>SKF BEARING - 6202-Z</t>
  </si>
  <si>
    <t>SKF BEARING - 6203-2RSH</t>
  </si>
  <si>
    <t>SKF BEARING - 6203-2RSH/C3</t>
  </si>
  <si>
    <t>SKF BEARING - 6203-2Z</t>
  </si>
  <si>
    <t>SKF BEARING - 6203-2Z/C3</t>
  </si>
  <si>
    <t>SKF BEARING - 6203-Z</t>
  </si>
  <si>
    <t>SKF BEARING - 6204</t>
  </si>
  <si>
    <t>SKF BEARING - 6204/C3</t>
  </si>
  <si>
    <t>SKF BEARING - 6204-2RSH/C3</t>
  </si>
  <si>
    <t>SKF BEARING - 6204-2Z</t>
  </si>
  <si>
    <t>SKF BEARING - 6204-2Z/C3</t>
  </si>
  <si>
    <t>SKF BEARING - 6204-2Z/C3GJN</t>
  </si>
  <si>
    <t>SKF BEARING - 6204-2Z/WT</t>
  </si>
  <si>
    <t>SKF BEARING - 6204-RSH</t>
  </si>
  <si>
    <t>SKF BEARING - 6204-Z/C3</t>
  </si>
  <si>
    <t>SKF BEARING - 6205 NR</t>
  </si>
  <si>
    <t>SKF BEARING - 6205/C3</t>
  </si>
  <si>
    <t>SKF BEARING - 6205-2RSH</t>
  </si>
  <si>
    <t>SKF BEARING - 6205-2RSH/C3</t>
  </si>
  <si>
    <t>SKF BEARING - 6205-2Z</t>
  </si>
  <si>
    <t>SKF BEARING - 6205-2Z/C3</t>
  </si>
  <si>
    <t>SKF BEARING - 6205-Z/C3</t>
  </si>
  <si>
    <t>SKF BEARING - 6206</t>
  </si>
  <si>
    <t>SKF BEARING - 6206 N</t>
  </si>
  <si>
    <t>SKF BEARING - 6206/C3</t>
  </si>
  <si>
    <t>SKF BEARING - 6206-2RS1</t>
  </si>
  <si>
    <t>SKF BEARING - 6206-2RS1/C3</t>
  </si>
  <si>
    <t>SKF BEARING - 6206-2Z</t>
  </si>
  <si>
    <t>SKF BEARING - 6206-2Z/C3</t>
  </si>
  <si>
    <t>SKF BEARING - 6206-2Z/C4</t>
  </si>
  <si>
    <t>SKF BEARING - 6206-Z</t>
  </si>
  <si>
    <t>SKF BEARING - 6206-Z/C3</t>
  </si>
  <si>
    <t>SKF BEARING - 6206-ZN</t>
  </si>
  <si>
    <t>SKF BEARING - 6207 NR/C3</t>
  </si>
  <si>
    <t>SKF BEARING - 6207/C3</t>
  </si>
  <si>
    <t>SKF BEARING - 6207/C4</t>
  </si>
  <si>
    <t>SKF BEARING - 6207-2RS1</t>
  </si>
  <si>
    <t>SKF BEARING - 6207-2RS1/C3</t>
  </si>
  <si>
    <t>SKF BEARING - 6207-2Z</t>
  </si>
  <si>
    <t>SKF BEARING - 6207-2Z/C3</t>
  </si>
  <si>
    <t>SKF BEARING - 6207-2Z/GJN</t>
  </si>
  <si>
    <t>SKF BEARING - 6207-Z/C3</t>
  </si>
  <si>
    <t>SKF BEARING - 6207-ZNR</t>
  </si>
  <si>
    <t>SKF BEARING - 6208</t>
  </si>
  <si>
    <t>SKF BEARING - 6208/C3</t>
  </si>
  <si>
    <t>SKF BEARING - 6208-2RS1/C3</t>
  </si>
  <si>
    <t>SKF BEARING - 6208-2Z</t>
  </si>
  <si>
    <t>SKF BEARING - 6208-2Z/C3</t>
  </si>
  <si>
    <t>SKF BEARING - 6208-2Z/C3HT</t>
  </si>
  <si>
    <t>SKF BEARING - 6208-2Z/GJN</t>
  </si>
  <si>
    <t>SKF BEARING - 6208-2ZNR</t>
  </si>
  <si>
    <t>SKF BEARING - 6208-RS1</t>
  </si>
  <si>
    <t>SKF BEARING - 6208-RS1/C3</t>
  </si>
  <si>
    <t>SKF BEARING - 6208-Z</t>
  </si>
  <si>
    <t>SKF BEARING - 6208-Z/C3</t>
  </si>
  <si>
    <t>SKF BEARING - 6209</t>
  </si>
  <si>
    <t>SKF BEARING - 6209/C3</t>
  </si>
  <si>
    <t>SKF BEARING - 6209/C4</t>
  </si>
  <si>
    <t>SKF BEARING - 6209-2RS1</t>
  </si>
  <si>
    <t>SKF BEARING - 6209-2RS1/C3</t>
  </si>
  <si>
    <t>SKF BEARING - 6209-2Z</t>
  </si>
  <si>
    <t>SKF BEARING - 6209-2Z/C3</t>
  </si>
  <si>
    <t>SKF BEARING - 6209-Z</t>
  </si>
  <si>
    <t>SKF BEARING - 6209-Z/C3</t>
  </si>
  <si>
    <t>SKF BEARING - 6210</t>
  </si>
  <si>
    <t>SKF BEARING - 6210 NR/C3</t>
  </si>
  <si>
    <t>SKF BEARING - 6210/C3</t>
  </si>
  <si>
    <t>SKF BEARING - 6210/C4</t>
  </si>
  <si>
    <t>SKF BEARING - 6210-2RS1/C3</t>
  </si>
  <si>
    <t>SKF BEARING - 6210-2Z</t>
  </si>
  <si>
    <t>SKF BEARING - 6210-Z/C3</t>
  </si>
  <si>
    <t>SKF BEARING - 6211</t>
  </si>
  <si>
    <t>SKF BEARING - 6211/C3</t>
  </si>
  <si>
    <t>SKF BEARING - 6211-2RS1/C3</t>
  </si>
  <si>
    <t>SKF BEARING - 6211-2Z</t>
  </si>
  <si>
    <t>SKF BEARING - 6211-2Z/C3</t>
  </si>
  <si>
    <t>SKF BEARING - 6211-Z/C3</t>
  </si>
  <si>
    <t>SKF BEARING - 6212</t>
  </si>
  <si>
    <t>SKF BEARING - 6212/C3</t>
  </si>
  <si>
    <t>SKF BEARING - 6212/C4</t>
  </si>
  <si>
    <t>SKF BEARING - 6212-2RS1/C3</t>
  </si>
  <si>
    <t>SKF BEARING - 6212-2Z</t>
  </si>
  <si>
    <t>SKF BEARING - 6212-2Z/C3</t>
  </si>
  <si>
    <t>SKF BEARING - 6212-2Z/VA228</t>
  </si>
  <si>
    <t>SKF BEARING - 6212-RS1/C3</t>
  </si>
  <si>
    <t>SKF BEARING - 6212-Z</t>
  </si>
  <si>
    <t>SKF BEARING - 6212-Z/C3</t>
  </si>
  <si>
    <t>SKF BEARING - 6213/C3</t>
  </si>
  <si>
    <t>SKF BEARING - 6213-2RS1</t>
  </si>
  <si>
    <t>SKF BEARING - 6213-2RS1/C3</t>
  </si>
  <si>
    <t>SKF BEARING - 6213-2Z/C3</t>
  </si>
  <si>
    <t>SKF BEARING - 6213-Z/C3</t>
  </si>
  <si>
    <t>SKF BEARING - 6214</t>
  </si>
  <si>
    <t>SKF BEARING - 6214/C4</t>
  </si>
  <si>
    <t>SKF BEARING - 6214-2RS1/C3</t>
  </si>
  <si>
    <t>SKF BEARING - 6214-2Z/C3</t>
  </si>
  <si>
    <t>SKF BEARING - 6214-Z</t>
  </si>
  <si>
    <t>SKF BEARING - 6214-Z/C3</t>
  </si>
  <si>
    <t>SKF BEARING - 6215</t>
  </si>
  <si>
    <t>SKF BEARING - 6215/C3</t>
  </si>
  <si>
    <t>SKF BEARING - 6215-2RS1</t>
  </si>
  <si>
    <t>SKF BEARING - 6215-2RS1/C3</t>
  </si>
  <si>
    <t>SKF BEARING - 6215-2Z/C3</t>
  </si>
  <si>
    <t>SKF BEARING - 6215-Z/C3</t>
  </si>
  <si>
    <t>SKF BEARING - 6216/C3</t>
  </si>
  <si>
    <t>SKF BEARING - 6216-2RS1</t>
  </si>
  <si>
    <t>SKF BEARING - 6216-2RS1/C3</t>
  </si>
  <si>
    <t>SKF BEARING - 6216-2Z</t>
  </si>
  <si>
    <t>SKF BEARING - 6216-2Z/C3</t>
  </si>
  <si>
    <t>SKF BEARING - 6217 M/C3</t>
  </si>
  <si>
    <t>SKF BEARING - 6217/C3</t>
  </si>
  <si>
    <t>SKF BEARING - 6217-2RS1/C3</t>
  </si>
  <si>
    <t>SKF BEARING - 6217-2Z/C3</t>
  </si>
  <si>
    <t>SKF BEARING - 6218/C3</t>
  </si>
  <si>
    <t>SKF BEARING - 6218/C4</t>
  </si>
  <si>
    <t>SKF BEARING - 6218-2RS1/C3</t>
  </si>
  <si>
    <t>SKF BEARING - 6218-2Z</t>
  </si>
  <si>
    <t>SKF BEARING - 6218-2Z/C3</t>
  </si>
  <si>
    <t>SKF BEARING - 6219 M/C3</t>
  </si>
  <si>
    <t>SKF BEARING - 6219/C3</t>
  </si>
  <si>
    <t>SKF BEARING - 6219-2RS1/C3</t>
  </si>
  <si>
    <t>SKF BEARING - 6219-2Z/C3</t>
  </si>
  <si>
    <t>SKF BEARING - 6219-Z/C3</t>
  </si>
  <si>
    <t>SKF BEARING - 6220/C3</t>
  </si>
  <si>
    <t>SKF BEARING - 62200-2RS1</t>
  </si>
  <si>
    <t>SKF BEARING - 62201-2RS1/C3</t>
  </si>
  <si>
    <t>SKF BEARING - 62202-2RS1</t>
  </si>
  <si>
    <t>SKF BEARING - 62202-2RS1/C3</t>
  </si>
  <si>
    <t>SKF BEARING - 6220-2RS1/C3</t>
  </si>
  <si>
    <t>SKF BEARING - 6220-2Z/C3</t>
  </si>
  <si>
    <t>SKF BEARING - 62203-2RS1</t>
  </si>
  <si>
    <t>SKF BEARING - 62203-2RS1/C3</t>
  </si>
  <si>
    <t>SKF BEARING - 62204-2RS1/C3</t>
  </si>
  <si>
    <t>SKF BEARING - 62205-2RS1</t>
  </si>
  <si>
    <t>SKF BEARING - 62205-2RS1/C3</t>
  </si>
  <si>
    <t>SKF BEARING - 62206-2RS1/C3</t>
  </si>
  <si>
    <t>SKF BEARING - 62207-2RS1</t>
  </si>
  <si>
    <t>SKF BEARING - 62207-2RS1/C3</t>
  </si>
  <si>
    <t>SKF BEARING - 62208-2RS1</t>
  </si>
  <si>
    <t>SKF BEARING - 62208-2RS1/C3</t>
  </si>
  <si>
    <t>SKF BEARING - 62209-2RS1</t>
  </si>
  <si>
    <t>SKF BEARING - 6221</t>
  </si>
  <si>
    <t>SKF BEARING - 6221/C3</t>
  </si>
  <si>
    <t>SKF BEARING - 62210-2RS1</t>
  </si>
  <si>
    <t>SKF BEARING - 62210-2RS1/C3</t>
  </si>
  <si>
    <t>SKF BEARING - 62211-2RS1</t>
  </si>
  <si>
    <t>SKF BEARING - 62212-2RS1</t>
  </si>
  <si>
    <t>SKF BEARING - 62213-2RS1</t>
  </si>
  <si>
    <t>SKF BEARING - 62214-2RS1</t>
  </si>
  <si>
    <t>SKF BEARING - 6222</t>
  </si>
  <si>
    <t>SKF BEARING - 6222/C3</t>
  </si>
  <si>
    <t>SKF BEARING - 6222/C3VL0241</t>
  </si>
  <si>
    <t>SKF BEARING - 6222-2Z</t>
  </si>
  <si>
    <t>SKF BEARING - 6222-2Z/C3</t>
  </si>
  <si>
    <t>SKF BEARING - 6224</t>
  </si>
  <si>
    <t>SKF BEARING - 62303-2RS1</t>
  </si>
  <si>
    <t>SKF BEARING - 62304-2RS1</t>
  </si>
  <si>
    <t>SKF BEARING - 62305-2RS1</t>
  </si>
  <si>
    <t>SKF BEARING - 62306-2RS1</t>
  </si>
  <si>
    <t>SKF BEARING - 62306-2RS1/C3</t>
  </si>
  <si>
    <t>SKF BEARING - 62308-2RS1</t>
  </si>
  <si>
    <t>SKF BEARING - 62309-2RS1</t>
  </si>
  <si>
    <t>SKF BEARING - 624-2Z</t>
  </si>
  <si>
    <t>SKF BEARING - 625-2RS1</t>
  </si>
  <si>
    <t>SKF BEARING - 625-2Z/C3</t>
  </si>
  <si>
    <t>SKF BEARING - 626-2RSH</t>
  </si>
  <si>
    <t>SKF BEARING - 626-2RSH/C3</t>
  </si>
  <si>
    <t>SKF BEARING - 626-2Z/C3</t>
  </si>
  <si>
    <t>SKF BEARING - 627-2RSH</t>
  </si>
  <si>
    <t>SKF BEARING - 627-2Z</t>
  </si>
  <si>
    <t>SKF BEARING - 627-2Z/C3</t>
  </si>
  <si>
    <t>SKF BEARING - 629-2RSH</t>
  </si>
  <si>
    <t>SKF BEARING - 629-2RSH/C3</t>
  </si>
  <si>
    <t>SKF BEARING - 629-2Z/C3</t>
  </si>
  <si>
    <t>SKF BEARING - 63000-2RS1</t>
  </si>
  <si>
    <t>SKF BEARING - 63001-2RS1</t>
  </si>
  <si>
    <t>SKF BEARING - 63002-2RS1</t>
  </si>
  <si>
    <t>SKF BEARING - 6300-2RSH/C3</t>
  </si>
  <si>
    <t>SKF BEARING - 6300-2Z/C3</t>
  </si>
  <si>
    <t>SKF BEARING - 63004-2RS1</t>
  </si>
  <si>
    <t>SKF BEARING - 63005-2RS1</t>
  </si>
  <si>
    <t>SKF BEARING - 63006-2RS1</t>
  </si>
  <si>
    <t>SKF BEARING - 63008-2RS1</t>
  </si>
  <si>
    <t>SKF BEARING - 6301/C3</t>
  </si>
  <si>
    <t>SKF BEARING - 63010-2RS1</t>
  </si>
  <si>
    <t>SKF BEARING - 6301-2RSH/C3</t>
  </si>
  <si>
    <t>SKF BEARING - 6301-2Z</t>
  </si>
  <si>
    <t>SKF BEARING - 6301-2Z/C3</t>
  </si>
  <si>
    <t>SKF BEARING - 6302-2RSH/C3</t>
  </si>
  <si>
    <t>SKF BEARING - 6302-2Z/C3</t>
  </si>
  <si>
    <t>SKF BEARING - 6303-2RSH</t>
  </si>
  <si>
    <t>SKF BEARING - 6303-2RSH/C3</t>
  </si>
  <si>
    <t>SKF BEARING - 6303-2Z</t>
  </si>
  <si>
    <t>SKF BEARING - 6303-2Z/C3</t>
  </si>
  <si>
    <t>SKF BEARING - 6304</t>
  </si>
  <si>
    <t>SKF BEARING - 6304-2RSH/C3</t>
  </si>
  <si>
    <t>SKF BEARING - 6304-2Z/C3</t>
  </si>
  <si>
    <t>SKF BEARING - 6304-RSH</t>
  </si>
  <si>
    <t>SKF BEARING - 6304-Z</t>
  </si>
  <si>
    <t>SKF BEARING - 6304-Z/C3</t>
  </si>
  <si>
    <t>SKF BEARING - 6305/C3</t>
  </si>
  <si>
    <t>SKF BEARING - 6305-2RS1</t>
  </si>
  <si>
    <t>SKF BEARING - 6305-2RS1/C3</t>
  </si>
  <si>
    <t>SKF BEARING - 6305-2Z</t>
  </si>
  <si>
    <t>SKF BEARING - 6305-2Z/C3</t>
  </si>
  <si>
    <t>SKF BEARING - 6305-RS1</t>
  </si>
  <si>
    <t>SKF BEARING - 6305-Z</t>
  </si>
  <si>
    <t>SKF BEARING - 6306</t>
  </si>
  <si>
    <t>SKF BEARING - 6306 JEM</t>
  </si>
  <si>
    <t>SKF BEARING - 6306/C3</t>
  </si>
  <si>
    <t>SKF BEARING - 6306-2RS1</t>
  </si>
  <si>
    <t>SKF BEARING - 6306-2RS1/C3</t>
  </si>
  <si>
    <t>SKF BEARING - 6306-2Z</t>
  </si>
  <si>
    <t>SKF BEARING - 6306-2Z/C3</t>
  </si>
  <si>
    <t>SKF BEARING - 6306-RS1/C3</t>
  </si>
  <si>
    <t>SKF BEARING - 6306-Z</t>
  </si>
  <si>
    <t>SKF BEARING - 6306-ZNR</t>
  </si>
  <si>
    <t>SKF BEARING - 6307</t>
  </si>
  <si>
    <t>SKF BEARING - 6307 NR</t>
  </si>
  <si>
    <t>SKF BEARING - 6307/C3</t>
  </si>
  <si>
    <t>SKF BEARING - 6307-2RS1/C3</t>
  </si>
  <si>
    <t>SKF BEARING - 6307-2Z</t>
  </si>
  <si>
    <t>SKF BEARING - 6307-2Z/C3</t>
  </si>
  <si>
    <t>SKF BEARING - 6307-Z</t>
  </si>
  <si>
    <t>SKF BEARING - 6308 TN9/C3</t>
  </si>
  <si>
    <t>SKF BEARING - 6308/C4</t>
  </si>
  <si>
    <t>SKF BEARING - 6308-2RS1</t>
  </si>
  <si>
    <t>SKF BEARING - 6308-2RS1/C3</t>
  </si>
  <si>
    <t>SKF BEARING - 6308-2Z</t>
  </si>
  <si>
    <t>SKF BEARING - 6308-2Z/C3</t>
  </si>
  <si>
    <t>SKF BEARING - 6308-2Z/C3GJN</t>
  </si>
  <si>
    <t>SKF BEARING - 6308-2Z/C3HT</t>
  </si>
  <si>
    <t>SKF BEARING - 6308-Z</t>
  </si>
  <si>
    <t>SKF BEARING - 6308-Z/C3</t>
  </si>
  <si>
    <t>SKF BEARING - 6309</t>
  </si>
  <si>
    <t>SKF BEARING - 6309 2ZJEM</t>
  </si>
  <si>
    <t>SKF BEARING - 6309 M</t>
  </si>
  <si>
    <t>SKF BEARING - 6309 NR</t>
  </si>
  <si>
    <t>SKF BEARING - 6309 NR/C3</t>
  </si>
  <si>
    <t>SKF BEARING - 6309/C3</t>
  </si>
  <si>
    <t>SKF BEARING - 6309/C4</t>
  </si>
  <si>
    <t>SKF BEARING - 6309/VA201</t>
  </si>
  <si>
    <t>SKF BEARING - 6309-2RS1</t>
  </si>
  <si>
    <t>SKF BEARING - 6309-2RS1/C3</t>
  </si>
  <si>
    <t>SKF BEARING - 6309-2Z</t>
  </si>
  <si>
    <t>SKF BEARING - 6309-2Z/C3</t>
  </si>
  <si>
    <t>SKF BEARING - 6309-RS1</t>
  </si>
  <si>
    <t>SKF BEARING - 6309-RS1/C3</t>
  </si>
  <si>
    <t>SKF BEARING - 6309-Z/C3</t>
  </si>
  <si>
    <t>SKF BEARING - 6309-ZNR</t>
  </si>
  <si>
    <t>SKF BEARING - 6310</t>
  </si>
  <si>
    <t>SKF BEARING - 6310 M/C3</t>
  </si>
  <si>
    <t>SKF BEARING - 6310-2RS1/C3</t>
  </si>
  <si>
    <t>SKF BEARING - 6310-2Z</t>
  </si>
  <si>
    <t>SKF BEARING - 6310-2Z/C3</t>
  </si>
  <si>
    <t>SKF BEARING - 6310-2Z/C3GJN</t>
  </si>
  <si>
    <t>SKF BEARING - 6310-Z/C3</t>
  </si>
  <si>
    <t>SKF BEARING - 6311</t>
  </si>
  <si>
    <t>SKF BEARING - 6311/C3</t>
  </si>
  <si>
    <t>SKF BEARING - 6311/C4</t>
  </si>
  <si>
    <t>SKF BEARING - 6311-2RS1/C3</t>
  </si>
  <si>
    <t>SKF BEARING - 6311-2Z</t>
  </si>
  <si>
    <t>SKF BEARING - 6311-2Z/C3</t>
  </si>
  <si>
    <t>SKF BEARING - 6311-Z</t>
  </si>
  <si>
    <t>SKF BEARING - 6311-Z/C3</t>
  </si>
  <si>
    <t>SKF BEARING - 6312</t>
  </si>
  <si>
    <t>SKF BEARING - 6312/C4</t>
  </si>
  <si>
    <t>SKF BEARING - 6312-2RS1/C3</t>
  </si>
  <si>
    <t>SKF BEARING - 6312-2Z</t>
  </si>
  <si>
    <t>SKF BEARING - 6312-2Z/C3</t>
  </si>
  <si>
    <t>SKF BEARING - 6312-Z</t>
  </si>
  <si>
    <t>SKF BEARING - 6313</t>
  </si>
  <si>
    <t>SKF BEARING - 6313/C3</t>
  </si>
  <si>
    <t>SKF BEARING - 6313-2RS1/C3</t>
  </si>
  <si>
    <t>SKF BEARING - 6313-2Z</t>
  </si>
  <si>
    <t>SKF BEARING - 6313-2Z/C3</t>
  </si>
  <si>
    <t>SKF BEARING - 6313-Z/C3</t>
  </si>
  <si>
    <t>SKF BEARING - 6313-ZNR</t>
  </si>
  <si>
    <t>SKF BEARING - 6314</t>
  </si>
  <si>
    <t>SKF BEARING - 6314/C3</t>
  </si>
  <si>
    <t>SKF BEARING - 6314-2RS1</t>
  </si>
  <si>
    <t>SKF BEARING - 6314-2RS1/C3</t>
  </si>
  <si>
    <t>SKF BEARING - 6314-2Z</t>
  </si>
  <si>
    <t>SKF BEARING - 6314-2Z/C3</t>
  </si>
  <si>
    <t>SKF BEARING - 6314-Z/C3</t>
  </si>
  <si>
    <t>SKF BEARING - 6315</t>
  </si>
  <si>
    <t>SKF BEARING - 6315/C3</t>
  </si>
  <si>
    <t>SKF BEARING - 6315-2RS1</t>
  </si>
  <si>
    <t>SKF BEARING - 6315-2RS1/C3</t>
  </si>
  <si>
    <t>SKF BEARING - 6315-2Z/C3</t>
  </si>
  <si>
    <t>SKF BEARING - 6315-Z</t>
  </si>
  <si>
    <t>SKF BEARING - 6316</t>
  </si>
  <si>
    <t>SKF BEARING - 6316 M/C3</t>
  </si>
  <si>
    <t>SKF BEARING - 6316 M/C3VL0241</t>
  </si>
  <si>
    <t>SKF BEARING - 6316/C3</t>
  </si>
  <si>
    <t>SKF BEARING - 6316-2RS1/C3</t>
  </si>
  <si>
    <t>SKF BEARING - 6316-2Z/C3</t>
  </si>
  <si>
    <t>SKF BEARING - 6316-Z</t>
  </si>
  <si>
    <t>SKF BEARING - 6316-Z/C3</t>
  </si>
  <si>
    <t>SKF BEARING - 6317</t>
  </si>
  <si>
    <t>SKF BEARING - 6317 M/C3</t>
  </si>
  <si>
    <t>SKF BEARING - 6317/C3</t>
  </si>
  <si>
    <t>SKF BEARING - 6317-2RS1/C3</t>
  </si>
  <si>
    <t>SKF BEARING - 6317-2Z</t>
  </si>
  <si>
    <t>SKF BEARING - 6317-2Z/C3</t>
  </si>
  <si>
    <t>SKF BEARING - 6318</t>
  </si>
  <si>
    <t>SKF BEARING - 6318/C3</t>
  </si>
  <si>
    <t>SKF BEARING - 6318-2RS1/C3</t>
  </si>
  <si>
    <t>SKF BEARING - 6318-2Z/C3</t>
  </si>
  <si>
    <t>SKF BEARING - 6319</t>
  </si>
  <si>
    <t>SKF BEARING - 6319 M/C3VL0241</t>
  </si>
  <si>
    <t>SKF BEARING - 6319/C3</t>
  </si>
  <si>
    <t>SKF BEARING - 6319-2Z/C3</t>
  </si>
  <si>
    <t>SKF BEARING - 6320/C3</t>
  </si>
  <si>
    <t>SKF BEARING - 6320/C3VL0241</t>
  </si>
  <si>
    <t>SKF BEARING - 6320-2Z/C3</t>
  </si>
  <si>
    <t>SKF BEARING - 6322</t>
  </si>
  <si>
    <t>SKF BEARING - 6322/C3</t>
  </si>
  <si>
    <t>SKF BEARING - 6326 M/C3</t>
  </si>
  <si>
    <t>SKF BEARING - 6326/C3</t>
  </si>
  <si>
    <t>SKF BEARING - 6403</t>
  </si>
  <si>
    <t>SKF BEARING - 6403/C3</t>
  </si>
  <si>
    <t>SKF BEARING - 6403-2RS1</t>
  </si>
  <si>
    <t>SKF BEARING - 6404/C3</t>
  </si>
  <si>
    <t>SKF BEARING - 6405</t>
  </si>
  <si>
    <t>SKF BEARING - 6405/C3</t>
  </si>
  <si>
    <t>SKF BEARING - 6406/C3</t>
  </si>
  <si>
    <t>SKF BEARING - 6407/C3</t>
  </si>
  <si>
    <t>SKF BEARING - 6408/C3</t>
  </si>
  <si>
    <t>SKF BEARING - 6409/C3</t>
  </si>
  <si>
    <t>SKF BEARING - 6410/C3</t>
  </si>
  <si>
    <t>SKF BEARING - 6411/C3</t>
  </si>
  <si>
    <t>SKF BEARING - 6412/C3</t>
  </si>
  <si>
    <t>SKF BEARING - 6413/C3</t>
  </si>
  <si>
    <t>SKF BEARING - 6416</t>
  </si>
  <si>
    <t>SKF BEARING - 6416/C3</t>
  </si>
  <si>
    <t>SKF BEARING - 51102</t>
  </si>
  <si>
    <t>SKF BEARING - 51104</t>
  </si>
  <si>
    <t>SKF BEARING - 51106</t>
  </si>
  <si>
    <t>SKF BEARING - 51107</t>
  </si>
  <si>
    <t>SKF BEARING - 51110</t>
  </si>
  <si>
    <t>SKF BEARING - 51112</t>
  </si>
  <si>
    <t>SKF BEARING - 51114</t>
  </si>
  <si>
    <t>SKF BEARING - 51118</t>
  </si>
  <si>
    <t>SKF BEARING - 51203</t>
  </si>
  <si>
    <t>SKF BEARING - 51205</t>
  </si>
  <si>
    <t>SKF BEARING - 51206</t>
  </si>
  <si>
    <t>SKF BEARING - 51207</t>
  </si>
  <si>
    <t>SKF BEARING - 51208</t>
  </si>
  <si>
    <t>SKF BEARING - 7202 BEGAP</t>
  </si>
  <si>
    <t>SKF BEARING - 7202 BEP</t>
  </si>
  <si>
    <t>SKF BEARING - 7203 BECBM</t>
  </si>
  <si>
    <t>SKF BEARING - 7204 BECBM</t>
  </si>
  <si>
    <t>SKF BEARING - 7204 BECBP</t>
  </si>
  <si>
    <t>SKF BEARING - 7205 BECBM</t>
  </si>
  <si>
    <t>SKF BEARING - 7205 BECBP</t>
  </si>
  <si>
    <t>SKF BEARING - 7206 BECBM</t>
  </si>
  <si>
    <t>SKF BEARING - 7206 BECBP</t>
  </si>
  <si>
    <t>SKF BEARING - 7207 BECBM</t>
  </si>
  <si>
    <t>SKF BEARING - 7207 BECBP</t>
  </si>
  <si>
    <t>SKF BEARING - 7208 BECBM</t>
  </si>
  <si>
    <t>SKF BEARING - 7208 BECBP</t>
  </si>
  <si>
    <t>SKF BEARING - 7209 BECBM</t>
  </si>
  <si>
    <t>SKF BEARING - 7209 BECBP</t>
  </si>
  <si>
    <t>SKF BEARING - 7210 BECBJ</t>
  </si>
  <si>
    <t>SKF BEARING - 7210 BECBM</t>
  </si>
  <si>
    <t>SKF BEARING - 7211 BECBM</t>
  </si>
  <si>
    <t>SKF BEARING - 7212 BECBM</t>
  </si>
  <si>
    <t>SKF BEARING - 7213 BECBM</t>
  </si>
  <si>
    <t>SKF BEARING - 7214 BECBJ</t>
  </si>
  <si>
    <t>SKF BEARING - 7215 BECBJ</t>
  </si>
  <si>
    <t>SKF BEARING - 7215 BECBM</t>
  </si>
  <si>
    <t>SKF BEARING - 7216 BECBM</t>
  </si>
  <si>
    <t>SKF BEARING - 7216 BECBP</t>
  </si>
  <si>
    <t>SKF BEARING - 7217 BECBJ</t>
  </si>
  <si>
    <t>SKF BEARING - 7217 BECBM</t>
  </si>
  <si>
    <t>SKF BEARING - 7217 BECBP</t>
  </si>
  <si>
    <t>SKF BEARING - 7218 BECBJ</t>
  </si>
  <si>
    <t>SKF BEARING - 7218 BECBM</t>
  </si>
  <si>
    <t>SKF BEARING - 7218 BECBP</t>
  </si>
  <si>
    <t>SKF BEARING - 7220 BEGAM</t>
  </si>
  <si>
    <t>SKF BEARING - 7221 BECBM</t>
  </si>
  <si>
    <t>SKF BEARING - 7224 BCBM</t>
  </si>
  <si>
    <t>SKF BEARING - 7226 BCBM</t>
  </si>
  <si>
    <t>SKF BEARING - 7304 BECBM</t>
  </si>
  <si>
    <t>SKF BEARING - 7305 BECBM</t>
  </si>
  <si>
    <t>SKF BEARING - 7306 BECBM</t>
  </si>
  <si>
    <t>SKF BEARING - 7306 BECBP</t>
  </si>
  <si>
    <t>SKF BEARING - 7307 BECBP</t>
  </si>
  <si>
    <t>SKF BEARING - 7308 BECBJ</t>
  </si>
  <si>
    <t>SKF BEARING - 7308 BECBM</t>
  </si>
  <si>
    <t>SKF BEARING - 7308 BEGAM</t>
  </si>
  <si>
    <t>SKF BEARING - 7309 BECBJ</t>
  </si>
  <si>
    <t>SKF BEARING - 7309 BECBM</t>
  </si>
  <si>
    <t>SKF BEARING - 7309 BECBP</t>
  </si>
  <si>
    <t>SKF BEARING - 7310 BECBJ</t>
  </si>
  <si>
    <t>SKF BEARING - 7310 BECBM</t>
  </si>
  <si>
    <t>SKF BEARING - 7310 BEGAM</t>
  </si>
  <si>
    <t>SKF BEARING - 7311 BECBJ</t>
  </si>
  <si>
    <t>SKF BEARING - 7311 BECBM</t>
  </si>
  <si>
    <t>SKF BEARING - 7311 BECBP</t>
  </si>
  <si>
    <t>SKF BEARING - 7311 BECCM</t>
  </si>
  <si>
    <t>SKF BEARING - 7312 BECBM</t>
  </si>
  <si>
    <t>SKF BEARING - 7312 BEGAM</t>
  </si>
  <si>
    <t>SKF BEARING - 7313 BECBJ</t>
  </si>
  <si>
    <t>SKF BEARING - 7313 BECBM</t>
  </si>
  <si>
    <t>SKF BEARING - 7313 BECCM</t>
  </si>
  <si>
    <t>SKF BEARING - 7313 BEGAM</t>
  </si>
  <si>
    <t>SKF BEARING - 7314 BECBJ</t>
  </si>
  <si>
    <t>SKF BEARING - 7314 BECBM</t>
  </si>
  <si>
    <t>SKF BEARING - 7314 BECBP</t>
  </si>
  <si>
    <t>SKF BEARING - 7315 BECBJ</t>
  </si>
  <si>
    <t>SKF BEARING - 7315 BECBM</t>
  </si>
  <si>
    <t>SKF BEARING - 7316 BECBJ</t>
  </si>
  <si>
    <t>SKF BEARING - 7316 BECBM</t>
  </si>
  <si>
    <t>SKF BEARING - 7317 BECBM</t>
  </si>
  <si>
    <t>SKF BEARING - 7317 BECBP</t>
  </si>
  <si>
    <t>SKF BEARING - 7318 BECBJ</t>
  </si>
  <si>
    <t>SKF BEARING - 7318 BECBM</t>
  </si>
  <si>
    <t>SKF BEARING - 7320 BECBM</t>
  </si>
  <si>
    <t>SKF BEARING - 7320 BECBP</t>
  </si>
  <si>
    <t>SKF BEARING - 7321 BECBM</t>
  </si>
  <si>
    <t>SKF BEARING - 7322 BECBM</t>
  </si>
  <si>
    <t>SKF BEARING - 7322 BECBP</t>
  </si>
  <si>
    <t>SKF BEARING - 7324 BGAM</t>
  </si>
  <si>
    <t>SKF BEARING - 7326 BCBM</t>
  </si>
  <si>
    <t>SKF BEARING - 7328 BCBM</t>
  </si>
  <si>
    <t>SKF BEARING - NJ 205 ECJ</t>
  </si>
  <si>
    <t>SKF BEARING - NJ 205 ECP/C3</t>
  </si>
  <si>
    <t>SKF BEARING - NJ 206 ECJ/C3</t>
  </si>
  <si>
    <t>SKF BEARING - NJ 207 ECP/C3</t>
  </si>
  <si>
    <t>SKF BEARING - NJ 208 ECJ/C3</t>
  </si>
  <si>
    <t>SKF BEARING - NJ 208 ECP</t>
  </si>
  <si>
    <t>SKF BEARING - NJ 208 ECP/C3</t>
  </si>
  <si>
    <t>SKF BEARING - NJ 210 ECP/C3</t>
  </si>
  <si>
    <t>SKF BEARING - NJ 211 ECML/C3</t>
  </si>
  <si>
    <t>SKF BEARING - NJ 212 ECJ</t>
  </si>
  <si>
    <t>SKF BEARING - NJ 212 ECP/C3</t>
  </si>
  <si>
    <t>SKF BEARING - NJ 213 ECJ</t>
  </si>
  <si>
    <t>SKF BEARING - NJ 213 ECJ/C3</t>
  </si>
  <si>
    <t>SKF BEARING - NJ 213 ECP/C3</t>
  </si>
  <si>
    <t>SKF BEARING - NJ 214 ECP</t>
  </si>
  <si>
    <t>SKF BEARING - NJ 215 ECJ</t>
  </si>
  <si>
    <t>SKF BEARING - NJ 215 ECP/C3</t>
  </si>
  <si>
    <t>SKF BEARING - NJ 216 ECJ</t>
  </si>
  <si>
    <t>SKF BEARING - NJ 216 ECJ/C3</t>
  </si>
  <si>
    <t>SKF BEARING - NJ 218 ECML/C3</t>
  </si>
  <si>
    <t>SKF BEARING - NJ 218 ECP/C3</t>
  </si>
  <si>
    <t>SKF BEARING - NJ 220 ECJ</t>
  </si>
  <si>
    <t>SKF BEARING - NJ 2206 ECP</t>
  </si>
  <si>
    <t>SKF BEARING - NJ 2206 ECP/C3</t>
  </si>
  <si>
    <t>SKF BEARING - NJ 2207 ECML/C3</t>
  </si>
  <si>
    <t>SKF BEARING - NJ 2207 ECP</t>
  </si>
  <si>
    <t>SKF BEARING - NJ 2207 ECP/C3</t>
  </si>
  <si>
    <t>SKF BEARING - NJ 2208 ECJ</t>
  </si>
  <si>
    <t>SKF BEARING - NJ 2208 ECJ/C3</t>
  </si>
  <si>
    <t>SKF BEARING - NJ 2208 ECP/C3</t>
  </si>
  <si>
    <t>SKF BEARING - NJ 2210 ECJ</t>
  </si>
  <si>
    <t>SKF BEARING - NJ 2210 ECJ/C3</t>
  </si>
  <si>
    <t>SKF BEARING - NJ 2210 ECP</t>
  </si>
  <si>
    <t>SKF BEARING - NJ 2213 ECJ</t>
  </si>
  <si>
    <t>SKF BEARING - NJ 2213 ECJ/C3</t>
  </si>
  <si>
    <t>SKF BEARING - NJ 2214 ECM</t>
  </si>
  <si>
    <t>SKF BEARING - NJ 2214 ECP</t>
  </si>
  <si>
    <t>SKF BEARING - NJ 2306 ECP/C3</t>
  </si>
  <si>
    <t>SKF BEARING - NJ 2307 ECP</t>
  </si>
  <si>
    <t>SKF BEARING - NJ 2307 ECP/C3</t>
  </si>
  <si>
    <t>SKF BEARING - NJ 2308 ECJ</t>
  </si>
  <si>
    <t>SKF BEARING - NJ 2308 ECJ/C3</t>
  </si>
  <si>
    <t>SKF BEARING - NJ 2308 ECP/C3</t>
  </si>
  <si>
    <t>SKF BEARING - NJ 2309 ECP/C3</t>
  </si>
  <si>
    <t>SKF BEARING - NJ 2310 ECML/C3</t>
  </si>
  <si>
    <t>SKF BEARING - NJ 2310 ECP</t>
  </si>
  <si>
    <t>SKF BEARING - NJ 2310 ECP/C3</t>
  </si>
  <si>
    <t>SKF BEARING - NJ 2311 ECP</t>
  </si>
  <si>
    <t>SKF BEARING - NJ 2311 ECP/C3</t>
  </si>
  <si>
    <t>SKF BEARING - NJ 2312 ECML/C3</t>
  </si>
  <si>
    <t>SKF BEARING - NJ 2313 ECP/C3</t>
  </si>
  <si>
    <t>SKF BEARING - NJ 2314 ECP</t>
  </si>
  <si>
    <t>SKF BEARING - NJ 2314 ECP/C3</t>
  </si>
  <si>
    <t>SKF BEARING - NJ 2315 ECP</t>
  </si>
  <si>
    <t>SKF BEARING - NJ 2315 ECP/C3</t>
  </si>
  <si>
    <t>SKF BEARING - NJ 2316 ECP/C3</t>
  </si>
  <si>
    <t>SKF BEARING - NJ 304 ECP</t>
  </si>
  <si>
    <t>SKF BEARING - NJ 305 ECP</t>
  </si>
  <si>
    <t>SKF BEARING - NJ 306 ECJ/C3</t>
  </si>
  <si>
    <t>SKF BEARING - NJ 306 ECP</t>
  </si>
  <si>
    <t>SKF BEARING - NJ 306 ECP/C3</t>
  </si>
  <si>
    <t>SKF BEARING - NJ 307 ECJ/C3</t>
  </si>
  <si>
    <t>SKF BEARING - NJ 307 ECP/C3</t>
  </si>
  <si>
    <t>SKF BEARING - NJ 308 ECJ</t>
  </si>
  <si>
    <t>SKF BEARING - NJ 308 ECJ/C3</t>
  </si>
  <si>
    <t>SKF BEARING - NJ 308 ECM</t>
  </si>
  <si>
    <t>SKF BEARING - NJ 308 ECP/C3</t>
  </si>
  <si>
    <t>SKF BEARING - NJ 309 ECJ/C3</t>
  </si>
  <si>
    <t>SKF BEARING - NJ 310 ECJ/C3</t>
  </si>
  <si>
    <t>SKF BEARING - NJ 311 ECJ/C3</t>
  </si>
  <si>
    <t>SKF BEARING - NJ 312 ECJ</t>
  </si>
  <si>
    <t>SKF BEARING - NJ 313 ECJ/C3</t>
  </si>
  <si>
    <t>SKF BEARING - NJ 314 ECJ/C3</t>
  </si>
  <si>
    <t>SKF BEARING - NJ 315 ECJ/C3</t>
  </si>
  <si>
    <t>SKF BEARING - NJ 316 ECJ</t>
  </si>
  <si>
    <t>SKF BEARING - NJ 319 ECJ/C3</t>
  </si>
  <si>
    <t>SKF BEARING - NJ 320 ECJ/C3</t>
  </si>
  <si>
    <t>SKF BEARING - NU 1006</t>
  </si>
  <si>
    <t>SKF BEARING - NU 1008 ML</t>
  </si>
  <si>
    <t>SKF BEARING - NU 1010 ECP</t>
  </si>
  <si>
    <t>SKF BEARING - NU 1011 ECP</t>
  </si>
  <si>
    <t>SKF BEARING - NU 1012 ML</t>
  </si>
  <si>
    <t>SKF BEARING - NU 1018 ML</t>
  </si>
  <si>
    <t>SKF BEARING - NU 202 ECP</t>
  </si>
  <si>
    <t>SKF BEARING - NU 202 ECP/C3</t>
  </si>
  <si>
    <t>SKF BEARING - NU 205 ECP</t>
  </si>
  <si>
    <t>SKF BEARING - NU 205 ECP/C3</t>
  </si>
  <si>
    <t>SKF BEARING - NU 206 ECJ</t>
  </si>
  <si>
    <t>SKF BEARING - NU 206 ECJ/C3</t>
  </si>
  <si>
    <t>SKF BEARING - NU 206 ECP/C3</t>
  </si>
  <si>
    <t>SKF BEARING - NU 207 ECJ</t>
  </si>
  <si>
    <t>SKF BEARING - NU 207 ECP/C3</t>
  </si>
  <si>
    <t>SKF BEARING - NU 208 ECJ</t>
  </si>
  <si>
    <t>SKF BEARING - NU 208 ECM</t>
  </si>
  <si>
    <t>SKF BEARING - NU 208 ECP/C3</t>
  </si>
  <si>
    <t>SKF BEARING - NU 209 ECJ</t>
  </si>
  <si>
    <t>SKF BEARING - NU 209 ECP</t>
  </si>
  <si>
    <t>SKF BEARING - NU 209 ECP/C3</t>
  </si>
  <si>
    <t>SKF BEARING - NU 210 ECM</t>
  </si>
  <si>
    <t>SKF BEARING - NU 210 ECP</t>
  </si>
  <si>
    <t>SKF BEARING - NU 210 ECP/C3</t>
  </si>
  <si>
    <t>SKF BEARING - NU 211 ECP</t>
  </si>
  <si>
    <t>SKF BEARING - NU 211 ECP/C3</t>
  </si>
  <si>
    <t>SKF BEARING - NU 212 ECJ</t>
  </si>
  <si>
    <t>SKF BEARING - NU 212 ECJ/C3</t>
  </si>
  <si>
    <t>SKF BEARING - NU 212 ECM</t>
  </si>
  <si>
    <t>SKF BEARING - NU 212 ECM/C3</t>
  </si>
  <si>
    <t>SKF BEARING - NU 212 ECP</t>
  </si>
  <si>
    <t>SKF BEARING - NU 213 ECJ</t>
  </si>
  <si>
    <t>SKF BEARING - NU 213 ECM/C3</t>
  </si>
  <si>
    <t>SKF BEARING - NU 213 ECP/C3</t>
  </si>
  <si>
    <t>SKF BEARING - NU 214 ECM</t>
  </si>
  <si>
    <t>SKF BEARING - NU 214 ECM/C3</t>
  </si>
  <si>
    <t>SKF BEARING - NU 215 ECJ</t>
  </si>
  <si>
    <t>SKF BEARING - NU 215 ECJ/C3</t>
  </si>
  <si>
    <t>SKF BEARING - NU 215 ECM/C3</t>
  </si>
  <si>
    <t>SKF BEARING - NU 215 ECP</t>
  </si>
  <si>
    <t>SKF BEARING - NU 215 ECP/C3</t>
  </si>
  <si>
    <t>SKF BEARING - NU 216 ECJ</t>
  </si>
  <si>
    <t>SKF BEARING - NU 216 ECJ/C3</t>
  </si>
  <si>
    <t>SKF BEARING - NU 216 ECM/C3</t>
  </si>
  <si>
    <t>SKF BEARING - NU 216 ECP/C3</t>
  </si>
  <si>
    <t>SKF BEARING - NU 217 ECJ</t>
  </si>
  <si>
    <t>SKF BEARING - NU 217 ECJ/C3</t>
  </si>
  <si>
    <t>SKF BEARING - NU 218 ECJ</t>
  </si>
  <si>
    <t>SKF BEARING - NU 218 ECJ/C3</t>
  </si>
  <si>
    <t>SKF BEARING - NU 218 ECM</t>
  </si>
  <si>
    <t>SKF BEARING - NU 218 ECP/C3</t>
  </si>
  <si>
    <t>SKF BEARING - NU 219 ECM</t>
  </si>
  <si>
    <t>SKF BEARING - NU 219 ECM/C3</t>
  </si>
  <si>
    <t>SKF BEARING - NU 220 ECJ/C3</t>
  </si>
  <si>
    <t>SKF BEARING - NU 220 ECM</t>
  </si>
  <si>
    <t>SKF BEARING - NU 220 ECP/C3</t>
  </si>
  <si>
    <t>SKF BEARING - NU 2205 ECP</t>
  </si>
  <si>
    <t>SKF BEARING - NU 2208 ECJ/C3</t>
  </si>
  <si>
    <t>SKF BEARING - NU 2208 ECP/C3</t>
  </si>
  <si>
    <t>SKF BEARING - NU 2209 ECJ/C3</t>
  </si>
  <si>
    <t>SKF BEARING - NU 2210 ECJ</t>
  </si>
  <si>
    <t>SKF BEARING - NU 2210 ECJ/C3</t>
  </si>
  <si>
    <t>SKF BEARING - NU 2210 ECP</t>
  </si>
  <si>
    <t>SKF BEARING - NU 2211 ECJ</t>
  </si>
  <si>
    <t>SKF BEARING - NU 2211 ECJ/C3</t>
  </si>
  <si>
    <t>SKF BEARING - NU 2211 ECP/C3</t>
  </si>
  <si>
    <t>SKF BEARING - NU 2212 ECM</t>
  </si>
  <si>
    <t>SKF BEARING - NU 2213 ECJ</t>
  </si>
  <si>
    <t>SKF BEARING - NU 2213 ECJ/C3</t>
  </si>
  <si>
    <t>SKF BEARING - NU 2214 ECM</t>
  </si>
  <si>
    <t>SKF BEARING - NU 2214 ECP/C3</t>
  </si>
  <si>
    <t>SKF BEARING - NU 2216 ECJ</t>
  </si>
  <si>
    <t>SKF BEARING - NU 2216 ECJ/C3</t>
  </si>
  <si>
    <t>SKF BEARING - NU 2216 ECP</t>
  </si>
  <si>
    <t>SKF BEARING - NU 2218 ECP</t>
  </si>
  <si>
    <t>SKF BEARING - NU 2218 ECP/C3</t>
  </si>
  <si>
    <t>SKF BEARING - NU 2219 ECP/C3</t>
  </si>
  <si>
    <t>SKF BEARING - NU 222 ECJ</t>
  </si>
  <si>
    <t>SKF BEARING - NU 222 ECJ/C3</t>
  </si>
  <si>
    <t>SKF BEARING - NU 222 ECM</t>
  </si>
  <si>
    <t>SKF BEARING - NU 2222 ECJ/C3</t>
  </si>
  <si>
    <t>SKF BEARING - NU 2306 ECP/C3</t>
  </si>
  <si>
    <t>SKF BEARING - NU 2307 ECP/C3</t>
  </si>
  <si>
    <t>SKF BEARING - NU 2308 ECJ</t>
  </si>
  <si>
    <t>SKF BEARING - NU 2308 ECJ/C3</t>
  </si>
  <si>
    <t>SKF BEARING - NU 2308 ECP</t>
  </si>
  <si>
    <t>SKF BEARING - NU 2309 ECML</t>
  </si>
  <si>
    <t>SKF BEARING - NU 2310 ECP/C3</t>
  </si>
  <si>
    <t>SKF BEARING - NU 2312 ECP/C3</t>
  </si>
  <si>
    <t>SKF BEARING - NU 2313 ECML</t>
  </si>
  <si>
    <t>SKF BEARING - NU 2313 ECP</t>
  </si>
  <si>
    <t>SKF BEARING - NU 2313 ECP/C3</t>
  </si>
  <si>
    <t>SKF BEARING - NU 2315 ECP</t>
  </si>
  <si>
    <t>SKF BEARING - NU 2315 ECP/C3</t>
  </si>
  <si>
    <t>SKF BEARING - NU 2317 ECJ</t>
  </si>
  <si>
    <t>SKF BEARING - NU 2318 ECJ</t>
  </si>
  <si>
    <t>SKF BEARING - NU 2318 ECJ/C3</t>
  </si>
  <si>
    <t>SKF BEARING - NU 306 ECP</t>
  </si>
  <si>
    <t>SKF BEARING - NU 306 ECP/C3</t>
  </si>
  <si>
    <t>SKF BEARING - NU 307 ECJ</t>
  </si>
  <si>
    <t>SKF BEARING - NU 307 ECJ/C3</t>
  </si>
  <si>
    <t>SKF BEARING - NU 307 ECM</t>
  </si>
  <si>
    <t>SKF BEARING - NU 307 ECP/C3</t>
  </si>
  <si>
    <t>SKF BEARING - NU 308 ECJ</t>
  </si>
  <si>
    <t>SKF BEARING - NU 308 ECJ/C3</t>
  </si>
  <si>
    <t>SKF BEARING - NU 308 ECM</t>
  </si>
  <si>
    <t>SKF BEARING - NU 308 ECP</t>
  </si>
  <si>
    <t>SKF BEARING - NU 308 ECP/C3</t>
  </si>
  <si>
    <t>SKF BEARING - NU 309 ECJ</t>
  </si>
  <si>
    <t>SKF BEARING - NU 309 ECJ/C3</t>
  </si>
  <si>
    <t>SKF BEARING - NU 309 ECP</t>
  </si>
  <si>
    <t>SKF BEARING - NU 309 ECP/C3</t>
  </si>
  <si>
    <t>SKF BEARING - NU 310 ECJ</t>
  </si>
  <si>
    <t>SKF BEARING - NU 310 ECJ/C3</t>
  </si>
  <si>
    <t>SKF BEARING - NU 310 ECM/C3</t>
  </si>
  <si>
    <t>SKF BEARING - NU 310 ECP/C3</t>
  </si>
  <si>
    <t>SKF BEARING - NU 311 ECJ</t>
  </si>
  <si>
    <t>SKF BEARING - NU 311 ECJ/C3</t>
  </si>
  <si>
    <t>SKF BEARING - NU 311 ECM</t>
  </si>
  <si>
    <t>SKF BEARING - NU 311 ECM/C3</t>
  </si>
  <si>
    <t>SKF BEARING - NU 311 ECP</t>
  </si>
  <si>
    <t>SKF BEARING - NU 311 ECP/C3</t>
  </si>
  <si>
    <t>SKF BEARING - NU 312 ECJ</t>
  </si>
  <si>
    <t>SKF BEARING - NU 312 ECJ/C3</t>
  </si>
  <si>
    <t>SKF BEARING - NU 312 ECM</t>
  </si>
  <si>
    <t>SKF BEARING - NU 312 ECP</t>
  </si>
  <si>
    <t>SKF BEARING - NU 312 ECP/C3</t>
  </si>
  <si>
    <t>SKF BEARING - NU 313 ECJ/C3</t>
  </si>
  <si>
    <t>SKF BEARING - NU 313 ECM</t>
  </si>
  <si>
    <t>SKF BEARING - NU 313 ECP</t>
  </si>
  <si>
    <t>SKF BEARING - NU 313 ECP/C3</t>
  </si>
  <si>
    <t>SKF BEARING - NU 314 ECJ/C3</t>
  </si>
  <si>
    <t>SKF BEARING - NU 314 ECM/C3</t>
  </si>
  <si>
    <t>SKF BEARING - NU 314 ECP</t>
  </si>
  <si>
    <t>SKF BEARING - NU 314 ECP/C3</t>
  </si>
  <si>
    <t>SKF BEARING - NU 315 ECJ</t>
  </si>
  <si>
    <t>SKF BEARING - NU 315 ECJ/C3</t>
  </si>
  <si>
    <t>SKF BEARING - NU 315 ECM/C3</t>
  </si>
  <si>
    <t>SKF BEARING - NU 316 ECJ</t>
  </si>
  <si>
    <t>SKF BEARING - NU 316 ECJ/C3</t>
  </si>
  <si>
    <t>SKF BEARING - NU 317 ECJ/C3</t>
  </si>
  <si>
    <t>SKF BEARING - NU 317 ECP</t>
  </si>
  <si>
    <t>SKF BEARING - NU 318 ECJ/C3</t>
  </si>
  <si>
    <t>SKF BEARING - NU 318 ECM</t>
  </si>
  <si>
    <t>SKF BEARING - NU 318 ECM/C3</t>
  </si>
  <si>
    <t>SKF BEARING - NU 318 ECP/C3</t>
  </si>
  <si>
    <t>SKF BEARING - NU 319 ECJ</t>
  </si>
  <si>
    <t>SKF BEARING - NU 319 ECJ/C3</t>
  </si>
  <si>
    <t>SKF BEARING - NU 319 ECM/C3</t>
  </si>
  <si>
    <t>SKF BEARING - NU 320 ECJ</t>
  </si>
  <si>
    <t>SKF BEARING - NU 320 ECJ/C3</t>
  </si>
  <si>
    <t>SKF BEARING - 21307 CC/C3</t>
  </si>
  <si>
    <t>SKF BEARING - 21308 E/C3</t>
  </si>
  <si>
    <t>SKF BEARING - 21309 E</t>
  </si>
  <si>
    <t>SKF BEARING - 21309 E/C3</t>
  </si>
  <si>
    <t>SKF BEARING - 21312 E/C3</t>
  </si>
  <si>
    <t>SKF BEARING - 21313 E</t>
  </si>
  <si>
    <t>SKF BEARING - 21313 E/C3</t>
  </si>
  <si>
    <t>SKF BEARING - 21315 E</t>
  </si>
  <si>
    <t>SKF BEARING - 21315 E/C3</t>
  </si>
  <si>
    <t>SKF BEARING - 21316 E</t>
  </si>
  <si>
    <t>SKF BEARING - 21316 E/C3</t>
  </si>
  <si>
    <t>SKF BEARING - 21318 E/C3</t>
  </si>
  <si>
    <t>SKF BEARING - 21319 E/C3</t>
  </si>
  <si>
    <t>SKF BEARING - 21320 E</t>
  </si>
  <si>
    <t>SKF BEARING - 2200 E-2RS1TN9</t>
  </si>
  <si>
    <t>SKF BEARING - 2203 E-2RS1TN9</t>
  </si>
  <si>
    <t>SKF BEARING - 2203 ETN9</t>
  </si>
  <si>
    <t>SKF BEARING - 2205 E-2RS1KTN9/C3</t>
  </si>
  <si>
    <t>SKF BEARING - 23220 CC/W33</t>
  </si>
  <si>
    <t>SKF BEARING - 2205 E-2RS1TN9</t>
  </si>
  <si>
    <t>SKF BEARING - 2205 E-2RS1TN9/C3</t>
  </si>
  <si>
    <t>SKF BEARING - 2205 ETN9/C3</t>
  </si>
  <si>
    <t>SKF BEARING - 2207 E-2RS1KTN9</t>
  </si>
  <si>
    <t>SKF BEARING - H 307 E</t>
  </si>
  <si>
    <t>SKF BEARING - 2207 E-2RS1KTN9/C3</t>
  </si>
  <si>
    <t>SKF BEARING - 2207 E-2RS1TN9</t>
  </si>
  <si>
    <t>SKF BEARING - 2207 EKTN9/C3</t>
  </si>
  <si>
    <t>SKF BEARING - 2207 ETN9</t>
  </si>
  <si>
    <t>SKF BEARING - 2208 E-2RS1KTN9/C3</t>
  </si>
  <si>
    <t>SKF BEARING - 2208 E-2RS1TN9</t>
  </si>
  <si>
    <t>SKF BEARING - 2208 EKTN9</t>
  </si>
  <si>
    <t>SKF BEARING - H 308</t>
  </si>
  <si>
    <t>SKF BEARING - 2210 EKTN9/C3</t>
  </si>
  <si>
    <t>SKF BEARING - H 310</t>
  </si>
  <si>
    <t>SKF BEARING - 2211 EKTN9</t>
  </si>
  <si>
    <t>SKF BEARING - H 311</t>
  </si>
  <si>
    <t>SKF BEARING - 2211 ETN9</t>
  </si>
  <si>
    <t>SKF BEARING - 2213 EKTN9/C3</t>
  </si>
  <si>
    <t>SKF BEARING - H 313</t>
  </si>
  <si>
    <t>SKF BEARING - 2218 K</t>
  </si>
  <si>
    <t>SKF BEARING - H 318</t>
  </si>
  <si>
    <t>SKF BEARING - 2218 K/C3</t>
  </si>
  <si>
    <t>SKF BEARING - 2220 K</t>
  </si>
  <si>
    <t>SKF BEARING - H 320</t>
  </si>
  <si>
    <t>SKF BEARING - 22205 E</t>
  </si>
  <si>
    <t>SKF BEARING - 22206 E</t>
  </si>
  <si>
    <t>SKF BEARING - 22207 E</t>
  </si>
  <si>
    <t>SKF BEARING - 22207 EK/C3</t>
  </si>
  <si>
    <t>SKF BEARING - H 307</t>
  </si>
  <si>
    <t>SKF BEARING - 22208 E/C3</t>
  </si>
  <si>
    <t>SKF BEARING - 22208 EK</t>
  </si>
  <si>
    <t>SKF BEARING - 22208 EK/C3</t>
  </si>
  <si>
    <t>SKF BEARING - 22209 EK</t>
  </si>
  <si>
    <t>SKF BEARING - 22210 E</t>
  </si>
  <si>
    <t>SKF BEARING - 22210 E/C3</t>
  </si>
  <si>
    <t>SKF BEARING - 22210 EK/C3</t>
  </si>
  <si>
    <t>SKF BEARING - 22211 E</t>
  </si>
  <si>
    <t>SKF BEARING - 22211 E/C3</t>
  </si>
  <si>
    <t>SKF BEARING - 22211 EK</t>
  </si>
  <si>
    <t>SKF BEARING - 22211 EK/C3</t>
  </si>
  <si>
    <t>SKF BEARING - 22212 E</t>
  </si>
  <si>
    <t>SKF BEARING - 22212 E/C3</t>
  </si>
  <si>
    <t>SKF BEARING - 22212 EK</t>
  </si>
  <si>
    <t>SKF BEARING - H 312</t>
  </si>
  <si>
    <t>SKF BEARING - 22212 EK/C3</t>
  </si>
  <si>
    <t>SKF BEARING - 22213 E</t>
  </si>
  <si>
    <t>SKF BEARING - 22213 EK</t>
  </si>
  <si>
    <t>SKF BEARING - 22213 EK/C3</t>
  </si>
  <si>
    <t>SKF BEARING - 22214 E/C3</t>
  </si>
  <si>
    <t>SKF BEARING - 22214 EK</t>
  </si>
  <si>
    <t>SKF BEARING - H 314</t>
  </si>
  <si>
    <t>SKF BEARING - 22214 EK/C3</t>
  </si>
  <si>
    <t>SKF BEARING - 22215 E</t>
  </si>
  <si>
    <t>SKF BEARING - 22215 E/C3</t>
  </si>
  <si>
    <t>SKF BEARING - 22215 EK</t>
  </si>
  <si>
    <t>SKF BEARING - H 315</t>
  </si>
  <si>
    <t>SKF BEARING - 22215 EK/C3</t>
  </si>
  <si>
    <t>SKF BEARING - 22216 E</t>
  </si>
  <si>
    <t>SKF BEARING - 22216 E/C3</t>
  </si>
  <si>
    <t>SKF BEARING - H 316</t>
  </si>
  <si>
    <t>SKF BEARING - 22216 EK/C3</t>
  </si>
  <si>
    <t>SKF BEARING - 22217 E</t>
  </si>
  <si>
    <t>SKF BEARING - 22217 E/C3</t>
  </si>
  <si>
    <t>SKF BEARING - 22217 EK</t>
  </si>
  <si>
    <t>SKF BEARING - H 317</t>
  </si>
  <si>
    <t>SKF BEARING - 22217 EK/C3</t>
  </si>
  <si>
    <t>SKF BEARING - 22218 E</t>
  </si>
  <si>
    <t>SKF BEARING - 22218 E/C3</t>
  </si>
  <si>
    <t>SKF BEARING - 22218 EK</t>
  </si>
  <si>
    <t>SKF BEARING - 22218 EK/C3</t>
  </si>
  <si>
    <t>SKF BEARING - 22219 E/C3</t>
  </si>
  <si>
    <t>SKF BEARING - 22219 EK</t>
  </si>
  <si>
    <t>SKF BEARING - H 319</t>
  </si>
  <si>
    <t>SKF BEARING - 22219 EK/C3</t>
  </si>
  <si>
    <t>SKF BEARING - 22220 E</t>
  </si>
  <si>
    <t>SKF BEARING - 22220 E/C3</t>
  </si>
  <si>
    <t>SKF BEARING - 22220 EK</t>
  </si>
  <si>
    <t>SKF BEARING - 22220 EK/C3</t>
  </si>
  <si>
    <t>SKF BEARING - 22222 E</t>
  </si>
  <si>
    <t>SKF BEARING - 22222 E/C3</t>
  </si>
  <si>
    <t>SKF BEARING - 22222 EK</t>
  </si>
  <si>
    <t>SKF BEARING - H 322</t>
  </si>
  <si>
    <t>SKF BEARING - 22222 EK/C3</t>
  </si>
  <si>
    <t>SKF BEARING - 22224 E</t>
  </si>
  <si>
    <t>SKF BEARING - 22224 E/C3</t>
  </si>
  <si>
    <t>SKF BEARING - 22224 EK</t>
  </si>
  <si>
    <t>SKF BEARING - 22224 EK/C3</t>
  </si>
  <si>
    <t>SKF BEARING - 22226 E</t>
  </si>
  <si>
    <t>SKF BEARING - 22226 E/C3</t>
  </si>
  <si>
    <t>SKF BEARING - 22226 EK</t>
  </si>
  <si>
    <t>SKF BEARING - 22228 CC/C3W33</t>
  </si>
  <si>
    <t>SKF BEARING - 22228 CCK/C3W33</t>
  </si>
  <si>
    <t>SKF BEARING - 22310 E</t>
  </si>
  <si>
    <t>SKF BEARING - 22310 E/C3</t>
  </si>
  <si>
    <t>SKF BEARING - 22311 E</t>
  </si>
  <si>
    <t>SKF BEARING - H 2311</t>
  </si>
  <si>
    <t>SKF BEARING - 22312 E</t>
  </si>
  <si>
    <t>SKF BEARING - 22312 E/C3</t>
  </si>
  <si>
    <t>SKF BEARING - 22312 EK/C3</t>
  </si>
  <si>
    <t>SKF BEARING - 22313 E/C3</t>
  </si>
  <si>
    <t>SKF BEARING - 22313 EK/C3</t>
  </si>
  <si>
    <t>SKF BEARING - H 2313</t>
  </si>
  <si>
    <t>SKF BEARING - 22314 E</t>
  </si>
  <si>
    <t>SKF BEARING - 22314 E/C3</t>
  </si>
  <si>
    <t>SKF BEARING - H 2314</t>
  </si>
  <si>
    <t>SKF BEARING - 22315 E</t>
  </si>
  <si>
    <t>SKF BEARING - 22315 E/C3</t>
  </si>
  <si>
    <t>SKF BEARING - 22315 EK</t>
  </si>
  <si>
    <t>SKF BEARING - H 2315</t>
  </si>
  <si>
    <t>SKF BEARING - 22315 EK/C3</t>
  </si>
  <si>
    <t>SKF BEARING - 22316 E</t>
  </si>
  <si>
    <t>SKF BEARING - 22316 E/C3</t>
  </si>
  <si>
    <t>SKF BEARING - H 2316</t>
  </si>
  <si>
    <t>SKF BEARING - 22316 EK/C3</t>
  </si>
  <si>
    <t>SKF BEARING - 22317 E</t>
  </si>
  <si>
    <t>SKF BEARING - 22317 E/C3</t>
  </si>
  <si>
    <t>SKF BEARING - 22317 EK</t>
  </si>
  <si>
    <t>SKF BEARING - H 2317</t>
  </si>
  <si>
    <t>SKF BEARING - 22318 E</t>
  </si>
  <si>
    <t>SKF BEARING - 22318 EK</t>
  </si>
  <si>
    <t>SKF BEARING - H 2318</t>
  </si>
  <si>
    <t>SKF BEARING - 22319 E</t>
  </si>
  <si>
    <t>SKF BEARING - 22320 E</t>
  </si>
  <si>
    <t>SKF BEARING - 22320 EK/C3</t>
  </si>
  <si>
    <t>SKF BEARING - H 2320</t>
  </si>
  <si>
    <t>SKF BEARING - 22322 E</t>
  </si>
  <si>
    <t>SKF BEARING - 22324 CC/C3W33</t>
  </si>
  <si>
    <t>SKF BEARING - 22324 CC/W33</t>
  </si>
  <si>
    <t>SKF BEARING - 22326 CC/C3W33</t>
  </si>
  <si>
    <t>SKF BEARING - 22328 CC/C3W33</t>
  </si>
  <si>
    <t>SKF BEARING - 22328 CC/W33</t>
  </si>
  <si>
    <t>SKF BEARING - 22328 CCK/C3W33</t>
  </si>
  <si>
    <t>SKF BEARING - H 2328</t>
  </si>
  <si>
    <t>SKF BEARING - 23120 CC/C3W33</t>
  </si>
  <si>
    <t>SKF BEARING - 2315</t>
  </si>
  <si>
    <t>SKF BEARING - 2315 K</t>
  </si>
  <si>
    <t>SKF BEARING - 2315 K/C3</t>
  </si>
  <si>
    <t>SKF BEARING - 2315/C3</t>
  </si>
  <si>
    <t>SKF BEARING - 23218 CC/C3W33</t>
  </si>
  <si>
    <t>SKF BEARING - 23218 CC/W33</t>
  </si>
  <si>
    <t>SKF BEARING - 23218 CCK/C3W33</t>
  </si>
  <si>
    <t>SKF BEARING - 23220 CC/C3W33</t>
  </si>
  <si>
    <t>SKF BEARING - 3216 A</t>
  </si>
  <si>
    <t>SKF BEARING - HA 317</t>
  </si>
  <si>
    <t>SKF BEARING - SNL 520-617</t>
  </si>
  <si>
    <t>SKF BEARING - FRB 12/180</t>
  </si>
  <si>
    <t>SKF BEARING - MB 5</t>
  </si>
  <si>
    <t>SKF BEARING - AN 16</t>
  </si>
  <si>
    <t>SKF BEARING - W 16</t>
  </si>
  <si>
    <t>SKF BEARING - 3206 A</t>
  </si>
  <si>
    <t>SKF BEARING - 6010</t>
  </si>
  <si>
    <t>SKF BEARING - 32206</t>
  </si>
  <si>
    <t>SKF BEARING - MB 15</t>
  </si>
  <si>
    <t>SKF BEARING - SY 508M</t>
  </si>
  <si>
    <t>SKF BEARING - SY 507M</t>
  </si>
  <si>
    <t>SKF BEARING - 29414 E</t>
  </si>
  <si>
    <t>SKF BEARING - 6215-2Z</t>
  </si>
  <si>
    <t>SKF BEARING - 6232 M</t>
  </si>
  <si>
    <t>SKF BEARING - 81216 TN</t>
  </si>
  <si>
    <t>SKF BEARING - 6308 NR/C3</t>
  </si>
  <si>
    <t>SKF BEARING - 6316 C4</t>
  </si>
  <si>
    <t>SKF BEARING - 6207 Z</t>
  </si>
  <si>
    <t>SKF BEARING - KM 17</t>
  </si>
  <si>
    <t>SKF BEARING - MB 17</t>
  </si>
  <si>
    <t>SKF BEARING - MB 16</t>
  </si>
  <si>
    <t>SKF BEARING - 22322 EK</t>
  </si>
  <si>
    <t>SKF BEARING - 22317 EK/C3</t>
  </si>
  <si>
    <t>SKF BEARING - 21310 E</t>
  </si>
  <si>
    <t>SKF BEARING - 3208 A</t>
  </si>
  <si>
    <t>SKF BEARING - 3306 A-2ZTN9/C3VT113</t>
  </si>
  <si>
    <t>SKF BEARING - 7304 BEP</t>
  </si>
  <si>
    <t>SKF BEARING - 305704 C-2Z</t>
  </si>
  <si>
    <t>SKF BEARING - 305702 C-2Z</t>
  </si>
  <si>
    <t>SKF BEARING - 6038 M/C3</t>
  </si>
  <si>
    <t>SKF BEARING - N 318 ECP</t>
  </si>
  <si>
    <t>SKF BEARING - 2316 M/C3</t>
  </si>
  <si>
    <t>SKF BEARING - NU 226 ECJ</t>
  </si>
  <si>
    <t>SKF BEARING - 2312 K/C3</t>
  </si>
  <si>
    <t>SKF BEARING - GE 35 ES-2RS</t>
  </si>
  <si>
    <t>SKF BEARING - 3307 ATN9/C3</t>
  </si>
  <si>
    <t>SKF BEARING - 23130 CC/W33</t>
  </si>
  <si>
    <t>SKF BEARING - 29320 E</t>
  </si>
  <si>
    <t>SKF BEARING - NU 206 ECP</t>
  </si>
  <si>
    <t>SKF BEARING - NNF 5013 ADB-2LSV</t>
  </si>
  <si>
    <t>SKF BEARING NJ 2309 ECP/C4</t>
  </si>
  <si>
    <t>SKF BEARING SNL 511-609</t>
  </si>
  <si>
    <t>SKF BEARING TSN 511 L</t>
  </si>
  <si>
    <t>SKF BEARING TSN 612 L</t>
  </si>
  <si>
    <t>SKF Product,PART NO: TSN 517L</t>
  </si>
  <si>
    <t>SKF Product,Part No: H 216</t>
  </si>
  <si>
    <t>SKF BEARING - 7204 BEP</t>
  </si>
  <si>
    <t>SKF BEARING - 6001-RSH</t>
  </si>
  <si>
    <t>SKF BEARING - 6234/C3</t>
  </si>
  <si>
    <t>SKF BEARING - NU 214 ECJ</t>
  </si>
  <si>
    <t>SKF BEARING - 7320 BEP</t>
  </si>
  <si>
    <t>SKF BEARING - 58716</t>
  </si>
  <si>
    <t>SKF BEARING - 3205 A</t>
  </si>
  <si>
    <t>SKF BEARING-2218</t>
  </si>
  <si>
    <t>SKF BEARING-2312</t>
  </si>
  <si>
    <t>SKF BEARING-6217</t>
  </si>
  <si>
    <t>SKF BEARING-30209</t>
  </si>
  <si>
    <t>SKF BEARING-30210</t>
  </si>
  <si>
    <t>SKF BEARING-30220 J2</t>
  </si>
  <si>
    <t>SKF BEARING-30226</t>
  </si>
  <si>
    <t>SKF BEARING-30304</t>
  </si>
  <si>
    <t>SKF BEARING-30306</t>
  </si>
  <si>
    <t>SKF BEARING-30308</t>
  </si>
  <si>
    <t>SKF BEARING-31307</t>
  </si>
  <si>
    <t>SKF BEARING-32207</t>
  </si>
  <si>
    <t>SKF BEARING-32226</t>
  </si>
  <si>
    <t>SKF BEARING-32320</t>
  </si>
  <si>
    <t>SKF BEARING-32924</t>
  </si>
  <si>
    <t>SKF BEARING-33207</t>
  </si>
  <si>
    <t>SKF BEARING-33210</t>
  </si>
  <si>
    <t>SKF BEARING-34282</t>
  </si>
  <si>
    <t>SKF BEARING-51214</t>
  </si>
  <si>
    <t>SKF BEARING-61844</t>
  </si>
  <si>
    <t>SKF BEARING-21314 E</t>
  </si>
  <si>
    <t>SKF BEARING-21318 E</t>
  </si>
  <si>
    <t>SKF BEARING-2207 EKTN9</t>
  </si>
  <si>
    <t>SKF BEARING-2212 EKTN9/C3</t>
  </si>
  <si>
    <t>SKF BEARING-22209 EK/C3</t>
  </si>
  <si>
    <t>SKF BEARING-22213 E/C3</t>
  </si>
  <si>
    <t>SKF BEARING-22218 E/C4</t>
  </si>
  <si>
    <t>SKF BEARING-22308 E</t>
  </si>
  <si>
    <t>SKF BEARING-22309 E/C3</t>
  </si>
  <si>
    <t>SKF BEARING-23022 CC/W33</t>
  </si>
  <si>
    <t>SKF BEARING-23024 CCK/W33</t>
  </si>
  <si>
    <t>SKF BEARING-2308 EKTN9</t>
  </si>
  <si>
    <t>SKF BEARING-2308 ETN9/C3</t>
  </si>
  <si>
    <t>SKF BEARING-2310 E-2RS1TN9</t>
  </si>
  <si>
    <t>SKF BEARING-23124 CC/W33</t>
  </si>
  <si>
    <t>SKF BEARING-23126 CC/C3W33</t>
  </si>
  <si>
    <t>SKF BEARING-23222 CC/C4W33</t>
  </si>
  <si>
    <t>SKF BEARING-23224 CC/C3W33</t>
  </si>
  <si>
    <t>SKF BEARING-23224 CC/W33</t>
  </si>
  <si>
    <t>SKF BEARING-23226 CC/C3W33</t>
  </si>
  <si>
    <t>SKF BEARING-23228 CCK/W33</t>
  </si>
  <si>
    <t>SKF BEARING-24024 CC/W33</t>
  </si>
  <si>
    <t>SKF BEARING-29324 E</t>
  </si>
  <si>
    <t>SKF BEARING-308/C3</t>
  </si>
  <si>
    <t>SKF BEARING-3208 A-2RS1TN9/C3MT33</t>
  </si>
  <si>
    <t>SKF BEARING-3210 A</t>
  </si>
  <si>
    <t>SKF BEARING-3212 A</t>
  </si>
  <si>
    <t>SKF BEARING-3212 A/C3</t>
  </si>
  <si>
    <t>SKF BEARING-3213 A</t>
  </si>
  <si>
    <t>SKF BEARING-3219 A/C3</t>
  </si>
  <si>
    <t>SKF BEARING-32312 BJ2/QCL7C</t>
  </si>
  <si>
    <t>SKF BEARING-3305 ATN9/C3</t>
  </si>
  <si>
    <t>SKF BEARING-3308 ATN9</t>
  </si>
  <si>
    <t>SKF BEARING-3314 ANR</t>
  </si>
  <si>
    <t>SKF BEARING-6007-RS1</t>
  </si>
  <si>
    <t>SKF BEARING-6009-Z</t>
  </si>
  <si>
    <t>SKF BEARING-6010-Z</t>
  </si>
  <si>
    <t>SKF BEARING-6014 M</t>
  </si>
  <si>
    <t>SKF BEARING-6014-RS1</t>
  </si>
  <si>
    <t>SKF BEARING-6018-Z</t>
  </si>
  <si>
    <t>SKF BEARING-6019/C3</t>
  </si>
  <si>
    <t>SKF BEARING-6021/C3</t>
  </si>
  <si>
    <t>SKF BEARING-6022-Z</t>
  </si>
  <si>
    <t>SKF BEARING-6024-2Z</t>
  </si>
  <si>
    <t>SKF BEARING-6032 M</t>
  </si>
  <si>
    <t>SKF BEARING-61844/C3</t>
  </si>
  <si>
    <t>SKF BEARING -6202-ZTN9</t>
  </si>
  <si>
    <t>SKF BEARING -6202-ZTN9/VT808</t>
  </si>
  <si>
    <t>SKF BEARING -6204-RSH/C3</t>
  </si>
  <si>
    <t>SKF BEARING -6207-RS1</t>
  </si>
  <si>
    <t>SKF BEARING -6210-2RS1</t>
  </si>
  <si>
    <t>SKF BEARING -6211-RS1</t>
  </si>
  <si>
    <t>SKF BEARING -6217-2Z</t>
  </si>
  <si>
    <t>SKF BEARING -6226/C3</t>
  </si>
  <si>
    <t>SKF BEARING -6228/C3</t>
  </si>
  <si>
    <t>SKF BEARING -629-2RSL</t>
  </si>
  <si>
    <t>SKF BEARING -6305-Z/C3</t>
  </si>
  <si>
    <t>SKF BEARING -6306-2Z/C4WT</t>
  </si>
  <si>
    <t>SKF BEARING -6307-Z/C3</t>
  </si>
  <si>
    <t>SKF BEARING -6310-2Z/GJN</t>
  </si>
  <si>
    <t>SKF BEARING -6310-2Z/VA228</t>
  </si>
  <si>
    <t>SKF BEARING -6312-2Z/C3GJN</t>
  </si>
  <si>
    <t>SKF BEARING -6312-RS1/C3</t>
  </si>
  <si>
    <t>SKF BEARING -6314/C3VL0241</t>
  </si>
  <si>
    <t>SKF BEARING -6315/C4</t>
  </si>
  <si>
    <t>SKF BEARING -6316/C4</t>
  </si>
  <si>
    <t>SKF BEARING -6318-2Z</t>
  </si>
  <si>
    <t>SKF BEARING -6321/C3</t>
  </si>
  <si>
    <t>SKF BEARING -7222 BECBP</t>
  </si>
  <si>
    <t>SKF BEARING -7224 BM</t>
  </si>
  <si>
    <t>SKF BEARING -7306 BECBM</t>
  </si>
  <si>
    <t>SKF BEARING -7306 BECBY</t>
  </si>
  <si>
    <t>SKF BEARING -7306 BEP</t>
  </si>
  <si>
    <t>SKF BEARING -7309 BEGBY</t>
  </si>
  <si>
    <t>SKF BEARING -7311 BEGAP</t>
  </si>
  <si>
    <t>SKF BEARING -7311 BEP</t>
  </si>
  <si>
    <t>SKF BEARING -7316 BEGAM</t>
  </si>
  <si>
    <t>SKF BEARING -7317 BECBJ</t>
  </si>
  <si>
    <t>SKF BEARING -AXK 1528</t>
  </si>
  <si>
    <t>SKF BEARING -AXK 80105</t>
  </si>
  <si>
    <t>SKF BEARING -C 2220</t>
  </si>
  <si>
    <t>SKF BEARING -C 2222 K/C3</t>
  </si>
  <si>
    <t>SKF BEARING -GE 110 ES</t>
  </si>
  <si>
    <t>SKF BEARING -GE 120 ES-2RS</t>
  </si>
  <si>
    <t>SKF BEARING -GE 45 ES</t>
  </si>
  <si>
    <t>SKF BEARING -GEG 40 ES</t>
  </si>
  <si>
    <t>SKF BEARING -GEH 60 ES-2RS</t>
  </si>
  <si>
    <t>SKF BEARING -H 2307</t>
  </si>
  <si>
    <t>SKF BEARING -H 2322</t>
  </si>
  <si>
    <t>SKF BEARING -H 3140</t>
  </si>
  <si>
    <t>SKF BEARING -H 322 E</t>
  </si>
  <si>
    <t>SKF BEARING -IR 90X105X35</t>
  </si>
  <si>
    <t>SKF BEARING -K 81106 TN</t>
  </si>
  <si>
    <t>SKF BEARING -KM 15</t>
  </si>
  <si>
    <t>SKF BEARING -KM 20</t>
  </si>
  <si>
    <t>SKF BEARING -KM 32</t>
  </si>
  <si>
    <t>SKF BEARING -KM 36</t>
  </si>
  <si>
    <t>SKF BEARING -KMT 12</t>
  </si>
  <si>
    <t>SKF BEARING -MB 30</t>
  </si>
  <si>
    <t>SKF BEARING -MB 44</t>
  </si>
  <si>
    <t>SKF BEARING -N 13</t>
  </si>
  <si>
    <t>SKF BEARING -N 218 ECP</t>
  </si>
  <si>
    <t>SKF BEARING -N 316 ECM</t>
  </si>
  <si>
    <t>SKF BEARING -N 316 ECM/C3</t>
  </si>
  <si>
    <t>SKF BEARING -N 318 ECM</t>
  </si>
  <si>
    <t>SKF BEARING -NATR 10 PPA</t>
  </si>
  <si>
    <t>SKF BEARING -NATR 50 PPA</t>
  </si>
  <si>
    <t>SKF BEARING -NCF 3008 CV</t>
  </si>
  <si>
    <t>SKF BEARING -NCF 3020 CV/C3</t>
  </si>
  <si>
    <t>SKF BEARING -NJ 208 ECJ</t>
  </si>
  <si>
    <t>SKF BEARING -NJ 309 ECJ</t>
  </si>
  <si>
    <t>SKF BEARING -NJ 313 ECP/C3</t>
  </si>
  <si>
    <t>SKF BEARING -NJ 316 ECM/C4VA301</t>
  </si>
  <si>
    <t>SKF BEARING -NNF 5008 ADB-2LSV</t>
  </si>
  <si>
    <t>SKF BEARING -NU 207 ECP</t>
  </si>
  <si>
    <t>SKF BEARING -NU 212 ECM/C4</t>
  </si>
  <si>
    <t>SKF BEARING -NU 214 ECP</t>
  </si>
  <si>
    <t>SKF BEARING -NU 214 ECP/C3</t>
  </si>
  <si>
    <t>SKF BEARING -NU 2206 ECP</t>
  </si>
  <si>
    <t>SKF BEARING -NU 2212 ECJ/C3</t>
  </si>
  <si>
    <t>SKF BEARING -NU 2212 ECP</t>
  </si>
  <si>
    <t>SKF BEARING -NU 222 ECM/C3</t>
  </si>
  <si>
    <t>SKF BEARING -NU 222 ECP</t>
  </si>
  <si>
    <t>SKF BEARING -NU 2220 ECML</t>
  </si>
  <si>
    <t>SKF BEARING -NU 317 ECJ</t>
  </si>
  <si>
    <t>SKF BEARING -NU 317 ECM</t>
  </si>
  <si>
    <t>SKF BEARING -NU 321 ECJ/C3</t>
  </si>
  <si>
    <t>SKF BEARING -NU 322 ECJ/C3</t>
  </si>
  <si>
    <t>SKF BEARING -NU 322 ECML/C3B20</t>
  </si>
  <si>
    <t>SKF BEARING -NU 324 ECM</t>
  </si>
  <si>
    <t>SKF BEARING -NUP 2212 ECJ</t>
  </si>
  <si>
    <t>SKF BEARING -NUP 2212 ECP</t>
  </si>
  <si>
    <t>SKF BEARING -NUTR 50110 X</t>
  </si>
  <si>
    <t>SKF BEARING -QJ 217 N2MA/C3</t>
  </si>
  <si>
    <t>SKF BEARING -QJ 306 MA</t>
  </si>
  <si>
    <t>SKF BEARING -QJ 311 MA</t>
  </si>
  <si>
    <t>SKF BEARING -SNL 513-611</t>
  </si>
  <si>
    <t>SKF BEARING -SY 40 FM</t>
  </si>
  <si>
    <t>SKF BEARING -SY 50 FM</t>
  </si>
  <si>
    <t>SKF BEARING -W 14</t>
  </si>
  <si>
    <t>SKF BEARING -YAR 204-2F</t>
  </si>
  <si>
    <t>SKF BEARING -YAR 212-2F</t>
  </si>
  <si>
    <t>SKF BEARING -YEL 205-2F</t>
  </si>
  <si>
    <t>SKF BEARING -YET 210</t>
  </si>
  <si>
    <t>SKF BEARING -YSA 207-2FK</t>
  </si>
  <si>
    <t>SKF BEARING -23052 CC/C3W33</t>
  </si>
  <si>
    <t>SKF BEARING -23136 CC/W33</t>
  </si>
  <si>
    <t>SKF BEARING -23138 CC/W33</t>
  </si>
  <si>
    <t>SKF BEARING -24052 CC/W33</t>
  </si>
  <si>
    <t>SKF BEARING -32044 X</t>
  </si>
  <si>
    <t>SKF BEARING -NU 1044 ML</t>
  </si>
  <si>
    <t>SKF BEARING -32230</t>
  </si>
  <si>
    <t>SKF BEARING -23960 CC/W33</t>
  </si>
  <si>
    <t>SKF BEARING -6226/C3VL0241</t>
  </si>
  <si>
    <t>SKF BEARING -AN 15</t>
  </si>
  <si>
    <t>SKF BEARING -KM 12</t>
  </si>
  <si>
    <t>SKF BEARING -MB 12</t>
  </si>
  <si>
    <t>SKF BEARING -6024-Z/C3</t>
  </si>
  <si>
    <t>SKF BEARINGS - Model No. FS 190</t>
  </si>
  <si>
    <t>SKF Product 3309 ATN9</t>
  </si>
  <si>
    <t>SKF Product NJ 308 ECP</t>
  </si>
  <si>
    <t>SKF Product 29326 E</t>
  </si>
  <si>
    <t>SKF Product SY 510 M</t>
  </si>
  <si>
    <t>SKF Product 3214 A/C3</t>
  </si>
  <si>
    <t>SKF Product 6328 M/C3</t>
  </si>
  <si>
    <t>SKF Product H 2305</t>
  </si>
  <si>
    <t>SKF Product H 2308</t>
  </si>
  <si>
    <t>SKF Product H 2309</t>
  </si>
  <si>
    <t>SKF Product H 306</t>
  </si>
  <si>
    <t>SKF Product KM 18</t>
  </si>
  <si>
    <t>SKF Product KMK 7</t>
  </si>
  <si>
    <t>SKF Product MB 18</t>
  </si>
  <si>
    <t>SKF Product N 14</t>
  </si>
  <si>
    <t>SKF Product NA 4913</t>
  </si>
  <si>
    <t>SKF Product NU 219 ECJ/C3</t>
  </si>
  <si>
    <t>SKF Product NU 2206 ECJ</t>
  </si>
  <si>
    <t>SKF Product NU 2212 ECJ</t>
  </si>
  <si>
    <t>SKF Product RLS 5-2Z</t>
  </si>
  <si>
    <t>SKF Product W 05</t>
  </si>
  <si>
    <t>SKF Product W 07</t>
  </si>
  <si>
    <t>SKF Product 23034 CC/W33</t>
  </si>
  <si>
    <t>SKF Product 220X250X15 HMSA10 V</t>
  </si>
  <si>
    <t>SKF Product 6230 M/C4/R801</t>
  </si>
  <si>
    <t>SKF Product 3307 ATN9</t>
  </si>
  <si>
    <t>SKF Product MB 14</t>
  </si>
  <si>
    <t>SKF Product 6003-Z</t>
  </si>
  <si>
    <t>SKF Product 32024 X</t>
  </si>
  <si>
    <t>SKF Product GEG 63 ES</t>
  </si>
  <si>
    <t>SKF Product 6316-2Z</t>
  </si>
  <si>
    <t>SKF Product TSN 511 S</t>
  </si>
  <si>
    <t>SKF Product KM 26</t>
  </si>
  <si>
    <t>SKF Product NJ 2220 ECP</t>
  </si>
  <si>
    <t>SKF Product NJ 2305 ECP/C3</t>
  </si>
  <si>
    <t>SKF Product FY 50 FM</t>
  </si>
  <si>
    <t>SKF Product 32036 X</t>
  </si>
  <si>
    <t>SKF Product 1216 K/C3</t>
  </si>
  <si>
    <t>SKF Product NU 2311 ECML/C3</t>
  </si>
  <si>
    <t>SKF Product 6303/C3</t>
  </si>
  <si>
    <t>SKF Product 32306</t>
  </si>
  <si>
    <t>SKF Product 51224</t>
  </si>
  <si>
    <t>SKF Product GE 50 ES-2RS/C2</t>
  </si>
  <si>
    <t>SKF Product 23130 CC/C3W33</t>
  </si>
  <si>
    <t>SKF Product NJ 203 ECP</t>
  </si>
  <si>
    <t>SKF Product 6315-2Z</t>
  </si>
  <si>
    <t>SKF Product 22232 CCK/C3W33</t>
  </si>
  <si>
    <t>SKF Product 23022 CC/C3W33</t>
  </si>
  <si>
    <t>SKF Product KM 14</t>
  </si>
  <si>
    <t>SKF Product 3217 A</t>
  </si>
  <si>
    <t>SKF Product 6317/C3VL0241</t>
  </si>
  <si>
    <t>SKF Product 23034 CCK/W33</t>
  </si>
  <si>
    <t>SKF Product KM 19</t>
  </si>
  <si>
    <t>SKF Product MB 20</t>
  </si>
  <si>
    <t>SKF Product AHX 2320</t>
  </si>
  <si>
    <t>SKF Product 23038 CC/W33</t>
  </si>
  <si>
    <t>SKF BEARING - 3206 ATN9</t>
  </si>
  <si>
    <t>SKF BEARING - SY 25WF</t>
  </si>
  <si>
    <t>SKF PRODUCT - N 11</t>
  </si>
  <si>
    <t>SKF BEARING - NU 214 ECJ/C3</t>
  </si>
  <si>
    <t>SKF Bearing; N 05</t>
  </si>
  <si>
    <t>SKF BEARING; PN:HA 210</t>
  </si>
  <si>
    <t>SKF BEARING - 6064 M</t>
  </si>
  <si>
    <t>SKF BEARING - 51204</t>
  </si>
  <si>
    <t>SKF BEARING - 2212 ETN9/C3</t>
  </si>
  <si>
    <t>SKF BEARING - 3210 A/C3</t>
  </si>
  <si>
    <t>SKF BEARING - 607-2Z</t>
  </si>
  <si>
    <t>SKF BEARING - 6014-2Z</t>
  </si>
  <si>
    <t>SKF BEARING - H 222</t>
  </si>
  <si>
    <t>SKF BEARINGS - Model No. 6207 N</t>
  </si>
  <si>
    <t>SKF BEARINGS - NU 1007 ECP</t>
  </si>
  <si>
    <t>SKF BEARINGS - 7308 BEGAP</t>
  </si>
  <si>
    <t>SKF BEARINGS - 7321 BEP</t>
  </si>
  <si>
    <t>SKF BEARINGS - 7209 BEP</t>
  </si>
  <si>
    <t>SKF BEARINGS - NJ 210 ECJ</t>
  </si>
  <si>
    <t>SKF BEARINGS - AXK 110145</t>
  </si>
  <si>
    <t>SKF BEARINGS - 6238 M</t>
  </si>
  <si>
    <t>SKF BEARINGS - 7044 BGM</t>
  </si>
  <si>
    <t>SKF BEARINGS - FRB 12.5/170</t>
  </si>
  <si>
    <t>SKF BEARINGS - 23134 CC/W33</t>
  </si>
  <si>
    <t>SKF BEARINGS - 22319 EJA/VA405</t>
  </si>
  <si>
    <t>SKF BEARINGS - 32038 X/DF</t>
  </si>
  <si>
    <t>SKF BEARINGS - 22244 CC/W33</t>
  </si>
  <si>
    <t>SKF BEARINGS - 23136 CCK/W33</t>
  </si>
  <si>
    <t>SKF BEARINGS - MB 10</t>
  </si>
  <si>
    <t>SKF BEARINGS - 32026 X</t>
  </si>
  <si>
    <t>SKF BEARINGS - 6209-RS1/C3</t>
  </si>
  <si>
    <t>SKF BEARINGS - H 3028</t>
  </si>
  <si>
    <t>SKF BEARINGS - 6205-RSH</t>
  </si>
  <si>
    <t>SKF BEARINGS - 3222 A</t>
  </si>
  <si>
    <t>SKF BEARINGS - 24126 CC/C3W33</t>
  </si>
  <si>
    <t>SKF BEARINGS - NU 211 ECJ</t>
  </si>
  <si>
    <t>SKF BEARINGS - 6330/C3VL2071</t>
  </si>
  <si>
    <t>SKF BEARINGS - 23044 CC/C3W33</t>
  </si>
  <si>
    <t>SKF BEARINGS - 2309 EKTN9</t>
  </si>
  <si>
    <t>SKF BEARINGS - 23040 CC/C3W33</t>
  </si>
  <si>
    <t>SKF BEARINGS - IR 70X80X35</t>
  </si>
  <si>
    <t>SKF BEARINGS - NJ 2310 ECML/C4</t>
  </si>
  <si>
    <t>SKF BEARINGS - 24128 CC/C3W33</t>
  </si>
  <si>
    <t>SKF BEARINGS - 24130 CC/W33</t>
  </si>
  <si>
    <t>SKF BEARING - UCP 218</t>
  </si>
  <si>
    <t>SKF BEARING - NU 213 ECJ/C3</t>
  </si>
  <si>
    <t>SKF BEARING - 32218</t>
  </si>
  <si>
    <t>SKF BEARING - C3224</t>
  </si>
  <si>
    <t>SKF Product; 6413</t>
  </si>
  <si>
    <t>SKF Product; 32016 X</t>
  </si>
  <si>
    <t>SKF BEARING; 53210</t>
  </si>
  <si>
    <t>SKF BEARING; 2317 M/C3</t>
  </si>
  <si>
    <t>SKF BEARING; SYF 40 TF</t>
  </si>
  <si>
    <t>SKF Products; PHG BX50EP</t>
  </si>
  <si>
    <t>SKF Product; 3305 A-2RS1TN9/MT33</t>
  </si>
  <si>
    <t>SKF Product; NJ 214 ECJ</t>
  </si>
  <si>
    <t>SKF Product; FY 55 TR</t>
  </si>
  <si>
    <t>SKF Product; 22230 CC/C3W33</t>
  </si>
  <si>
    <t>SKF Product; 6205-2RS2/WT</t>
  </si>
  <si>
    <t>SKF Product; 3307 ANR</t>
  </si>
  <si>
    <t>SKF Product; 3311 A-2ZTN9/C3VT113</t>
  </si>
  <si>
    <t>SKF Product; AXK 130170</t>
  </si>
  <si>
    <t>SKF Product; PHG SPB2120</t>
  </si>
  <si>
    <t>SKF Product; PHG SPB1700</t>
  </si>
  <si>
    <t>SKF Product; PHG SPB1600</t>
  </si>
  <si>
    <t>SKF Product; PHG SPB1500</t>
  </si>
  <si>
    <t>SKF Product; 140 VA R</t>
  </si>
  <si>
    <t>SKF Product; NU 216 ECJ</t>
  </si>
  <si>
    <t>SKF Product; 6324-2RS1</t>
  </si>
  <si>
    <t>SKF Product; NU 2220 ECP</t>
  </si>
  <si>
    <t>SKF Product; BMB-6204/048S2/UA002A</t>
  </si>
  <si>
    <t>SKF Product; 6002-2RSL</t>
  </si>
  <si>
    <t>SKF Product; 6303 JEM</t>
  </si>
  <si>
    <t>SKF Product; 6202-2ZJEM</t>
  </si>
  <si>
    <t>SKF Product; 6219</t>
  </si>
  <si>
    <t>SKF Product; 32038 X</t>
  </si>
  <si>
    <t>SKF Product GEH 45 ES-2RS</t>
  </si>
  <si>
    <t>SKF Product; GE 35 TXE-2LS</t>
  </si>
  <si>
    <t>SKF Product; SY 3/4 TF/VA228</t>
  </si>
  <si>
    <t>SKF Product; AH 313 G</t>
  </si>
  <si>
    <t>SKF Product; NU 203 ECP/C3</t>
  </si>
  <si>
    <t>SKF Product; 30311</t>
  </si>
  <si>
    <t>SKF Product; 6204-2Z/VA201</t>
  </si>
  <si>
    <t>SKF Product; 2210 E-2RS1TN9</t>
  </si>
  <si>
    <t>SKF Product; SNL 517</t>
  </si>
  <si>
    <t>SKF Product; 6322/C3VL0241</t>
  </si>
  <si>
    <t>SKF Product; 32317 J2</t>
  </si>
  <si>
    <t>SKF Product; 32316 J2</t>
  </si>
  <si>
    <t>SKF Product; NU 1036 ML/C3</t>
  </si>
  <si>
    <t>SKF Product; 30318</t>
  </si>
  <si>
    <t>SKF Product; 7313 BEP</t>
  </si>
  <si>
    <t>SKF Product; 608</t>
  </si>
  <si>
    <t>SKF BEARING - 6317 M/C3VL0241</t>
  </si>
  <si>
    <t>QUAKERCOAT 872 BLACK MATT</t>
  </si>
  <si>
    <t>Quakerol 25 LVB</t>
  </si>
  <si>
    <t>MATL:1000704417, QH EVEROLL A 2114 MA1,</t>
  </si>
  <si>
    <t>FAHAD</t>
  </si>
  <si>
    <t>Stud Terminal WFF 120/AH Part No: 1029500000</t>
  </si>
  <si>
    <t>Weidmuller; P/N:1020000000 WDU 2.5</t>
  </si>
  <si>
    <t>Weidmueller ,THM Printer (part # 2599430000)</t>
  </si>
  <si>
    <t>Weidmuller, PN:1011080000; Model: WSI 6 BL</t>
  </si>
  <si>
    <t>P/N: 1859200000, WEW 35/2 GR 7042</t>
  </si>
  <si>
    <t>Weidmuller; Model No: WTL 6 SL; PN:1161690000</t>
  </si>
  <si>
    <t>Weidmuller; IB-C37B37B371015-XXXX;2926170000</t>
  </si>
  <si>
    <t>Weidmuller; WQB A/24; P/N: 1579000000</t>
  </si>
  <si>
    <t>Weidmuller; PN:460660001 Model:DEK 5 FS2 1-10</t>
  </si>
  <si>
    <t>Weidmuller; Model:WDU 10 SL</t>
  </si>
  <si>
    <t>Weidmuller; Model:WDK 2.5N PN:1041600000</t>
  </si>
  <si>
    <t>Weidmuller; Model:WDK 2.5 2D</t>
  </si>
  <si>
    <t>Weidmuller; Model No. WDK 10 V; PN:1186770000</t>
  </si>
  <si>
    <t>Weidmuller Item; WDU 6 SW; P/N 1020210000</t>
  </si>
  <si>
    <t>Weidmuller Item; ZQV 4N/10; P/N 1528090000</t>
  </si>
  <si>
    <t>Weidmuller Item; HP 4 ADP3; P/N 485860000</t>
  </si>
  <si>
    <t>Weidmuller Item; P/N 1720950000; ZPEA 2.5-2</t>
  </si>
  <si>
    <t>Weidmuller Product; PRO MAX 180W 24V 7,5A</t>
  </si>
  <si>
    <t>H4,0/14 DS GR- Wire-end ferrule</t>
  </si>
  <si>
    <t>Weidmuller Product; TRS 120VUC 2CO</t>
  </si>
  <si>
    <t>Weidmuller Product; RSX LOETST. LP</t>
  </si>
  <si>
    <t>Weidmuller Product; WDU 4 GR PN:1037800000</t>
  </si>
  <si>
    <t>Weidmuller Product; EW 35 GR PN:1854410000</t>
  </si>
  <si>
    <t>Weidmuller Product; SAK 4 PN:128360000</t>
  </si>
  <si>
    <t>Weidmuller Product; AP SAK 4-10 PN:117960000</t>
  </si>
  <si>
    <t>Weidmuller Product;WQV 2.5/4;PN:1053860000</t>
  </si>
  <si>
    <t>Weidmuller Product;WQV 2.5/20;PN:1577570000</t>
  </si>
  <si>
    <t>Weidmuller Product;WQV 4/3;PN:1054560000</t>
  </si>
  <si>
    <t>Weidmuller Product;WQL 2 WFF70;PN:1065000000</t>
  </si>
  <si>
    <t>Weidmuller Product;WQL 2 WFF120;PN:1065100000</t>
  </si>
  <si>
    <t>Weidmuller Product;WQL 3 WFF35;PN:1065400000</t>
  </si>
  <si>
    <t>Weidmuller Product;WQL 3 WFF70;PN:1065500000</t>
  </si>
  <si>
    <t>Weidmuller Product;WQL 3 WFF120;PN:1065600000</t>
  </si>
  <si>
    <t>Weidmuller Product;WTW WFF35;PN:1067100000</t>
  </si>
  <si>
    <t>Weidmuller Product;WTW WFF70;PN:1067200000</t>
  </si>
  <si>
    <t>Weidmuller Product;WTW WFF120;PN:1067300000</t>
  </si>
  <si>
    <t>Weidmuller Product;SAK 10;PN:110060000</t>
  </si>
  <si>
    <t>Weidmuller Product;SAK 35;PN:303560000</t>
  </si>
  <si>
    <t>Weidmuller Product;Q 10 SAK4;PN:368800000</t>
  </si>
  <si>
    <t>Weidmuller Product;Q 10 SAK10;PN:457400000</t>
  </si>
  <si>
    <t>Weidmuller Product;Q 3 AKZ4;PN:336500000</t>
  </si>
  <si>
    <t>Weidmuller Product;Q 10 AKZ4;PN:368600000</t>
  </si>
  <si>
    <t>Weidmuller Product; AKE 4; P/N:380260000</t>
  </si>
  <si>
    <t>Weidmuller Product; W2C 4 DT; P/N: 2892740000</t>
  </si>
  <si>
    <t>Weidmuller Product; WEP 2C 4; P/N: 2894210000</t>
  </si>
  <si>
    <t>Weidmuller Product; WDU 4N; P/N:1042600000</t>
  </si>
  <si>
    <t>Weidmuller; VG M25-MS 68;P/N:1772230000</t>
  </si>
  <si>
    <t>Weidmuller Product; RCL114024; P/N:8693180000</t>
  </si>
  <si>
    <t>Weidmuller Product; RCL214730; P/N:8693300000</t>
  </si>
  <si>
    <t>Weidmuller Product; SAKR/35; P/N: 172160000</t>
  </si>
  <si>
    <t>Weidmuller Product; WQB B/24; P/N: 1579060000</t>
  </si>
  <si>
    <t>MPV KIT</t>
  </si>
  <si>
    <t>ELEMENT SEPARATOR 317 CFM1 PN 10451050</t>
  </si>
  <si>
    <t>MPV kit (37KW) PN 15400445</t>
  </si>
  <si>
    <t>CONTROLLER BOARD NEURON XT PN 18362887</t>
  </si>
  <si>
    <t>ELEMENT, THERM VALVE 125 DEG PN 220310800</t>
  </si>
  <si>
    <t>KIT,VALVE BLOW DOWN,1/2"NPT PN 220371089</t>
  </si>
  <si>
    <t>TEMP.SENSOR;0-150DEG;KTY10 PN 00897902C</t>
  </si>
  <si>
    <t>Pressure Transmitter(0-16bar)M PN 00897902N</t>
  </si>
  <si>
    <t>PREFILTER-F4-75 kW PN B000606160002</t>
  </si>
  <si>
    <t>PRE FILTER-EG 55 kW PN B000606250001</t>
  </si>
  <si>
    <t>PRESSURE REGULATOR PRNE PN B001501070001</t>
  </si>
  <si>
    <t>DRIVE COUPLING INSERT UCW276 PN B005401170005</t>
  </si>
  <si>
    <t>AIR OIL SEPARATOR.90-110Kw PN B006700770023</t>
  </si>
  <si>
    <t>SOLENOID VALVE 2 WAY 24V AC PN B007300170002</t>
  </si>
  <si>
    <t>SOLENOID VALVE NC,24V,50HZ PN B007300990004</t>
  </si>
  <si>
    <t>MINIMUM PRESSURE VALVE KIT PN B009301070002</t>
  </si>
  <si>
    <t>BDV KIT HDKG120 PN B009401070003</t>
  </si>
  <si>
    <t>Intake valve kit PN B009405770006</t>
  </si>
  <si>
    <t>ACTR REPAIR KIT WITH SPRING PN B015401070005</t>
  </si>
  <si>
    <t>Pre-filter PN PFE0053</t>
  </si>
  <si>
    <t>Auto drain valve PN B001300110004</t>
  </si>
  <si>
    <t>Rubber Elbow, 4" MDL 300/100 PN 220375400</t>
  </si>
  <si>
    <t>CABLE SET CONTROL MDL 300/100 PN 35302579</t>
  </si>
  <si>
    <t>BDV Kit PN B009405770007</t>
  </si>
  <si>
    <t>AIR FILTER PART NO B004700770038</t>
  </si>
  <si>
    <t>Cooler Oil &amp; After PN B012900690003</t>
  </si>
  <si>
    <t>THERMAL ELEMENT PN B008706030003</t>
  </si>
  <si>
    <t>FF Element 0108 PN 12400019</t>
  </si>
  <si>
    <t>CONNECTOR; RUBBER; 6" P N 220371770</t>
  </si>
  <si>
    <t>Housing Assembly PN B011106740001</t>
  </si>
  <si>
    <t>VALVE ASSY PR.RELIEF 1" P N A010107</t>
  </si>
  <si>
    <t>COUPLING ELEMENT B005400900018</t>
  </si>
  <si>
    <t>Actuator kit P N B009405770004</t>
  </si>
  <si>
    <t>KIT ACTUATOR P N B011405770002</t>
  </si>
  <si>
    <t>SERVICE KIT FOR ACUATOR HB P N B009401070001</t>
  </si>
  <si>
    <t>DCV KIT P N 220311539</t>
  </si>
  <si>
    <t>SINGLE ACTING ACTUATOR P N B011405770001</t>
  </si>
  <si>
    <t>Air filter element P N B004700770028</t>
  </si>
  <si>
    <t>Air Receiver tank 3000 ltrs Model VA080</t>
  </si>
  <si>
    <t>MPV WITH CHECK VALVE MPVL50(B009301070001)</t>
  </si>
  <si>
    <t>Separator Element(PN-X018332)</t>
  </si>
  <si>
    <t>GLASS OIL SIGHT 1 1/2 NPT P N A010018</t>
  </si>
  <si>
    <t>AF 0088P ,Pre Filter ,88 cfm B003308170005</t>
  </si>
  <si>
    <t>AF 0088F ,Fine Filter -88cfm B003308170023</t>
  </si>
  <si>
    <t>SLEEVE FOR 6x4MM TUBE(PN 959763)</t>
  </si>
  <si>
    <t>MINIMUM PRESSURE VALVE</t>
  </si>
  <si>
    <t>Separator element with gasket,B006700770021</t>
  </si>
  <si>
    <t>Oil Filter Element, B004800770004</t>
  </si>
  <si>
    <t>OIL ELGI AIRLUBE RAC 1 Ltr, 998044</t>
  </si>
  <si>
    <t>Intake valve - 30, 37KW, B009800780007</t>
  </si>
  <si>
    <t>VALVE, PR RELIEF 1INCH 1</t>
  </si>
  <si>
    <t>ROD,PISTON,MPV,25S.M/C P/N-220214710</t>
  </si>
  <si>
    <t>ELBOW; TMS; 1/4"X1/4"NPT P/N-22047681B</t>
  </si>
  <si>
    <t>FERRULE; 1/4" P/N-220370700</t>
  </si>
  <si>
    <t>2879766 TACHOMETER NTA P/N-B013603500500</t>
  </si>
  <si>
    <t>RING, ADAPTER, 20S P/N-22027262A</t>
  </si>
  <si>
    <t>3067459_GASKET,ROCKER LEVER CO</t>
  </si>
  <si>
    <t>COUPLING TDS-27/DT-27 DV0</t>
  </si>
  <si>
    <t>Refrigerent air dryer ,PN EGRD 1550</t>
  </si>
  <si>
    <t>AF 0912PF 2 1/2'' BSP</t>
  </si>
  <si>
    <t>AF 0912FF 2 1/2'' BSP</t>
  </si>
  <si>
    <t>ACTUATOR KIT P/N:972300060</t>
  </si>
  <si>
    <t>Polyrex EM N2/400 grams P/N:15404152</t>
  </si>
  <si>
    <t>GREASE-EM UNIREX N3 P/N:15404151</t>
  </si>
  <si>
    <t>MPV Kit P/N:B009301070017</t>
  </si>
  <si>
    <t>MOS Kit P/N:B000305480005</t>
  </si>
  <si>
    <t>DRIVE COUPLING INSERT UC P/N:B005401170008</t>
  </si>
  <si>
    <t>NEURON XT CONNECTOR SET P/N:897903T</t>
  </si>
  <si>
    <t>SEAL KIT, ITEM CODE : PRD RC 00 30A0</t>
  </si>
  <si>
    <t>BEARING KIT, ITEM CODE : PRD RC 00 32A0</t>
  </si>
  <si>
    <t>BUTTERFLY VALVE 4", ITEM CODE : PRD VE 03 560</t>
  </si>
  <si>
    <t>FUSE_30 AMPS, ITEM CODE : PRD AE 01 660</t>
  </si>
  <si>
    <t>ELBOW TEE _8MM, ITEM CODE : PRD EB 00 460</t>
  </si>
  <si>
    <t>NYLON BUSH_HQ, ITEM CODE : PRD CA 04 500</t>
  </si>
  <si>
    <t>NYLON BUSH_NQ, ITEM CODE : PRD CA 04 510</t>
  </si>
  <si>
    <t>PLUNGER NUT, ITEM CODE : PRD PM 00 04 050</t>
  </si>
  <si>
    <t>VALVE ASSEMBLY, ITEM CODE : PRD PM 00 04 060</t>
  </si>
  <si>
    <t>CYLINDER, ITEM CODE : PRD PM 00 04 010</t>
  </si>
  <si>
    <t>PISTON CUP, ITEM CODE : PRD PM 00 04 040</t>
  </si>
  <si>
    <t>PISTON HOLDER, ITEM CODE : PRD PM 00 04 070</t>
  </si>
  <si>
    <t>PISTON RETAINER, ITEM CODE : PRD PM 00 04 080</t>
  </si>
  <si>
    <t>O-RING, ROD SEAL, ITEM CODE : PRD SL 02 320</t>
  </si>
  <si>
    <t>Drive Coupling Dia.75/50 P/N-B548310</t>
  </si>
  <si>
    <t>SLEEVE, WEAR, 12S, MEGA P/N-223430700</t>
  </si>
  <si>
    <t>AIR FILTER ASSY E11-E15| PN:1</t>
  </si>
  <si>
    <t>INNER 3814313_ENGINE AIR FILTE| PN:1</t>
  </si>
  <si>
    <t>Prefilter 30kW EN102| PN:1</t>
  </si>
  <si>
    <t>PRE FILTER ELEMENT- EG 55 - 16| PN:2</t>
  </si>
  <si>
    <t>Desc:4080720 STRAINER FUEL| P/N:B013603500362</t>
  </si>
  <si>
    <t>Desc:VALVE ASSY ;NON RETURN 1/4"| P/N:B441701</t>
  </si>
  <si>
    <t>ELBOW RUBBER | P/N- 15318798</t>
  </si>
  <si>
    <t>1003204103 - COMPLETE PISTON HOSING</t>
  </si>
  <si>
    <t>1001413 - OIL PUMP</t>
  </si>
  <si>
    <t>Model SF 100 SY Element</t>
  </si>
  <si>
    <t>TEMP.SENSOR;0-150DEG;KTY10 18400077</t>
  </si>
  <si>
    <t>5/2 Roller lever valve- G1/8 -P N 80336038</t>
  </si>
  <si>
    <t>CHECKING</t>
  </si>
  <si>
    <t>ESHA</t>
  </si>
  <si>
    <t xml:space="preserve">CREDIT SALES </t>
  </si>
  <si>
    <t>FOC</t>
  </si>
  <si>
    <t>MET</t>
  </si>
  <si>
    <t>PHYSICAL  COUNT</t>
  </si>
  <si>
    <t>Grand Total</t>
  </si>
  <si>
    <t xml:space="preserve">BY -DIVISION </t>
  </si>
  <si>
    <t>BY - COORDINATORS</t>
  </si>
  <si>
    <t>Matching Stock</t>
  </si>
  <si>
    <t xml:space="preserve">Summary of Reports </t>
  </si>
  <si>
    <t>Number Of Count</t>
  </si>
  <si>
    <t>Remaing</t>
  </si>
  <si>
    <t>Item</t>
  </si>
  <si>
    <t>Matching Percentage</t>
  </si>
  <si>
    <t>Final Reports  Stock Count</t>
  </si>
  <si>
    <t>ONGOING FALLOW- UP</t>
  </si>
  <si>
    <t>NUMBER OF ITEMS</t>
  </si>
  <si>
    <t xml:space="preserve">SUMMARY OF 2026 – RANDOM STOCK COUNT </t>
  </si>
  <si>
    <t>Description</t>
  </si>
  <si>
    <t>Org</t>
  </si>
  <si>
    <t>Supplier</t>
  </si>
  <si>
    <t>Total Value (SAR)</t>
  </si>
  <si>
    <t>Total Qty</t>
  </si>
  <si>
    <t xml:space="preserve">MTL: 1649384 TURBINE; POWER RATING: 1960 KW, </t>
  </si>
  <si>
    <t>MEL</t>
  </si>
  <si>
    <t>ELLIOTT EBARA TURBOMACHINERY INDIA PVT. LTD.</t>
  </si>
  <si>
    <t>MATL: 1000022170, ADMIXTURE: DRILLING MUD; 25</t>
  </si>
  <si>
    <t>MCH</t>
  </si>
  <si>
    <t>SR INTERNATIONAL</t>
  </si>
  <si>
    <t xml:space="preserve">MATL : 1000704418 OIL; TYPE: BASE, CONTAINER </t>
  </si>
  <si>
    <t>Quaker Houghton Sales B.V.</t>
  </si>
  <si>
    <t>Diesel Portable compressor 400 cfm PN PG400-1</t>
  </si>
  <si>
    <t>ELGI Gulf FZE</t>
  </si>
  <si>
    <t>VariAS-Block steel ball valve bore Ã˜14mm;Allo</t>
  </si>
  <si>
    <t>IPR</t>
  </si>
  <si>
    <t>Binzagr International Trading Company</t>
  </si>
  <si>
    <t>1000426106 BLADE, AGITATOR; TYPE: AXIAL FLOW(</t>
  </si>
  <si>
    <t>MJT</t>
  </si>
  <si>
    <t>SPX MIDDLE EAST FZE</t>
  </si>
  <si>
    <t>"MATL:1000140015  SHAFT; TYPE: LOW SPEED, MAT</t>
  </si>
  <si>
    <t>Mixing Solutions Ltd</t>
  </si>
  <si>
    <t>Pressure Transmitter;EJA530E-JBS4N-03CDN/SU22</t>
  </si>
  <si>
    <t>Yokogawa Saudi Arabia Company</t>
  </si>
  <si>
    <t>GBOX11298081, GEARBOX LMV-322, SN- 85112980/8</t>
  </si>
  <si>
    <t>MDR</t>
  </si>
  <si>
    <t>Sundyne International S.A.</t>
  </si>
  <si>
    <t>Screw Air compressor ,55KW/75HP,283CFM,10BAR,</t>
  </si>
  <si>
    <t>"Screw Air compressorÂ  EG 132P-125 VFD S01454</t>
  </si>
  <si>
    <t>PUMP CASE, SERIAL NO: A-1356530-04/05, PN- PC</t>
  </si>
  <si>
    <t>PLG01MXXBFS + DL01MXX + NW01M   Plug male typ</t>
  </si>
  <si>
    <t>Bartec Middle East LLC</t>
  </si>
  <si>
    <t>3-SS Cable Glands Including Accessories (PAP-</t>
  </si>
  <si>
    <t>Ultrasonic Level Transmitter, US-23</t>
  </si>
  <si>
    <t>Ametek Drexelbrook</t>
  </si>
  <si>
    <t>QUAKER HOUGHTON SALES B.V. SUCURSAL EN ESPANA</t>
  </si>
  <si>
    <t>Gear Box Berri,  PN- GBOXD871997-1</t>
  </si>
  <si>
    <t>MATL : 1000704416 : OIL; TYPE: BASE, CONTAINE</t>
  </si>
  <si>
    <t>"Nikkiso Conversion Gearbox,SN-E37-0015A-1,2,</t>
  </si>
  <si>
    <t>Screw Air compressor ,30KW/40HP,157CFM,10BAR,</t>
  </si>
  <si>
    <t>Engine: Yanmar 4TNV 88Capacity: 200 cfm, Pres</t>
  </si>
  <si>
    <t>Gearbox,LMV 311, PN-EXCGBOXD870452-1,SN-D-D87</t>
  </si>
  <si>
    <t>Gauge Pressure Transmitter;   EJA530E-JDH4N-0</t>
  </si>
  <si>
    <t>Weidmuller; Accessories Cross Connector; P/N:</t>
  </si>
  <si>
    <t>Weidmuller Middle East (FZE)</t>
  </si>
  <si>
    <t>Diesel Portable compressor 380 cfm PN PG380-1</t>
  </si>
  <si>
    <t>IMPELLER, SERIAL NO : A1356530-04/05, PN- E-J</t>
  </si>
  <si>
    <t>Diesel Portable compressor 185 cfm PN PG185-1</t>
  </si>
  <si>
    <t>Screw Air compressor ,22KW/30HP,105CFM,10BAR,</t>
  </si>
  <si>
    <t>MATL : 1000704415 : OIL; TYPE: BASE, CONTAINE</t>
  </si>
  <si>
    <t>DIFFUSER, SERIAL NO : 1356530-04/05, PN- DJA1</t>
  </si>
  <si>
    <t>FS-Elliott Co., LLC</t>
  </si>
  <si>
    <t>MATL : 983548 OIL, INDUSTRIAL: QUAKEROL HD 1.</t>
  </si>
  <si>
    <t xml:space="preserve">Weidmuller Product; W2C 4 FS 10-36V BK; P/N: </t>
  </si>
  <si>
    <t>Insurance Kit  PN- 840119-IK</t>
  </si>
  <si>
    <t>HMD Seal/Less Pumps Ltd.</t>
  </si>
  <si>
    <t>Bartec Product; SS316L PAP-R-04-NXX+kit acces</t>
  </si>
  <si>
    <t>Coriolis Mass Flow Meter;RCUN10K-15BA10-0C7E-</t>
  </si>
  <si>
    <t>Yokogawa Middle East &amp; Africa B.S.C. Â©</t>
  </si>
  <si>
    <t>MATL: 1017881 O-RING,COUPLING GUARD ADAPTOR,5</t>
  </si>
  <si>
    <t>Elliott Turbomachinery Limited</t>
  </si>
  <si>
    <t>MATL : 1000613468  TRAP STEAM; THERMOSTATIC ,</t>
  </si>
  <si>
    <t>MDS</t>
  </si>
  <si>
    <t>Armstrong International SA</t>
  </si>
  <si>
    <t>PKG. XMT 400 arc reach + smart feeder | MLR.9</t>
  </si>
  <si>
    <t>SOUTHERN WELDING SYSTEMS INTERNATIONAL LLC</t>
  </si>
  <si>
    <t>MTL: 10702510 BEARING, JOURNAL  Part Number:H</t>
  </si>
  <si>
    <t>Bartec Product; SS316L PAP-R-05-NXX+kit acces</t>
  </si>
  <si>
    <t>Bartec Product; SS316L PNA-R-06-NXX+kit acces</t>
  </si>
  <si>
    <t>"MTL: 1000140586: BEARING; JOURNAL TYPE,ASSEM</t>
  </si>
  <si>
    <t>Screw Air compressor,75KW/100HP,415CFM,10BAR,</t>
  </si>
  <si>
    <t>ELGI screw air compressor EG 160-150 380V/60H</t>
  </si>
  <si>
    <t>Weidmuller Product;WTL 4/2 STB; PN:1881650000</t>
  </si>
  <si>
    <t>INDUCER, SERIAL NO: A1356530-01-03, PN- JNA13</t>
  </si>
  <si>
    <t>MTL: 1000179022: VALVE; GOVERNOR TYPE,WITH ST</t>
  </si>
  <si>
    <t>INSURANCE KIT FOR PUMP 840773, PN- 840773-IK</t>
  </si>
  <si>
    <t>FSD</t>
  </si>
  <si>
    <t>SKF Products; NU 260 M/C4S1</t>
  </si>
  <si>
    <t>SKF Eurotrade AB</t>
  </si>
  <si>
    <t>Screw Air compressor ,37KW/50HP,203CFM,10BAR,</t>
  </si>
  <si>
    <t>Khurais Ex Gear Box, PN- EXCGBOXA1488325-03-0</t>
  </si>
  <si>
    <t>OIL AIR LUBE XD-20L (BPCL) PN 998053</t>
  </si>
  <si>
    <t>SKF BEARING  6080 M/C3</t>
  </si>
  <si>
    <t>COVER; TYPE: DIFFUSER,SN-A-1356530-04/05,PN-C</t>
  </si>
  <si>
    <t>Exchange Gear Box for Model No.  LMV-322, S/N</t>
  </si>
  <si>
    <t>GEARBOX PART NO: CONV-GBOXE61-0025H-1, S/N 61</t>
  </si>
  <si>
    <t>GEARBOX, PN- CONV-GBOXE61-0025F-1</t>
  </si>
  <si>
    <t>Barrier cable gland, armored cable type PAP-R</t>
  </si>
  <si>
    <t>Coriolis Mass Flow Meter;RCUN10K-15BA40-0C7E-</t>
  </si>
  <si>
    <t xml:space="preserve">MTL: 1000398649: BEARING TILTING PAD THRUST; </t>
  </si>
  <si>
    <t>Screw Air compressor EG 110-150 380V/60HZ S01</t>
  </si>
  <si>
    <t>Bartec Feam Cable Gland; PAP-R-01-NON, MALE 1</t>
  </si>
  <si>
    <t>Bartec Product; SS316L PAP-R-06-NXX+kit acces</t>
  </si>
  <si>
    <t>ELGI Encaps crew air compressorÂ  EN 5-100 380</t>
  </si>
  <si>
    <t>Bartec Feam Cable Gland; PNA-R-02-NON, MALE 3</t>
  </si>
  <si>
    <t>MATL:1001144741  TRAP STEAM; INTELLIGENT TYPE</t>
  </si>
  <si>
    <t>EclipseÂ® Guided Wave Radar Level Transmitter;</t>
  </si>
  <si>
    <t>IAR</t>
  </si>
  <si>
    <t>AMETEK Magnetrol USA, LLC</t>
  </si>
  <si>
    <t>MATL : 1400055920  QUAKER QUINTOLUBRIC 888-46</t>
  </si>
  <si>
    <t>Bartec Product; SS316L PNA-R-05-NXX+kit acces</t>
  </si>
  <si>
    <t>ELGi Stationary air-cooled screw air compress</t>
  </si>
  <si>
    <t>HSS Journal bearing, Lower   PN- BT20AG0875B</t>
  </si>
  <si>
    <t>Differential Pressure Transmitter;EJA110E-FMS</t>
  </si>
  <si>
    <t>Capacity of 600cfm (300cfm At 45C Ambient &amp; 5</t>
  </si>
  <si>
    <t>Summits Hygronics Private Limited</t>
  </si>
  <si>
    <t>3-SS Cable Glands Including Accessories  PAP-</t>
  </si>
  <si>
    <t>Bartec Feam Cable Gland; PAP-R 02 NON,MALE 3/</t>
  </si>
  <si>
    <t>07-3323-4400 Switching Module 1NC / 1NO</t>
  </si>
  <si>
    <t>Screw Air compressor, 11KW/15HP,51CFM ,10BAR,</t>
  </si>
  <si>
    <t>Matl: 1000600482 BAFFLE; OIL TYPE,FOR BEARING</t>
  </si>
  <si>
    <t>Matl: 1000934915 BEARING; THRUST TYPE,OCM: KM</t>
  </si>
  <si>
    <t>Matl: 1000934916 BEARING; THRUST TYPE,OCM: KM</t>
  </si>
  <si>
    <t>Reducer female-male type REB01N01MXX, executi</t>
  </si>
  <si>
    <t>Bartec Feam Cable Gland; PAP-02-NON, male 3/4</t>
  </si>
  <si>
    <t>MAT NO. 1001561829, BUSHING; THROTTLE TYPE S/</t>
  </si>
  <si>
    <t>07-3353-4120 Indicator Module Green</t>
  </si>
  <si>
    <t>Coriolis Mass Flow Meter;RCUN06K-15BA10-0D9E-</t>
  </si>
  <si>
    <t>SLEEVE, SHAFT: SEAL, TANDEM, IMPELLER   - PN:</t>
  </si>
  <si>
    <t>Bartec Product; SS316L PAP-01-NXX+kit accesso</t>
  </si>
  <si>
    <t>Bartec Feam Cable Gland; PAP-03-MON, male M32</t>
  </si>
  <si>
    <t>Weidmuller; TERMINAL BLOCK; P/N: 1020200000 M</t>
  </si>
  <si>
    <t>SHAFT, ASSEMBLY, LOW SPEED, GEARBOX     - PN:</t>
  </si>
  <si>
    <t>Bartec Product; SS316L PAP-R-02-MXX+kit acces</t>
  </si>
  <si>
    <t>Matl: 1000600483 BAFFLE; OIL TYPE,FOR BEARING</t>
  </si>
  <si>
    <t xml:space="preserve">ELGI AIRLUBE UT SYN 20L(5.3G)  Part Number : </t>
  </si>
  <si>
    <t>Bartec Feam Cable Gland; PAP-04-NON, male 1 1</t>
  </si>
  <si>
    <t>Weidmuller; TERMINAL BLOCK WEIDMULLER P/N: 10</t>
  </si>
  <si>
    <t>Honeywell make HART loop Indicators:RMA801-D-</t>
  </si>
  <si>
    <t>ABDUL RAHMAN ALI AL TURKI COMPANY FOR TRADING &amp; CONTRACTING LLC</t>
  </si>
  <si>
    <t>SPARE BEARING PLATE, PN- SPARE-E-HO14AA02H00A</t>
  </si>
  <si>
    <t xml:space="preserve">EclipseÂ® Guided Wave Radar Level Transmitter </t>
  </si>
  <si>
    <t>Bartec Product; SS316L PAP-05-MXX+kit accesso</t>
  </si>
  <si>
    <t>Bartec Product; SS316L PAP-06-MXX+kit accesso</t>
  </si>
  <si>
    <t>Bartec cable gland, Unarmored cable type PNA-</t>
  </si>
  <si>
    <t>SKF BEARING - 81160 M</t>
  </si>
  <si>
    <t>MTL : 1000158144 SEAL; AIR TYPE,SIZE 1-3/4 IN</t>
  </si>
  <si>
    <t>Top mounted displacer level switch;A15-AG3B-C</t>
  </si>
  <si>
    <t>AMETEK Middle East FZE</t>
  </si>
  <si>
    <t>Weidmuller; P/N:1020080000 WDU 2.5 BL</t>
  </si>
  <si>
    <t>Yokogawa pH Sensor, Model_No.: FU20-VP-T1-FTS</t>
  </si>
  <si>
    <t xml:space="preserve">PLG02MXXBFS + DL02MXX + NW02M Plug male type </t>
  </si>
  <si>
    <t>Weidmueller,Product :236500000,Part No: TS 35</t>
  </si>
  <si>
    <t>ASSEMBLY, INPUT SHAFT, BEARINGS.        - PN:</t>
  </si>
  <si>
    <t>Refrigerent air dryer ,400CFM,14BAR,230V/60HZ</t>
  </si>
  <si>
    <t>HSS Journal bearing, upper,PN-BT20AG0675B/BT2</t>
  </si>
  <si>
    <t>TURBINE FLOWMETER;TZN 50-30</t>
  </si>
  <si>
    <t>FAURE HERMAN</t>
  </si>
  <si>
    <t>High speed shaft assembly   PN- SH01BA21VA</t>
  </si>
  <si>
    <t>Pepperl+Fuchs (ME) FZE</t>
  </si>
  <si>
    <t>SPARE UPPER GBX HSG 400 HP, PN- SPARE-HO06AD0</t>
  </si>
  <si>
    <t xml:space="preserve">Bartec Feam Cable Gland; PAP-06-NON, male 2" </t>
  </si>
  <si>
    <t>Bartec Feam Cable Gland; PAP-R-01-NXX;male 1/</t>
  </si>
  <si>
    <t>PMT</t>
  </si>
  <si>
    <t>MATL : 050-05-02-00002  OIL CK-QUAKERCOOL - 2</t>
  </si>
  <si>
    <t>Differential Pressure Transmitter;EJA530E-JMA</t>
  </si>
  <si>
    <t>Screw air compressor 7KW,10HP ,34 cfm,380V,3P</t>
  </si>
  <si>
    <t>Pressure Transmitter:EJA530E-JDH4N-03CDL/SF22</t>
  </si>
  <si>
    <t>Screw Air compressor ,15KW/20HP,61.5CFM,10BAR</t>
  </si>
  <si>
    <t xml:space="preserve">Trace Oxygen Analyzer for Tail  Gas at Sabic </t>
  </si>
  <si>
    <t>ISS</t>
  </si>
  <si>
    <t>Teledyne Analytical Instruments</t>
  </si>
  <si>
    <t>Bartec Product; SS316L PAP-04-MXX+kit accesso</t>
  </si>
  <si>
    <t xml:space="preserve">Weidmuller; TERMINAL BLOCK; P/N: 1010400000; </t>
  </si>
  <si>
    <t xml:space="preserve">Matl: 1000157580 BEARING; THRUST TYPE SERIAL </t>
  </si>
  <si>
    <t>KIT, LUBE                               - PN:</t>
  </si>
  <si>
    <t>Bartec Product; SS316L PAP-03-MXX+kit accesso</t>
  </si>
  <si>
    <t>Refrigerent air dryer ,500CFM,14BAR,230V/60HZ</t>
  </si>
  <si>
    <t>Pressure Transmitter;EJA530E-JCH7N-012EL/D3/T</t>
  </si>
  <si>
    <t>Weidmuller; Terminal Blocks &amp; Accessories; P/</t>
  </si>
  <si>
    <t>FOPP144PORT19" RACK MOUNTED  760231514(HD-2U-</t>
  </si>
  <si>
    <t>Gas Vector Saudi Arabia Ltd.</t>
  </si>
  <si>
    <t>Weidmuller Product; Model:ZQV 2.5N/50; PN:152</t>
  </si>
  <si>
    <t>Bartec Feam Cable Gland; PNA-R-02-MIX + KIT</t>
  </si>
  <si>
    <t>SPARE GEARBOX HOUSING, PN- SPARE-E-HO13AA09PR</t>
  </si>
  <si>
    <t>MATL : QUAKEROL 30-LVP SA</t>
  </si>
  <si>
    <t>1000157589:BEARING; THRUST TYPE,HIGH SPEED FR</t>
  </si>
  <si>
    <t>SKF BEARING-SKF 29328 E</t>
  </si>
  <si>
    <t xml:space="preserve">MAT NO. 118940, BEARING SLEEVE: TYPE JOURNAL </t>
  </si>
  <si>
    <t>THERMAL RELIEF VALVE   PN  F24-1446-9</t>
  </si>
  <si>
    <t xml:space="preserve">VariAS-Block steel ball valve bore Ã˜14mm;6Mo </t>
  </si>
  <si>
    <t>Bartec Product; SS316L 1-1/2" MALE TO 3/4" FE</t>
  </si>
  <si>
    <t>Bartec Feam Cable Gland; PAP-05 NIX</t>
  </si>
  <si>
    <t xml:space="preserve">Vertical Air receiver tank 2000 LTRS  Max Pr </t>
  </si>
  <si>
    <t>Bartec Feam Cable Gland; PAP-R-04-NON, MALE 1</t>
  </si>
  <si>
    <t>VALVE: PUMP HEAD, 6 MM, ASTM A182-F51| P/N-BL</t>
  </si>
  <si>
    <t>Bartec Feam Cable Gland; PAP-R 03 MON + KIT</t>
  </si>
  <si>
    <t>Module Processor;SCP461-E1</t>
  </si>
  <si>
    <t>Weidmueller,Product:1059000000;WEW 35/1</t>
  </si>
  <si>
    <t>SKF BEARING:PN:201141644; Model:NU 1040 M</t>
  </si>
  <si>
    <t>Module Foundation FieldBus Communication Type</t>
  </si>
  <si>
    <t xml:space="preserve">Weidmuller; Terminal Block; P/N: 0697160000; </t>
  </si>
  <si>
    <t>Atlasâ„¢ magnetic level indicator, 1M1-BA3B-BEC</t>
  </si>
  <si>
    <t>IWS</t>
  </si>
  <si>
    <t>Magnetrol International NV</t>
  </si>
  <si>
    <t>Diesel Portable compressor 330 cfm PN PG330-1</t>
  </si>
  <si>
    <t>Bartec Feam Cable Gland; PAP-R 05 MON + KIT</t>
  </si>
  <si>
    <t>AIR FILTER ASSY 530 CFM P N B004700770039</t>
  </si>
  <si>
    <t>Temperature Transmitter;YTA610-JA2C2DK/N4/SU2</t>
  </si>
  <si>
    <t>SEAL, FLOWSERVE, GLS, LOWER,PN-SE04AA63RZ1UC1</t>
  </si>
  <si>
    <t>Bartec Feam Cable Gland; PAP-R 04 MON + KIT</t>
  </si>
  <si>
    <t>Weidmueller Product; Model:WFS 4 10-36V;  PN:</t>
  </si>
  <si>
    <t>SEPARATOR ELEMENT TWO STAGE PN 22032259B</t>
  </si>
  <si>
    <t>SKF Product 7322 BECCM</t>
  </si>
  <si>
    <t>P&amp;F TEMPERATURE MULTI INPUT DEVICE; RDO-TI-EX</t>
  </si>
  <si>
    <t>Bartec Product; SS316L PAP-R-04-MXX+kit acces</t>
  </si>
  <si>
    <t>Universal Bearings Company</t>
  </si>
  <si>
    <t>Variable Area Flow Meter;RAMC02-A3SS-62M1-J90</t>
  </si>
  <si>
    <t>Gauge Pressure Transmitter;EJA530E-JDH4N-03CE</t>
  </si>
  <si>
    <t xml:space="preserve">Pepperl+Fuchs Inductive Sensor;NJ8-18-GK-SN; </t>
  </si>
  <si>
    <t>Bartec Feam Cable Gland; PAP-05-NON, male 1 1</t>
  </si>
  <si>
    <t>MATL:1000954861 HEAD; PUMP TYPE,6X20 MT12 Mod</t>
  </si>
  <si>
    <t>ELIX 080 DA, 800cfmÂ  ,460V ,60 Hz</t>
  </si>
  <si>
    <t>MATL: 1000569709 VALVE; PLUNGER PUMP TYPE,MAT</t>
  </si>
  <si>
    <t>Bartec Product; SS316L PAP-06-NXX+kit accesso</t>
  </si>
  <si>
    <t>Pressure Trasnmitter:EJA530E-FBS4N-03CDL/SS26</t>
  </si>
  <si>
    <t xml:space="preserve">MTL : 1000115757 LINK; SPRING TYPE,FOR STEAM </t>
  </si>
  <si>
    <t>P+F, Switch Amplifier  Model No. KFD2-SH-Ex1</t>
  </si>
  <si>
    <t>Ralph Messring GmbH</t>
  </si>
  <si>
    <t>MATL : QUAKLEEN WASHTREAT 400A</t>
  </si>
  <si>
    <t>Fuse Terminal-WSI 6/LD 30-70V DC/AC, 10122000</t>
  </si>
  <si>
    <t>Site Service by Yokogawa Analyzer &amp; DCS Engin</t>
  </si>
  <si>
    <t>Yokogawa Services Saudi Arabia Co.</t>
  </si>
  <si>
    <t>Bartec Product; SS316L PAP-02-NXX+kit accesso</t>
  </si>
  <si>
    <t>INDUCER, 316SS                          - PN:</t>
  </si>
  <si>
    <t>600CFM Air Oil Seprator  PN B006700770009</t>
  </si>
  <si>
    <t>MATL:20004122 TRAPSTEAM OEM P/N:E-SS1NH-00AEF</t>
  </si>
  <si>
    <t>Stainless Steel JB with 1 x R2â€SPâ€IC10 â€ Mate</t>
  </si>
  <si>
    <t>Barrier cable gland, Unarmored cable type PNA</t>
  </si>
  <si>
    <t xml:space="preserve">EclipseÂ® guided wave radar level transmitter </t>
  </si>
  <si>
    <t>SEPARATOR ELEMENT P/N-X018333</t>
  </si>
  <si>
    <t>Guided wave TDR level Transmitter:706-512A-31</t>
  </si>
  <si>
    <t>FACE, ROTATING, APPROX. 2.4 IN DIA X 1/4- PN:</t>
  </si>
  <si>
    <t>MTL: 1000133616: COMPRESSOR AIR; AUXILIARY PA</t>
  </si>
  <si>
    <t>Bartec Feam Cable Gland; PAP-R-09-NON, MALE 4</t>
  </si>
  <si>
    <t>QUAKEROL 530 MB 1</t>
  </si>
  <si>
    <t>Weidmuller; P/N: ZQV 2.5/2</t>
  </si>
  <si>
    <t>Weidmuller; Terminal Blocks;   P/N: 791018000</t>
  </si>
  <si>
    <t>Spare part for Cabinet Control:S2NN30D-430100</t>
  </si>
  <si>
    <t>FOPP 24 PORT 19" RACK MOUNTED 760231506(HD-1U</t>
  </si>
  <si>
    <t>60A 3W4P HZD INTERLOCK RECEPT.MARINE GRADE CO</t>
  </si>
  <si>
    <t>Gauge Pressure Transmitter:EJX530A-JDS4N-03CE</t>
  </si>
  <si>
    <t>Bartec Feam Cable Gland; PAP-04 NIX</t>
  </si>
  <si>
    <t>Process Connector  1/2 IN; SS AISI;F9277YZ</t>
  </si>
  <si>
    <t>Eclipse 705 GWR Transmitter Head Assy., X705-</t>
  </si>
  <si>
    <t>ISA</t>
  </si>
  <si>
    <t>P+F, Field Barrier Model No.: RD0-FB-Ex4.COM</t>
  </si>
  <si>
    <t>Magnetic Level Indicator:X1M1-BA1B-BEAC-3333-</t>
  </si>
  <si>
    <t>Orion Instruments, LLC</t>
  </si>
  <si>
    <t xml:space="preserve">Inductive sensor NCB2-12GM40-E2-3G-3D-5M PN: </t>
  </si>
  <si>
    <t>Bartec Product; SS316L PNA-R-04-NXX+kit acces</t>
  </si>
  <si>
    <t>P+F, Signal Converter  Model No. KFD2-UT2-EX1</t>
  </si>
  <si>
    <t>Gauge Pressure Transmitter   EJX530A-JCS4N-02</t>
  </si>
  <si>
    <t>MTL : NS-LM300MSP G-3009T SEAL SLEEVE PR to o</t>
  </si>
  <si>
    <t>HOLDER; BUSH-GSP3-316L/22%CD/SIC,SN-832001A 8</t>
  </si>
  <si>
    <t>Seal Rotating Face Lower  PN-RJ09AK12DDUC</t>
  </si>
  <si>
    <t>Mechanical Seal ,Upper   PN- SE04AD18T</t>
  </si>
  <si>
    <t>Bartec Feam Cable Gland; PAP-01-NON, male 1/2</t>
  </si>
  <si>
    <t>MAT NO. 1000147852, FLANGE;BUSH HOLDER, S/N 8</t>
  </si>
  <si>
    <t>SHAFT: ASSEMBLY, LOW SPEED              - PN:</t>
  </si>
  <si>
    <t>Weidmuller; LED Fuse Terminal Blocks 24VDC;P/</t>
  </si>
  <si>
    <t>Reducer female-male type REB02N02MXX, executi</t>
  </si>
  <si>
    <t>Differential Pressure Transmitter;EJA110E-JHS</t>
  </si>
  <si>
    <t>Weidmueller,Product:1303360000; AKE 2.5</t>
  </si>
  <si>
    <t>MATL : QUINTOLUBRIC 888-68</t>
  </si>
  <si>
    <t xml:space="preserve">Vertical Air receiver tank 1000 LTRS  Max Pr </t>
  </si>
  <si>
    <t>MATL : ELIX Summits PLATRONIKA Fully Automati</t>
  </si>
  <si>
    <t>SHAFT PUMP, 4140, ASTM A322             - PN:</t>
  </si>
  <si>
    <t>Gauge Pressure Transmitter, EJA530E-JBS7N 01C</t>
  </si>
  <si>
    <t>SHAFT: HIGH SPEED, INCLUDING GEAR &amp;     - PN:</t>
  </si>
  <si>
    <t>SKF Product NU 330 ECM</t>
  </si>
  <si>
    <t>KEBx HS Ext 505022 (HWD 500x500x220mm) SS316L</t>
  </si>
  <si>
    <t>Weidmuller Saudi Arabia Factory LLC</t>
  </si>
  <si>
    <t>Weidmuller; Terminal Block &amp; Accessories; P/N</t>
  </si>
  <si>
    <t>Pressure Transmitter:EJA530E-JBH4N-03CEL/SF2/</t>
  </si>
  <si>
    <t>WFS 4 PN: 2561900000</t>
  </si>
  <si>
    <t>HAMMER ASSEMBLY_4.5" RC_REMET WITH RETENTION,</t>
  </si>
  <si>
    <t>PARANTHAMAN EXPORTERS</t>
  </si>
  <si>
    <t>SKF BEARINGS - Model No. FNL 517 B</t>
  </si>
  <si>
    <t>Analog I/O Module(FIO);AAI835-H50/K4A00</t>
  </si>
  <si>
    <t>Gauge Pressure Transmitter, EJA530E-JCS4N-03C</t>
  </si>
  <si>
    <t>P&amp;F FIELDBUS DIAGNOSTIC HANDHELD; FDH-1; P/N:</t>
  </si>
  <si>
    <t>Differential Pressure Transmitter;EJA530E-JCH</t>
  </si>
  <si>
    <t>Gauge Pressure Transmitter,EJA530E-JDS4N-03CE</t>
  </si>
  <si>
    <t>Gauge Pressure Transmitter, EJX530A-FBS8N-02D</t>
  </si>
  <si>
    <t>SHAFT ASSY P3000, SERIAL NO : B1936669-01, B1</t>
  </si>
  <si>
    <t>MAT NO. 10792737, INDUCER PN- JN12AC10DB20</t>
  </si>
  <si>
    <t>3-SS Cable Glands Including Accessories   (PA</t>
  </si>
  <si>
    <t xml:space="preserve">Weidmuller; TERMINAL BLOCK; P/N: 1010500000; </t>
  </si>
  <si>
    <t>ELIX 006 DA, 60cfm</t>
  </si>
  <si>
    <t>2 Valve Manifold inlet:R2AZMA-N4N4-AM01BZ</t>
  </si>
  <si>
    <t>Weidmueller,Product:1028700000,  Part No: WFF</t>
  </si>
  <si>
    <t>Temperature Transmitter:YTA610-JA1A2DB/SU2/N4</t>
  </si>
  <si>
    <t>Refrigerent air dryer ,750CFM,14BAR,380V/60HZ</t>
  </si>
  <si>
    <t>Differential Pressure Transmitter;EJX110A-JHS</t>
  </si>
  <si>
    <t xml:space="preserve">MAT NO. 6000002366, PUMP CENTRIFUGAL, SERIES </t>
  </si>
  <si>
    <t>Weidmueller; Model No:PRO RM 40;  PN:24861100</t>
  </si>
  <si>
    <t>Analog input module;NFAI143-H50/A4S10</t>
  </si>
  <si>
    <t>SKF BEARING - 29336 E</t>
  </si>
  <si>
    <t>Differential Pressure Transmitter;EJA530E-JDH</t>
  </si>
  <si>
    <t>SHAFT ASSEMBLY:/HIGH SPEED.             - PN:</t>
  </si>
  <si>
    <t>Weidmueller,Product:1028600000,Part No: WFF 1</t>
  </si>
  <si>
    <t>Refrigerent air dryer ,200CFM,14BAR,230V/60HZ</t>
  </si>
  <si>
    <t>Coriolis Mass Flow Meter;RCUS34S-25BA10-0C6E-</t>
  </si>
  <si>
    <t>SKF BEARING - 3306 A</t>
  </si>
  <si>
    <t>MTL : 1000748935 PROBE; APPLICATION: SEMI LEA</t>
  </si>
  <si>
    <t>MTL : 1000748926 PROBE; APPLICATION: SEMI LEA</t>
  </si>
  <si>
    <t>SKF BEARING - TIH 220M/LV</t>
  </si>
  <si>
    <t>Spiral wound ring gasket, 012-1210-222</t>
  </si>
  <si>
    <t>SKF BEARINGS - Model No. 29322 E</t>
  </si>
  <si>
    <t>Differential Pressure Transmitter;EJA110E-JMS</t>
  </si>
  <si>
    <t>1747350000;TS 35X7.5 2M/CRN</t>
  </si>
  <si>
    <t>MECHANICAL SEAL                         - PN:</t>
  </si>
  <si>
    <t>MATL:1001554770 TRAP STEAM; FREE FLOAT TYPE,F</t>
  </si>
  <si>
    <t>Coriolis Mass Flow Meter;RCUP40S-25BA10-0C7E-</t>
  </si>
  <si>
    <t>Pepperl &amp; Fuch, Power Hub; HD2-DM-A; P/N: 131</t>
  </si>
  <si>
    <t>P/N: 2467010000, PRO TOP1 960W 24V 40A EX</t>
  </si>
  <si>
    <t>O-ring Repair Kit    PN- RKORP311UN85DB5</t>
  </si>
  <si>
    <t>Miscellaneous: IND-FM2S-1C1-CA-086 Channel WI</t>
  </si>
  <si>
    <t>PUMP, LUBE                              - PN:</t>
  </si>
  <si>
    <t>CORALUBE 3009</t>
  </si>
  <si>
    <t>PLG01NXXBFS + DL01NXX + NW01W    Plug male ty</t>
  </si>
  <si>
    <t>O-ring Repair Kit    PN- RKORP311UN24DB2</t>
  </si>
  <si>
    <t>ELGI SCREW AIR COMPRESSOR 7 KW 12 BAR FIXED S</t>
  </si>
  <si>
    <t>Coriolis Mass Flow Meter;RCUP25S-15BA10-0C7E-</t>
  </si>
  <si>
    <t>Bartec Product; SS316L PNA-R-01-MXX+kit acces</t>
  </si>
  <si>
    <t>Battery Pack, S9450FE</t>
  </si>
  <si>
    <t>SKF Vibration Meter, CMDT 391-K-SL</t>
  </si>
  <si>
    <t>Top mounted displacer level switch;A15-AH3B-C</t>
  </si>
  <si>
    <t>Coriolis Mass Flow Meter;RCUN20K-15BA10-0C7E-</t>
  </si>
  <si>
    <t>Eclipse GWR Level Transmitter;706-512A-012  P</t>
  </si>
  <si>
    <t>RING: COMPRESSION, 6 X 18, WAUKESHA| P/N-BL07</t>
  </si>
  <si>
    <t>"MATL:402483, FLUID:TYP WET TEMPERING,CTNR DR</t>
  </si>
  <si>
    <t>SEAL, FLOWSERVE, GLS, UPPER,PN-SE04AA63RZ1UC1</t>
  </si>
  <si>
    <t>07-3353-4110 Indicator Module Red</t>
  </si>
  <si>
    <t>SKF BEARING - 6322 M/C3</t>
  </si>
  <si>
    <t>SKF Product NU 324 ECM/C3</t>
  </si>
  <si>
    <t>Plug male type PLG, execution Ex d/e IIC, mal</t>
  </si>
  <si>
    <t>Weidmuller; Power Supply; P/N: 1478150000   M</t>
  </si>
  <si>
    <t>ThermatelÂ® Model TA2 Thermal Mass Flow Meter;</t>
  </si>
  <si>
    <t>SHAFT SLEEVE SL02AA01DB2 SERIAL NO. D-D870391</t>
  </si>
  <si>
    <t>DRILL BIT_5 1/2"_RC HAMMER ASSEMBLY, ITEM COD</t>
  </si>
  <si>
    <t>SHAFT: IDLER, ASSEMBLY, FOR MODEL       - PN:</t>
  </si>
  <si>
    <t>AIR FILTER ELEMENT-F4-75KW PN B004700770031</t>
  </si>
  <si>
    <t xml:space="preserve">Module Controller Type, CPU Module for FCN-4 </t>
  </si>
  <si>
    <t>3-SS Cable Gland including Accessories (PNA-R</t>
  </si>
  <si>
    <t>Nafion Gas Dryer, Permapure MD-110-144F-4</t>
  </si>
  <si>
    <t>P+F, Segment Protector for Cabinet Installati</t>
  </si>
  <si>
    <t>Bartec, Feam Plugs PLG-08-NON</t>
  </si>
  <si>
    <t xml:space="preserve">Refrigerent air dryer ,80CFM,14BAR,230V/60HZ </t>
  </si>
  <si>
    <t>Bartec Feam Cable Gland; PNA-R-08 NIX + KIT</t>
  </si>
  <si>
    <t>Bartec Feam Cable Gland; PNA-R-01-NON, MALE 1</t>
  </si>
  <si>
    <t>Coriolis Mass Flow Meter;RCUN10K-15BA20-0C7E-</t>
  </si>
  <si>
    <t>SKF BEARING - 29434E</t>
  </si>
  <si>
    <t>Differential Pressure Transmitter, EJA110E-JM</t>
  </si>
  <si>
    <t>P&amp;F, make temperature multi input device;  Mo</t>
  </si>
  <si>
    <t>Weidmuller; ASK 1 Solid Bar Fused Terminal Bl</t>
  </si>
  <si>
    <t>SKF BEARING - 6330/C3</t>
  </si>
  <si>
    <t>Differential Pressure Transmitter;EJA110E-DMS</t>
  </si>
  <si>
    <t>MATL : QUAKLEEN TURBO 200 AC-A1</t>
  </si>
  <si>
    <t>Differential Pressure Transmitter;EJA110E-FHS</t>
  </si>
  <si>
    <t>WIKA make Flushing Ring ; Model No: 910.27</t>
  </si>
  <si>
    <t>WIKA Saudi Arabia LLC</t>
  </si>
  <si>
    <t>SKF Bearing:7409 BGM</t>
  </si>
  <si>
    <t>Ø·ÙˆÙ‚Ø§, PRE-CUT,PN-LGGASK41729800</t>
  </si>
  <si>
    <t>Horizontal Air receiver tank 500 LTRS</t>
  </si>
  <si>
    <t>Refrigerent air dryer ELIX 125 DA</t>
  </si>
  <si>
    <t>SKF BEARING - 6232/C3</t>
  </si>
  <si>
    <t>1122770000;TRS 24VDC 1CO, Relay</t>
  </si>
  <si>
    <t>Refrigerent air dryer ,150CFM,14BAR,230V/60HZ</t>
  </si>
  <si>
    <t>SKF BEARING - 7330 BCBM</t>
  </si>
  <si>
    <t>MTL: 10722178 MACH, THRUST PLATE, 6308 Manufa</t>
  </si>
  <si>
    <t>SKF Products; NU 324 ECP/C3</t>
  </si>
  <si>
    <t>SKF Product 29340 E</t>
  </si>
  <si>
    <t xml:space="preserve">ELGI AIRLUBE UT SYNTHETIC PLUS - 5L (1.3G) ( </t>
  </si>
  <si>
    <t>Differential Pressure Transmitter;EJA110E-JVS</t>
  </si>
  <si>
    <t>Weidmueller,Product:1608570000;   PN:ZDU 2.5/</t>
  </si>
  <si>
    <t>NORGEN PRODUCT 2401103000000000+0000000080011</t>
  </si>
  <si>
    <t>Norgren GmbH</t>
  </si>
  <si>
    <t>MATL : HOUGHTO-CLEAN 645 1240Kg/IBC Quaker Ho</t>
  </si>
  <si>
    <t>TRS 24VUC 2CO PN: 1123500000</t>
  </si>
  <si>
    <t>Weidmuller Item; PBAG ME TOOLS KIT P/N 774002</t>
  </si>
  <si>
    <t>MAKE : BARTEC; Emergency stop Pull to release</t>
  </si>
  <si>
    <t>P+F, Background Suppression Sensor  Model No.</t>
  </si>
  <si>
    <t xml:space="preserve">Weidmuller; Tools; P/N: 9203610000;Model No. </t>
  </si>
  <si>
    <t>Bartec Feam Cable Gland; PAP-R-06-MON</t>
  </si>
  <si>
    <t>Oliver make 2 valve Manifold;  Model:G12FMHC/</t>
  </si>
  <si>
    <t>Oliver Valves Ltd.</t>
  </si>
  <si>
    <t>P&amp;F Product; LVL-M4-C-DG41500-AIAANA-CDSL..50</t>
  </si>
  <si>
    <t>SKF BEARING - NU 220 ECML/P54S1</t>
  </si>
  <si>
    <t>Octagonal Ring, 012-1905-026</t>
  </si>
  <si>
    <t>SKF Saudi Arabia Ltd.</t>
  </si>
  <si>
    <t>O-RING; EPR, SEAL FLANGE, SEAL HOUSING  - PN:</t>
  </si>
  <si>
    <t>Lithium Battery Assembly Pack, F9915NQ</t>
  </si>
  <si>
    <t>Gauge Pressure Transmitter;EJA530E-FBS4N-03DD</t>
  </si>
  <si>
    <t>FILTER, CARTRIDGE: DISPOSABLE, OIL,     - PN:</t>
  </si>
  <si>
    <t>Orifice Plate Mod.FLC-OP PIPE SIZE: 10"  ( de</t>
  </si>
  <si>
    <t>WIKA  Middle East FZE</t>
  </si>
  <si>
    <t>Weidmuller P/N: 2466980000, PRO TOP1 120W 24V</t>
  </si>
  <si>
    <t>Magnetostrictive Level Transmitter with Probe</t>
  </si>
  <si>
    <t>MATL:1001537370  TRAP STEAM; THERMOSTATIC TYP</t>
  </si>
  <si>
    <t>MAT NO. 1453625, PWR MONITOR SUNDGARD 230-575</t>
  </si>
  <si>
    <t>MYA</t>
  </si>
  <si>
    <t>Emergency stop button P/N: 05-0003-000804</t>
  </si>
  <si>
    <t>Reducre female-male type REB05N05MXX, executi</t>
  </si>
  <si>
    <t>Bartec, Feam Plugs PLG-3 NON, male 1", in nic</t>
  </si>
  <si>
    <t xml:space="preserve">DESCRIPTION : DIAPH,PMP,303436,BRAN+LUEBBE | </t>
  </si>
  <si>
    <t>Shedder Bar, B13+050ABBHA</t>
  </si>
  <si>
    <t>FLC-OP SE 14" #150RF Super Duplex(UNS S32750)</t>
  </si>
  <si>
    <t>SKF Product 2316 K</t>
  </si>
  <si>
    <t>Differential Pressure Transmitter;EJA530E-JAH</t>
  </si>
  <si>
    <t>Impeller,Part No: JM05KD30DB527K0 Replaced by</t>
  </si>
  <si>
    <t>FACE, MECHANICAL SEAL: ROTATING, 17-4   - PN:</t>
  </si>
  <si>
    <t>"MATL:1000126768 Rigid bored taper coupling S</t>
  </si>
  <si>
    <t>SKF BEARINGS -  16032/C3</t>
  </si>
  <si>
    <t>P+F;RELAY MODULE:KFD0-RSH-14S.PS2</t>
  </si>
  <si>
    <t>"VERTICAL AIR RECEIVER TANK CAPACITY â€“ 4000 L</t>
  </si>
  <si>
    <t>SERVICE KIT FOR HDKG120 PN B009401070002</t>
  </si>
  <si>
    <t>O-ring Repair Kit    PN- RKORP322UN24DB2</t>
  </si>
  <si>
    <t>3-SS Cable Glands Including Accessories (PNA-</t>
  </si>
  <si>
    <t>BartecL;Push Button;PN:05-0003-000700</t>
  </si>
  <si>
    <t>[.11.035.602] CUTi 120 400V / 50/60Hz</t>
  </si>
  <si>
    <t>Kjellberg Finsterwalde Plasma und Maschinen GmbH</t>
  </si>
  <si>
    <t>SKF Product 6230/C3</t>
  </si>
  <si>
    <t>ROTATING FACE RJ09AA05RE SERIAL NO. :E47-0029</t>
  </si>
  <si>
    <t>Differential Pressure Transmitter:   EJA10E-J</t>
  </si>
  <si>
    <t>AIR FILTER ASSY F6 OPEN TYPE PN B004700770036</t>
  </si>
  <si>
    <t>OIL FILTER ELEMENT-75 LPM PN B004800770001</t>
  </si>
  <si>
    <t>The Machinery Group LLC</t>
  </si>
  <si>
    <t>RTU Gateway, NFCP501</t>
  </si>
  <si>
    <t>Gauge Pressure Transmitter; EJA530E-JBS4N-03D</t>
  </si>
  <si>
    <t>Weidmueller,Product:1028500000,Part No: WFF 1</t>
  </si>
  <si>
    <t>P+F, Segment  Protector for Cabinet Installat</t>
  </si>
  <si>
    <t>IMPELLER, PUMP: 316L SS                 - PN:</t>
  </si>
  <si>
    <t>Yokogawa make Power supply module;  Model:SPW</t>
  </si>
  <si>
    <t xml:space="preserve">SKF FD Fan Motor Bearing Drive side; NU 1044 </t>
  </si>
  <si>
    <t>P&amp;F Unicom Com Unit;  Model:LB8109H0908;   PN</t>
  </si>
  <si>
    <t>Bartec, Feam Plugs PLG-2 NON, male 3/4", in n</t>
  </si>
  <si>
    <t>Bartec Product; PNA-R-03 MIX</t>
  </si>
  <si>
    <t>MATL:1000103492  PUMP TYPE CHEMICAL INJECTION</t>
  </si>
  <si>
    <t>Differential Pressure Transmitter;   EJA110E-</t>
  </si>
  <si>
    <t>Malt: 10852062  RING, PACKING: MATERIAL: CARB</t>
  </si>
  <si>
    <t>SKF Product NU 230 ECJ/C3</t>
  </si>
  <si>
    <t>INDICATION LAMP, Green;PN:05-0003-001400</t>
  </si>
  <si>
    <t>Weidmuller Product;TRS 230VUC 1CO;PN:11228200</t>
  </si>
  <si>
    <t>Air-Oil Separator-F4-55KW PN B006700770026</t>
  </si>
  <si>
    <t>PLG04MXXBFS + DL04MXX + NW04M   Plug male typ</t>
  </si>
  <si>
    <t>SPARE UPPER GBX HSG LMV 322, PN- SPARE-EXC-HO</t>
  </si>
  <si>
    <t xml:space="preserve">DESCRIPTION : VALVE; DOUBLE BALL TYPE,SIZE 7 </t>
  </si>
  <si>
    <t>Model InstaTrans-XD Oxygen Transmitter with C</t>
  </si>
  <si>
    <t>Shedder Bar, B13+025ABBLA</t>
  </si>
  <si>
    <t>Shedder Bar, B13+050ABBLA</t>
  </si>
  <si>
    <t>Emergency Stop mushroom, â€œPull to Releaseâ€Hea</t>
  </si>
  <si>
    <t>Gauge Pressure Transmitter;;EJA530E-JBH4N-032</t>
  </si>
  <si>
    <t>Bartec Product; PNA-R-04 MIX</t>
  </si>
  <si>
    <t>EchotelÂ® ultrasonic level switch;962-2DA1-0C0</t>
  </si>
  <si>
    <t>Reducer female-male type REB04N04MXX, executi</t>
  </si>
  <si>
    <t>P+F, Inductive Sensor Model No. NJ5-30GK-S1N-</t>
  </si>
  <si>
    <t>SKF BEARING - NU 326 ECJ/C3</t>
  </si>
  <si>
    <t>Analog Input (4-20mA, 8ch, Isolated);NFAI135-</t>
  </si>
  <si>
    <t>Addamegh for Industrial Solutions Est.</t>
  </si>
  <si>
    <t>SKF PRODUCT 1381600</t>
  </si>
  <si>
    <t>Bartec Product; SS316L PNA-04-MXX+kit accesso</t>
  </si>
  <si>
    <t>Spiral wound ring gasket, 012-1204-039</t>
  </si>
  <si>
    <t>"Refrigerated Air Drier,  Model: AR 0500N A4,</t>
  </si>
  <si>
    <t>Magnetic Level Indicator:X1M1-AA1B-BEAC-3333-</t>
  </si>
  <si>
    <t>"MTL:1028403: MAGNETIC PICK-UPS, PN#P8405D102</t>
  </si>
  <si>
    <t>PLG03MXXBFS + DL03MXX + NW03M  Plug male type</t>
  </si>
  <si>
    <t>Bartec Product; SS316L PAP-03-NXX+kit accesso</t>
  </si>
  <si>
    <t>PLG06NXXBFS + DL06NXX + NNW06W   Plug male ty</t>
  </si>
  <si>
    <t>NORGEN PRODUCT 2401147000000000+0000000410312</t>
  </si>
  <si>
    <t>Orifice Plate Mod.FLC-OP PIPE SIZE: 20"  ( de</t>
  </si>
  <si>
    <t>P+F;CURRENT REPEATER; Model:KFD2-STC5-EX1, PN</t>
  </si>
  <si>
    <t>SKF BEARING - 6320 M/C3</t>
  </si>
  <si>
    <t>Yokogawa, Ethernet Communication Module for (</t>
  </si>
  <si>
    <t>Temperature Transmitter;YTA610-JA1C2DJ/SU2/C3</t>
  </si>
  <si>
    <t>Gauge Pressure Transmitter; EJA530E-FAS4N-03D</t>
  </si>
  <si>
    <t>Differential Pressure Transmitter:EJA110E-JVH</t>
  </si>
  <si>
    <t>Pressure Trasnmitter:EJA530E-FCS4N-03CDL/SS26</t>
  </si>
  <si>
    <t>Temperature Transmitter:  YTA610-FA1A2DJ/SU25</t>
  </si>
  <si>
    <t>SKF :SE.E.0-125.RUB.B9</t>
  </si>
  <si>
    <t>SKF Sealing Solutions Austria GmbH</t>
  </si>
  <si>
    <t>P&amp;F Universal Temperature Converter; KCD2-UT2</t>
  </si>
  <si>
    <t>Orifice Plate Mod.FLC-OP PIPE SIZE: 14"  ( de</t>
  </si>
  <si>
    <t>SKF BEARING - 3220 A  Matl:4001016047</t>
  </si>
  <si>
    <t>AIR FILTER ELEMENT SET 1765CFM  P/N-B00570077</t>
  </si>
  <si>
    <t>Bartec; SS316L Drain &amp; Breather ECD1 NIX 1/2"</t>
  </si>
  <si>
    <t>MECHANICAL SEAL, UPPER, NITRILE GASKETS - PN:</t>
  </si>
  <si>
    <t>Weidmuller; Terminal Blocks;  P/N: 7910270000</t>
  </si>
  <si>
    <t>SKF FD Fan Motor Bearing Non Drive Side; 6044</t>
  </si>
  <si>
    <t>Wide Body sensor, FU20-03-T1-NPT</t>
  </si>
  <si>
    <t>SKF BEARINGS -  NU 328 ECM</t>
  </si>
  <si>
    <t>Yokogawa Spares;Model:NFPW444-50</t>
  </si>
  <si>
    <t>P&amp;F Temperature Converter with Trip; KFU8â€GUT</t>
  </si>
  <si>
    <t>Pressure Transmitter:EJA530E-JCS7N-03CEL/SF22</t>
  </si>
  <si>
    <t xml:space="preserve">MATL:1001157927  TRAP STEAM; INVERTED BUCKET </t>
  </si>
  <si>
    <t>Bartec, Feam SS Junction Box ESX 3322 size 33</t>
  </si>
  <si>
    <t>Bartec, Feam Lightining Fixture EVAC301-100HP</t>
  </si>
  <si>
    <t xml:space="preserve">Yokogawa, ESB Bus Coupler Module, Model No.: </t>
  </si>
  <si>
    <t xml:space="preserve">Weidmuller; TERMINAL BLOCK; P/N: 1010100000; </t>
  </si>
  <si>
    <t xml:space="preserve">P&amp;F SMART CURRENT DRIVER; KCD2â€SCDâ€EX1; P/N: </t>
  </si>
  <si>
    <t>P+F;Transmitter power supply:Model:KFD2-STC5-</t>
  </si>
  <si>
    <t>Diaphargm seal;Model:990.27;</t>
  </si>
  <si>
    <t>Coriolis Mass Flow Meter;RCUS34S-15BA10-0C6E-</t>
  </si>
  <si>
    <t>AIR OIL SEPARATOR ELMT_1500400 P/N-B006700770</t>
  </si>
  <si>
    <t>Weidmuller Product; WDU 2.5 Grey PN:103772000</t>
  </si>
  <si>
    <t>Gauge Pressure Transmitter;EJA530E-JAS4N-03DE</t>
  </si>
  <si>
    <t>GUAT37 1 x PULLING BOX 3X1"NPT THREAD ALUMINI</t>
  </si>
  <si>
    <t>Gauge Pressure Trasmitter;EJA430E-JHS5G-93CDJ</t>
  </si>
  <si>
    <t>GMT</t>
  </si>
  <si>
    <t>Field Installation on Trunk Model No.  TCP-LB</t>
  </si>
  <si>
    <t>RING, UPPER MATING                      - PN:</t>
  </si>
  <si>
    <t>Gulf Mix For Trading Est.</t>
  </si>
  <si>
    <t>Weidmuller; Power Supply; P/N: 2486080000   M</t>
  </si>
  <si>
    <t>DESCRIPTION : PISTON; PLUNGER TYPE,1.4429,8 2</t>
  </si>
  <si>
    <t>Weidmuller Product; KDKS 1/35 DB,P/N: 9532440</t>
  </si>
  <si>
    <t>Stud Terminal WFF 185/AH Part No: 1029600000</t>
  </si>
  <si>
    <t>MATL : ACC2  1067 Kg / IBC Quaker Houghton</t>
  </si>
  <si>
    <t>Bartec, Feam Plugs PLG-06-NON</t>
  </si>
  <si>
    <t>PU SHAFT-GS2-22%/SIC/VIT-K-SP, PN- S02019521-</t>
  </si>
  <si>
    <t>O-ring Repair Kit   PN- RKORPD870666-1</t>
  </si>
  <si>
    <t>P+F,Safety light grid w/integrated control un</t>
  </si>
  <si>
    <t>Communication Circuit, ACM11</t>
  </si>
  <si>
    <t>Weidmuller; P/N: 1324380000 Model No. PRINTJE</t>
  </si>
  <si>
    <t>Weidmuller; TERMINAL BLOCK; P/N:1020400000; M</t>
  </si>
  <si>
    <t>Flow Cell Window O-Ring, M1281MW</t>
  </si>
  <si>
    <t>1001066561;P+F,HiC Fieldbus motherboard;Model</t>
  </si>
  <si>
    <t>SKF BEARING - 23960CC/W33</t>
  </si>
  <si>
    <t>Weidmueller; Model:WFF 300/AH;  Part No:10297</t>
  </si>
  <si>
    <t>Coriolis Mass Flow Meter;RCUN15K-15BA10-0C7E-</t>
  </si>
  <si>
    <t>ELIX 004 DA, 40cfm</t>
  </si>
  <si>
    <t>O-RING 14-055TR</t>
  </si>
  <si>
    <t>MATL : QUAKEROL 530-MB-1 950Kg/IBC Quaker Hou</t>
  </si>
  <si>
    <t>MATL:10611233 FLTR,AIR:Inlet,PR-C811610-32,EL</t>
  </si>
  <si>
    <t xml:space="preserve">SKF Product, Part No: 201034244; Model:22232 </t>
  </si>
  <si>
    <t>O-RING CHEMRAZ 9246-505,PN-14-048TM</t>
  </si>
  <si>
    <t>MECHANICAL SEAL: ASSEMBLY, TANDEM       - PN:</t>
  </si>
  <si>
    <t>SKF BEARING - 29417 E</t>
  </si>
  <si>
    <t>DESCRIPTION : HQ CORE BARREL ASSY, 3MTR LONG,</t>
  </si>
  <si>
    <t>MECHANICAL SEAL, COMPLETE UPPER SEAL    - PN:</t>
  </si>
  <si>
    <t>SKF PRODUCT 7324 BCCM/R841</t>
  </si>
  <si>
    <t>SKF BEARING; 81220 TN</t>
  </si>
  <si>
    <t>Gauge Pressure Transmitter;   EJA530E-JCS4N-0</t>
  </si>
  <si>
    <t xml:space="preserve">MATL : CORCOAT NC 900 B 1030 Kg / IBC Quaker </t>
  </si>
  <si>
    <t>SKF Product NU 226 ECJ/C3</t>
  </si>
  <si>
    <t>RING, LOWER MATING, TUNGSTEN CARBIDE    - PN:</t>
  </si>
  <si>
    <t>SKF Product NUP 218 ECP</t>
  </si>
  <si>
    <t>Differential Pressure Transmitter;   EJA130E-</t>
  </si>
  <si>
    <t>Back Panel PCB Assy MDL 2020, D67472</t>
  </si>
  <si>
    <t>Bartec, Feam SS Junction Box ESX 2222 size 22</t>
  </si>
  <si>
    <t>3814312_ELEMENT AIR CLEANER OUTER PN B0136035</t>
  </si>
  <si>
    <t>SKF BEARING -7214 BECBP</t>
  </si>
  <si>
    <t>Refrigerent air dryer ,300CFM,14BAR,230V/60HZ</t>
  </si>
  <si>
    <t>MATL : CORALUBE 3009 860Kg/IBC Quaker Houghto</t>
  </si>
  <si>
    <t>P&amp;F SMART Transmitter Power Supply, KFD2-STC4</t>
  </si>
  <si>
    <t>DESCRIPTION : DIAPH,PMP,BL2446234-10-1,SAIP |</t>
  </si>
  <si>
    <t>SKF BEARING - 6316/C3VL0241</t>
  </si>
  <si>
    <t>600cfm, Model SI 060 DA</t>
  </si>
  <si>
    <t>SKF BEARING - 7311 BEGAM</t>
  </si>
  <si>
    <t>SKF BEARING - Model No. NCF 2984 V</t>
  </si>
  <si>
    <t>SKF BEARING - 7320 BEGAM</t>
  </si>
  <si>
    <t xml:space="preserve">WEIDMULLER, SURGE ARRESTER  P/N: 1352900000; </t>
  </si>
  <si>
    <t>POPPET VALVE, 2401112000000000</t>
  </si>
  <si>
    <t>SKF BEARING - 22313 EK</t>
  </si>
  <si>
    <t>SKF BEARING - 6218/C3VL0241</t>
  </si>
  <si>
    <t>KIT, REPAIR                             - PN:</t>
  </si>
  <si>
    <t>SKF BEARING - 7211 BECBJ</t>
  </si>
  <si>
    <t>Weidmueller,PN:1054760000, Model:WQV 6/3</t>
  </si>
  <si>
    <t>MTL: 1000104046 GASKET COUPLING TYPE SIZE 5 I</t>
  </si>
  <si>
    <t>Documentation</t>
  </si>
  <si>
    <t>Air-Oil Separator-F4-75KW PN B006700770027</t>
  </si>
  <si>
    <t>MAT-1000047348,SHAFTSUPPORT K436,PN:P2915A(1Q</t>
  </si>
  <si>
    <t>Sundyne LLC</t>
  </si>
  <si>
    <t>MECHANICAL SEAL, LOWER, NITRILE GASKETS - PN:</t>
  </si>
  <si>
    <t>316L Stainless Steel enclosure type KEBx HS 6</t>
  </si>
  <si>
    <t>Differential pressure transmitter;  EJA130E-J</t>
  </si>
  <si>
    <t>Ring joint, 012-1905-009</t>
  </si>
  <si>
    <t>Bartec Product; SS316L PNA-02-MXX+kit accesso</t>
  </si>
  <si>
    <t>SKF Product 2313 K</t>
  </si>
  <si>
    <t>SKF Product 6320-2Z</t>
  </si>
  <si>
    <t>SKF BEARINGS:GE 90 ES</t>
  </si>
  <si>
    <t>Bartec Feam Cable Gland; PAP-R-08-NON, MALE 3</t>
  </si>
  <si>
    <t>SKF BEARING; 23228 CC/W33</t>
  </si>
  <si>
    <t>Battery Pack, S9129FA</t>
  </si>
  <si>
    <t>P+F,Inductive Sensor; Model: NCN40-FP-W-T-P1;</t>
  </si>
  <si>
    <t xml:space="preserve">Mechanical Seal GEARBOX OUTPUT SEAL KIT (LOW </t>
  </si>
  <si>
    <t>DESCRIPTION : HQ DRILL RODS, 3MTR LONG  | Par</t>
  </si>
  <si>
    <t>Bartec Feam Cable Gland; PAP-07-MON, male M75</t>
  </si>
  <si>
    <t>Weidmuller,Model:WSI 4</t>
  </si>
  <si>
    <t xml:space="preserve">DESCRIPTION : ROTATION LINDE MOTOR| Part no. </t>
  </si>
  <si>
    <t>Seal HP + Seal LP, 2*DFS-BF-08A2SSSS-F3C106/F</t>
  </si>
  <si>
    <t>Bliss Anand America LLC Saudi Arabia</t>
  </si>
  <si>
    <t>SEPARATOR ELEMENT 1600 CFM P/N-B677701</t>
  </si>
  <si>
    <t>SKF BEARING - 6310-2RS1</t>
  </si>
  <si>
    <t>Oliver make 5 way manifolds;  Model no:Y53HC/</t>
  </si>
  <si>
    <t>Weidmuller; Feed Through Terminal Block; P/N:</t>
  </si>
  <si>
    <t>Digital output module (16-channel, 24 V DC, m</t>
  </si>
  <si>
    <t>E75 AIR OIL SEPARATOR PN B006700770007</t>
  </si>
  <si>
    <t xml:space="preserve">Weidmuller; LED Fuse Terminal Blocks 230VDC; </t>
  </si>
  <si>
    <t xml:space="preserve">"Capacity of 400cfm (200cfm @ 45Â°C Ambient &amp; </t>
  </si>
  <si>
    <t>RING, NECK, 165.6  X 180.1 MM, ASTM A276 - P.</t>
  </si>
  <si>
    <t>Bartec Feam Cable Gland;PNA-02 NON, MALE 3/4"</t>
  </si>
  <si>
    <t>P+F Compact Fieldbus Power Hub Motherboard wi</t>
  </si>
  <si>
    <t>P&amp;F HiC Fieldbus Motherboard; Model No.:MBHC-</t>
  </si>
  <si>
    <t>Weidmuller; Blank Terminal Markers; P/N: 1609</t>
  </si>
  <si>
    <t>AIR OIL SEPARATOR PN B006700770018</t>
  </si>
  <si>
    <t>Oil Filter Kit P N X017503</t>
  </si>
  <si>
    <t>SKF BEARING - N 314 ECM/C3</t>
  </si>
  <si>
    <t xml:space="preserve">Weidmueller,Product :1608940000,Part No: ZQV </t>
  </si>
  <si>
    <t>ELEMENT FINE FILTER PN B004000040018</t>
  </si>
  <si>
    <t>MAKE : BARTEC; SWITCH MODULE Ex db eb IIC TYP</t>
  </si>
  <si>
    <t>Weidmuller; Model No. VGM32-SS68 15-25 BG; De</t>
  </si>
  <si>
    <t>P&amp;F Product; 3003-LPS-CI-YZ-HPM;   Mat'l No:1</t>
  </si>
  <si>
    <t>Weidmuller; Printhead; Model No: PJ ADV DKKO</t>
  </si>
  <si>
    <t>Absolute Pressure Transmitter, EJA510E-JAH4N-</t>
  </si>
  <si>
    <t>MATL : 5500012858 , SPRING &amp; 2 WASHER,PN:2E16</t>
  </si>
  <si>
    <t>Trillium Flow Technologies France SAS</t>
  </si>
  <si>
    <t>Fieldbus Power Supply;Model:HCD2-FBPS-1.23.50</t>
  </si>
  <si>
    <t>SKF ID Fan Motor Bearing Non Drive Side; 6036</t>
  </si>
  <si>
    <t>Vent Line AS, K9402HG</t>
  </si>
  <si>
    <t>O-RING,PN-14-013UT</t>
  </si>
  <si>
    <t>AIR FILTER; KIT PN B574602</t>
  </si>
  <si>
    <t>P+F, Inductive Sensor   Model No. NJ8-18-GK-S</t>
  </si>
  <si>
    <t>SKF Products; 16032</t>
  </si>
  <si>
    <t xml:space="preserve">FLC-OP SE 20"#300RF AISI 316 dual grade 10:  </t>
  </si>
  <si>
    <t>P+F;Inductive Sensor (NBB15-U1-Z2) Part No:20</t>
  </si>
  <si>
    <t>SS316 3/4" Locknut with IP washer</t>
  </si>
  <si>
    <t>Probuild General Contracting Est.</t>
  </si>
  <si>
    <t>Gauge Pressure Transmitter:EJA530E-FDH4N-03CD</t>
  </si>
  <si>
    <t>Differential Pressure Transmitter, EJA110E-FH</t>
  </si>
  <si>
    <t>SK274A - DESICCANT WITH SEAL KIT PN B01500011</t>
  </si>
  <si>
    <t>ELGI Equipments Limited</t>
  </si>
  <si>
    <t>Flap Disc - S.S 4.5" (ATI Swords) - Z 80</t>
  </si>
  <si>
    <t>Abrasive Technology Industries Co.</t>
  </si>
  <si>
    <t>Spiral wound ring gasket, 012-1210-232</t>
  </si>
  <si>
    <t>CAP, BACK, AISI 1020 (BS970070M20) - P.N-C680</t>
  </si>
  <si>
    <t>STD Manufacturing Data Book  900159</t>
  </si>
  <si>
    <t>Seal Repair Kit  PN-RK01AD07F</t>
  </si>
  <si>
    <t>Yellow Lamp Module: 07-3353-4130</t>
  </si>
  <si>
    <t>SKF BEARING;P/N:IR 140X160X50;MATL#393246</t>
  </si>
  <si>
    <t>2868389_PANEL, DISPLAY ARYA</t>
  </si>
  <si>
    <t>Bartec Product; SS316L PNA-05-MXX+kit accesso</t>
  </si>
  <si>
    <t>MATL : 1000190331 TRAP, STEAM;CONNECTION SIZE</t>
  </si>
  <si>
    <t>Matl: 1000174807 LINER; BEARING TYPE,LOWER HA</t>
  </si>
  <si>
    <t xml:space="preserve">Pepperl+Fuchs Inductive Sensor (NBB20-U1-UU) </t>
  </si>
  <si>
    <t>P&amp;F SMART Transmitter Power Supply; KCD2â€STCâ€</t>
  </si>
  <si>
    <t>Gauge Pressure Transmitter,EJA530E-JBH4N-032D</t>
  </si>
  <si>
    <t>Coverall SARENA PROBAN FR WITH PRINT LOGO FRO</t>
  </si>
  <si>
    <t>Pioneers of Technical Solutions for Trading Ltd Co</t>
  </si>
  <si>
    <t>SKF BEARING - 6310/C3</t>
  </si>
  <si>
    <t>NEURON III E -CONTROLLER ASSY PN X0180912</t>
  </si>
  <si>
    <t>Parker Manifold;HNVSMSW4NBM10A3-5</t>
  </si>
  <si>
    <t>AlNijeidi Trading Est.</t>
  </si>
  <si>
    <t>SKF BEARING - NN 3022 KTN9/SPW33</t>
  </si>
  <si>
    <t>INTAKE VALE 4" - NC  B009801070006</t>
  </si>
  <si>
    <t>PAP-R-08 NXX, execution Ex d/e/I IIC, size 8,</t>
  </si>
  <si>
    <t>PLG05MXXBFS + DL05MXX + NW05M   Plug male typ</t>
  </si>
  <si>
    <t>FRC PANTS AND SHIRTS 100 COTTON FLAME GUARD</t>
  </si>
  <si>
    <t>Tools box Trading Est</t>
  </si>
  <si>
    <t>SKF BEARING - 6322 M/C3VL0241</t>
  </si>
  <si>
    <t>SKF BEARING - 6322/C4</t>
  </si>
  <si>
    <t>Bartec, Feam Lightining Fixture EVAC301-250HP</t>
  </si>
  <si>
    <t>Weidmuller Product;RCIKIT 230VAC 2CO LD;PN:88</t>
  </si>
  <si>
    <t xml:space="preserve">Bartec Feam External Hex Head Plug in SS316L </t>
  </si>
  <si>
    <t>Megablock 8-Spur,  Model MTL-F308-PC</t>
  </si>
  <si>
    <t>NAIZAK Global Engneering Systems</t>
  </si>
  <si>
    <t>Seal Rotating Face Upper  PN-RJ09AK11DDUC</t>
  </si>
  <si>
    <t>SKF Product 6228/C4</t>
  </si>
  <si>
    <t>Oliver make 2-way Manifold  Model No.: G12FMH</t>
  </si>
  <si>
    <t>P&amp;F SMART TRANSMITTER SUPPLY; FIâ€PFHâ€NS0137â€R</t>
  </si>
  <si>
    <t>Weidmueller,Product:1037300000,Part No: WPE 7</t>
  </si>
  <si>
    <t>P+F, Rotation Speed Monitor  Model No. KFA5-D</t>
  </si>
  <si>
    <t>Yokogawa Clamp On Process Meter with Calibrat</t>
  </si>
  <si>
    <t>HOSE ASSY 1 1/2" P/N-35301850</t>
  </si>
  <si>
    <t>P+F, Inductive Sensor   Model No. NBB20-U1-A2</t>
  </si>
  <si>
    <t>P+F;SMART TRANSMITTER SUPPLY; PN:KFD2-STC5-1.</t>
  </si>
  <si>
    <t>P+F Inductive Sensor;NJ4-30GM-N-200; P/N:7013</t>
  </si>
  <si>
    <t>Weidmuller P/N 294360000   Model No. AKZ 4</t>
  </si>
  <si>
    <t>07-3323-4200 Switching Module 2NO</t>
  </si>
  <si>
    <t>Differential Pressure Transmitter, EJA110E-JH</t>
  </si>
  <si>
    <t>SKF Product 2311 K</t>
  </si>
  <si>
    <t xml:space="preserve">Weidmuller;Converter;Model:PRO DCDC 480W 24V </t>
  </si>
  <si>
    <t>P+F, Transmitter power supply;KFD2-CRG2-Ex1.D</t>
  </si>
  <si>
    <t>RTD; 1102SLS4IP39B36C4M322.75"R2T11, TW-FL FA</t>
  </si>
  <si>
    <t>Sensortech Saudi Manufacturing Co., Ltd.</t>
  </si>
  <si>
    <t>Valve Seat Assembly, K9034DP</t>
  </si>
  <si>
    <t>ELEMENT, SEPERATOR,2016TS HOR PN 10454350</t>
  </si>
  <si>
    <t>AIR FILTER PN B005700770015</t>
  </si>
  <si>
    <t>SKF BEARING; 22226 EK/C3</t>
  </si>
  <si>
    <t>H48-35-SCJB-003 / 005 / 007 &amp; H48-35-DCJB-004</t>
  </si>
  <si>
    <t>O-ring Repair Kit   PN- RKORP11807476</t>
  </si>
  <si>
    <t>Main Assy (USB1);B8705ED</t>
  </si>
  <si>
    <t>Oliver Make 5 way manifold, Y53S/NA/PP</t>
  </si>
  <si>
    <t>1 kv size 10AWG-2AWG cable CSA 35mm2 Stud ter</t>
  </si>
  <si>
    <t>P&amp;F Smart Current Drive; KCD2-SCD-1; P/N: 321</t>
  </si>
  <si>
    <t>KEBx HS Ext 504022(HWD 500x400x220mm) SS316L,</t>
  </si>
  <si>
    <t>HEATSHRINK TUBE 76.2MM YELLOW 15MTR/ROLL HS27</t>
  </si>
  <si>
    <t>GIS</t>
  </si>
  <si>
    <t>ALI IBRAHIM AL OUFY TRADING COMPANY</t>
  </si>
  <si>
    <t>MATL:1000698576 KIT; H4-GEARBOX TYPE,FOR REPA</t>
  </si>
  <si>
    <t>Flap Disc - C.S 4.5" (ATI Swords) - A 60</t>
  </si>
  <si>
    <t>pH Sensor + pH Flow fitting, PH8EFP-05-HC-TT1</t>
  </si>
  <si>
    <t>Weidmuller Product;PRO BAS 240W 24V 10A;PN:28</t>
  </si>
  <si>
    <t>P&amp;F Frequency Converter with Direction and Sy</t>
  </si>
  <si>
    <t xml:space="preserve">MATL:1000041189 TRAP, STEAM;INVRTD  BCKT,3/4 </t>
  </si>
  <si>
    <t>Pepperl+Fuchs Inductive Sensor; Model No:NJ40</t>
  </si>
  <si>
    <t>SPIN ON FILTER ELEMENT 378.5 M PN B679102</t>
  </si>
  <si>
    <t>successor 3174100000 PWEB-SCADA-RT-500/2</t>
  </si>
  <si>
    <t>Wide Body Sensor, FU20-VP-T1-NPT/FPS</t>
  </si>
  <si>
    <t>SKF BEARING - 29412 E</t>
  </si>
  <si>
    <t>SKF Product NU 228 ECJ/C3</t>
  </si>
  <si>
    <t>P&amp;F Standstill and Rotational Direction; KFD2</t>
  </si>
  <si>
    <t xml:space="preserve">MAKE : BARTEC; LAMP MODULE Ex db eb IIC TYPE </t>
  </si>
  <si>
    <t xml:space="preserve">Weidmuller Product; WSI 4/2/LD 10-36V AC/DC; </t>
  </si>
  <si>
    <t>NEURON II CONTROLLER PN 00897701N</t>
  </si>
  <si>
    <t>MATL:1001145022 DIAPHRAGM; MEMBRANE TYPE,SIZE</t>
  </si>
  <si>
    <t>1000876866 Gauge Pressure Transmitter;EJA430E</t>
  </si>
  <si>
    <t>Yokogawa make pH Probe;FU20-05-T1-NPT</t>
  </si>
  <si>
    <t>Multifunction Calibrator,  Model: CA550</t>
  </si>
  <si>
    <t>"Refrigerated Air Drier,  Model: AR 0210N A4,</t>
  </si>
  <si>
    <t>SKF PRODUCT; 7010 ACD/P4ADBA</t>
  </si>
  <si>
    <t xml:space="preserve">Yokogawa, GASKET: Flat Ring, 4in, Class 150, </t>
  </si>
  <si>
    <t>OIL FILTER ELEMENT 25 LPM NEW P N X018283</t>
  </si>
  <si>
    <t>Sensortech Thermowell;TW-FL-FAIIRCUD-20"3"G3G</t>
  </si>
  <si>
    <t>INDICATION LAMP-Red;PN:05-0003-001300</t>
  </si>
  <si>
    <t>SKF BEARING;6236 M/C3</t>
  </si>
  <si>
    <t>AF 0177F ,Fine Filter -177 cfm  B003308170025</t>
  </si>
  <si>
    <t>MLI float;007-1582-006 -For Specific Gravity:</t>
  </si>
  <si>
    <t xml:space="preserve">DESCRIPTION : DIAPH,PMP,303439,BRAN+LUEBBE | </t>
  </si>
  <si>
    <t>SEAL, SHAFT, INPUT, PART OF GEARBOX     - PN:</t>
  </si>
  <si>
    <t>Weidmuller;PN:8950920000;TOS 24VDC/48VDC 0,5A</t>
  </si>
  <si>
    <t>FACE: ROTATING;/LOWER SEAL; PUMP.       - PN:</t>
  </si>
  <si>
    <t>AIR OIL SEPERATOR 10S PN B676103</t>
  </si>
  <si>
    <t>Auto Control make Loop Power Indicator;  RAM8</t>
  </si>
  <si>
    <t>Autocontrol Process Instrumentation LLC</t>
  </si>
  <si>
    <t>MAT NO. 1000136207, O-RING, SERIAL NO: D87133</t>
  </si>
  <si>
    <t>SERVICE KIT 6" NC VALVE P/N-B009401070004</t>
  </si>
  <si>
    <t>SINGLE ACTING ACTUATOR HOERBIG PN B0115010700</t>
  </si>
  <si>
    <t>Bartec Product; PNAâ€06 NIX</t>
  </si>
  <si>
    <t>ELEMENT SEPARATOR PN 10350060</t>
  </si>
  <si>
    <t>Bartec Feam Cable Gland; PAP-07-NON, male 2 1</t>
  </si>
  <si>
    <t>SKF Product; UCF 316</t>
  </si>
  <si>
    <t>P+F, Transmitter Power Supply    Model No. KF</t>
  </si>
  <si>
    <t>GMJ</t>
  </si>
  <si>
    <t>HEATSHRINK TUBE 76.2MM BLACK 15MTR/ROLL HS276</t>
  </si>
  <si>
    <t>P+F Transmitter Power Supply, KFD2-STC4-EX1</t>
  </si>
  <si>
    <t>Oliver make 5 way manifolds; Model no:Y53HC/N</t>
  </si>
  <si>
    <t>Serial Communication Module, NFLR121-S50</t>
  </si>
  <si>
    <t>AUTO DRAIN TRAP AD-5 P/N- B001303900005</t>
  </si>
  <si>
    <t>Weidmueller,Product:1051960000,Part No: WQV 4</t>
  </si>
  <si>
    <t>SKF PRODUCTS :  Model No.FY 35 TF  Matl#:2034</t>
  </si>
  <si>
    <t>SLEEVE, SHAFT, ASTM A564 TYPE 630       - PN:</t>
  </si>
  <si>
    <t>Pepperl &amp; Fuchs Product; NJ2-PD-E02-2.062-V95</t>
  </si>
  <si>
    <t>1 kv size 10AWG cable CSA 700mm2 Stud termina</t>
  </si>
  <si>
    <t>EFSC12 EFSC1#22NAS2IR000FE Control and signal</t>
  </si>
  <si>
    <t>P&amp;F Compact Fieldbus Power Hub Motherboard wi</t>
  </si>
  <si>
    <t>Bartec Product; RE03N01NON Reducer male-femal</t>
  </si>
  <si>
    <t>SKF BEARING NUT : Model No. KM 6</t>
  </si>
  <si>
    <t>Gauge Pressure Transmitter, EJX530A-JCH4N-03C</t>
  </si>
  <si>
    <t>KIT3238155 Engine air filter</t>
  </si>
  <si>
    <t>P+F, Potemtiometer Converter  Model No. KFD2-</t>
  </si>
  <si>
    <t>P+F, Hart Multiflexer Slave    Model No. KFD0</t>
  </si>
  <si>
    <t>SKF Product 21311 E</t>
  </si>
  <si>
    <t>Bartec Product; PAP-R-09 NON 3-1/2"</t>
  </si>
  <si>
    <t>Pepperl+Fuchs Switch Amplifier (KFD2-SR2-EX2.</t>
  </si>
  <si>
    <t>P&amp;F SWITCH AMPLIFIER; KCD2-SOT-EX1.LB; P/N: 2</t>
  </si>
  <si>
    <t>SEAL REPAIR KIT  PN-RK01SE64RZ1UC1A</t>
  </si>
  <si>
    <t>Weidmuller; Tools; P/N: 1445070000   Model No</t>
  </si>
  <si>
    <t>Gauge Pressure Transmitters,EJA430E-JBS4G-924</t>
  </si>
  <si>
    <t>Yokogawa Middle East &amp; Africa B.S.C</t>
  </si>
  <si>
    <t>MILLI CUTTER,</t>
  </si>
  <si>
    <t>Differential Pressure Transmitter, EJX110Aâ€JM</t>
  </si>
  <si>
    <t>1 1/4" Nickel Plated Brass Lock Nut with IP w</t>
  </si>
  <si>
    <t>Weidmuller; W Series End Bracket;  P/N: 10612</t>
  </si>
  <si>
    <t>RE03N02NONReducer male-female type RE, execut</t>
  </si>
  <si>
    <t>HEATSHRINK TUBE 76.2MM BLUE 15MTR/ROLL HS2762</t>
  </si>
  <si>
    <t>P+F, Inductive Sensor Model No. NJ10-30GK-SN;</t>
  </si>
  <si>
    <t>DESCRIPTION : HQ INNER TUBE ASSEMBLY, 3 MTR |</t>
  </si>
  <si>
    <t>MATL:1061628  HOSE,FLEXIBLE,42"END TO END,FEM</t>
  </si>
  <si>
    <t>HEXAGONAL HEAD COLLAR; PLG-04-NXX</t>
  </si>
  <si>
    <t>MAT NO. 20061241, RING, NECK, PN-  C01019734</t>
  </si>
  <si>
    <t>Weidmuller; Terminal Markers; Model No. DEK 5</t>
  </si>
  <si>
    <t>Base Transmitter:EJX110A-JMSBG-91CDJ/SF22/X2/</t>
  </si>
  <si>
    <t>SENSOR, INSTATRACE CO2 P/N B73016</t>
  </si>
  <si>
    <t>Seal Repair Kit  PN-RK01SE60RZ1UC1A</t>
  </si>
  <si>
    <t>HEATSHRINK TUBE 76.2MM RED 15MTR/ROLL HS2762R</t>
  </si>
  <si>
    <t>SKF BEARINGS -  23028 CCK/W33</t>
  </si>
  <si>
    <t>Weidmuller Item; PRO ECO 480W 24V 20A; P/N 14</t>
  </si>
  <si>
    <t xml:space="preserve">MAT NO. 119070, O RING, SN: 91402668/69, PN- </t>
  </si>
  <si>
    <t>Back-up Battery, S9400UK</t>
  </si>
  <si>
    <t>DEK 5 FS 1-50 (500/BAG) Model No.: WDM#047356</t>
  </si>
  <si>
    <t>Weidmueller WS 12/6 MM WS Part No: 2007200000</t>
  </si>
  <si>
    <t>Base Transmitter:EJX110A-JMSRG-91CDN/SF22/X2/</t>
  </si>
  <si>
    <t xml:space="preserve">Weidmuller; TERMINAL BLOCK; P/N: 1010000000; </t>
  </si>
  <si>
    <t>DEK 5 FS 51-100 (500/BAG) Model No.: WDM#0473</t>
  </si>
  <si>
    <t>Gauge Pressure Transmitter, EJX530A-FCS7N-017</t>
  </si>
  <si>
    <t>Pressure Transmitter;  Model:EJA530E-JBS4N-01</t>
  </si>
  <si>
    <t>O-ring Repair Kit   PN- RKORP11806673</t>
  </si>
  <si>
    <t>ELEMENT, AIR CLEANER PN B013603500499</t>
  </si>
  <si>
    <t>QURUM Technical Company</t>
  </si>
  <si>
    <t>Weidmueller; Model:WQL 3 WFF185;  Part No:106</t>
  </si>
  <si>
    <t>Weidmuller; P/N: DEK 6 FWZ 81-90</t>
  </si>
  <si>
    <t>Weidmuller; P/N: DEK 6 FWZ 91-100</t>
  </si>
  <si>
    <t>Weidmuller; P/N: DEK 6 FWZ 31-40</t>
  </si>
  <si>
    <t>Weidmuller; P/N: DEK 6 FWZ 61-70</t>
  </si>
  <si>
    <t>Weidmuller; P/N: DEK 6 FWZ 71-80</t>
  </si>
  <si>
    <t>Weidmuller; P/N: DEK 6 FWZ 51-60</t>
  </si>
  <si>
    <t>Weidmuller; P/N: DEK 6 FWZ 41-50</t>
  </si>
  <si>
    <t>MTL: 1000172325 FILTER, AIR; DIMENSIONS: 53 X</t>
  </si>
  <si>
    <t xml:space="preserve">P&amp;F Product; Inductive Sensor NJ4-12GK-N-5M; </t>
  </si>
  <si>
    <t>Gauge Pressure Transmitter:EJA430E-JAS4G-93CE</t>
  </si>
  <si>
    <t xml:space="preserve">DESCRIPTION : HQ INNER TUBE ASSEMBLY, 1.5MTR </t>
  </si>
  <si>
    <t>Weidmuller; P/N: DEK 6 FWZ 21-30</t>
  </si>
  <si>
    <t>SKF BEARING-NU 324 ECJ+HJ 324 EC/VA301</t>
  </si>
  <si>
    <t>Selector switch 3 position PN:05-0003-001000</t>
  </si>
  <si>
    <t>SKF BEARINGS -  NU 228 ECJ</t>
  </si>
  <si>
    <t>Weidmuller; P/N: DEK 6 FWZ 11-20</t>
  </si>
  <si>
    <t>SKF BEARINGS -  23144 CC/W33</t>
  </si>
  <si>
    <t>ELEMENT PRE FILTER PN B000600040020</t>
  </si>
  <si>
    <t>Bartec Product; SS316L PNA-01-MXX+kit accesso</t>
  </si>
  <si>
    <t>MATL:1000588378  BOLT; SCREW TYPE,3/8-16 X 1-</t>
  </si>
  <si>
    <t xml:space="preserve">P+F, Temperature Converter with trip values  </t>
  </si>
  <si>
    <t>Blowdwon Valve Assy. B009401070017</t>
  </si>
  <si>
    <t>MECHANICAL SEAL, PN- SE04AA86A</t>
  </si>
  <si>
    <t>SKF Products; QJ 311 N2MA/C3</t>
  </si>
  <si>
    <t>Gauge Pressure Transmitter, EJA430E-JAS5C-919</t>
  </si>
  <si>
    <t>Yokogawa Middle East &amp; Africa B.S.C.</t>
  </si>
  <si>
    <t>Weidmuller; Model No:WDU 10 GR;   PN:10203200</t>
  </si>
  <si>
    <t>Weidmuller; P/N: WQV 16/2; P/N:1053260000</t>
  </si>
  <si>
    <t>Pepperl+Fuchs Inductive Sensor;  Model:NBN15-</t>
  </si>
  <si>
    <t>"MTL: 1000174841: LINER; BEARING TYPE,UPPER H</t>
  </si>
  <si>
    <t>VALVE SOLENOID; 3/2-WAY TYPE;1/4 IN NPT PIPE;</t>
  </si>
  <si>
    <t>ISR</t>
  </si>
  <si>
    <t>THOMPSON VALVES LTD</t>
  </si>
  <si>
    <t>SLEEVE, SHAFT, PUMP ASSEMBLY            - PN:</t>
  </si>
  <si>
    <t>Flap disc 7â€ S.S (180 X 22.23mm)</t>
  </si>
  <si>
    <t>Weidmuller; END BRACKET; P/N: 0382860000; Mod</t>
  </si>
  <si>
    <t>Weidmuller; P/N: DEK 6 FW 51-100</t>
  </si>
  <si>
    <t>Weidmuller Item; RCIKIT 24VDC 2CO LD; P/N 887</t>
  </si>
  <si>
    <t>Weidmueller,Product:1052260000,Part No: WQV 6</t>
  </si>
  <si>
    <t>AIR OIL SEPERATOR ASSY 400CFM PN B674601</t>
  </si>
  <si>
    <t>Weidmuller;PN:545300000;QB 58/8/9/WI</t>
  </si>
  <si>
    <t>STAINLESS STEEL TIE-COATED 4.6MM X 300MM - 10</t>
  </si>
  <si>
    <t>Khereiji Showrooms  CO Ltd</t>
  </si>
  <si>
    <t>1 X Marine Grade Copper Free Aluminum Instrum</t>
  </si>
  <si>
    <t>Weidmuller; CLAMP;   P/N: 9537460000; Model N</t>
  </si>
  <si>
    <t>MAT NO. 1000114790, OILER,PUMP:CONSTANT LEVEL</t>
  </si>
  <si>
    <t>Bombas Ercole Marelli Srl</t>
  </si>
  <si>
    <t>Weidmuller Product; Model No:RIBBON MM-HS 60/</t>
  </si>
  <si>
    <t>MINIMUM PRESSURE VALVE PN.B009301070008</t>
  </si>
  <si>
    <t>P+F, Inductive Sensor;  Model No. NJ5-18GM50-</t>
  </si>
  <si>
    <t>Weidmueller; Model:WQL 3 WFF 300;  Part No:10</t>
  </si>
  <si>
    <t>HSS 1.6-4.8 EL W30M, P/N 1505860000</t>
  </si>
  <si>
    <t>MTL : 1000176139 STRAINER; TYPE: CONE, DIAMET</t>
  </si>
  <si>
    <t>Tungsten Electrode 2.4X175mm ( 10 Pkt x 10 ea</t>
  </si>
  <si>
    <t>SENSOR MFC A2C P/N C06689-A2C</t>
  </si>
  <si>
    <t>ADE1M202SSNK2</t>
  </si>
  <si>
    <t>GULF GLOW TRADING ESTABLISHMENT</t>
  </si>
  <si>
    <t>Weidmuller Product; Model No;TS END CAP 35X7.</t>
  </si>
  <si>
    <t>P&amp;F RELAY MODULE; KFD0â€ROâ€2; P/N: 247196</t>
  </si>
  <si>
    <t>SKF Product NU 224 ECJ/C3</t>
  </si>
  <si>
    <t>Control Arabia Trading &amp; Contracting Company</t>
  </si>
  <si>
    <t>703002 Unit 05-09-2024 no TUNGSTEN ELECTRODES</t>
  </si>
  <si>
    <t>OKI BERING MIDDLE EAST FZE</t>
  </si>
  <si>
    <t>Air Filter element P/N-B004700770037</t>
  </si>
  <si>
    <t>FRP/GRP Sunshade, 230W x 300D x 130H mm</t>
  </si>
  <si>
    <t>First Reinforced Polyester Industries LLC</t>
  </si>
  <si>
    <t>P+F, Inductive Sensor; Model No. NBB15-U4K-N0</t>
  </si>
  <si>
    <t>Pepperl+Fuchs Gulf LLC</t>
  </si>
  <si>
    <t>Bartec M50 SS316 locknut &amp; IP washer</t>
  </si>
  <si>
    <t>JAWDAT TAYIBA TRADING EST</t>
  </si>
  <si>
    <t>Oliver make 5 way Manifold;Y53S/NA/PP/AG</t>
  </si>
  <si>
    <t>Weidmuller; Power Supply;  Model No. PRO DM 1</t>
  </si>
  <si>
    <t>Oliver Make 2 way manifold, G12MFS/NA/PP</t>
  </si>
  <si>
    <t>ELEMENT PREFILTER - 0108 PART NO.  12400052</t>
  </si>
  <si>
    <t>Gauge Pressure Transmitter;EJA530E-JCS4N-012E</t>
  </si>
  <si>
    <t>Orifice Plate Mod.FLC-OP PIPE SIZE: 8"  ( det</t>
  </si>
  <si>
    <t>Y123AA1H2BM ICO4S Exd-20B-3/2 AUT 1/4NPT-H/N-</t>
  </si>
  <si>
    <t>S04054 : VA00020 500  Vertical air receiver t</t>
  </si>
  <si>
    <t>Bartec Product; SS316L 1" MALE TO 3/4" FEMALE</t>
  </si>
  <si>
    <t>P+F;CABLE PULL:ECN30PL-10A1A-X1:NN Part No: 2</t>
  </si>
  <si>
    <t>Weidmuller; END CAP; P/N: 0697360000; Model N</t>
  </si>
  <si>
    <t>Back-up Battery, S9185FA</t>
  </si>
  <si>
    <t>Temperature Transmitter;YTA610-FA2A2DK/SU25</t>
  </si>
  <si>
    <t>Bartec, Feam SS Junction Box ESX 8060(600X800</t>
  </si>
  <si>
    <t>SKF Product 6315-Z/C3</t>
  </si>
  <si>
    <t>Weidmuller Product; TS END CAP 35X15 P/N:1283</t>
  </si>
  <si>
    <t>Power supply unit Node I/F Unit Part No: PW40</t>
  </si>
  <si>
    <t>Orifice Plate Mod.FLC-OP PIPE SIZE: 2"  ( det</t>
  </si>
  <si>
    <t>Weidmuller; Tools; P/N: 1444050000   Model No</t>
  </si>
  <si>
    <t>Weidmuller; TERMINAL BLOCK; P/N:1039559;Model</t>
  </si>
  <si>
    <t>Weidmuller; P/N: DEK 6 FWZ 1-10</t>
  </si>
  <si>
    <t>Fabrication of Fiberglass Reinforced Polyeste</t>
  </si>
  <si>
    <t>ABDUL AZIZ ABDUL RAHMAN BUSUBAIT FIBERGLASS COMPANY LLC</t>
  </si>
  <si>
    <t>Intake Valve F3 P/N-B009800780008</t>
  </si>
  <si>
    <t xml:space="preserve">Weidmuller; Terminal Marker; P/N: 0468760051 </t>
  </si>
  <si>
    <t>DESCRIPTION :AIR OIL SEPARATOR | PART NUMBER:</t>
  </si>
  <si>
    <t>SKF Product 6026-2Z/C3</t>
  </si>
  <si>
    <t>AIR OIL SEPERATOR SPINON PN B006700770010</t>
  </si>
  <si>
    <t>SKF PRODUCTS : Model No. C 2218</t>
  </si>
  <si>
    <t>Flanged Diaphragm Seal, C80FW-LA-S52SS-2F2HH6</t>
  </si>
  <si>
    <t>Flanged Diaphragm Seal, C80FW-HA-S52SS-2F2HH6</t>
  </si>
  <si>
    <t xml:space="preserve">DESCRIPTION :FUEL FILTER MOISTURE SEPARATOR  </t>
  </si>
  <si>
    <t>Alkhorayef Commercial Company</t>
  </si>
  <si>
    <t>SKF BEARING - 7234 BCBM</t>
  </si>
  <si>
    <t>Mobilization and Service Charge for THC Analy</t>
  </si>
  <si>
    <t>ICO</t>
  </si>
  <si>
    <t>Norsk Analyse As</t>
  </si>
  <si>
    <t>Sunshade, According to R01-C05-02</t>
  </si>
  <si>
    <t>United Afaq Co. for Metal Industries</t>
  </si>
  <si>
    <t>Temperature Transmitter:YTA710-JA2A2DK/C3/SU2</t>
  </si>
  <si>
    <t>Vegamet 841: CR-222 2ER</t>
  </si>
  <si>
    <t>Vega Instruments Middle East LLC</t>
  </si>
  <si>
    <t xml:space="preserve">Weidmuller; CLAMP;  Model No. WDU 4 SL  P/N: </t>
  </si>
  <si>
    <t>HSS 1.0-3.2 EL W30M, P/N 1505850000</t>
  </si>
  <si>
    <t>SKF BEARING - Model No.6030 M/C3</t>
  </si>
  <si>
    <t>MATL:1000966276 SLEEVE; GEAR TYPE,ASTM A536 6</t>
  </si>
  <si>
    <t>RUNNER, THRUST                          - PN:</t>
  </si>
  <si>
    <t>Mounting Bracket;  Part no:F9900SB</t>
  </si>
  <si>
    <t>Weidmuller; P/N: DEK 6 FW 1-50</t>
  </si>
  <si>
    <t>Pepperl+Fuchs Inductive Sensor; Model:NCB5-18</t>
  </si>
  <si>
    <t>"Refrigerated Air Drier,  Model: AR 0100N A4,</t>
  </si>
  <si>
    <t>MATL :7358970 VALVE PLUG; TAPER PLUG INTEGRAL</t>
  </si>
  <si>
    <t>EVISION SOLUTION</t>
  </si>
  <si>
    <t>O-Ring Repair Kit  PN-RKORP313UK22231</t>
  </si>
  <si>
    <t>Weidmuller; DIN Rail; P/N: 0514500000   Model</t>
  </si>
  <si>
    <t xml:space="preserve">Weidmuller; Terminal Block; Model No. WFF 70 </t>
  </si>
  <si>
    <t>Flap disc 7â€ C.S (180 X 22.23mm)</t>
  </si>
  <si>
    <t>Reducer female-male type REB06N06MXX, executi</t>
  </si>
  <si>
    <t>ELEMENT COUPLING S2800 GR1918 PN B00540090001</t>
  </si>
  <si>
    <t>DESCRIPTION : HQ IMPREGNATED BITS - SERIES 10</t>
  </si>
  <si>
    <t>DESCRIPTION : HQ IMPREGNATED BITS - SERIES 8/</t>
  </si>
  <si>
    <t>DESCRIPTION : HQ IMPREGNATED BITS - SERIES 12</t>
  </si>
  <si>
    <t xml:space="preserve">DESCRIPTION :AIR FILTER ASSY 1765 CFM | PART </t>
  </si>
  <si>
    <t>SKF Product 7217 BEGAF</t>
  </si>
  <si>
    <t>P+F, Inductive Sensor Model No.: NJ2-12-GK-N-</t>
  </si>
  <si>
    <t>SKF Bearing - 6230</t>
  </si>
  <si>
    <t>[.11.851.301.012] KjellCut 120 - 12m/120A/ZA</t>
  </si>
  <si>
    <t>710 Dia Sucker Fan - ZIEHL 18400027</t>
  </si>
  <si>
    <t>SKF PRODUCT  SAF 1611</t>
  </si>
  <si>
    <t>P+F, Inductive sensor;UC SLP-SLC 1530 MM;  Ma</t>
  </si>
  <si>
    <t>SKF BEARING - 24132 CC/C4W33</t>
  </si>
  <si>
    <t>SS316L ADAPTOR, 1/2" MALE TO M20 FEMALE, COLL</t>
  </si>
  <si>
    <t xml:space="preserve">Weidmueller,Product:1065300000: Part No: WQL </t>
  </si>
  <si>
    <t xml:space="preserve">MATING RING, PN- RJ09UT08RJ (1 QTY), INDUCER </t>
  </si>
  <si>
    <t>Weidmueller,Product :117500000,Part No: TS 15</t>
  </si>
  <si>
    <t>Temperature Transmitter, YTA610-JA2A2DJ/FU1/C</t>
  </si>
  <si>
    <t xml:space="preserve">Weidmuller; TERMINAL BLOCK; P/N: 0279660000; </t>
  </si>
  <si>
    <t>Pressure Transmitter:EJA530E-JDS4N-022DN/FU1/</t>
  </si>
  <si>
    <t>MATL:1000698568  COUPLING; PUMP TYPE,ROTEX 28</t>
  </si>
  <si>
    <t>Weidmueller:WQL 2 WFF185,PN:1065200000</t>
  </si>
  <si>
    <t>P+F, Inductive Sensor Model No.: NJ1,5-18GM-N</t>
  </si>
  <si>
    <t>P+F, Inductive Sensor Model No. SC3,5-G-N0-6M</t>
  </si>
  <si>
    <t>Direct Mount 5 Valve Manifold, Y53S/NA/PP/SSB</t>
  </si>
  <si>
    <t>Temperature Transmitter;YTA610-JA1A2DJ/X2/SU2</t>
  </si>
  <si>
    <t>MPV kit (45KW) P N B009405770008</t>
  </si>
  <si>
    <t>DESCRIPTION : HQ OVERSHOT ASSEMBLY | Part No:</t>
  </si>
  <si>
    <t>Oliver make 2-way Manifold   Model No.: G12FF</t>
  </si>
  <si>
    <t>Seat Valve, K9034DN</t>
  </si>
  <si>
    <t>Block &amp; Bleed Valve inlet:SAMFSA-N4N4-A</t>
  </si>
  <si>
    <t>Orifice Plate Mod.FLC-OP PIPE SIZE: 3"  ( det</t>
  </si>
  <si>
    <t>F2 HAKG50 INTAKE-PN B009401070007</t>
  </si>
  <si>
    <t>Pepperl+Fuchs Inductive Sensor (SJ3,5-N); P/N</t>
  </si>
  <si>
    <t>O-RING CHEMRAZ 9246-505,PN-14-054TM</t>
  </si>
  <si>
    <t>Metal Cutting Inox Discs C.S 4.5" (ATI) (1mm)</t>
  </si>
  <si>
    <t>Weidmuller; TERMINAL BLOCK; P/N:1020500000; M</t>
  </si>
  <si>
    <t>Weidmueller,Product :1739680000, Part No: ZQV</t>
  </si>
  <si>
    <t>Oliver make 2-way Manifold   Model No.: G12MF</t>
  </si>
  <si>
    <t>Junction , K9142TK</t>
  </si>
  <si>
    <t>Block &amp; Bleed Valve inlet;SAMFSA-N4N4-AM02BZ</t>
  </si>
  <si>
    <t>1 x Nickle plated brass adaptor M20 Male to M</t>
  </si>
  <si>
    <t>SKF Product 2310/C3</t>
  </si>
  <si>
    <t>Cutting Disc S.S 4.5" (ATI Swords) (1mm)</t>
  </si>
  <si>
    <t>P&amp;F Tachometer; TC-LCDC-8A-24VDC; P/T: 701031</t>
  </si>
  <si>
    <t>Weidmuller; Accessories Cross Connector;  P/N</t>
  </si>
  <si>
    <t>SKF BEARING - Model No.NU 1030 M/C3</t>
  </si>
  <si>
    <t>WASHER: SEAL./                          - PN:</t>
  </si>
  <si>
    <t>P+F:Cell photoelectric; Model: RL28-55-Z/47/7</t>
  </si>
  <si>
    <t>P+F; Hart Multiflexer Master;  Model:KFD2-HMM</t>
  </si>
  <si>
    <t>SKF Product NUP 212 ECJ</t>
  </si>
  <si>
    <t>SKF BEARING - 21308 E</t>
  </si>
  <si>
    <t>P+F, Ultrasonic Sensor Model No: UC500-F65-E8</t>
  </si>
  <si>
    <t>1 1/4" SS locknut &amp; IP washer</t>
  </si>
  <si>
    <t>Weidmueller:WFF 35/AH</t>
  </si>
  <si>
    <t>Pepperl+Fuchs Inductive Sensor; Model No.:NJ2</t>
  </si>
  <si>
    <t>IFM, INDUCTIVE SENSOR, IGA3008-BPKG;IG5398</t>
  </si>
  <si>
    <t>BARIQ AL EMDADAT TRADING ESTABLISHMENT</t>
  </si>
  <si>
    <t>3-SS Cable Gland including Accessories  (PNA-</t>
  </si>
  <si>
    <t>Thermocouple Calibrator; Model no: CA320</t>
  </si>
  <si>
    <t>Voltage/Current Calibrator; Model no: CA310</t>
  </si>
  <si>
    <t>P+F, Ultrasonic Sensor; Model No. UC4000-30GM</t>
  </si>
  <si>
    <t>Van Stone Thermowell, 15VR26-TUM0120LM0230-IT</t>
  </si>
  <si>
    <t>REOTEMP Instruments</t>
  </si>
  <si>
    <t>Thermo Electric Make Digital Motherboard PN:0</t>
  </si>
  <si>
    <t>Thermo Electric Instrumentation B.V.</t>
  </si>
  <si>
    <t>P+F, Enclosure Protection Vent   Model No. EP</t>
  </si>
  <si>
    <t>UNIFORM SHIRT</t>
  </si>
  <si>
    <t>HAMED AL-QAHTANI UNIVERSAL MARKETS COMPANY</t>
  </si>
  <si>
    <t>SKF Product 7308 BECBY</t>
  </si>
  <si>
    <t>SKF Product 309</t>
  </si>
  <si>
    <t>Profibus FBCON SS DP PCG TERM 24V Part No: 87</t>
  </si>
  <si>
    <t>SKF Product 2311 K/C3</t>
  </si>
  <si>
    <t>P+F ULTRASONIC SENSOR UC4000-30GM-E7R2-V15</t>
  </si>
  <si>
    <t>SLEEVE, SHAFT, SILICON CARBIDE - P.N-C8601895</t>
  </si>
  <si>
    <t>INTAKE VALVE RH25S  P N  B009800780016</t>
  </si>
  <si>
    <t>SKF BEARINGS - Model No. TSN 517 C</t>
  </si>
  <si>
    <t>SKF BEARING -NU 2210 ECP/C3</t>
  </si>
  <si>
    <t>Intake valve kit PN. B009405770005</t>
  </si>
  <si>
    <t>Grinding Disc S.S 7" (ATI) 6.4MM</t>
  </si>
  <si>
    <t>Cutting Disc S.S 4.5" (ATI Swords) (3.mm)</t>
  </si>
  <si>
    <t xml:space="preserve">P+F, Inductive Sensor Model No. NJ15-30GKK-N </t>
  </si>
  <si>
    <t>Kit, check valve  P/N : 412400001</t>
  </si>
  <si>
    <t>SKF Product  AN 19</t>
  </si>
  <si>
    <t>SKF Product 3209 ATN9</t>
  </si>
  <si>
    <t>SKF BEARINGS - Model No. NU 2320 ECJ/C3</t>
  </si>
  <si>
    <t xml:space="preserve">AIR FILTER KIT Part  Number : B574609AIR OIL </t>
  </si>
  <si>
    <t>PEPPERL+FUSH; NCB5-18GM40-Z0 P/N: 089258</t>
  </si>
  <si>
    <t>MTL : 10664953 WEAR RING PART NUMBER: 0040362</t>
  </si>
  <si>
    <t>Coupling Element MDL EG110-EG160 PN B00540117</t>
  </si>
  <si>
    <t>Process Multimeter; Model no:CA450-E</t>
  </si>
  <si>
    <t>MATL : 1001013787 COVER; GG 20 PUMP RECIPROCA</t>
  </si>
  <si>
    <t>Bezel Assembly, Model code B8705KY + Main FFC</t>
  </si>
  <si>
    <t>AIRFILTER ELEMENT E45TO55 PN B005700770007</t>
  </si>
  <si>
    <t>Pepperl+Fuchs Inductive Sensor;  Model No. NB</t>
  </si>
  <si>
    <t>STG3, SCRU-TITE CONDUIT GROUND HUB:SIZE 1";IN</t>
  </si>
  <si>
    <t>Saudi Electric Supply Company(SESCO)</t>
  </si>
  <si>
    <t>Bartec Product; PNA-09 NON</t>
  </si>
  <si>
    <t>Temperature Transmitter:YTA610-JA1A2DK/C2/SU2</t>
  </si>
  <si>
    <t>Indicator Assy, F9221AA</t>
  </si>
  <si>
    <t>3815928_PRIMARY CATRIDGE PN B013603500581</t>
  </si>
  <si>
    <t>O-Ring Repair Kit  PN-RKORP311UC64DB2</t>
  </si>
  <si>
    <t>Nozzle con. diam. 10.0mm PN-345P013012</t>
  </si>
  <si>
    <t>TBi Industries GmbH</t>
  </si>
  <si>
    <t>NUP 2218 ECP/C3</t>
  </si>
  <si>
    <t>SUNDYNE SEAL INPUT SHAFT P/N: SE03AA01</t>
  </si>
  <si>
    <t>Alignment Pad,PN-C39003563</t>
  </si>
  <si>
    <t>Solenoid Valve, Y013AA1H2BS</t>
  </si>
  <si>
    <t>PANEL INSTRUMENT 3815106</t>
  </si>
  <si>
    <t>Actuator kit PN  972300070</t>
  </si>
  <si>
    <t>SKF BEARING - NU 1028 M</t>
  </si>
  <si>
    <t xml:space="preserve">P+F, Inductive Sensor; Model No. NJ15S+U4+N; </t>
  </si>
  <si>
    <t>P&amp;F Product; UC500-30GM-E6R2-V15; P/N:102157</t>
  </si>
  <si>
    <t>Instrumentation cable 8PR X 16 AWG CU/XLPE/AW</t>
  </si>
  <si>
    <t>Gulf Trans Power Trading Company</t>
  </si>
  <si>
    <t>Bartec, Feam SS Junction Box ESX 3333 size 33</t>
  </si>
  <si>
    <t>P&amp;F Product; Compact Fieldbus Power Hub Mothe</t>
  </si>
  <si>
    <t>SKF BEARING -2307 EKTN9/C3</t>
  </si>
  <si>
    <t>Loop Level Indicator;MLX-A21-10-SU2-ENG-SST</t>
  </si>
  <si>
    <t>1 1/2" SS locknut &amp; IP washer</t>
  </si>
  <si>
    <t>AIR FILTER KIT1000 CFM PN B005700730005</t>
  </si>
  <si>
    <t>Weidmueller,Product:1052360000,Part No: WQV 6</t>
  </si>
  <si>
    <t>TL999LLX1X0034BSTDO10 VT TSW  | P/N-B171901</t>
  </si>
  <si>
    <t>ENGINE AIRFILTER KIT - 32400249</t>
  </si>
  <si>
    <t>P&amp;F Inductive Sensor; NJ50-FP-N-P1; P/N: 7013</t>
  </si>
  <si>
    <t>SKF BEARING - 308 TN9/C3</t>
  </si>
  <si>
    <t>SKF BEARING - 3308 DMA</t>
  </si>
  <si>
    <t>SKF Product 21306 CC</t>
  </si>
  <si>
    <t xml:space="preserve">DESCRIPTION :Intake Valve Kit | PART NUMBER: </t>
  </si>
  <si>
    <t>Gauge Pressure Transmitter;EJA530E-FAS4N-03DD</t>
  </si>
  <si>
    <t>07-3332-1E09 4-pole control switch Ex de for-</t>
  </si>
  <si>
    <t>N4 EG Basic Sub-Controller Assy P/N-18365237</t>
  </si>
  <si>
    <t>ACTUATOR ASSY, SINGLE ACTING MDL 300/100,PG 9</t>
  </si>
  <si>
    <t>Weidmuller; Model No:QB 58/8/15;   PN:5454000</t>
  </si>
  <si>
    <t>B84G-6AK-QD1-RMG  Excelon Plus filter/regulat</t>
  </si>
  <si>
    <t>AF 0177P ,Pre Filter ,177 cfm  B003308170007</t>
  </si>
  <si>
    <t>P+F, Thru-beam Sensor Model No. LV28-Z-F1/47/</t>
  </si>
  <si>
    <t>Weidmuller Product; AP KDKS1 DB, P/N: 9532470</t>
  </si>
  <si>
    <t>SKF PRODUCT TUJ 60 TF</t>
  </si>
  <si>
    <t>Weidmueller,Product:1650340000;   PN:ZDU 2.5/</t>
  </si>
  <si>
    <t>DESCRIPTION : HW CASING SHOE | Part No: PRD C</t>
  </si>
  <si>
    <t>SKF BEARING NUT : Model No. KM 9</t>
  </si>
  <si>
    <t>Weidmuller; Model:PRO MAX 480W 24V 20A; PN:14</t>
  </si>
  <si>
    <t>P+F, Switch Amplifier Model No. KFD2-SR2-Ex1.</t>
  </si>
  <si>
    <t>SKF BEARING - KM 8</t>
  </si>
  <si>
    <t>Fuse Terminal-WSI 6/LD 60-150V DC/AC, 1012300</t>
  </si>
  <si>
    <t>"MATL:1000075085 SLEEVE, SHAFT; TYPE: FLEXIBL</t>
  </si>
  <si>
    <t>Gauge Pressure Trasmitter  EJA530E-JBS4N-03CD</t>
  </si>
  <si>
    <t>Weidmuller, PRO INSTA 60W 12V 5A, P/N 2580240</t>
  </si>
  <si>
    <t>Control Switch  07-3331-1E08</t>
  </si>
  <si>
    <t xml:space="preserve">P+F;Inclination Sensor;Â INY360D-F99-2I2E2-5M </t>
  </si>
  <si>
    <t>Metal Grinding Disc C.S 7" (ATI) 6.4MM</t>
  </si>
  <si>
    <t>Weidmueller: P/N:1478240000; PRO MAX 240W 48V</t>
  </si>
  <si>
    <t>SKF BEARING-7222 ACD/P4A</t>
  </si>
  <si>
    <t>AD-STD 6 CH ( not N1/N2); B8706RP</t>
  </si>
  <si>
    <t>Weidmuller; TERMINAL BLOCK; P/N:1020300000; W</t>
  </si>
  <si>
    <t>MATL : 1000660084 PACKING RING; MOLDED TYPE,W</t>
  </si>
  <si>
    <t>Oliver make manifolds;  Model:G12MFHC/NA/PP</t>
  </si>
  <si>
    <t>Coupling Element MDL E55 PN 12437610</t>
  </si>
  <si>
    <t>Conductivity Sensor Part No: ISC40S-GG-T1-05</t>
  </si>
  <si>
    <t>Weidmuller; Model:ZQV 4N/2;   PN:1527930000</t>
  </si>
  <si>
    <t>Reducer female-male type REB07N07MXX, executi</t>
  </si>
  <si>
    <t>P&amp;F Ultrasonic sensor; UB6000-F42-I-V1-Y22044</t>
  </si>
  <si>
    <t>SKF BEARING - 6214-2Z</t>
  </si>
  <si>
    <t>CF Assy (USB1); B870EE</t>
  </si>
  <si>
    <t>V61B313A-A313J + M/P19063 V61 3/2-SPOOL VALVE</t>
  </si>
  <si>
    <t>SKF BEARING; 31311</t>
  </si>
  <si>
    <t xml:space="preserve">Supply of Yokogawa Mutifunction Calibrator;  </t>
  </si>
  <si>
    <t>P+F,Inductive Sensor; Model:NRN75-FP-A2-C-P3-</t>
  </si>
  <si>
    <t>Solenoid Valve, V61B611A-A213J</t>
  </si>
  <si>
    <t xml:space="preserve">Weidmueller,Product :1053660000,Part No: WQV </t>
  </si>
  <si>
    <t>Module Type Current/Voltage Input, AAM11</t>
  </si>
  <si>
    <t>MATL:1000575138 GASKET; SEALING TYPE,FD 3 ADA</t>
  </si>
  <si>
    <t>Yellow Lamp Module Actuator: 05-0003-001500</t>
  </si>
  <si>
    <t>PRO RM 20</t>
  </si>
  <si>
    <t>3814313_ELEMENT AIR CLEANER INNER PN B0136035</t>
  </si>
  <si>
    <t>REGULATOR KIT MDL DT 900-200, 750-125, 400-15</t>
  </si>
  <si>
    <t>SKF BEARING - NU 312 ECM/C3</t>
  </si>
  <si>
    <t>PLG03NXXBFS + DL03NXX + NW03W    Plug male ty</t>
  </si>
  <si>
    <t>Lamination Roll Plastic,</t>
  </si>
  <si>
    <t>STG6, SCRU-TITE CONDUIT GROUND HUB:SIZE 2";IN</t>
  </si>
  <si>
    <t>AIR FILTER ASSY, PN 220419499</t>
  </si>
  <si>
    <t>SKF BEARING - IR 130X145X35</t>
  </si>
  <si>
    <t>Bartec, Feam Lightining Fixture EVAC101-70HPN</t>
  </si>
  <si>
    <t>SKF BEARING - 23230 CC/C3W33</t>
  </si>
  <si>
    <t>PLG04NXXBFS + DL04NXX + NW04W   Plug male typ</t>
  </si>
  <si>
    <t>Battery Assy, S9548FA</t>
  </si>
  <si>
    <t xml:space="preserve">Safety Shoe High Cut, Zecchin Brand, made in </t>
  </si>
  <si>
    <t>KHAT AL JASSER TRADING EST</t>
  </si>
  <si>
    <t>2" Nickel plated brass Locknut with IP washer</t>
  </si>
  <si>
    <t>SKF BEARING - 6313-Z</t>
  </si>
  <si>
    <t>RECEIVER KIT EN73 V3 270</t>
  </si>
  <si>
    <t>KIT3238155_ENGINE AIR FILTER P/N- B0136035004</t>
  </si>
  <si>
    <t>Inductive Full-Metal Sensor IGK3012-BPKG/AM/P</t>
  </si>
  <si>
    <t>OIL FILTER ELEMENT PN B407701</t>
  </si>
  <si>
    <t>O-ring Repair Kit   PN- RKORP311UA13DB5</t>
  </si>
  <si>
    <t xml:space="preserve">P+F;Thru-beam Sensor;LV28/F1/3974/47/82b/112 </t>
  </si>
  <si>
    <t>SKF Product 6322 MA/C3B20</t>
  </si>
  <si>
    <t>SKF BEARING NUT : Model No. KM 10</t>
  </si>
  <si>
    <t>10K56480 GRY 13A 1G SOCKET OUTLET  UNSWITCHED</t>
  </si>
  <si>
    <t>MATL : DC-Vulastik-T500 P/N: B005405750012</t>
  </si>
  <si>
    <t>P+F, Frequency Converter with Trip Values:Mod</t>
  </si>
  <si>
    <t>Pepperl+Fuchs Inductive Sensor;Model:NBB5-18G</t>
  </si>
  <si>
    <t>O-RING REPAIR KIT RKORP311UC85DB5 RKORP311UCX</t>
  </si>
  <si>
    <t>SPACER: SEAL, 316 SS                    - PN:</t>
  </si>
  <si>
    <t>Differential Pressure Transmitter EJA110E-JLH</t>
  </si>
  <si>
    <t>Retrieving data. Wait a few seconds and try t</t>
  </si>
  <si>
    <t>MATL:1000065720 ACTR KIT,RPR,ALFA VALVOLE ACT</t>
  </si>
  <si>
    <t>Oil &amp; Gas Resources Italy - ORI srl</t>
  </si>
  <si>
    <t>SKF BEARING - 51222</t>
  </si>
  <si>
    <t>DESCRIPTION : HQ FRONT REAMER SHELL  | Part N</t>
  </si>
  <si>
    <t>SKF BEARING - N 313 ECM/C3</t>
  </si>
  <si>
    <t>PLG05NXXBFS + DL05NXX + NW05W    Plug male ty</t>
  </si>
  <si>
    <t>P&amp;F Inductive Sensor; NJ1,5-PD-E02-1.250-V95;</t>
  </si>
  <si>
    <t>P&amp;F Background suppression Sensor; RLK28-8-H-</t>
  </si>
  <si>
    <t>PUMP_HYD_DOUBLE_PERMCO_SPLINE, ITEM CODE : PR</t>
  </si>
  <si>
    <t>AIR FILTER KIT ASSY_PG 750 PN 32400149</t>
  </si>
  <si>
    <t>Earth Clamp 300A</t>
  </si>
  <si>
    <t>VALVE, PR RELIEF PART NO B012805340058</t>
  </si>
  <si>
    <t>AIR FILTER KIT PN B004700460001</t>
  </si>
  <si>
    <t>Display Board Assembly, Part No: F9491UA</t>
  </si>
  <si>
    <t>P+F,Ultrasonic sensor; Model:UC6000-30GM-E6R2</t>
  </si>
  <si>
    <t xml:space="preserve">DESCRIPTION : HOISTING PLUG   | Part No: PRD </t>
  </si>
  <si>
    <t>SKF Products; PHG SPA3382</t>
  </si>
  <si>
    <t>yokogawa make DHS (H-side);C80FW-HB-S72SS-3F2</t>
  </si>
  <si>
    <t>yokogawa make DHS (L-side):C80FW-LB-S72SS-3F2</t>
  </si>
  <si>
    <t>CONTACT TIP 1.2MM</t>
  </si>
  <si>
    <t>"SIZE 1 (15-25MM)OXY-PROPANE CUTTING  TIP - B</t>
  </si>
  <si>
    <t>2 way Manifold, G12FFS/NA/AG/PP</t>
  </si>
  <si>
    <t>Direct mount flanged Diaphragm seal:C20FE-HB-</t>
  </si>
  <si>
    <t xml:space="preserve">MATL : Summits Sub Micro filter with Inbuilt </t>
  </si>
  <si>
    <t>Sensor MFC B2C;C06689-B2C</t>
  </si>
  <si>
    <t>P+F, Inductive Sensor; Model No. NCB2-12GM40-</t>
  </si>
  <si>
    <t>O-RING REPAIR KIT RK02AW01UC21 RK02AW01UCXXDB</t>
  </si>
  <si>
    <t>1000041197TRAP,STEAM;INVRTD BCKT,3/4 IN,28 ba</t>
  </si>
  <si>
    <t>MATL : Summits Micro filter with Inbuilt drai</t>
  </si>
  <si>
    <t>SKF Products; 81211 TN</t>
  </si>
  <si>
    <t>2-way Manifold, G12FMS/NA/PP</t>
  </si>
  <si>
    <t>Earth Tester; Model no:EY200</t>
  </si>
  <si>
    <t>Intake Valve EG 18  B009801070012</t>
  </si>
  <si>
    <t>P+F,ULTRASONIC SENSOR;UC2000-30GM-E6R2-V15; P</t>
  </si>
  <si>
    <t>P+F, Inductive Sensor Model No.: NBB8-18GM60-</t>
  </si>
  <si>
    <t xml:space="preserve">DESCRIPTION : FUEL WATER SEPARATOR| Part no. </t>
  </si>
  <si>
    <t>Metal Cutting Disc C.S 7" (ATI) 3.2MM</t>
  </si>
  <si>
    <t>Welding Gloves Long (Red)</t>
  </si>
  <si>
    <t xml:space="preserve">Matl: 1000187924 BUSHING; THROAT TYPE SER NO </t>
  </si>
  <si>
    <t>Diaphragm Seal System:EJXC80A-D88MWSWSB-NN/K2</t>
  </si>
  <si>
    <t>Sunshade</t>
  </si>
  <si>
    <t>VEGA Technique SAS</t>
  </si>
  <si>
    <t>Cooling fan-PN 15402742</t>
  </si>
  <si>
    <t>ELGI AIR LUBE XD-5L ( EACH= 5 LITER CAN ) P N</t>
  </si>
  <si>
    <t xml:space="preserve">Size 2 : (25-50mm) Oxy propane cutting tip | </t>
  </si>
  <si>
    <t>Digital Multimeter; Model No.: 73203</t>
  </si>
  <si>
    <t>Weidmueller Power supply, switch-mode ;PRO EC</t>
  </si>
  <si>
    <t>MINIMUM PRESSURE VALVE KIT P N B009301070004</t>
  </si>
  <si>
    <t>P&amp;F Inductive Sensor; NJ15-30GK-N-150-Y38977;</t>
  </si>
  <si>
    <t>SEAL SHAFT 28X40X10 AXIS-73CCW PN 13436029</t>
  </si>
  <si>
    <t>SEAL SHAFT55X70X12 AXIS-159 CW PN 13436254</t>
  </si>
  <si>
    <t>Weidmuller Relay;  Model:TRS 24VUC 1CO;  P/N:</t>
  </si>
  <si>
    <t>SEAL REPAIR KIT, PN-RK01SE02D</t>
  </si>
  <si>
    <t>SKF BEARING - 6316 M/C4VL0241</t>
  </si>
  <si>
    <t>AL. BLOW DOWN VALVE - 1/2 NPT  MDL 300/100,75</t>
  </si>
  <si>
    <t>SKF PRODUCTS : Model No. C 2218/C3</t>
  </si>
  <si>
    <t>Metal Cutting Disc C.S 3.2 X 4.5" (ATI) 3MM</t>
  </si>
  <si>
    <t>SKF BEARING - 6213/C4</t>
  </si>
  <si>
    <t>MAKE : BARTEC; II 2G Ex eb IIC Gb White Indic</t>
  </si>
  <si>
    <t>BDV ASSEMBLY KIT EIV 102 PN 972300080</t>
  </si>
  <si>
    <t>SHAFT MOUNTED KNOT SMALL,</t>
  </si>
  <si>
    <t>Barrier cable gland, amoured cable type PAP-R</t>
  </si>
  <si>
    <t>PLG02NXXBFS+ DL02NXXX + NW02W    Plug male ty</t>
  </si>
  <si>
    <t>1" SS316 LOCKNUT AND IP WASHER</t>
  </si>
  <si>
    <t>P+F, Retroreflective Sensor   Model No. RL28-</t>
  </si>
  <si>
    <t>Honeywell SmartLine RMA801 Series Remote Indi</t>
  </si>
  <si>
    <t>SAFETY BOOTH WELDER BROWN SHOES - SLIK 5994</t>
  </si>
  <si>
    <t>P&amp;F Power Supply; PS1000-A6-24.5; P/N: 701035</t>
  </si>
  <si>
    <t>O-RING: 326.94 MM ID, 334.0 MM OD,      - PN:</t>
  </si>
  <si>
    <t xml:space="preserve">MATL:1000600448 KEY; DIAPHRAGM TYPE,FOR ROWS </t>
  </si>
  <si>
    <t>NU 213 ECP</t>
  </si>
  <si>
    <t>MATL : AIR FILTER KIT B574609</t>
  </si>
  <si>
    <t>SKF BEARING-6032/C3</t>
  </si>
  <si>
    <t>Weidmuller; Model No: RS ELCO 56/56LM S I</t>
  </si>
  <si>
    <t>SKF Product 6232 M/C3</t>
  </si>
  <si>
    <t>SKF BEARING - NJ 2318 ECJ</t>
  </si>
  <si>
    <t>2 1/2" Nickel plated brass Locknut with IP wa</t>
  </si>
  <si>
    <t xml:space="preserve">Ammeeter AM72 , X/1A, 0-20 A with fixing kit </t>
  </si>
  <si>
    <t xml:space="preserve">Ammeeter AM72 , X/5A, 0-20 A with fixing kit </t>
  </si>
  <si>
    <t>"bestweld 8mm gouging rod P/N-900 BWS-GC-7.9M</t>
  </si>
  <si>
    <t>P+F, Ultrasonic  Sensor Model No.: UB2000-F42</t>
  </si>
  <si>
    <t>Bartec Feam Cable Gland; PAP-R-07-NON, MALE 2</t>
  </si>
  <si>
    <t>Sensor Micro Fuel Cell, C06689-L2C</t>
  </si>
  <si>
    <t>SKF PRODUCT UCFC 212/H</t>
  </si>
  <si>
    <t>P+F, Inductive Sensor Model No.: NJ10-30GM-N-</t>
  </si>
  <si>
    <t xml:space="preserve">BUTTERFLY VALVE 6" Imported MDL PG 900 - 200 </t>
  </si>
  <si>
    <t>DESCRIPTION : HQ DIAMOND LOCKING COUPLING REA</t>
  </si>
  <si>
    <t>Weidmuller Product; IE-MC-VL-1TX-1ST; P/N:124</t>
  </si>
  <si>
    <t>SKF BEARING - NU 315 ECM</t>
  </si>
  <si>
    <t>SKF BEARING - TU 50 TF</t>
  </si>
  <si>
    <t xml:space="preserve">P+F, Inductive Sensor; Model:NJ5-18GM-N-5M;  </t>
  </si>
  <si>
    <t>P&amp;F Product; NJ4-12GM50-WS; P/N: 026579</t>
  </si>
  <si>
    <t>Spiral wound ring gasket, 012-1204-021</t>
  </si>
  <si>
    <t>MAT NO. 8069847, NUT LOCK, STUD FOR BEARING H</t>
  </si>
  <si>
    <t>Element, Air Filter, EN73s PN B005705760002</t>
  </si>
  <si>
    <t>Cutting Disc S.S 7" (ATI) 3.2MM</t>
  </si>
  <si>
    <t>Bartec Feam Cable Gland; PAP-05-MON, male M50</t>
  </si>
  <si>
    <t>DESCRIPTION : JAW SET TC FOR DD| Part no. PRD</t>
  </si>
  <si>
    <t>P+F, Switch Amplifier Model No.: WE 77/Ex-1 1</t>
  </si>
  <si>
    <t>Pepperl+Fuchs Frequency Converter:Model KFU8-</t>
  </si>
  <si>
    <t>SKF Product 7215 BEGAM</t>
  </si>
  <si>
    <t>SKF PRODUCT; PHG SPA3750</t>
  </si>
  <si>
    <t>Power Assy (24 VAC/DC);B8705EA</t>
  </si>
  <si>
    <t>SKF Product 3311 ANR</t>
  </si>
  <si>
    <t>SKF BEARING -SY 50 WF</t>
  </si>
  <si>
    <t>P+F;Switch Photoelectric,P/N:OJ500-M1K-E23/18</t>
  </si>
  <si>
    <t>AF 0059P -Pre Filter ,59 cfm  B003308170003</t>
  </si>
  <si>
    <t>MATL : BLOW DOWN VALVE KIT P/N : 972300030</t>
  </si>
  <si>
    <t>P+F, Viator USB HART Interface  Model No: HM-</t>
  </si>
  <si>
    <t>FILTER ELEMENT F5 PN B004700770029</t>
  </si>
  <si>
    <t>Weidmuller P/N 2619820000  Model No. WS 8/6 M</t>
  </si>
  <si>
    <t>MATL:5500012984 GASKET, 40/41/42/62,LARMCO,P/</t>
  </si>
  <si>
    <t>NQ_JAW ASSEMBLY_PRD MS 05 19, ITEM CODE : PRD</t>
  </si>
  <si>
    <t xml:space="preserve">DESCRIPTION : HQ BACKEND REAMER SHELL | Part </t>
  </si>
  <si>
    <t>DESCRIPTION :OIL FILTER G1911.202311086| Part</t>
  </si>
  <si>
    <t>O-ring Repair Kit    PN- RKORP311TA85DB5</t>
  </si>
  <si>
    <t>Filter Assembly Element P N B015000110145</t>
  </si>
  <si>
    <t>Pepperl+Fuchs Inductive Sensor (NBB8-18GM50-E</t>
  </si>
  <si>
    <t>M25 SS316 locknut &amp; IP washer</t>
  </si>
  <si>
    <t>SKF Product NUP 207 ECJ</t>
  </si>
  <si>
    <t>Nozzle con. diam. 12.5mm PN-345P012012</t>
  </si>
  <si>
    <t>Weidmuller Product; Model No:RIBBON HSS HF EL</t>
  </si>
  <si>
    <t>SKF PRODUCT  3306 ATN9/C3</t>
  </si>
  <si>
    <t>Diaphragm Seal System::EJXC80A-D20MEH4CB-NG/K</t>
  </si>
  <si>
    <t>P+F, Diagnostic Module Basic Model No. (HD2-D</t>
  </si>
  <si>
    <t>32A DP SWITCH &amp; NEON</t>
  </si>
  <si>
    <t>Others</t>
  </si>
  <si>
    <t>P&amp;F Inductive Sensor; NBB20-U4K-N0; P/N: 7013</t>
  </si>
  <si>
    <t>Circuit: Type: LCD Board, F9920LV</t>
  </si>
  <si>
    <t>WIRE BRUSH S.S 4.5"</t>
  </si>
  <si>
    <t>2" SS316 LOCKNUT AND IP WASHER</t>
  </si>
  <si>
    <t>Weidmueller,Product :2589750000,Part No: CD-H</t>
  </si>
  <si>
    <t>P+F, Inductive Sensor Model No.: NBB15-U1K-N0</t>
  </si>
  <si>
    <t>MATL:P-1201 GSKT 323431 gear boX SAP: 1008651</t>
  </si>
  <si>
    <t>Weidmuller;SFX 11/60 MM GE;P/N:2005400000</t>
  </si>
  <si>
    <t>BALL BEARING IDLER SHAFT P/N: 21-160</t>
  </si>
  <si>
    <t>SKF BEARING - 3306 ATN9/C3</t>
  </si>
  <si>
    <t>Pepperl+Fuchs Inductive sensor KFD2-UFC-EX1.D</t>
  </si>
  <si>
    <t>GP-12-NON-ELC-05;PJ ADV TNAW:1338710000</t>
  </si>
  <si>
    <t>M50 Nickel Plated Brass Lock Nut with IP wash</t>
  </si>
  <si>
    <t>TCT Annular Cutter 95mm*55</t>
  </si>
  <si>
    <t>Edge Tools Trading Est.</t>
  </si>
  <si>
    <t>Coupling Elmnt, Rotex 48 PN 12437520</t>
  </si>
  <si>
    <t>N4 Display Sub-Assy P/N-18364636</t>
  </si>
  <si>
    <t>SKF BEARING -3211 A</t>
  </si>
  <si>
    <t>M63 NICKEL PLATED BRASS LOCKNUT &amp; IP WASHER</t>
  </si>
  <si>
    <t>SKF Product 1306 EKTN9</t>
  </si>
  <si>
    <t>3 way Manifold, YV34S/NA/PP</t>
  </si>
  <si>
    <t>Desc:BDV KIT WITH SOLENOID VALVE| P/N:B009401</t>
  </si>
  <si>
    <t>DISCH CHECK VALVE 60 MDL 300/100 PN B00980107</t>
  </si>
  <si>
    <t>Differential Pressure Direct Mount Seal, EJAC</t>
  </si>
  <si>
    <t>SKF Products; 3203 ATN9</t>
  </si>
  <si>
    <t>NICKLE PLATED CABLE GLAND CMP M-25 (E1FW-M25)</t>
  </si>
  <si>
    <t>Ofak Electrical Trading Est.</t>
  </si>
  <si>
    <t>MATL : Summits Activated Carbon filter with I</t>
  </si>
  <si>
    <t>4 way SOV for Unloader P N B73XX04</t>
  </si>
  <si>
    <t>MTL 1000019967 O-RING,480MM,5.2MM,O-RING; INS</t>
  </si>
  <si>
    <t>SKF BEARING; SYJ 35 TF (NP-35)</t>
  </si>
  <si>
    <t xml:space="preserve">Weidmuller; Terminal Blocks &amp; Accessories;   </t>
  </si>
  <si>
    <t>Weidmuller; Model No. BK 2/E;  PN:7906040000</t>
  </si>
  <si>
    <t>3 Position Switch (Black); PN:05-0003-007203</t>
  </si>
  <si>
    <t>Cup Brush S.S 100mm, 4.5"</t>
  </si>
  <si>
    <t>SKF BEARING - QJ 214 N2MA</t>
  </si>
  <si>
    <t>P+F, Inductive Sensor; Model No.NBB4-12GM50-E</t>
  </si>
  <si>
    <t>RTD Temperature converter(8425720000)P/N:MCZP</t>
  </si>
  <si>
    <t>IMI MAGNET, 0000000082702400</t>
  </si>
  <si>
    <t>AF 0235F ,,Fine Filter -235cfm  B003308170026</t>
  </si>
  <si>
    <t>P+F, Inductive Sensor Model No. (NBB4-12GM50-</t>
  </si>
  <si>
    <t>Yokogawa make Current Clamp;Model;CL250</t>
  </si>
  <si>
    <t>3-way Manifold, Y34S/NA/SSB</t>
  </si>
  <si>
    <t>Shalvi Engineering Corporation</t>
  </si>
  <si>
    <t>P+F, Switch Amplifier   Model No.: KFD2-SR2-E</t>
  </si>
  <si>
    <t>MTL: SS0873724 SCREW,CAP,PN#P23T135 MANUFACTU</t>
  </si>
  <si>
    <t>Weidmuller;PN:8879050000;IE-XM-RJ45/RJ45</t>
  </si>
  <si>
    <t>Weidmuller; Cleaning unit; Model No: PJ ADV R</t>
  </si>
  <si>
    <t>Junction , K9142TH</t>
  </si>
  <si>
    <t>TCT Annular Cutter 24mm*55</t>
  </si>
  <si>
    <t>1 1/2" Nickel plated brass Locknut with IP wa</t>
  </si>
  <si>
    <t>Grinding Disc S.S 4.5 (ATI)   6.4MM</t>
  </si>
  <si>
    <t xml:space="preserve">P+F, Inductive Sensor ; Model No. NJ2-12GM-N </t>
  </si>
  <si>
    <t>SKF PRODUCTS - SNL 524-620</t>
  </si>
  <si>
    <t>MTL : 245026 GASKET: MATERIAL NON ASBESTOS,PA</t>
  </si>
  <si>
    <t>P+F,Adapter with USB interface:Model:K-ADP-US</t>
  </si>
  <si>
    <t>SEAL: MECHANICAL;/PUMP.                 - PN:</t>
  </si>
  <si>
    <t>2-way Manifold, Y24S/NA/SSB</t>
  </si>
  <si>
    <t>SKF Products; PHG SPB2725</t>
  </si>
  <si>
    <t>P+F, Inductive Sensor;  Model No. NCB8-18GM40</t>
  </si>
  <si>
    <t>SKF BEARING - 6318-Z/C3</t>
  </si>
  <si>
    <t>SKF BEARING - 6007-2Z</t>
  </si>
  <si>
    <t>pH/ORP Combination Sensor Part No: PH20-FI-G-</t>
  </si>
  <si>
    <t>WATER SEPARATOR - F3   B000306040012</t>
  </si>
  <si>
    <t xml:space="preserve">OIL AIR LUBE XD-20L (BPCL) PN 998053  (QT IN </t>
  </si>
  <si>
    <t>P+F; Accessories trigger cable;Model:ACC-FDH-</t>
  </si>
  <si>
    <t>P+F, Inductive Sensor Model No. NJ3-18GK-S1N-</t>
  </si>
  <si>
    <t>P+F, Inductive Sensor; Model No.: NCB2-12GM35</t>
  </si>
  <si>
    <t>P+F;: INDUCTIVE SENSOR: Model:NBB2-8GM40-E2-0</t>
  </si>
  <si>
    <t>SKF Product FY 1.15/16 FM</t>
  </si>
  <si>
    <t>Weidmuller; Terminal Blocks;  P/N: 2007120000</t>
  </si>
  <si>
    <t>Pepperl+Fuchs Inductive Sensor (KFD2-EB2.R4A.</t>
  </si>
  <si>
    <t>P&amp;F Inductive Sensor; NCN8-18GM40-N0-10M; P/N</t>
  </si>
  <si>
    <t>13A 2G DP SWITCHSOCKET &amp; NEON</t>
  </si>
  <si>
    <t>P+F;Inductive Sensor;NCN50-FP-A2-P1; PN:18758</t>
  </si>
  <si>
    <t>SKF Products; NJ 220 ECP</t>
  </si>
  <si>
    <t>O-ring Repair Kit    PN- RKORP311UC85DB2</t>
  </si>
  <si>
    <t>O-ring Repair Kit    PN- RKORP311UC85DB6</t>
  </si>
  <si>
    <t>05-0003-006303 3 Position selector switch</t>
  </si>
  <si>
    <t>Solenoid Valve, Y013AA1V2DS</t>
  </si>
  <si>
    <t>Bartec Feam Cable Gland; PNA-R-03-NON, MALE 1</t>
  </si>
  <si>
    <t>Weidmuller P/N 294460000   Model No. AP AKZ4</t>
  </si>
  <si>
    <t>SKF NUT, LOCK - Model No. KMT 26</t>
  </si>
  <si>
    <t>1 1/4" Brass Nickel Plated Locknut &amp; IP Washe</t>
  </si>
  <si>
    <t>Ali Hussain Al-Zaher Trading Est.</t>
  </si>
  <si>
    <t>P+F INDUCTIVE SENSOR; Model: NCB5-18GM40-Z0-3</t>
  </si>
  <si>
    <t>DUST MASK</t>
  </si>
  <si>
    <t>AIR FILTER ELEMENT PN B574607</t>
  </si>
  <si>
    <t>P+F, Inductive Sensor;Model:NJ5-18GM-N-10M PN</t>
  </si>
  <si>
    <t>SKF Product NU 322 ECM/C3</t>
  </si>
  <si>
    <t>SKF BEARING - NU 217 ECM</t>
  </si>
  <si>
    <t>ADAPTOR_2-7/8 API IF BOX TO NW BOX, ITEM CODE</t>
  </si>
  <si>
    <t xml:space="preserve">DESCRIPTION : SEAL KIT_PVG-128/32 | Part No: </t>
  </si>
  <si>
    <t>Oliver make 2 way manifolds; Model no:G12FFS/</t>
  </si>
  <si>
    <t>Wide Body sensor, FU20-10-T1-NPT/FPS</t>
  </si>
  <si>
    <t>Filter Regulator, IFR3-YR2AAA1V1BS005</t>
  </si>
  <si>
    <t>Electrode Holder 500A</t>
  </si>
  <si>
    <t>KIT AIR FILTER ELEMENT HINO  P N 32304539</t>
  </si>
  <si>
    <t>SKF Products; 7313 BEGBM</t>
  </si>
  <si>
    <t>O-Ring Repair Kit  PN-RKORP311UK64DB2</t>
  </si>
  <si>
    <t>Digital Multimeter; Model No.: TY710</t>
  </si>
  <si>
    <t>20A DP SWITCH WITH NEON AND FLEX OUTLET (AT B</t>
  </si>
  <si>
    <t>Safety Shoe Roadmate</t>
  </si>
  <si>
    <t>Inspection Services</t>
  </si>
  <si>
    <t>Weidmuller; Terminal Blocks &amp; Accessories;P/N</t>
  </si>
  <si>
    <t>Weidmueller Product; Model:PJ ADV TNTK INK SE</t>
  </si>
  <si>
    <t>BOOM ANGLE INDICATOR, ITEM CODE : PRD FB 00 1</t>
  </si>
  <si>
    <t>P+F, Inductive sensor: NCB1,5-8GM40-Z0; P/N:1</t>
  </si>
  <si>
    <t>SKF BEARINGS - Model No. NU 309 ECM</t>
  </si>
  <si>
    <t>1/2" Nickel plated brass Locknut with IP wash</t>
  </si>
  <si>
    <t>Twisted Cup Wire  Brush SS 100MM NUT SIZE 14</t>
  </si>
  <si>
    <t>P+F,Inductive Sensor;Model:NJ8-18GM50-A2, Par</t>
  </si>
  <si>
    <t>ZTR 2.5;1831280000</t>
  </si>
  <si>
    <t>Argon Gloves Long (Gray),</t>
  </si>
  <si>
    <t>SKF BEARING; NA 4917</t>
  </si>
  <si>
    <t>FUEL SOLENOID PART NO. B013603500475</t>
  </si>
  <si>
    <t>Weidmuller Product;PRO BAS 120W 24V 5A;PN:283</t>
  </si>
  <si>
    <t>SKF LOCKNUT - KM 11</t>
  </si>
  <si>
    <t>Bartec component '05-03-6304</t>
  </si>
  <si>
    <t>DESCRIPTION : SPEARHEAD BUSH | Part No: PRD C</t>
  </si>
  <si>
    <t>P&amp;F Inductive analog sensor; IA6-12GM50-IU-Y7</t>
  </si>
  <si>
    <t>SKF BEARING - NUKR 90 A</t>
  </si>
  <si>
    <t>WEAR BLOCK, HP DEFLECTOR , ITEM CODE : PRD 17</t>
  </si>
  <si>
    <t xml:space="preserve">OIL FILTER KIT .21913334 ,23958454,23273538, </t>
  </si>
  <si>
    <t>Solenoid Valve24V PN B009405770014</t>
  </si>
  <si>
    <t>Fine -Filter  PN FFE0210</t>
  </si>
  <si>
    <t>Pepperl+Fuchs Inductive Sensor;Model:NCB2-12G</t>
  </si>
  <si>
    <t>1M RJ11/12 OUTLET : EURO</t>
  </si>
  <si>
    <t>ELEMENT, AIR CLEANER PN B013603500460</t>
  </si>
  <si>
    <t>SKF-BELT;V:P/N:PHG SPB1900,DRAWING L-83;(6 PE</t>
  </si>
  <si>
    <t>KIT: O-RING, REPAIR, FOR MODEL          - PN:</t>
  </si>
  <si>
    <t>TCT Annular Cutter 75 mm*55</t>
  </si>
  <si>
    <t>SKF PRODUCT; 7212 BEP</t>
  </si>
  <si>
    <t>Digital LHDC Dual Channel Galvanic - P&amp;F - KF</t>
  </si>
  <si>
    <t>SKF BEARING; KR 47 PP</t>
  </si>
  <si>
    <t>SKF BEARING; 7201 BEP</t>
  </si>
  <si>
    <t>Weidmuller Product; WPD 104 1X25+1X16/2X16+3X</t>
  </si>
  <si>
    <t>SKF BEARING - NUP 215 ECM/C3</t>
  </si>
  <si>
    <t>Orifice Plate Mod.FLC-OP PIPE SIZE: 4"  ( det</t>
  </si>
  <si>
    <t>AXIAL FAN 63W,230V,50HZ | P/N-B005100950131</t>
  </si>
  <si>
    <t>P+F, Transmitter power supply;KCD2-STC-1.20;M</t>
  </si>
  <si>
    <t>GULF AUTOMATION</t>
  </si>
  <si>
    <t>PUMP_HYD_SINGLE_PERMCO_SPLINE, ITEM CODE : PR</t>
  </si>
  <si>
    <t>Weidmuller;EM 8/30;P/N: 1806120000;</t>
  </si>
  <si>
    <t xml:space="preserve">DESCRIPTION : BRONZE PLATE- 870X40X10 | Part </t>
  </si>
  <si>
    <t>PLG06MXXBFS + DL06MXX +NW06M   Plug male type</t>
  </si>
  <si>
    <t>SKF PRODUCT SIKAC 30 M</t>
  </si>
  <si>
    <t>P+F, Thru-Beam Sensor  Model No. LD28/LV28-F1</t>
  </si>
  <si>
    <t>3-way Manifold, Y34S/BKTS/SSB</t>
  </si>
  <si>
    <t>Drip tray; size 1.49m x 1.86m, 30mm height</t>
  </si>
  <si>
    <t>Abdul Rahman Saleh Abdullah Al-Otaishan Factory for Metal Industries</t>
  </si>
  <si>
    <t>AIRFILTER ELEMENT E18TO22 PN B005700770005</t>
  </si>
  <si>
    <t>O-RING REPAIR KIT RKORP311UD24 RKORP311UDXXDB</t>
  </si>
  <si>
    <t>SKF BEARING; NJ 2215 ECJ</t>
  </si>
  <si>
    <t>SKF BEARINGS - Model No.NU 2311 ECML</t>
  </si>
  <si>
    <t>SKF BEARING - 6218</t>
  </si>
  <si>
    <t>P+F; Inductive Sensor:NJ10-30GM-N 5M   Contra</t>
  </si>
  <si>
    <t>SKF BEARING - 31314</t>
  </si>
  <si>
    <t>SOLENOID VALVE NC,24V50/60HZ PN B007300990017</t>
  </si>
  <si>
    <t>Model: 910.13 Over Pressure Protector</t>
  </si>
  <si>
    <t>SKF Product 3201 ATN9</t>
  </si>
  <si>
    <t>SKF Product 30208</t>
  </si>
  <si>
    <t>Temperature Transmitter:YTA610-JA1A2DK/C3/SU2</t>
  </si>
  <si>
    <t>SKF BEARING; UCFL 207/H</t>
  </si>
  <si>
    <t>KIT,REPR,O-RING,PN-RKORP311UD24DB2 KIT,REPAIR</t>
  </si>
  <si>
    <t>Intake valve - 3" P/N-B009806750002</t>
  </si>
  <si>
    <t>SEAL; SHAFT; 12S(LIP)  P/N-13431010</t>
  </si>
  <si>
    <t>MATL:129558 COUPLING,SHAFT:FLEXIBLE ELEMENT,R</t>
  </si>
  <si>
    <t>DESCRIPTION :FUEL FILTER G1911.202310054| Par</t>
  </si>
  <si>
    <t>50A 2G DP SWITCH &amp; NEON</t>
  </si>
  <si>
    <t>MATL : COR RINSE 68A 200 Kg / Drum Quaker Hou</t>
  </si>
  <si>
    <t>SKF BEARING - 32315</t>
  </si>
  <si>
    <t>Weidmuller relay and terminal; MF 5/6 MM BP W</t>
  </si>
  <si>
    <t>Weidmueller,Product :2589720000,Part No: CD-H</t>
  </si>
  <si>
    <t>DESCRIPTION : CORE LIFTER | Part No: PRD CA 0</t>
  </si>
  <si>
    <t>Intake valve kit PN B009401070009</t>
  </si>
  <si>
    <t>M32 Nickel Plated Brass Lock Nut with IP wash</t>
  </si>
  <si>
    <t>GP-12-NON-ELC-05;Color sets PJ ADV TNTK INS S</t>
  </si>
  <si>
    <t>ENGINE CONTROLLER DSE3210 P N B012706970001</t>
  </si>
  <si>
    <t>GP-12-NON-ELC-05;CC-M 85/54 AL LABEL (54X85)A</t>
  </si>
  <si>
    <t>DRIVE COUPLING  B005401170048</t>
  </si>
  <si>
    <t xml:space="preserve">DESCRIPTION :AD658- MUFFLER 1" DPS 60 | PART </t>
  </si>
  <si>
    <t xml:space="preserve">DESCRIPTION : ROLLER ASSEMBLY | Part No: PRD </t>
  </si>
  <si>
    <t>WD40 330ml.</t>
  </si>
  <si>
    <t>NYLON 66 CABLE TIE 7.6MM X 300MM -BLACK : UL9</t>
  </si>
  <si>
    <t>Twisted Wire Cup Brush SS 75MM NUT SIZE 14</t>
  </si>
  <si>
    <t>Weidmuller Product; WPE 95N/120N; P/N:1846030</t>
  </si>
  <si>
    <t>SKF BEARING - 6312-Z/C3</t>
  </si>
  <si>
    <t>[.11.822.630] Bevelling Unit</t>
  </si>
  <si>
    <t>P+F;INDUCTIVE SENSOR:Model:NCN4-12GM60-B3-C2-</t>
  </si>
  <si>
    <t>Oliver make 3 way manifold, YV34S/BKTS/NA/SSB</t>
  </si>
  <si>
    <t>Marine Grade Copper Free Aluminium Horn TYPE:</t>
  </si>
  <si>
    <t>5275527_ENGINE AIR FILTER P/N-B013603500433</t>
  </si>
  <si>
    <t>Pepperl+Fuchs Inductive Sensor (UB800-18GM40-</t>
  </si>
  <si>
    <t>SKF BEARING - 99235</t>
  </si>
  <si>
    <t>2-Cable Glands Including Accessories (PAP-09-</t>
  </si>
  <si>
    <t>SKF BEARING - 6226</t>
  </si>
  <si>
    <t>Double Block &amp; Bleed Needle Valve;    DBB/IN/</t>
  </si>
  <si>
    <t xml:space="preserve">Weidmuller; TERMINAL BLOCK; P/N: 1050100000; </t>
  </si>
  <si>
    <t xml:space="preserve">DESCRIPTION :SAFETY VALVE 205 PSI F3  | PART </t>
  </si>
  <si>
    <t>SKF BEARING - 3218 A</t>
  </si>
  <si>
    <t>O-Ring Repair Kit  PN-RKORP311UC63DB1</t>
  </si>
  <si>
    <t>P&amp;F Safety thru beam sensor; SLA29-R/116; P/S</t>
  </si>
  <si>
    <t>DESCRIPTION : ROD WRENCH  | Part No: PRD CA 0</t>
  </si>
  <si>
    <t>Weidmueller:Model WSI 6 EX; PN:2562730000</t>
  </si>
  <si>
    <t>M20 Nickel Plated Brass Lock Nut with IP wash</t>
  </si>
  <si>
    <t>Weidmuller; PRO DC BUFFER 24V 20A;  PN: 27862</t>
  </si>
  <si>
    <t>Weidmuller; Model No: PJ ADV IPC II; PN: WN7</t>
  </si>
  <si>
    <t>Solenoid valve P N B007300990008</t>
  </si>
  <si>
    <t>DESCRIPTION : FEED CYLINDER SEAL KIT| Part no</t>
  </si>
  <si>
    <t>45A 2G DP SWITCH</t>
  </si>
  <si>
    <t>Terminal Marker  P/N:WDM#2007110000  Model:DE</t>
  </si>
  <si>
    <t>WORKING LEATHER GLOVES HIGH QUALITY</t>
  </si>
  <si>
    <t>Weidmuller Product; WSI 6/2/LD 250AC PN:10144</t>
  </si>
  <si>
    <t>SKF Product 1319 K</t>
  </si>
  <si>
    <t>Wire Brush C.S (Sanpro Twisted) 4.5"</t>
  </si>
  <si>
    <t>SKF BEARING -TSN 512 A</t>
  </si>
  <si>
    <t>P&amp;F;make frequency voltage current converter;</t>
  </si>
  <si>
    <t>O-RING: 317.5 MM (12-1/2 IN) ID,        - PN:</t>
  </si>
  <si>
    <t>DESCRIPTION  | INTAKE VALVE | PART NO -B00980</t>
  </si>
  <si>
    <t>SKF PRODUCT 7316 BEP</t>
  </si>
  <si>
    <t>Weidmuller Product; ASK 1/EN/KOHUE OR; P/N: 1</t>
  </si>
  <si>
    <t>SKF PRODUCT; 7304 BECBP</t>
  </si>
  <si>
    <t>P+F, Inductive Sensor;  Model:NJ10-30GKK-N</t>
  </si>
  <si>
    <t>SKF BEARING - Model No.C 2314</t>
  </si>
  <si>
    <t>SKF BEARINGS - Model No.AXK 100135</t>
  </si>
  <si>
    <t>SKF BEARING -QJ 312 MA</t>
  </si>
  <si>
    <t>P&amp;F Inductive Sensor; NJ10-30GM-N-V1; P/N: 70</t>
  </si>
  <si>
    <t>FILTER_RETURN_HYD_CFR 630, ITEM CODE : PRD FL</t>
  </si>
  <si>
    <t>O-Ring Repair Kit  PN-RKORP311UC87DB5</t>
  </si>
  <si>
    <t>P&amp;F Inductive Sensor; NJ15-30GK-N; P/N:701333</t>
  </si>
  <si>
    <t>Pepperl and fuchs Product; NJ6-22-N-G-15M; P/</t>
  </si>
  <si>
    <t>Weidmuller Product;WTW WFF185/300;PN:10674000</t>
  </si>
  <si>
    <t>O-Ring Repair Kit  PN-RKORP801UC47DB252</t>
  </si>
  <si>
    <t>Metal Grinding Disc C.S 4.5" (ATI Swords)  6.</t>
  </si>
  <si>
    <t>SKF Product 1200 ETN9</t>
  </si>
  <si>
    <t>SKF PRODUCT GE 50 TXE-2LS</t>
  </si>
  <si>
    <t>SKF BEARING; 32210</t>
  </si>
  <si>
    <t>GASKET: FLEXITALLIC                     - PN:</t>
  </si>
  <si>
    <t>P+F;INDUCTIVE SENSOR:Model:NBN15-30GM40-Z0-V1</t>
  </si>
  <si>
    <t>TIMKEN 4595/4535 cup make</t>
  </si>
  <si>
    <t>Faisal Al Shuhail Co. For Trading Services</t>
  </si>
  <si>
    <t>STAINLESS STEEL TIE-COATED 4.6MM X 200MM - 10</t>
  </si>
  <si>
    <t>M32 SS316 locknut &amp; IP washer</t>
  </si>
  <si>
    <t>Weidmueller,Product:2005090000,Part No: RIBBO</t>
  </si>
  <si>
    <t>AIR FILTER PART NO 12475869</t>
  </si>
  <si>
    <t>Weidmuller;PN:1241380000;IE-SW-BL06-2TX-4POE</t>
  </si>
  <si>
    <t>Cotton Gloves Short (White)</t>
  </si>
  <si>
    <t>P+F, Inductive Sensor   Model No. NJ4-12GM-N-</t>
  </si>
  <si>
    <t>SKF PRODUCT FSNL 522-619</t>
  </si>
  <si>
    <t>DESCRIPTION :FUEL FILTER INSERT  G1911.202310</t>
  </si>
  <si>
    <t>Pepperl+Fuchs Inductive Sensor Model: NJ4-12G</t>
  </si>
  <si>
    <t>FILL &amp; VENT FITTING 25-003</t>
  </si>
  <si>
    <t>SKF BEARING; LOCK WASHER : Model No. MB 13</t>
  </si>
  <si>
    <t>SKF BEARING - 6308</t>
  </si>
  <si>
    <t>Fine -Filter  PN FFE0420</t>
  </si>
  <si>
    <t>A/F PRIMARY-185CFM PN B005706740002</t>
  </si>
  <si>
    <t>MOISTURE SEPARATOR ( MS150) F2 P/N- B00030548</t>
  </si>
  <si>
    <t>DESCRIPTION : AVM=1 NHIX | PART NO : 41041X02</t>
  </si>
  <si>
    <t>SKF Product 6006/C3</t>
  </si>
  <si>
    <t>P+F, Inductive Sensor  Model No. NJ15S+U1+N</t>
  </si>
  <si>
    <t>Pepperl+Fuchs make Inductive sensor:NRN30-30G</t>
  </si>
  <si>
    <t>SKF BEARING - 3213 A/C3</t>
  </si>
  <si>
    <t>SKF BEARING; 7313 BEGAF</t>
  </si>
  <si>
    <t>SKF BEARING - YAR 211-2F</t>
  </si>
  <si>
    <t>Pepperl+Fuchs Inductive Sensor (NBB2-8GM50-E2</t>
  </si>
  <si>
    <t>MATL :  ELBOW, RUBBER, 8"X7" P/N: 220375380</t>
  </si>
  <si>
    <t>SKF PRODUCT QJ 310 MA</t>
  </si>
  <si>
    <t>PACKING CHARGE</t>
  </si>
  <si>
    <t xml:space="preserve">DESCRIPTION : NW PIN TO HQ PIN ADAPTER| Part </t>
  </si>
  <si>
    <t>SKF Products; PHG SPB2180</t>
  </si>
  <si>
    <t>Gasket,  Part No: F9445ED</t>
  </si>
  <si>
    <t>SKF BEARING - Model No. 30222 J2</t>
  </si>
  <si>
    <t>SKF BEARINGS - Model No. TSN 220 S</t>
  </si>
  <si>
    <t>SKF BEARING : Model No. 3306 ATN9</t>
  </si>
  <si>
    <t>SKF Product; 3207 ATN9/C3</t>
  </si>
  <si>
    <t xml:space="preserve">DESCRIPTION : BRONZE PLATE-870X100X10 | Part </t>
  </si>
  <si>
    <t>07-3331-1G02  ComEx control switch 4-pole, Sw</t>
  </si>
  <si>
    <t>1/2" NPTF thru 5-way Valve manifold, Y53S/NA/</t>
  </si>
  <si>
    <t>TCT Annular Cutter16mm*55</t>
  </si>
  <si>
    <t>TCT Annular Cutter 18mm*55</t>
  </si>
  <si>
    <t>P+F, Inductive Sensor  Model No. NBB4-12GM50-</t>
  </si>
  <si>
    <t>SKF BEARING - Model No. 31312/DF</t>
  </si>
  <si>
    <t>Pepperl+Fuchs Inductive Sensor;  Model:NJ2-12</t>
  </si>
  <si>
    <t>P+F, Inductive Sensor  Model No. NJ5-18GM-N-V</t>
  </si>
  <si>
    <t>SKF BEARING -NA 4911/C3</t>
  </si>
  <si>
    <t>Hex long nipple 316SS;2" long;size 1/2"Mx2"L;</t>
  </si>
  <si>
    <t>Al Othman Industrial Marketing (IMCO)</t>
  </si>
  <si>
    <t>P+F, Thru-Beam Sensor  Model No. LD28/LV28-Z-</t>
  </si>
  <si>
    <t>Weidmuller; Memory Card; Model No: PJ ADV MC</t>
  </si>
  <si>
    <t>Liner red 5.40m for wire 1.0-1.2 PN-324P20455</t>
  </si>
  <si>
    <t>SKF BEARING -NU 319 ECP</t>
  </si>
  <si>
    <t>P+F; Inductive Sensor:NMB15-30GM65-E2-V1;  PN</t>
  </si>
  <si>
    <t>SKF; BELT V; PHG SPA-2932</t>
  </si>
  <si>
    <t>RETURN AIR OPEN SOLENOID, ITEM CODE : PRD VEÂ </t>
  </si>
  <si>
    <t>"MATL:20028376,COMPRESSION RING DRW:SA-JER-DC</t>
  </si>
  <si>
    <t>Weidmuller; Tools; P/N: 9002660000   Model No</t>
  </si>
  <si>
    <t>Model SF 100 SX</t>
  </si>
  <si>
    <t>AUTO DRAIN VALVE - F3 PN B000306040013</t>
  </si>
  <si>
    <t>Desc : TEMP.SENSOR;0-150DEG;KTY10 | P/N:00897</t>
  </si>
  <si>
    <t>P+F, Inductive Sensor   Model No. NJ2-F-E02-1</t>
  </si>
  <si>
    <t>M40 Nickel Plated Brass Lock Nut with IP wash</t>
  </si>
  <si>
    <t>MAT NO. 1000146085, O-RING PERBUNAN CASING/SU</t>
  </si>
  <si>
    <t>SKF BEARING-NU 2214 ECJ</t>
  </si>
  <si>
    <t>P+F;Inductive sensor;Model:NBB15-30GM50-E2-3G</t>
  </si>
  <si>
    <t>Weidmueller ZEW 15 Part No: 7920340000</t>
  </si>
  <si>
    <t xml:space="preserve">Weidmuller; TERMINAL BLOCK; P/N: 1846040000; </t>
  </si>
  <si>
    <t>VALVE KIT A/INTAKE 4" AIRCON  PN 10331099</t>
  </si>
  <si>
    <t>Intake Valve Kit; P/N: B009805770012</t>
  </si>
  <si>
    <t>Ear Plug (Orange)</t>
  </si>
  <si>
    <t>Weidmuller Product; WAP 2.5-10 GR PN:10500500</t>
  </si>
  <si>
    <t>SKF; BELT V; PHG SPA-2500</t>
  </si>
  <si>
    <t>DESCRIPTION : INNER TUBE WRENCH | Part No: PR</t>
  </si>
  <si>
    <t>Weidmuller; Tools; P/N: 9002650000   Model No</t>
  </si>
  <si>
    <t>SKF PRODUCT  TSN 522 S</t>
  </si>
  <si>
    <t>SKF Product; 7317 BECBY</t>
  </si>
  <si>
    <t>P+F, Inductive Sensor   Model No. NJ4-12GM40-</t>
  </si>
  <si>
    <t>O-ring Repair Kit    PN- RKORP322UC24DB5</t>
  </si>
  <si>
    <t>KIT: O-RING, REPAIR KIT                 - PN:</t>
  </si>
  <si>
    <t>Weidmuller; TERMINAL BLOCK;   P/N: 1609860000</t>
  </si>
  <si>
    <t>SKF BEARING - SYF 506</t>
  </si>
  <si>
    <t>SKF BEARING-H 309</t>
  </si>
  <si>
    <t>P+F, Inductive Sensor   Model No. NBN15-30GM5</t>
  </si>
  <si>
    <t>SKF BEARING - 6211-Z</t>
  </si>
  <si>
    <t>Welding Helmet (Black)</t>
  </si>
  <si>
    <t>O-RING REPAIR KIT RKORP801UC64DB2 RKORP801UCX</t>
  </si>
  <si>
    <t>SKF Products; NJ 2204 ECP</t>
  </si>
  <si>
    <t>Tee Screwed 316SS;size 1/2" F;  PN:T8FTP316</t>
  </si>
  <si>
    <t>Gulf Level Trading Company</t>
  </si>
  <si>
    <t>P+F, Inductive Slot Sensor Model No. SJ3,5-S1</t>
  </si>
  <si>
    <t>AIR FILTER ASSLY E18-22 P/N-B004700770002</t>
  </si>
  <si>
    <t>SKF BEARING -FYJ 80 TF</t>
  </si>
  <si>
    <t>O-ring Repair Kit    PN- RKORP322UC24DB6</t>
  </si>
  <si>
    <t>13A 2G SOCKET</t>
  </si>
  <si>
    <t>STRAINER_SUCTION_HYD_SC2 300_1200LPM_4", ITEM</t>
  </si>
  <si>
    <t>MPV Assembly PN A990080</t>
  </si>
  <si>
    <t>P+F, Inductive Sensor Model No. NCB5-18GM40-N</t>
  </si>
  <si>
    <t>FILTER MASK N95</t>
  </si>
  <si>
    <t>VALVE, 3/2, PUSH PULL, G1/4; P/N: B0098001700</t>
  </si>
  <si>
    <t>Clamp On Power Meter, Model No.: CW10</t>
  </si>
  <si>
    <t>05-0091-0187  Bartec Component</t>
  </si>
  <si>
    <t>SKF BEARING - 7212 BEGAM</t>
  </si>
  <si>
    <t>RE04N02NIX BARTEC</t>
  </si>
  <si>
    <t xml:space="preserve">JOINT-GSP2 13"-SW/R-316L/NA/GRÂ  C17005296Â Â Â  </t>
  </si>
  <si>
    <t>SKF BEARING - 7213 BECBY</t>
  </si>
  <si>
    <t>TCT ANNULAR CURRER 33MM X 55 MM</t>
  </si>
  <si>
    <t>Coupling Element MDL EG11-E15 PN B01120117000</t>
  </si>
  <si>
    <t>SKF BEARING - W 21</t>
  </si>
  <si>
    <t>Spirit Level Different Sizes 60cm</t>
  </si>
  <si>
    <t>Door of Knowledge Trading</t>
  </si>
  <si>
    <t>TRS 230VAC RC 2CO TERMSERIES, Relay module, N</t>
  </si>
  <si>
    <t>SKF BEARING - TSN 513 C</t>
  </si>
  <si>
    <t>P+F, Inductive Sensor    Model No. NJ15-30GK-</t>
  </si>
  <si>
    <t>SKF Products; 7318 BECBP</t>
  </si>
  <si>
    <t>05-0003-001200  Lockable push button with key</t>
  </si>
  <si>
    <t>Weidmueller PJ ADV TNTK INK Y Part No: 133865</t>
  </si>
  <si>
    <t>Axial Electrical Fan, 4840N</t>
  </si>
  <si>
    <t>Weidmueller PJ ADV TNTK INK M Part No: 133867</t>
  </si>
  <si>
    <t>FACESHIELD FRAME (BLACK)</t>
  </si>
  <si>
    <t>Weidmueller PJ ADV TNTK INK K Part No: 133869</t>
  </si>
  <si>
    <t>Weidmueller PJ ADV TNTK INK C Part No: 133868</t>
  </si>
  <si>
    <t>P&amp;F Inductive Sensor; NBB4-12GM75-US; P/N: 19</t>
  </si>
  <si>
    <t>SKF PRODUCT PHC 12B-1X10FT</t>
  </si>
  <si>
    <t>GASKET, COMPRESSED FIBER                - PN:</t>
  </si>
  <si>
    <t>Pepperl+Fuchs Inductive Sensor; Model:NBN40-U</t>
  </si>
  <si>
    <t>SKF BEARING 6024 MA/C3</t>
  </si>
  <si>
    <t>O-ring Repair Kit    PN- RKORP322UD24DB2</t>
  </si>
  <si>
    <t>SKF Bearing; PN: 32020 X</t>
  </si>
  <si>
    <t>SKF BEARING - NJ 216 ECM</t>
  </si>
  <si>
    <t>SKF BEARINGS - Model No. FRB 10/150</t>
  </si>
  <si>
    <t>Glass Clear For Welding 50*108</t>
  </si>
  <si>
    <t>P+F, Inductive Sensor Model No. NCB10-30GM40-</t>
  </si>
  <si>
    <t>MATL : Pre filter -AF 0294F 1 1/2'' BSP</t>
  </si>
  <si>
    <t>MATL : Fine Filter AF 0294F 1 1/2'' BSP</t>
  </si>
  <si>
    <t>F-SB BUS Cable For :1-3 Unit, S2KLF10-1A32</t>
  </si>
  <si>
    <t>Weidmueller,Product:9540000000;   PN: ZEW 35</t>
  </si>
  <si>
    <t>MTL: 11029298 GSKT;PMP;PN:649709-1 GASKET; AP</t>
  </si>
  <si>
    <t>SKF BEARING - 6005</t>
  </si>
  <si>
    <t>P+F, Inductive Sensor Model No.: NJ1,5-8GM-N</t>
  </si>
  <si>
    <t>Wrap A Round 5'' * 7''</t>
  </si>
  <si>
    <t>AF 0235P ,Pre Filter ,235 cfm  B003308170008</t>
  </si>
  <si>
    <t>SKF; BELT V; PHG SPA-2582</t>
  </si>
  <si>
    <t>DCV 3.0" ASSEMBLY , A970027</t>
  </si>
  <si>
    <t>AUTO DRAIN VALVE F5 &amp; F6 PN B001302940001</t>
  </si>
  <si>
    <t>DESCRIPTION : CORE LIFTER CASE | Part No: PRD</t>
  </si>
  <si>
    <t>200328 BELT V</t>
  </si>
  <si>
    <t>Pepperl+Fuchs make Inductive sensor;NBN8-18GM</t>
  </si>
  <si>
    <t>AIR FILTER ELEMENT E11-15 PN B005700770004</t>
  </si>
  <si>
    <t>MPV KIT1(B009300800006)</t>
  </si>
  <si>
    <t xml:space="preserve">DESCRIPTION : BRONZE PLATE-870X75X10  | Part </t>
  </si>
  <si>
    <t>P+F, Inductive Sensor  Model No. NJ2-V3-N-V5</t>
  </si>
  <si>
    <t>SKF Products; 2310</t>
  </si>
  <si>
    <t>SMC Air Filter Regulator, AW40-N04BG-2D</t>
  </si>
  <si>
    <t>BR.MACHINE INNOVATION CO. For Machine and Equipmentâ€™s</t>
  </si>
  <si>
    <t>OIL FILTER P N B004800770003</t>
  </si>
  <si>
    <t>P+F;Retroreflective Sensor: Model No:RL28-55-</t>
  </si>
  <si>
    <t>MATL: Fittings Kit; P/N: 12476659</t>
  </si>
  <si>
    <t>Seal Repair Kit  PN-RK01SE28A</t>
  </si>
  <si>
    <t>SKF Products; MB 25</t>
  </si>
  <si>
    <t>Indicator  Unit Assembly Part No: F9802JA</t>
  </si>
  <si>
    <t>SENSOR MFC B2C P/N C06689-B2C</t>
  </si>
  <si>
    <t>M20 SS316 locknut &amp; IP washer</t>
  </si>
  <si>
    <t>P+F, Inductive Sensor   Model No. NCN4-12GM35</t>
  </si>
  <si>
    <t>Weidmuller Items; WQL 2 WFF35 P/N 1064900000</t>
  </si>
  <si>
    <t>FACESHIELD CLEAR PLASTIC</t>
  </si>
  <si>
    <t>Matl: 669523 O-RING, CORD: MATERIAL VITON, FF</t>
  </si>
  <si>
    <t>Weidmuller Product;TRS 230VUC  2CO;PN:1123540</t>
  </si>
  <si>
    <t>Weidmuller; Waste Pad; Model No: PJ ADV TNAW;</t>
  </si>
  <si>
    <t xml:space="preserve">Weidmuller; Memory Card IPC II; Model No: PJ </t>
  </si>
  <si>
    <t>P+F Cable Connector Model:V1-W-N-25M-PUR    P</t>
  </si>
  <si>
    <t>VALVE ASSY, PR REG, 1/4"NPT PN 220317590</t>
  </si>
  <si>
    <t>Weidmuller; WDK 2.5 1D A.2; P/N 1023300000</t>
  </si>
  <si>
    <t xml:space="preserve">WAH 185/300 BE Bolt-type screw terminals PN: </t>
  </si>
  <si>
    <t xml:space="preserve">Wedimueller:PN:8564290000;  FBCON DP CG TERM </t>
  </si>
  <si>
    <t>Weidmuller Product; ASK 1/EN/KOHUE; P/N: 4563</t>
  </si>
  <si>
    <t>O-ring Repair Kit    PN- RKORP311UA24DB2</t>
  </si>
  <si>
    <t xml:space="preserve">Weidmuller; TERMINAL BLOCK; P/N: 1010300000; </t>
  </si>
  <si>
    <t>3815929_SAFETY CATRIDGE PN B013603500582</t>
  </si>
  <si>
    <t>10A 1G SP PUSHSWITCH "PRESS"</t>
  </si>
  <si>
    <t>P+F, Inductive Sensor  Model No. NCN4-12GM35-</t>
  </si>
  <si>
    <t>HYDRAULIC CONNECTOR  PN- F19-362DB-HY</t>
  </si>
  <si>
    <t>DESCRIPTION : AVM=2 NHIX | PART NO : 41041X02</t>
  </si>
  <si>
    <t xml:space="preserve">Pepperl+Fuchs Inductive Sensor (NJ15-30GM-N) </t>
  </si>
  <si>
    <t>Bartec Feam Cable Gland; PNA-R-02-NIX + KIT</t>
  </si>
  <si>
    <t>Weidmuller Product; MCZ R 48...110VDC 1CO TRA</t>
  </si>
  <si>
    <t>Hex reducing Nipple 316SS; 3/4"Mx1/2"M ;   PN</t>
  </si>
  <si>
    <t>TCT Annular Cutter34mm*55</t>
  </si>
  <si>
    <t>Weidmueller;Model:ACT20P-CI-CO-SPN:7760054114</t>
  </si>
  <si>
    <t>Argon Gloves Short (Gray)</t>
  </si>
  <si>
    <t>SKF Product QJ 309 MA</t>
  </si>
  <si>
    <t>Cooling Tower, RTR2F2M-MRHT</t>
  </si>
  <si>
    <t>P2600640_PRIMARY ELEMENT  P N B013603050056</t>
  </si>
  <si>
    <t xml:space="preserve">DESCRIPTION : SPEARHEAD POINT | Part No: PRD </t>
  </si>
  <si>
    <t>GAS SPRING FOR PG 185-100</t>
  </si>
  <si>
    <t>SKF BEARING - 7312 BECBP</t>
  </si>
  <si>
    <t>SKF BEARING -C 2216/C3</t>
  </si>
  <si>
    <t>SKF BEARING - 6211-2RS1</t>
  </si>
  <si>
    <t>Pepperl+Fuchs Inductive Sensor Model:(NCB1,5-</t>
  </si>
  <si>
    <t>Rubber Elbow - F6 WC    P N 15402882</t>
  </si>
  <si>
    <t>Weidmuller P/N 1020160000   Model No. WDU 4 G</t>
  </si>
  <si>
    <t>VALVE_SOLENOID_ METALIC ROUND COIL, ITEM CODE</t>
  </si>
  <si>
    <t xml:space="preserve">P+F, Capacitive Sensor Model No. CJ15+U1+A2; </t>
  </si>
  <si>
    <t>PF Element 0048 PN 12400008</t>
  </si>
  <si>
    <t>O-RING REPAIR KIT RKORP802UC24DB1 RKORP802UCX</t>
  </si>
  <si>
    <t>1000123159 BEARING, ROLLER; TYPE:TAPERED, HIG</t>
  </si>
  <si>
    <t>SKF BEARING; LOCK WASHER : Model No. MB 6</t>
  </si>
  <si>
    <t>SKF BEARING - 6311-2RS1</t>
  </si>
  <si>
    <t>SKF PRODUCT; PHG SPA2732</t>
  </si>
  <si>
    <t>P+F;Switch Amplifier:KFA6-SR2-EX2.W; PN#10337</t>
  </si>
  <si>
    <t xml:space="preserve">P+F; Inductive sensor:NBB3-V3-Z4-3G-3D;  PN: </t>
  </si>
  <si>
    <t>FLC-OP SE 2"#300RF AISI 316 dual grade 3:  Ta</t>
  </si>
  <si>
    <t>Weidmuller Items; BK 3/E P/N 7906060000</t>
  </si>
  <si>
    <t>CLEANING BRUSH</t>
  </si>
  <si>
    <t>SKF Bearing - 6213-RS1/C3</t>
  </si>
  <si>
    <t>Pepperl+Fuchs Ultrasonic Sensor (UB800-F12P-E</t>
  </si>
  <si>
    <t>MPV Kit- PN B009301070014</t>
  </si>
  <si>
    <t>Weidmuller; P/N:1123540000; Model No.TRS 230V</t>
  </si>
  <si>
    <t xml:space="preserve">DESCRIPTION  | INTAKE VALVE KIT 2 1/2" ALU | </t>
  </si>
  <si>
    <t>FLAP WHEEL C.S,</t>
  </si>
  <si>
    <t>Nipple, 1/2â€, PE x NPT, SCH 80, SMLS, ASTM A1</t>
  </si>
  <si>
    <t>M.E.G.A.  S.p.A</t>
  </si>
  <si>
    <t>TCT Annular Cutter 38mm*55</t>
  </si>
  <si>
    <t>P+F inductive positioning system,Part No:3151</t>
  </si>
  <si>
    <t>MATL : INTAKE VALVE KIT  972400030</t>
  </si>
  <si>
    <t>Hose-Air Filter(SUCTION HOSE) P N B0055062600</t>
  </si>
  <si>
    <t>SKF BEARING - 2305 ETN9</t>
  </si>
  <si>
    <t>SKF Product; NU 210 ECJ</t>
  </si>
  <si>
    <t>Pre-filter PN PFE0210</t>
  </si>
  <si>
    <t xml:space="preserve">P+F Capacitive Sensor; Model:CBB4-12GH70-E2; </t>
  </si>
  <si>
    <t>CO2 REGULATOR W/HEATER 220V - BS P/N-900 CO2R</t>
  </si>
  <si>
    <t>AF 0132F,Fine Filter -132cfm  B003308170024</t>
  </si>
  <si>
    <t>KIT: MAINTENANCE, O-RING REPAIR  KIT    - PN:</t>
  </si>
  <si>
    <t xml:space="preserve">Weidmuller; TERMINAL BLOCK; P/N: 1826890000; </t>
  </si>
  <si>
    <t>"MATL:1001145024  RING; SEAL TYPE,SIZE 8 MM I</t>
  </si>
  <si>
    <t>GASKET -AOS - F6 P/N-B006700770028</t>
  </si>
  <si>
    <t>FILTER ELEMENT ASSY T600 PN B015000110168</t>
  </si>
  <si>
    <t>Weidmueller,Product :2589770000,Part No: CD-H</t>
  </si>
  <si>
    <t>MESSER CUTTING SYSTEMS INDIA PRIVATE LIMITED</t>
  </si>
  <si>
    <t>SKF BEARING;PN:3215 A</t>
  </si>
  <si>
    <t>13A, SW SOCT. O/LET 1G, DP.DUAL EARTH TERMINA</t>
  </si>
  <si>
    <t>Twisted Cup Wire Brush CS100MM NUT SIZE 14</t>
  </si>
  <si>
    <t>PREFILTER-90-160 Kw PN B000606160001</t>
  </si>
  <si>
    <t>3/4" Nickel plated brass Locknut with IP wash</t>
  </si>
  <si>
    <t>Argon Apron Leather (Gray)</t>
  </si>
  <si>
    <t>MPV KIT2(B009300800007)</t>
  </si>
  <si>
    <t>P+F, Inductive Sensor Model No. NJ2-11-N-G</t>
  </si>
  <si>
    <t>MASKING TAPE 2"</t>
  </si>
  <si>
    <t>Gas diffusor ceramic PN-112P002021</t>
  </si>
  <si>
    <t>Oliver Make 2 way manifold, Y24S/NA/PP</t>
  </si>
  <si>
    <t>INTAKE VALVE KIT 3" FOR 12S ALUM PN 10331219</t>
  </si>
  <si>
    <t>SKF BEARING-1222 K/C3</t>
  </si>
  <si>
    <t>Size 38mm HV Gauge Bend.Fitted W/Couplings</t>
  </si>
  <si>
    <t>13A 1G SOCKET</t>
  </si>
  <si>
    <t>GRP Sunshade, 250W x 400D x 500H, 2' mount br</t>
  </si>
  <si>
    <t>SKF BEARING; LOCK WASHER : Model No. MB 9</t>
  </si>
  <si>
    <t>Weidmuller; SAK Series End Plate; P/N: 380360</t>
  </si>
  <si>
    <t>Oliver make 2 Valve Manifold female X female,</t>
  </si>
  <si>
    <t>,SEAL LIP85X105X16AXIS310CW 990307250</t>
  </si>
  <si>
    <t>Current Clamp; Model no:CL120</t>
  </si>
  <si>
    <t>SKF BEARING-1209 EKTN9/C3</t>
  </si>
  <si>
    <t>Conductor Cable</t>
  </si>
  <si>
    <t>P+F, Inductive Sensor; Model No: NCB15-30GM40</t>
  </si>
  <si>
    <t>P&amp;F Product; NCB2-12GM40-Z0-V1-3G-3D; P/N:701</t>
  </si>
  <si>
    <t>MATL:1001145026 O-RING; 96 MM ID,2 MM WD/THK,</t>
  </si>
  <si>
    <t>CABEL HDC RJ4501 MMSCAT6-0060 PN: 2661950060</t>
  </si>
  <si>
    <t xml:space="preserve">MATL:1000173523 SEAL, OIL; TYPE: LIP, DRIVE; </t>
  </si>
  <si>
    <t>Air oil seperator filter P N 157-171-S</t>
  </si>
  <si>
    <t>SKF PRODUCT; PHG SPA2182</t>
  </si>
  <si>
    <t>MTL: 1000086154 ASSEMBLY; ADDITIONAL DATA: CO</t>
  </si>
  <si>
    <t>Weidmuller; Terminal Block; Model No. WAH 120</t>
  </si>
  <si>
    <t>BOLT, CLOSE TOLERANCE;PN-BO03AG01DJ200</t>
  </si>
  <si>
    <t>Bar Stock Needle Valve, VALV000039</t>
  </si>
  <si>
    <t>TERCOM SRL</t>
  </si>
  <si>
    <t>Desc:NC THERMAL VALVE KIT 65 DEG F5| P/N:1247</t>
  </si>
  <si>
    <t>SKF BEARING - 32312</t>
  </si>
  <si>
    <t xml:space="preserve">DESCRIPTION : RC BLOW DOWN SUB_RHS F(METZKE) </t>
  </si>
  <si>
    <t>SENSOR 930EA0009 R00 Element</t>
  </si>
  <si>
    <t>MATL : TEMPERATURE SENSOR  18400077</t>
  </si>
  <si>
    <t xml:space="preserve">Weidmuller; TERMINAL BLOCK; P/N: 1021500000; </t>
  </si>
  <si>
    <t>SKF BEARING - HE 322</t>
  </si>
  <si>
    <t>SKF BEARINGS - Model No. SNL 520-617</t>
  </si>
  <si>
    <t>P&amp;F Inductive Sensor; SJ3,5-S1N; P/N: 7013300</t>
  </si>
  <si>
    <t>PN:206160000;Weidmueller;Model:RCH S51024 ; P</t>
  </si>
  <si>
    <t>[.11.844.101.163] bevelling cap P401</t>
  </si>
  <si>
    <t>[.11.844.101.164] Contact Cap P402</t>
  </si>
  <si>
    <t>SKF BEARING - 6407</t>
  </si>
  <si>
    <t>Weidmuller Product; ACT20P-UI-AO-DO-LP-S; P/N</t>
  </si>
  <si>
    <t xml:space="preserve">DESCRIPTION : ROTARY SWIVEL LONG INNER TUBE| </t>
  </si>
  <si>
    <t>SOLENOID VALVE 240V NC PN B738208</t>
  </si>
  <si>
    <t>Snubber, SN50S</t>
  </si>
  <si>
    <t>Weidmuller Product; RCMKIT-I 115VAC 2CO LD; P</t>
  </si>
  <si>
    <t>KIT,REPR,O-RING,F/PMP, PN-RKORP322UA24  - PN:</t>
  </si>
  <si>
    <t>O-ring Repair Kit    PN- RKORP322UA24DB2</t>
  </si>
  <si>
    <t>DESCRIPTION : THRUST BEARING | Part No: PRD C</t>
  </si>
  <si>
    <t>SKF BEARING - 7310 BECBY</t>
  </si>
  <si>
    <t>ANGLE BRUSH 2"</t>
  </si>
  <si>
    <t xml:space="preserve">Bourdon Tube Pressure Gauges, Safety Pattern </t>
  </si>
  <si>
    <t>Tarpaulin Blue and Orange 15yard * 15 yard He</t>
  </si>
  <si>
    <t>HSS ANNULAR CUTTER 12MM</t>
  </si>
  <si>
    <t xml:space="preserve">MATL:783914 FILTER, ELEMENT;FILTER,SIZE: DIA </t>
  </si>
  <si>
    <t>SKF BEARING - NU 219 ECJ C3</t>
  </si>
  <si>
    <t>Minimum Pressure Valve  Kit PN 220210529</t>
  </si>
  <si>
    <t>Pepperl+Fuchs Inductive Sensor; Model:NBN5-F7</t>
  </si>
  <si>
    <t>Coupling Element MDL EG55 PN B011200830003</t>
  </si>
  <si>
    <t>"bestweld 6mm gouging rod P/N- 900 BWS-GC-6.4</t>
  </si>
  <si>
    <t>1" Nickel plated brass Locknut with IP washer</t>
  </si>
  <si>
    <t>P&amp;F Inductive Sensor; NBB2-V3-US; P/N: 094347</t>
  </si>
  <si>
    <t>P+F, Inductive Sensor   Model No. NCB1,5-8GM2</t>
  </si>
  <si>
    <t>PEPPERL+FUSH;   Model  No.:NBN4-12GM50-A2-V1;</t>
  </si>
  <si>
    <t>NYLON 66 CABLE TIE 4.8MM X 370MM -BLACK : UL9</t>
  </si>
  <si>
    <t>"HEAVY DUTY TORCH HANDLE -  BESTWELD P/N- 900</t>
  </si>
  <si>
    <t>P+F, Float Switch   Model No. LFL2-BK-U-PUR5-</t>
  </si>
  <si>
    <t>O-ring;M3808TB-SP</t>
  </si>
  <si>
    <t>Spirit Level Different Sizes 30cm</t>
  </si>
  <si>
    <t>AIR FILTER ELE CSK1434 PN 220419480</t>
  </si>
  <si>
    <t>SKF Product 3308 A</t>
  </si>
  <si>
    <t>SKF; BELT V; PHG SPA-2382</t>
  </si>
  <si>
    <t>SKF BEARING; 6015</t>
  </si>
  <si>
    <t>SKF BEARING - 7304 BECBY</t>
  </si>
  <si>
    <t>07-3353-4150 Bartec Component</t>
  </si>
  <si>
    <t>DKSU PRESSURE CLAMP FOR 2MM B/BARS;  P/N:WDM#</t>
  </si>
  <si>
    <t>Bartec Feam Cable Gland; PAP-R01-MXX , male M</t>
  </si>
  <si>
    <t>DESCRIPTION : OVERSHOT LIFTING DOG | Part No:</t>
  </si>
  <si>
    <t>Gasket (2-inch, HOOP: SUS316) for EJA118W Ser</t>
  </si>
  <si>
    <t>Reducer female-male type REB03N03MXX, executi</t>
  </si>
  <si>
    <t>1PH,230V,60Hz EXIT LIGHT WITH 2HRS BAT.BACK U</t>
  </si>
  <si>
    <t>P+F, Inductive Sensor Model No. NBB5-18GM50-E</t>
  </si>
  <si>
    <t xml:space="preserve">Single Actuator Kit MDL DT 900-200, 750-125, </t>
  </si>
  <si>
    <t>PRE FILTER PN 15400889</t>
  </si>
  <si>
    <t>P+F Measuring Resistor:K-250R; P/N:311713</t>
  </si>
  <si>
    <t>HSS 3.2-9.5 EL W30M, P/N 1505880000</t>
  </si>
  <si>
    <t>DESCRIPTION  | RUBBER REDUCER 180-150mmÂ  EG 7</t>
  </si>
  <si>
    <t>250 Ohms Shunt Resistor for 4 to 20 mA input;</t>
  </si>
  <si>
    <t>Measuring Tape 5mtr ,</t>
  </si>
  <si>
    <t>2 WAY MANIFOLD;  Model:G12FMS/AG/NA/PP</t>
  </si>
  <si>
    <t>O-RING, VITON                           - PN:</t>
  </si>
  <si>
    <t>TCT Annular Cutter32mm*55</t>
  </si>
  <si>
    <t>SKF Harrow Bearing; 204 KRR2</t>
  </si>
  <si>
    <t>SKF PRODUCT GE 50 ES</t>
  </si>
  <si>
    <t>PUSHER FAN DIA 400  Part No: B008107010002</t>
  </si>
  <si>
    <t>P+F, Inductive Sensor  Model No. NCN15-30GM40</t>
  </si>
  <si>
    <t xml:space="preserve">DESCRIPTION :OIL FILTER ASSY 25LPM FW | PART </t>
  </si>
  <si>
    <t>Weidmuller; Product; P/N:1050080000   Model N</t>
  </si>
  <si>
    <t>SKF BEARINGS - Model No. 6218-2RS1</t>
  </si>
  <si>
    <t>Spare Kit, Intake Valve, EN73s PN B0154007800</t>
  </si>
  <si>
    <t>COLLET BODY 2.4MM</t>
  </si>
  <si>
    <t>MATL:1001010305 SCREW; 3/8-16UNC X 1,A4-70,BO</t>
  </si>
  <si>
    <t>DESCRIPTION : FILTER_RETURN_HYD| Part no. PRD</t>
  </si>
  <si>
    <t>DESCRIPTION : HQ LATCHES | Part No: PRD CA 02</t>
  </si>
  <si>
    <t>SKF Product 32311</t>
  </si>
  <si>
    <t>Sensor Socket AD0GH040MSS0002H04, EVC001</t>
  </si>
  <si>
    <t>SKF Products; 7205 BEP</t>
  </si>
  <si>
    <t>Engine air filter - Secondary P N 162-0087-S</t>
  </si>
  <si>
    <t>REB03M03NXXFS Reducer female-male type REB, e</t>
  </si>
  <si>
    <t>TIG TORCH COLLET PIN 2.4MM</t>
  </si>
  <si>
    <t>Weidmuller; Model No. PRO RM 10;  PN:24860900</t>
  </si>
  <si>
    <t>Weidmuller; Tools; P/N: 9005000000   Model No</t>
  </si>
  <si>
    <t xml:space="preserve">Weidmuller Product, VSSC4 CL FG24VAC/DC0.5A, </t>
  </si>
  <si>
    <t>Weidmuller; P/N:1024500000  Model No.WDU 120/</t>
  </si>
  <si>
    <t>SKF BEARING - 6205-Z</t>
  </si>
  <si>
    <t>HÇª BOX TO HW PIN, ITEM CODE : PRD CA 05 440</t>
  </si>
  <si>
    <t>SKF BEARING:NU 2209 ECP</t>
  </si>
  <si>
    <t>P+F, Inductive Sensor    Model No. NJ8-18GK-N</t>
  </si>
  <si>
    <t>KIT OIL STOP VALVE MDL PG 400-150,300-100,300</t>
  </si>
  <si>
    <t>Weidmuller Product;Model:ZQV 2.5/4;PN:1608880</t>
  </si>
  <si>
    <t xml:space="preserve">SKF - SHEAVE, DRIVING, 148X103X34T,DWG#PL310 </t>
  </si>
  <si>
    <t>SKF BEARING - NJ 211 ECJ</t>
  </si>
  <si>
    <t>Engine air filter - Primary P N 162-0086-S</t>
  </si>
  <si>
    <t>PVC Flange with Accessories</t>
  </si>
  <si>
    <t>V K Industries</t>
  </si>
  <si>
    <t>KIT: O-RING, REPAIR, MATERIAL- NBR,     - PN:</t>
  </si>
  <si>
    <t>INTAKE VALVE KIT EIV 102 PN 972300040</t>
  </si>
  <si>
    <t>SKF Products; 7208 BEP</t>
  </si>
  <si>
    <t xml:space="preserve">Weidmuller; TERMINAL BLOCK; P/N: 1021580000; </t>
  </si>
  <si>
    <t>"MATL:1000568586 BALL VALVE; STEEL,DIN 4034/4</t>
  </si>
  <si>
    <t>Weidmuller; Model No. RCL425024;  PN:40585800</t>
  </si>
  <si>
    <t>EMERY PAPER#100 FOR POWER TOOLS 5''</t>
  </si>
  <si>
    <t>Weidmuller; P/N: 8731700000   Model No. WTR 2</t>
  </si>
  <si>
    <t>P+F, Inductive Sensor  Model No. NBN4-12GK50-</t>
  </si>
  <si>
    <t>Gasket for Transmitter, F9350SV</t>
  </si>
  <si>
    <t>DUCT TAPE 2"</t>
  </si>
  <si>
    <t>THERMAL ELEMENT 75 DEG CELCIUS PN B0087060300</t>
  </si>
  <si>
    <t>O-RING REPAIR KIT RKORP801UA64DB2 RKORP801UAX</t>
  </si>
  <si>
    <t>Gasket, F9445EB</t>
  </si>
  <si>
    <t>Argon Sleeves Hand (Gray)</t>
  </si>
  <si>
    <t>Coupling Element MDL EG30 PN 12437590</t>
  </si>
  <si>
    <t>ELGI Mikropor AF 0059C 1/2'' BSP B00330817003</t>
  </si>
  <si>
    <t>Oliver Make 7/16-20UNF Hexagon Head Bolt 1 3/</t>
  </si>
  <si>
    <t>OIL FILTER ASSY PART NO X017485</t>
  </si>
  <si>
    <t>Safety Goggles (Clear)</t>
  </si>
  <si>
    <t>SUCTION HOSE-PN B003506470001</t>
  </si>
  <si>
    <t xml:space="preserve">DCV ASSLY MDL DT 750-125, 650 - 200, 400-150 </t>
  </si>
  <si>
    <t>ACTUATOR PNEU; P/N: B011406760001</t>
  </si>
  <si>
    <t>DESCRIPTION : MECH CONTROL CABLE | Part No: P</t>
  </si>
  <si>
    <t>TCT CUTTER WELDON SHANK</t>
  </si>
  <si>
    <t>PEPPERL+FUSH; NBB2-6,5S40-E2-PUR P/N: 304615-</t>
  </si>
  <si>
    <t>Drive Coupling PN B005404400002</t>
  </si>
  <si>
    <t>ZINC SPRAY GALVANIZE</t>
  </si>
  <si>
    <t>SOLENOID VALVE 1/4" 110V AC NC PN 10464170</t>
  </si>
  <si>
    <t>Hand valve 316SS,Teflon packing,6000 PSI at 1</t>
  </si>
  <si>
    <t>Weidmueller,Product :ZP 2.5/1AN/6</t>
  </si>
  <si>
    <t>ADV FOR AIR DRYER 930AV0060 R00</t>
  </si>
  <si>
    <t>SKF Product 51122</t>
  </si>
  <si>
    <t>AIR FILTER ASSEMBLY(B004700770008)</t>
  </si>
  <si>
    <t>P+F, Inductive Sensor;Model:NBN4-12GM40-Z0; P</t>
  </si>
  <si>
    <t>Coverall Safety (White)</t>
  </si>
  <si>
    <t>DESCRIPTION :GAUGE FLOAT OIL LEVEL 7483S000 |</t>
  </si>
  <si>
    <t>Pepperl Fuchs Inductive Sensor; Model: NJ3-18</t>
  </si>
  <si>
    <t>DESCRIPTION : INNER TUBE - 3 MTR | Part No: P</t>
  </si>
  <si>
    <t>Compressor air filter - Secondary P N 162-577</t>
  </si>
  <si>
    <t>MATL: ELBOW; RUBBER; 6"; P/N: 220375410</t>
  </si>
  <si>
    <t>SKF SEAL:Z010</t>
  </si>
  <si>
    <t xml:space="preserve">Weidmuller; TERMINAL BLOCK; P/N: 1802780000; </t>
  </si>
  <si>
    <t>SKF BEARING - RLS 8-2RS1</t>
  </si>
  <si>
    <t>Weidmuller; Model No. HDC 16B DMDQ 2QB;  PN:1</t>
  </si>
  <si>
    <t>SKF Product 6304/C3</t>
  </si>
  <si>
    <t>Contact tip holder M6/L=26mm PN- 342P006012</t>
  </si>
  <si>
    <t>SKF BEARING - 3209 A</t>
  </si>
  <si>
    <t>Wrap-A-Round,</t>
  </si>
  <si>
    <t>SKF BEARING - 6210 NR</t>
  </si>
  <si>
    <t>P+F, Inductive Sensor; Model No. NBB2-12GM50-</t>
  </si>
  <si>
    <t>Weidmueller,Product:PN:68790000;   PN:FM 4/TS</t>
  </si>
  <si>
    <t>STG2, SCRU-TITE CONDUIT GROUND HUB:SIZE 3/4";</t>
  </si>
  <si>
    <t>Weidmuller; Accessories Clamping Yoke Busbar;</t>
  </si>
  <si>
    <t>TCT ANNULAR CUTTER 21MM*55</t>
  </si>
  <si>
    <t xml:space="preserve">Weidmuller Item; PRO INSTA 60W 24V 2.5A; P/N </t>
  </si>
  <si>
    <t>Feed-through terminal block SAK 16 PN: 027106</t>
  </si>
  <si>
    <t>Weidmueller,Product2535810000;WIL-350-W-M12G-</t>
  </si>
  <si>
    <t>Bartec Product; SS316L 3/4" MALE TO 1/2" FEMA</t>
  </si>
  <si>
    <t>Weidmuller;PN:546000000;ISPF QB58 SW</t>
  </si>
  <si>
    <t xml:space="preserve">Weidmuller; Terminal Blocks; Model No: WDU 4 </t>
  </si>
  <si>
    <t>2 way manifold, G12FMS</t>
  </si>
  <si>
    <t>10A 2G SP 2 WAY PLATESWITCH</t>
  </si>
  <si>
    <t>Hss Annular Cutter 60mm</t>
  </si>
  <si>
    <t>TCT Annular Cutter 58mm*55</t>
  </si>
  <si>
    <t>Weidmuller Product; EK 10; P/N: 354660000</t>
  </si>
  <si>
    <t>Safety Helmet (Yellow)</t>
  </si>
  <si>
    <t>O-Ring Repair Kit  PN-RKORP802UA87DB252</t>
  </si>
  <si>
    <t>DESCRIPTION : LANDING SHOULDER | Part No: PRD</t>
  </si>
  <si>
    <t>DCV 3.0" ASSEMBLY PN A970027</t>
  </si>
  <si>
    <t>HÇª BOX TO NW PIN, ITEM CODE : PRD CA 05 450</t>
  </si>
  <si>
    <t>"[.11.844.101.890] Circle Cutting  Attachm.PH</t>
  </si>
  <si>
    <t>Weidmuller Product; WQV 120/3; P/N: 106340000</t>
  </si>
  <si>
    <t>PIPE COUPLING 2 IN STY12  PN B005602930001</t>
  </si>
  <si>
    <t>SKF Products; SNL 518-615</t>
  </si>
  <si>
    <t>DRIVE COUPLING ASSY(PN B545902)</t>
  </si>
  <si>
    <t>MAIN AIR OPEN CYCLINDER SEAL KIT, ITEM CODE :</t>
  </si>
  <si>
    <t>Vacuflex(SUCTION HOSE) P N B010406260003</t>
  </si>
  <si>
    <t>cutting tip</t>
  </si>
  <si>
    <t>Bartec Feam Cable Gland; PNA-R-04-NON, MALE 1</t>
  </si>
  <si>
    <t>Weidmuller Product; VG M32 - MS 68; P/N:17722</t>
  </si>
  <si>
    <t>TUBING HYDRAULIC CONNECTION, PN- E-TU01AA01</t>
  </si>
  <si>
    <t>DESCRIPTION : GUIDE; BAND TYPE,SIZE 85.6 MM I</t>
  </si>
  <si>
    <t>Bartec Feam Cable Gland; PAP-06-MON, male M63</t>
  </si>
  <si>
    <t>AUTO DRAIN FLOAT TYPE PN B001305630001</t>
  </si>
  <si>
    <t>Roller Paint 4-1/2"</t>
  </si>
  <si>
    <t>SKF Product;180 VS R</t>
  </si>
  <si>
    <t>SKF BEARING -6314/C4</t>
  </si>
  <si>
    <t>P&amp;F Background suppression sensor; OBD200-18G</t>
  </si>
  <si>
    <t xml:space="preserve">Weidmuller; Model No. TRS 24-230VUC 2CO AU;  </t>
  </si>
  <si>
    <t>Weidmuller Product MCZ R 24VDC; P/N:836598000</t>
  </si>
  <si>
    <t>P&amp;F Diffuse mode Sensor; OBD200-18GM60-E5-IR-</t>
  </si>
  <si>
    <t>SKF BEARING - NUP 217 ECP</t>
  </si>
  <si>
    <t>P+F, Inductive Sensor Model No. SC3,5-G-N0  P</t>
  </si>
  <si>
    <t>PLUG 757 -1/2" NPT EXD/EXE N.PLTD HEX HD STOP</t>
  </si>
  <si>
    <t>CUTTING TIP 2-1-101, ACETYLENE, QUARTZ</t>
  </si>
  <si>
    <t>Cutting Tio 4-1-101 Acetylene Quartz</t>
  </si>
  <si>
    <t>P+F,Inductive Sensor; Model:NCB1,5-8GM25-N0-V</t>
  </si>
  <si>
    <t>SKF BEARING - 81108 TN</t>
  </si>
  <si>
    <t>Cotton Rugs (Colour)</t>
  </si>
  <si>
    <t>SKF BEARING - 6302</t>
  </si>
  <si>
    <t xml:space="preserve">Weidmuller Product; VSSC6TRCLFG24VAC/DC0.5A; </t>
  </si>
  <si>
    <t>Bartec Feam Cable Gland; PAP-R-03-NON, MALE 1</t>
  </si>
  <si>
    <t>SKF BEARING; TMMR 120F</t>
  </si>
  <si>
    <t>Desc:64320FF082-COND.DRAIN SOLENOID| P/N:B000</t>
  </si>
  <si>
    <t>SK239A - EXHA VALVE SPARE KIT PN B01500011016</t>
  </si>
  <si>
    <t>DESCRIPTION : L GUIDE 2 | Part No: PRD 12 118</t>
  </si>
  <si>
    <t>O-RING: ETHYLENE  PROPYLENE, CAUSTIC    - PN:</t>
  </si>
  <si>
    <t>10A 1G SP 2 WAY PLATESWITCH</t>
  </si>
  <si>
    <t>Weidmuller Product; WTR 2.5 GR; P/N: 10482200</t>
  </si>
  <si>
    <t>SKF PRODUCT KR 40 PP</t>
  </si>
  <si>
    <t>WDU 35 SW  PN:1020510000</t>
  </si>
  <si>
    <t>Emery Grit Paper No. 120</t>
  </si>
  <si>
    <t>AC Adapter for CA150 - 739874-Q</t>
  </si>
  <si>
    <t xml:space="preserve">Weidmuller; P/N:1143020000  Model No.WMF 2.5 </t>
  </si>
  <si>
    <t>Ferrule, 1/16 in Valco (1 pack = 10 pcs.), 51</t>
  </si>
  <si>
    <t>Integrated Modern Scientific Supplies Co. for Trading</t>
  </si>
  <si>
    <t>Cutting Tio 5-1-101 Acetylene Quartz</t>
  </si>
  <si>
    <t>Weidmuller Blank Terminal markers P/N:2007110</t>
  </si>
  <si>
    <t>SKF BEARING-1209 EKTN9</t>
  </si>
  <si>
    <t>Weidmueller,Product:1055460000;WQV 35/4</t>
  </si>
  <si>
    <t>SLEEVE WEAR - AXIS 159 PN 13436256</t>
  </si>
  <si>
    <t>Bartec, Feam Drain &amp; Breather ECDE M20, SS316</t>
  </si>
  <si>
    <t>Weidmueller,Product:9512240000;WQV 70N/2</t>
  </si>
  <si>
    <t>SKF BEARING - 6404</t>
  </si>
  <si>
    <t>WDU 35 RT  PN:1298080000</t>
  </si>
  <si>
    <t>Oliver make Direct Mount 5 way Valve Manifold</t>
  </si>
  <si>
    <t xml:space="preserve">DESCRIPTION : SEAL KIT_LEVEL JACK CYLINDER | </t>
  </si>
  <si>
    <t>SKF Product NUP 309 ECP</t>
  </si>
  <si>
    <t>GRP Sunshade, GRPI 0053 P 454537S</t>
  </si>
  <si>
    <t>Hussain A. Al Galaf Trading Est.</t>
  </si>
  <si>
    <t>MASKING TAPE CLEAR 2"</t>
  </si>
  <si>
    <t>5-Way Manifold, Y53S/AG/NA/SSB</t>
  </si>
  <si>
    <t xml:space="preserve">P+F, Inductive sensor; NCB10-30GM40-N0; P/N: </t>
  </si>
  <si>
    <t>SKF Product N 07</t>
  </si>
  <si>
    <t>SKF BEARING-7218 BEP</t>
  </si>
  <si>
    <t>SF 004 DY, 40cfm-Fine Filter</t>
  </si>
  <si>
    <t>DESCRIPTION : FIBRE L PIECE(OZ) | Part No: PR</t>
  </si>
  <si>
    <t>Cutting Tio 3-1-101 Acetylene Quartz</t>
  </si>
  <si>
    <t>Emery Grit Paper No. 60</t>
  </si>
  <si>
    <t>WELDING CHALK (WHITE) 5"</t>
  </si>
  <si>
    <t>MATL:20028384,COMPRESSION RING SIZE:30 X 42 M</t>
  </si>
  <si>
    <t>Suction Hose Pre filter Box to Air filter, PN</t>
  </si>
  <si>
    <t>PIPE COUPLING STYLE 12 1 P/N-B56XX07</t>
  </si>
  <si>
    <t>Weidmuller Product; QB 75/6.2/9/WI; P/N:52640</t>
  </si>
  <si>
    <t>GAUGE_OIL PRESSURE (0-420 KG/CM) 0-6000PSI, I</t>
  </si>
  <si>
    <t>2/1  Two way ball valve , B003106100003</t>
  </si>
  <si>
    <t>NUT  04-001AF</t>
  </si>
  <si>
    <t>Pepperl+Fuchs Inductive Sensor (NBB4-12GM50-E</t>
  </si>
  <si>
    <t>SKF BEARING; 6312-2Z/C3LHT23</t>
  </si>
  <si>
    <t>SKF BEARING - 32308</t>
  </si>
  <si>
    <t>O-RING, 6-3/4 IN, 7 IN, 1/8 IN, VITON A,- PN:</t>
  </si>
  <si>
    <t>RIBBON MM 76/360 SW, P/N 2005080000</t>
  </si>
  <si>
    <t>Oil Filter 25lpm, EN73s PN B004800610004</t>
  </si>
  <si>
    <t>P&amp;F Female cordset; V1-G-15M-PUR-ABG; P/N: 20</t>
  </si>
  <si>
    <t>SKF BEARING - 3214 A; Matl:196706</t>
  </si>
  <si>
    <t>3-way Manifold, Y34S/NA/OXY/SSB</t>
  </si>
  <si>
    <t>DESCRIPTION : STABILLIZER RING | Part No: PRD</t>
  </si>
  <si>
    <t>SKF BEARING; LAGD 125/HQ2</t>
  </si>
  <si>
    <t>SKF Product; 63/22/C3</t>
  </si>
  <si>
    <t xml:space="preserve">Pepperl+Fuchs Inductive Sensor (NJ4-12GK-N)  </t>
  </si>
  <si>
    <t>SF 004 DX, 40cfm-Prefilter</t>
  </si>
  <si>
    <t>DESCRIPTION : INNER TUBE - 1.5 MTR | Part No:</t>
  </si>
  <si>
    <t>STUD COUPLING G 1/8 MALE P N  B009606780004</t>
  </si>
  <si>
    <t>DESCRIPTION : SEAL KIT_DUMPING CYLINDER | Par</t>
  </si>
  <si>
    <t>TEMPERATURE SENSOR PN 18400079</t>
  </si>
  <si>
    <t>FEMALE ADAPTOR 38MM</t>
  </si>
  <si>
    <t>1M RJ45 CAT6 STRAIGHT MODULE : EURO</t>
  </si>
  <si>
    <t>SAFETY HELMET (WHITE)</t>
  </si>
  <si>
    <t>Weidmuller; PN:396360000 Model:DK 4/35 1D GET</t>
  </si>
  <si>
    <t>P+F, Inductive Sensor Model No.: NCB10-30GM40</t>
  </si>
  <si>
    <t>P+F; Inductive Sensor;NCB4-12GM40-N0;  PN:701</t>
  </si>
  <si>
    <t xml:space="preserve">Oliver, 3-Valve Manifold Valve Direct Mount, </t>
  </si>
  <si>
    <t>MPV kit 2"  P N 220371399</t>
  </si>
  <si>
    <t>SKF Products; PHG SPA1557</t>
  </si>
  <si>
    <t>Pre Filter-PN B005506160003</t>
  </si>
  <si>
    <t>DESCRIPTION : SEAL KIT_MRC CYLINDER | Part No</t>
  </si>
  <si>
    <t>NYLON 66 CABLE TIE 4.8MM X 300MM -BLACK : UL9</t>
  </si>
  <si>
    <t>Nasser Abdul Salam Al Dhaheri Tred Est.</t>
  </si>
  <si>
    <t>Belt P N  B014606410075</t>
  </si>
  <si>
    <t>FLOW CONTROL VALVEÂ Â Â Â Â  P/N-B013406760001</t>
  </si>
  <si>
    <t>Cover O-Ring (x10 pkt), Part no: F9399WP</t>
  </si>
  <si>
    <t>P+F,Inductive Sensor; Model:NCB2-12GM35-N0-V1</t>
  </si>
  <si>
    <t>Weidmueller,Product:1053160000,Part No: WQV 3</t>
  </si>
  <si>
    <t>Reducer female-male type REB02M01NON, executi</t>
  </si>
  <si>
    <t xml:space="preserve">Weidmuller; TERMINAL BLOCK; P/N: 1640740000; </t>
  </si>
  <si>
    <t>NECK RING-92.6X102.1-316L/NA,, PN- C01002551</t>
  </si>
  <si>
    <t>SKF BEARING - 32304</t>
  </si>
  <si>
    <t>Weidmuller Feed Through ZDU 2.5 DRK/BE;   Mat</t>
  </si>
  <si>
    <t>SKF PRODUCT SNW 16X2.11/16 Adapter sleeves</t>
  </si>
  <si>
    <t xml:space="preserve">DESCRIPTION : Pipe assyâ€¦ IC WTR INLET | PART </t>
  </si>
  <si>
    <t>DESCRIPTION : SHUT-OFF VALVE | Part No: PRD C</t>
  </si>
  <si>
    <t>Short Back Cap 57Y04</t>
  </si>
  <si>
    <t>WeidMuller Product; IE-BI-RJ45-FJ-P; P/N:1963</t>
  </si>
  <si>
    <t>Weidmuller Product; Q 10 SAK2.5;  PN:36870000</t>
  </si>
  <si>
    <t>Argon Shoe Cover (Gray)</t>
  </si>
  <si>
    <t>MATL : THERMAL VALVE KIT    12484859</t>
  </si>
  <si>
    <t>SKF BEARING -YAR 208-108-2F</t>
  </si>
  <si>
    <t>Filter; For Head Tank or Sand Filter:K9332NN</t>
  </si>
  <si>
    <t>1/2" SS3316 locknut &amp; IP washer</t>
  </si>
  <si>
    <t xml:space="preserve">KIT BLOW DOWN VALVE MDL DT 750-125, 650-200, </t>
  </si>
  <si>
    <t>P+F;Inductive sensor:V1-W-N-5M-PUR PN:033596</t>
  </si>
  <si>
    <t>ANGLE BRUSH 1"</t>
  </si>
  <si>
    <t>SKF Product; 52X68X8 HMSA10 RG</t>
  </si>
  <si>
    <t>Closed Air Filter, EN73s| PN:3</t>
  </si>
  <si>
    <t>EPG60-DIE;EPG60-DIE HEX,CRIMP DIE 300(FOR EPG</t>
  </si>
  <si>
    <t>SOL. AMISCO 24V  PN B015000110086</t>
  </si>
  <si>
    <t>P&amp;F Product; NBB20-U1K-N0; P/N:70133099</t>
  </si>
  <si>
    <t>SKF BEARING - 30210 J2/Q</t>
  </si>
  <si>
    <t>GP-12-NON-ELC-05;CC-M 85/54 4X3 ST LABEL(54X8</t>
  </si>
  <si>
    <t>SKF BEARING - BC1-0313</t>
  </si>
  <si>
    <t>P+F; Inductive Sensor;NCB4-12GM40-N0-V1;   PN</t>
  </si>
  <si>
    <t xml:space="preserve">DESCRIPTION : COUPLING FOR LINDE MOTOR| Part </t>
  </si>
  <si>
    <t>Weidmuller; Model No. TS 32X15 2M/CRN;   PN:2</t>
  </si>
  <si>
    <t>SEAL, LIP 1"1/4,PN-20-236</t>
  </si>
  <si>
    <t>Weidmuller Product; TRZ 230VUC 1CO; P/N: 1122</t>
  </si>
  <si>
    <t>Weidmueller,Product:1775480000;   PN:ZDU 1.5</t>
  </si>
  <si>
    <t>SKF PRODUCTS:TSN 518 L;Matl#69771</t>
  </si>
  <si>
    <t>Weidmuller; MARKER HORIZONTAL; P/N: 160990000</t>
  </si>
  <si>
    <t>VALVE, DCV, PUSH PULL, G1/4 PN B003801070001</t>
  </si>
  <si>
    <t>VALVE SOLENOID E1 PN B015000110080</t>
  </si>
  <si>
    <t>Argon flowmeter regulator P/N-900 3100680</t>
  </si>
  <si>
    <t>SKF BEARING - 1210 EKTN9</t>
  </si>
  <si>
    <t>SKF BEARING -NJ 211 ECP/C3</t>
  </si>
  <si>
    <t>P+F, Inductive Sensor; Model No. NCN8-18GM40-</t>
  </si>
  <si>
    <t>SPART LIGTHER</t>
  </si>
  <si>
    <t>SKF BEARING; 6202-RSH</t>
  </si>
  <si>
    <t>Filter Kit;K9643KL</t>
  </si>
  <si>
    <t>AUTO DRAIN VALVE INTERNAL PN B001305480003</t>
  </si>
  <si>
    <t xml:space="preserve">DESCRIPTION : VALVE BALL AW1122BCD| Part no. </t>
  </si>
  <si>
    <t>5259157_BELT V RIBBED PN B013603500580</t>
  </si>
  <si>
    <t>SKF BEARING -W 22</t>
  </si>
  <si>
    <t>Weidmuller;TRZ 24VDC 2CO;P/N:1123610000;</t>
  </si>
  <si>
    <t>Cross-connector (terminal)  WQV 95N/120N/4 PN</t>
  </si>
  <si>
    <t>Flexible Hose PN B010406260006</t>
  </si>
  <si>
    <t>Hand Tap 8mm*1.25</t>
  </si>
  <si>
    <t xml:space="preserve">Weidmueller,Product :625220000,Part No: BK 6 </t>
  </si>
  <si>
    <t>Tadiran Lithium Thionyl Chloride Battery;SL-2</t>
  </si>
  <si>
    <t>REALTIME TRADING CO.</t>
  </si>
  <si>
    <t>O-RING, ETHYLENE PROPYLENE              - PN:</t>
  </si>
  <si>
    <t>HSS ANNULAR PIN 7.98 X 106</t>
  </si>
  <si>
    <t>SPIN-ON OIL FILTER(B486102)</t>
  </si>
  <si>
    <t>SKF PRODUCTS:22310 EK</t>
  </si>
  <si>
    <t>NORGREN PRODUCT 10KA02828</t>
  </si>
  <si>
    <t>SEAL KIT_PVH_PVG 120, ITEM CODE : PRD VE 01 4</t>
  </si>
  <si>
    <t>BDV Assembly MDL E11 - E160 PN A010345</t>
  </si>
  <si>
    <t>PIN, THRUST WASHER, ASTM B473 UNS N08020 - P.</t>
  </si>
  <si>
    <t>DESCRIPTION  | SS TUBE SE | PART NO -15315708</t>
  </si>
  <si>
    <t>Emery paper #60 for power tools 4.5â€</t>
  </si>
  <si>
    <t xml:space="preserve">Bartec Feam Cable Gland; PAP-03-NON, male 1" </t>
  </si>
  <si>
    <t>Output model-Banana Plug for CL420; Model no:</t>
  </si>
  <si>
    <t xml:space="preserve">MATL:20028387, BASE RING SIZE:30X42 MTRL:N11 </t>
  </si>
  <si>
    <t>CENTER PUNCH,</t>
  </si>
  <si>
    <t>Weidmuller; Mainboard; Model No: PJ ADV EL 2</t>
  </si>
  <si>
    <t>SKF BEARING - ASNA 522-619</t>
  </si>
  <si>
    <t>EXTRA FITTING FOR 25-007,PN-36-518</t>
  </si>
  <si>
    <t>Weidmuller Product; TRS 24VUC 1CO AGSNO; P/N:</t>
  </si>
  <si>
    <t>Inner Ring, Axis 310   990401370</t>
  </si>
  <si>
    <t>RIGHT ANGLE 12''*6 BLACK</t>
  </si>
  <si>
    <t>P+F, Cable Connector  Model No. V1-W-N-2M-PUR</t>
  </si>
  <si>
    <t xml:space="preserve">DESCRIPTION :DRIVE COUPLING INSERT UCW 280 | </t>
  </si>
  <si>
    <t>GRP Sunshade 300Wx300Dx250H mm; SS316 Back pl</t>
  </si>
  <si>
    <t xml:space="preserve">DESCRIPTION  | TEMP. SWITCH 70 DEG CENT-RECO </t>
  </si>
  <si>
    <t>Weidmuller; Terminal Blocks &amp; Accessories   P</t>
  </si>
  <si>
    <t>Flexible Hose(PN B010406260004)</t>
  </si>
  <si>
    <t>O-RING, SL 91402668/69, PN- 14-178UD</t>
  </si>
  <si>
    <t>Weidmuller Item; RCIKIT 24VDC 1CO LD; P/N 887</t>
  </si>
  <si>
    <t>Coupling Element EG18-E22 PN B011201170002</t>
  </si>
  <si>
    <t>Seal compound part number - INN-FS0904-1</t>
  </si>
  <si>
    <t>Ceramic Stone Pencil</t>
  </si>
  <si>
    <t>Compressor air filter - Primary P N 162-576-S</t>
  </si>
  <si>
    <t>WQV 70N/4  Cross-connector (terminal) PN:9531</t>
  </si>
  <si>
    <t>P&amp;F Product;Connector Lug Female cordset,; V1</t>
  </si>
  <si>
    <t>SKF WASHER - MB 8</t>
  </si>
  <si>
    <t>SKF WASHER - PCMW 426601.5M</t>
  </si>
  <si>
    <t>GAUGE_OIL PRESSURE (0-281 KG/CM) 0-4000PSI, I</t>
  </si>
  <si>
    <t>GASKET, FLUID CYLINDER, ITEM CODE : PRD SL 02</t>
  </si>
  <si>
    <t>SKF BEARING -MB 48</t>
  </si>
  <si>
    <t>P+F, Inductive Sensor Model No.: NCN8-18GM40-</t>
  </si>
  <si>
    <t>Ceramic Cap 8"</t>
  </si>
  <si>
    <t>SKF BEARING - PCM 303430 E</t>
  </si>
  <si>
    <t>SKF WASHER - MB 7</t>
  </si>
  <si>
    <t>SKF BEARING - AHX 3122</t>
  </si>
  <si>
    <t>Feed Through terminal blocks,4mm2,beige;PN:16</t>
  </si>
  <si>
    <t>Weidmuller Product; WQV 70/95/2; P/N:10635000</t>
  </si>
  <si>
    <t xml:space="preserve">Weidmuller Product; WTR 2.5 D- 2STB 6.9/2.3; </t>
  </si>
  <si>
    <t>Oliver make 2 Valve Manifold, Model No.: G12M</t>
  </si>
  <si>
    <t>Weidmueller Product PN:697180000; AKZ 2.5 BL</t>
  </si>
  <si>
    <t>NYLON 66 CABLE TIE 2.5MM X 200MM -BLACK : UL9</t>
  </si>
  <si>
    <t>2 1 /2" PIPE COUPLING PN B56XX05</t>
  </si>
  <si>
    <t>Weidmuller Product; WFS 4 100-250V; P/N:25619</t>
  </si>
  <si>
    <t>Teflon Tape,</t>
  </si>
  <si>
    <t>SKF BEARING - 6306 NR</t>
  </si>
  <si>
    <t xml:space="preserve">Weidmuller; Cable duct; P/N:2589330000;Model </t>
  </si>
  <si>
    <t>RUBBER REDUCER 200-180MM  P N 15305143</t>
  </si>
  <si>
    <t>NW PIN TO HÇª PIN, ITEM CODE : PRD CA 04 540</t>
  </si>
  <si>
    <t>Weidmuller; Model No. HDC-C-HE-SM2.5AG; Descr</t>
  </si>
  <si>
    <t>P&amp;F Female cordset, NAMUR; V1-G-N-15M-PUR; P/</t>
  </si>
  <si>
    <t>P&amp;F Female cordset, NAMUR; V1-G-N-10M-PUR; P/</t>
  </si>
  <si>
    <t>2/5 DETENT VALVE MDL PG 400-150,300-100,300-1</t>
  </si>
  <si>
    <t>SIZE 1 (15-25MM)OXY-PROPANE CUTTING TIP P/N-0</t>
  </si>
  <si>
    <t>MTL : 10664958 KIT,REPAIR O-RINGS MAN PART NU</t>
  </si>
  <si>
    <t>MATL: OIL SIGHT GLASS- 3/4 INCH; 15306521</t>
  </si>
  <si>
    <t>Weidmuller Product; WAP WSI4/2; P/N: 18804500</t>
  </si>
  <si>
    <t>Hand Wire Brush S.S</t>
  </si>
  <si>
    <t>SEAL KIT RELIEF VALVE OIL PN 41041X035</t>
  </si>
  <si>
    <t>PRESSURE RELIEF VALVE, 1/2" NPT P/N-A010019</t>
  </si>
  <si>
    <t>SKF BEARING - 6010-2RS1</t>
  </si>
  <si>
    <t>Weidmuller Product; PJ CON WASTE PAD; P/N:271</t>
  </si>
  <si>
    <t>SPACER: SHIM, THRUST                    - PN:</t>
  </si>
  <si>
    <t>SKF BEARING -AXK 2035</t>
  </si>
  <si>
    <t>Weidmuller; RELAY;P/N:8870320000  Model No.RC</t>
  </si>
  <si>
    <t>SKF BEARING - FYJ 40 TF</t>
  </si>
  <si>
    <t>SKF BEARING - W 10</t>
  </si>
  <si>
    <t>Belt PN B014606410051</t>
  </si>
  <si>
    <t>Weidmueller,Product:1608800000;   PN:ZAP/TW 3</t>
  </si>
  <si>
    <t>SKF - BELT, VEE, PART# B83   Model No. PHG B8</t>
  </si>
  <si>
    <t>WARNING TAPE 3"</t>
  </si>
  <si>
    <t>Weidmueller,Product2537700000;WIL-BM-SK-M12-3</t>
  </si>
  <si>
    <t>Metal Cutting Disc C.S 14'' (ATI) 4.0mm</t>
  </si>
  <si>
    <t>LINE DORI</t>
  </si>
  <si>
    <t>GP-12-NON-ELC-05;CC-M 85/54 ST LABEL(54X85)SS</t>
  </si>
  <si>
    <t>DESCRIPTION : SEAL KIT_FEED CYLINDER | Part N</t>
  </si>
  <si>
    <t>SS316 (Ex'd') Reducer : 1 1/2" NPTM X 1" NPTF</t>
  </si>
  <si>
    <t>SKF BEARING - 361204 R</t>
  </si>
  <si>
    <t>SKF PRODUCT 6205-2Z/C3GJN</t>
  </si>
  <si>
    <t>Weidmuller Item; G 25/2.00A/F BL; P/N 1927000</t>
  </si>
  <si>
    <t>SKF PRODUCT UKP 209 K/H Ball bearing units</t>
  </si>
  <si>
    <t>SKF BEARING - 6304 ETN9</t>
  </si>
  <si>
    <t>MATL : MINIMUM PRESSURE VALVE KIT  972400030</t>
  </si>
  <si>
    <t>10A 1G SP 1 WAY PLATESWITCH</t>
  </si>
  <si>
    <t xml:space="preserve">DESCRIPTION : L WEAR PLATE_UHMWPE | Part No: </t>
  </si>
  <si>
    <t>Weidmuller Product; RCM370024 PN:8690040000</t>
  </si>
  <si>
    <t>Matl: 1000155903 GASKET SPARE PART FOR: TURBI</t>
  </si>
  <si>
    <t>SKF BEARING - 6003-2Z/VA208</t>
  </si>
  <si>
    <t>SKF Products; SY 25 TF</t>
  </si>
  <si>
    <t>SKF PRODUCT; PHG SPA1657</t>
  </si>
  <si>
    <t>HV Gauge Bend.Fitted W/ Couplings</t>
  </si>
  <si>
    <t>Emery Grit Paper No. 100</t>
  </si>
  <si>
    <t>CUTTING TIP 1-1-101, ACETYLENE, QUARTZ</t>
  </si>
  <si>
    <t>Weidmuller; P/N:380660000  Model No.SAK 16/35</t>
  </si>
  <si>
    <t>Weidmueller,Product:1609920000;WS 12/6.5 MC N</t>
  </si>
  <si>
    <t>SKF BEARING - 6007-Z</t>
  </si>
  <si>
    <t>SKF - BLOCK, PLUMMER, PART# UCP207    Model N</t>
  </si>
  <si>
    <t>Annular Cutter Weldon Shank HSS Size 10mm x 5</t>
  </si>
  <si>
    <t>Triplefast Middle East Ltd.</t>
  </si>
  <si>
    <t>Weidmueller;RCMKIT-I-115VAC 4CO LD, PN:892105</t>
  </si>
  <si>
    <t>SKF PRODUCT; PHG SPA1432</t>
  </si>
  <si>
    <t>GP-12-NON-ELC-05;CC-M 85/54 4X3 AL LABEL (54X</t>
  </si>
  <si>
    <t>SKF BEARING -KM 30</t>
  </si>
  <si>
    <t>DESCRIPTION : Pipe assyâ€¦ II AB WTR INLET | PA</t>
  </si>
  <si>
    <t>BDV Kit P N 220322889</t>
  </si>
  <si>
    <t>Annular cutter 30 mm x 55 (Edge-Germany)</t>
  </si>
  <si>
    <t>OIL SEAL NH1X PN 41041X017</t>
  </si>
  <si>
    <t>KEY IGNITION SWITCH PN 38400013</t>
  </si>
  <si>
    <t>SQUARE BOX STEEL 2 - 1/8"</t>
  </si>
  <si>
    <t>LOCK NUT SS 1-1/2"W/IP WASHER</t>
  </si>
  <si>
    <t>Industrial Trading House</t>
  </si>
  <si>
    <t>SQUARE BOXES 2-1/8 DEEP</t>
  </si>
  <si>
    <t xml:space="preserve">DESCRIPTION : LANDING RING | Part No: PRD CA </t>
  </si>
  <si>
    <t>MATL : CABLE SET CONTROL PG 750; P/N: B016206</t>
  </si>
  <si>
    <t>FERRULE; 1/4"  P/N-220370700</t>
  </si>
  <si>
    <t>MTRL : SPARE KIT - ARV PART NO: 324000149</t>
  </si>
  <si>
    <t>Weidmuller Product; WS 10/5 M MC NE WS; P/N:1</t>
  </si>
  <si>
    <t>OIL SIGHT GLASS G1/2   B004606280001</t>
  </si>
  <si>
    <t>Weidmuller Product; WQV 16-4/6; P/N:106400000</t>
  </si>
  <si>
    <t>MK 6/6/E Single- and multi-pole terminal stri</t>
  </si>
  <si>
    <t>ORING KIT EN 73 V3  P N 12476669</t>
  </si>
  <si>
    <t>HSS ANNULAR PIN 6.35 X 103</t>
  </si>
  <si>
    <t>RIGTH ANGLE 6'' * 4 BLACK &amp; YELLOW</t>
  </si>
  <si>
    <t>XB5AVB3; PILOT LIGHT, HARMONY XB5</t>
  </si>
  <si>
    <t>EMIRATES PANEL TRADING COMPANY LLC</t>
  </si>
  <si>
    <t>DESCRIPTION : WEAR STRIP_540X100X10_UHMWPE_GR</t>
  </si>
  <si>
    <t>SLEEVE GREASE PN 410420118</t>
  </si>
  <si>
    <t>Weidmuller; Terminal Blocks &amp; Accessories, P/</t>
  </si>
  <si>
    <t>Emery Grit Paper No. 150</t>
  </si>
  <si>
    <t>Non return valve 1/8"  PN B004100170001</t>
  </si>
  <si>
    <t>Weidmuller - PRO ECO 72W 24V 3A; P/N#14694700</t>
  </si>
  <si>
    <t>Plug Hex head 316SS;size 1/2" M;  PN:T8PP316</t>
  </si>
  <si>
    <t xml:space="preserve">Weidmuller; TERMINAL BLOCK; P/N: 9512200000; </t>
  </si>
  <si>
    <t>0-50003-001700  Bartec Component</t>
  </si>
  <si>
    <t>MAKE : BARTEC;II 2G Ex eb IIC Gb Blue Indicat</t>
  </si>
  <si>
    <t>SKF;BEARING- BC1-0312</t>
  </si>
  <si>
    <t>SKF BEARING - W 12</t>
  </si>
  <si>
    <t>SKF BEARING FYTJ 506</t>
  </si>
  <si>
    <t>P+F, Reflector   Model No. REF-C110-2</t>
  </si>
  <si>
    <t>SKF BEARING -KM 5</t>
  </si>
  <si>
    <t>Weidmuller Product; WQV 6/5; P/N:1062660000</t>
  </si>
  <si>
    <t>O-Ring for YTA series (1 pack = 10 pcs), F916</t>
  </si>
  <si>
    <t>SKF BEARING - 6207-N</t>
  </si>
  <si>
    <t>Safety Goggles (Black)</t>
  </si>
  <si>
    <t>Cross-connector  WQV 50N/4 PN: 1834080000</t>
  </si>
  <si>
    <t>FILTER ELEMENT EN102 P N B005700770016</t>
  </si>
  <si>
    <t>SKF BEARING - 6200</t>
  </si>
  <si>
    <t>SKF Product FRB 10/110</t>
  </si>
  <si>
    <t>P1301640_SECONDARY ELEMENT MIC  P N B01360305</t>
  </si>
  <si>
    <t>Weidmuller;HSS 4.2-12.7 EL W13M;P/N: 14896700</t>
  </si>
  <si>
    <t>SKF AN 22</t>
  </si>
  <si>
    <t>Safety valve assembly  P N B010506360054</t>
  </si>
  <si>
    <t>Weidmueller,Product:9004500000,Part No: WAW 1</t>
  </si>
  <si>
    <t>DESCRIPTION : BLOW UP STOPPER_FOR METZKE | Pa</t>
  </si>
  <si>
    <t>BATTERY CUTTOFF SWITCH 48V_250 AMPS, ITEM COD</t>
  </si>
  <si>
    <t>DESCRIPTION : SUCTION STRAINER LARGE| Part no</t>
  </si>
  <si>
    <t>Measuring Tape 5MM</t>
  </si>
  <si>
    <t>Cable Lug,Product Id:1496600000,Part No: KRN-</t>
  </si>
  <si>
    <t>SKF PRODUCT 30X60X8 CRW1 R</t>
  </si>
  <si>
    <t>SKF BEARING - N 06</t>
  </si>
  <si>
    <t>Weidmuller;DK 4/35 2D GET.SCH.A1;P/N:39660000</t>
  </si>
  <si>
    <t>PLUMB BOB</t>
  </si>
  <si>
    <t>O-RING, SN- 97400076/77, PN- 14-070UA</t>
  </si>
  <si>
    <t xml:space="preserve">Weidmuller; BASE RELAY;P/N:8869490000  Model </t>
  </si>
  <si>
    <t>SEAL KIT_PVB_BASIC MODULE, ITEM CODE : PRD VE</t>
  </si>
  <si>
    <t>DESCRIPTION : ROTARY SWITCH | Part No: PRD EL</t>
  </si>
  <si>
    <t xml:space="preserve">DESCRIPTION : BW-HQ, ADAPTER FOR WATERSWIVEL </t>
  </si>
  <si>
    <t>SEAL KIT_PVP_PUMP SIDE MODULE, ITEM CODE : PR</t>
  </si>
  <si>
    <t>Weidmuller; Model:SO SH1  PN:401460000</t>
  </si>
  <si>
    <t>O-RING, FLUOROCARBON, PART OF GEARBOX   - PN:</t>
  </si>
  <si>
    <t xml:space="preserve">Weidmuller; TERMINAL BLOCK; P/N: 1820840000; </t>
  </si>
  <si>
    <t>Cross connector ZQV 2.5N/10GE 169380000</t>
  </si>
  <si>
    <t>Ceramic Cap 7"</t>
  </si>
  <si>
    <t>SKF BEARING - 6201/C3</t>
  </si>
  <si>
    <t>Pepperl+Fuchs Inductive Sensor NBB2-V3-E2; Pa</t>
  </si>
  <si>
    <t>SKF BEARING - MB 11</t>
  </si>
  <si>
    <t xml:space="preserve">DESCRIPTION : RH SLIDING CYLINDER SEAL KIT | </t>
  </si>
  <si>
    <t>O Ring PN 10453920</t>
  </si>
  <si>
    <t>AVM TYPE M-F D40-H35-M8 | P/N-B001406190005</t>
  </si>
  <si>
    <t>SKF BEARINGS - Model No. 1206 ETN9</t>
  </si>
  <si>
    <t>Weidmuller; WAP WDK2.5; P/N 1059100000</t>
  </si>
  <si>
    <t>WASHER, FLAT/PLAIN: 3/8 IN ID,          - PN:</t>
  </si>
  <si>
    <t>Service request for upgrade the S4000TH/CH to</t>
  </si>
  <si>
    <t>SKF BEARING; AN 18</t>
  </si>
  <si>
    <t>Bartec, Feam Plugs PLG-1 NON, male 1/2", in n</t>
  </si>
  <si>
    <t>SKF BEARING - 6201-2Z</t>
  </si>
  <si>
    <t>P+F,Inductive Sensor; Model:SJ5-N; P/N:106607</t>
  </si>
  <si>
    <t>SKF BEARING:SYF 45 TF</t>
  </si>
  <si>
    <t>WQB B/2             PN:1579010000 weidmuller</t>
  </si>
  <si>
    <t>P+F, Inductive Sensor   Model No. NJ5-11-N-G</t>
  </si>
  <si>
    <t>SKF BEARING - N 09</t>
  </si>
  <si>
    <t>SKF BEARING -W 619/5-2Z</t>
  </si>
  <si>
    <t xml:space="preserve">DESCRIPTION : STOP RING | Part No: PRD CA 00 </t>
  </si>
  <si>
    <t xml:space="preserve">DESCRIPTION : COMPRESSION SPRING  | Part No: </t>
  </si>
  <si>
    <t>GAUGE_OIL PRESSURE (0-100 KG/CM) 0-1500PSI, I</t>
  </si>
  <si>
    <t>SKF Product; NIL.6205 AV</t>
  </si>
  <si>
    <t>Weidmueller,Product:9512190000;WDU 70N/35</t>
  </si>
  <si>
    <t>Output cable for screw terminal for CL420; Mo</t>
  </si>
  <si>
    <t>Yokogawa make O ring;  Model:G9303AL</t>
  </si>
  <si>
    <t>SKF BEARING;PN:FY 50 TF</t>
  </si>
  <si>
    <t>RETAINING RING ,PN-F13-002</t>
  </si>
  <si>
    <t>Bartec Feam Cable Gland; PAP-R 02 NIX</t>
  </si>
  <si>
    <t>Weidmuller Items; LIP 1,5R12 V</t>
  </si>
  <si>
    <t>Norgren, Pressure Gauge, 18-015-209</t>
  </si>
  <si>
    <t>Mounting Flange;BF 18,Part No: 000050</t>
  </si>
  <si>
    <t>Weidmuller; Model TS 32X15 2M/ST/ZN;  PN:1228</t>
  </si>
  <si>
    <t>Gasket, F9900EA</t>
  </si>
  <si>
    <t>Weidmuller Product; TOS 24VDC 230VAC1A; P/N:1</t>
  </si>
  <si>
    <t>Fuse Low Voltage;  Model:F9802JB</t>
  </si>
  <si>
    <t>Compressor oil filter P N 099-008-S</t>
  </si>
  <si>
    <t>Weidmuller Product; TW SAK35; P/N:304360000</t>
  </si>
  <si>
    <t>SKF BEARINGS -  FYJ 45 TF</t>
  </si>
  <si>
    <t>Ceramic Cap 6"</t>
  </si>
  <si>
    <t>NUT, HEX: FOR GEARBOX ALIGNMENT BOLT    - PN:</t>
  </si>
  <si>
    <t>WASHER, CAP RETENTION, CARBON STEEL - P.N-BWI</t>
  </si>
  <si>
    <t>WASHER, BEARING HOUSING RETENTION, CARBO - P.</t>
  </si>
  <si>
    <t xml:space="preserve">3/4" NPT MALE TO 1/2" NPT FEMALE ( RING TYPE </t>
  </si>
  <si>
    <t>Weidmuller; Model No. HDC-C-HE-BM2.5AG; Descr</t>
  </si>
  <si>
    <t>SKF BEARING - PCM 303425 E</t>
  </si>
  <si>
    <t>Ceramic Cap 5"</t>
  </si>
  <si>
    <t xml:space="preserve">DESCRIPTION : VALVE SEAT AW1122BCD| Part no. </t>
  </si>
  <si>
    <t>GASKET, CYLINDER COVER, ITEM CODE : PRD SL 02</t>
  </si>
  <si>
    <t>PN:206160000;Weidmueller; Model:EWK 1</t>
  </si>
  <si>
    <t>Weidmuller Product; WQV 4/4; P/N: 1054660000</t>
  </si>
  <si>
    <t xml:space="preserve">MATL: 1000575150 KEY POSITION LOCKING; SHAFT </t>
  </si>
  <si>
    <t>SKF BEARING - FRB 13.5/200</t>
  </si>
  <si>
    <t>SKF PRODUCTS :  Model No. N 10  Matl#:429474</t>
  </si>
  <si>
    <t>TIP CLEANER</t>
  </si>
  <si>
    <t>Male Plug 1/2'' NPT AISI-904L</t>
  </si>
  <si>
    <t>TECVAL, S.L.</t>
  </si>
  <si>
    <t>FLAP WHEEL S.S ,</t>
  </si>
  <si>
    <t>Measuring Tape 10MM</t>
  </si>
  <si>
    <t>P&amp;F Product; P/N: 000051; Mtrl: 1047365; BF30</t>
  </si>
  <si>
    <t>MPV KIT,EN 102  PN A990293</t>
  </si>
  <si>
    <t>SKF BERAINGS; Model No. 6212-2RS1</t>
  </si>
  <si>
    <t>MATL : 5500020625 BALL BEARING,POS : 170, Par</t>
  </si>
  <si>
    <t>Leistritz Pumpen GmbH</t>
  </si>
  <si>
    <t>Weidmuller; Model No:AP MCZ1.5 1674;   PN:838</t>
  </si>
  <si>
    <t>SKF BEARING - NA 4910</t>
  </si>
  <si>
    <t>Yokogawa make O ring;   Model:G9303NB</t>
  </si>
  <si>
    <t>DESCRIPTION : FLOW CONTROL VALVE | Part No: P</t>
  </si>
  <si>
    <t>Weidmuller Product; DRM570024LT; P/N: 7760056</t>
  </si>
  <si>
    <t>SKF Products; PHG AX46EP</t>
  </si>
  <si>
    <t>Weidmuller Product; Model:WQV 50N/2; PN:18340</t>
  </si>
  <si>
    <t>Weidmuller Items; LIR2,5M3 V</t>
  </si>
  <si>
    <t>SKF BEARING - 6303</t>
  </si>
  <si>
    <t>Weidmuller; Mainboard; Model No: PJ ADV EL 3</t>
  </si>
  <si>
    <t>Weidmuller; Model No. HDC HEE 32 MC; Descript</t>
  </si>
  <si>
    <t>Weidmuller Product; SAK HP4ADP3 P/N:048586000</t>
  </si>
  <si>
    <t>FIXING SCREW FOR DKSUE;P/N:WDM#0296700000</t>
  </si>
  <si>
    <t>Weidmuller; Incremental Strip; Model No: PJ A</t>
  </si>
  <si>
    <t>Emery Grit Paper No. 80</t>
  </si>
  <si>
    <t>Weidmueller,Product:1019700000,Part No: WPE 1</t>
  </si>
  <si>
    <t>PIPE MPV TO COOLER P N 15401649</t>
  </si>
  <si>
    <t xml:space="preserve">DESCRIPTION : OIL SEAL_130X160X12 | Part No: </t>
  </si>
  <si>
    <t>DESCRIPTION : WEAR STRIP_470X67X10_UHMWPE_GRE</t>
  </si>
  <si>
    <t>Ceramic Cap 10"</t>
  </si>
  <si>
    <t>Weidmuller Product; WDU 2.5 SW; P/N: 10200100</t>
  </si>
  <si>
    <t>SKF Product 1308 ETN9</t>
  </si>
  <si>
    <t>SKF V-RING   Model No. 32 VA R</t>
  </si>
  <si>
    <t>OIL SIGHT GLASS 1 1/2 INCH BSP P/N-15306517</t>
  </si>
  <si>
    <t>Weidmuller Product; TRZ 24VDC 1CO; P/N:112288</t>
  </si>
  <si>
    <t>OIL FILTER KIT 10 MICRONS PN 10440229</t>
  </si>
  <si>
    <t>Weidmuller; Model No. HDC 40D TOBU 1M32G; Des</t>
  </si>
  <si>
    <t xml:space="preserve">MATL:1001145025 GASKET; SEALING TYPE,SIZE 14 </t>
  </si>
  <si>
    <t>SKF WASHER - W 15</t>
  </si>
  <si>
    <t>"MATL: 1000147256, NUT,HEXAGON;3/8 IN,16TPI,S</t>
  </si>
  <si>
    <t>Weidmuller Product; Model:WF 6/2BZ;  P/N:1789</t>
  </si>
  <si>
    <t>Weidmuller Product; WS 12/8 PLUS MC NE WS; P/</t>
  </si>
  <si>
    <t>SKF Product; 45X60X10 HMSA10 RG</t>
  </si>
  <si>
    <t>Yokogawa make O-ring; Model no:F9910LE</t>
  </si>
  <si>
    <t>Yokogawa make O-ring; Model no:F9900GH</t>
  </si>
  <si>
    <t>SKF BEARING - 6207-2Z/HT</t>
  </si>
  <si>
    <t>SKF BEARING - 1210 EKTN9/C3</t>
  </si>
  <si>
    <t>W2C 4 FT Feed-through terminal block PN:28926</t>
  </si>
  <si>
    <t>W2C 4 FT BK Feed-through terminal block PN:28</t>
  </si>
  <si>
    <t>Welding Glass Black.12</t>
  </si>
  <si>
    <t>Weidmuller; Ind Dike; Model No: PJ ADV TNAW 2</t>
  </si>
  <si>
    <t>Female Adaptor 32MM</t>
  </si>
  <si>
    <t>Weidmuller Product; LL 5.00/03/90 3.2SN OR BX</t>
  </si>
  <si>
    <t>DESCRIPTION  | 5215000025-FAN BLADE | PART NO</t>
  </si>
  <si>
    <t>O-RING: VITON  A, SLEEVE SUPPORT - P.N-BOR021</t>
  </si>
  <si>
    <t>PILOT LAMPS INTEGRAL LED 24V, ITEM CODE : PRD</t>
  </si>
  <si>
    <t>SKF BEARING -6207-2RS1K</t>
  </si>
  <si>
    <t>SKF BEARING NUT : Model No. KM 13</t>
  </si>
  <si>
    <t xml:space="preserve">DESCRIPTION : DETENT SPRING   | Part No: PRD </t>
  </si>
  <si>
    <t>DESCRIPTION : WEAR STRIP_470X35X10_UHMWPE_GRE</t>
  </si>
  <si>
    <t>DESCRIPTION : DETENT PLUNGER | Part No: PRD C</t>
  </si>
  <si>
    <t>JOINT: CASING, CSF - P.N-CS1C17E</t>
  </si>
  <si>
    <t>SKF PRODUCT 50 VS V</t>
  </si>
  <si>
    <t>SKF BEARING - SY 30 FM</t>
  </si>
  <si>
    <t>SKF BEARINGS - Model No. TSN 509 L</t>
  </si>
  <si>
    <t>DESCRIPTION : BREAKOUT CYLINDER SEAL KIT | Pa</t>
  </si>
  <si>
    <t>MATL:1001145028 O-RING; 7.5 MM ID,1.5 MM WD/T</t>
  </si>
  <si>
    <t>38mm Heavy G. Coupling</t>
  </si>
  <si>
    <t>SKF BEARINGS - Model No. 6208-2RS1</t>
  </si>
  <si>
    <t>GASKET, VALVE COVER, ITEM CODE : PRD SL 02 35</t>
  </si>
  <si>
    <t>PRE FILTER EG200-250 P/N-B016306250001</t>
  </si>
  <si>
    <t>Welding Glass (Black) 50x100mm</t>
  </si>
  <si>
    <t>SKF LOCKNUT -KM 7</t>
  </si>
  <si>
    <t>Weidmueller,Product2557070000;EF 10 54 GY</t>
  </si>
  <si>
    <t>SWITCH_PNEUMATIC_SPRING_JANATICS AIR VALVE, I</t>
  </si>
  <si>
    <t>SKF BEARINGS -  6206-2Z/C3WT</t>
  </si>
  <si>
    <t>SKF BEARING - N 08</t>
  </si>
  <si>
    <t>DEK 5 GW ERDE Dekafix, Terminal marker PN:057</t>
  </si>
  <si>
    <t>DEK 5 GW L Dekafix, Terminal marker PN:052276</t>
  </si>
  <si>
    <t>DEK 5 GW S Dekafix, Terminal marker PN:052276</t>
  </si>
  <si>
    <t>DEK 5 GW N Dekafix, Terminal marker PN:052276</t>
  </si>
  <si>
    <t>Weidmuller; Model No. WSI 25/2  CC; PN:196604</t>
  </si>
  <si>
    <t>SWITCH REVERSE ROTATION PN 8941151</t>
  </si>
  <si>
    <t>Weidmuller; AP VSSC4; P/N:1063120000</t>
  </si>
  <si>
    <t>OIL SIGHT GLASS 3/4 NPT  | P/N-10350930</t>
  </si>
  <si>
    <t>DESCRIPTION : FLAT NYLON 180 X 85 X 20 | Part</t>
  </si>
  <si>
    <t>SKF BEARING - W 06</t>
  </si>
  <si>
    <t>SKF PRODUCT PHF TB2517X48MM</t>
  </si>
  <si>
    <t>O RING  (GASKET; MPV ) P/N-  220476530</t>
  </si>
  <si>
    <t>PRESSURE GAUGE 0-16 Kg/cm2 MD PG400/150 PN B0</t>
  </si>
  <si>
    <t>OIL INLET PIPE P N 35400845</t>
  </si>
  <si>
    <t>DESCRIPTION : SUCTION STRAINER SMALL| Part no</t>
  </si>
  <si>
    <t>Weidmuller; Terminal Block; Model No. WAH 185</t>
  </si>
  <si>
    <t>SKF BEARING - PCM 353920 E</t>
  </si>
  <si>
    <t>Fuse Low Voltage;A1113EF</t>
  </si>
  <si>
    <t>SKF BEARING - PCM 404430 M</t>
  </si>
  <si>
    <t>SKF BEARING - 6202</t>
  </si>
  <si>
    <t>2562070000;WFS 4; FUSE TB 4sqmm with LED</t>
  </si>
  <si>
    <t xml:space="preserve">Weidmuller; Model No:WSI 4/LD 10-36V AC/DC;  </t>
  </si>
  <si>
    <t>M20 NPTM x 1/2" NPTF Adapter SS316 EXD; Model</t>
  </si>
  <si>
    <t>Weidmuller Product; Model:WQV 2.5/3; PN:10537</t>
  </si>
  <si>
    <t>Haam International Trading Est.</t>
  </si>
  <si>
    <t>O-RING FLOUROCARBON;  Model:B1035ER</t>
  </si>
  <si>
    <t>SCREW, BUSH HOLDER RETENTION, BS 6105 A4 - P.</t>
  </si>
  <si>
    <t>Kit inlet air cleaner dry PN 22400929</t>
  </si>
  <si>
    <t>DESCRIPTION : 6-BANK VALVE SEAL KIT | Part No</t>
  </si>
  <si>
    <t>Weidmuller; Blank Terminal Markers; P/N: 1046</t>
  </si>
  <si>
    <t>RING, RETAINING: CIRCLIP, GEARBOX       - PN:</t>
  </si>
  <si>
    <t>SKF BEARINGS - Model No. FRB 12/180</t>
  </si>
  <si>
    <t>SKF BEARING; PCM 141615 M</t>
  </si>
  <si>
    <t>SKF BEARING - YAT 204</t>
  </si>
  <si>
    <t>Weidmuller; Steel Belt; Model No: PJ ADV STRE</t>
  </si>
  <si>
    <t>HOSE 1-1/4 P N 35303627</t>
  </si>
  <si>
    <t>MPV KIT ENCAP P N  A990288</t>
  </si>
  <si>
    <t xml:space="preserve">DESCRIPTION : PULL DOWN VALVE | Part No: PRD </t>
  </si>
  <si>
    <t xml:space="preserve">DESCRIPTION : OVERSHOT SPRING AND LOCK KIT | </t>
  </si>
  <si>
    <t>SKF BEARING - 6305</t>
  </si>
  <si>
    <t>Weidmuller Product; Model:APP 2;  P/N:2489090</t>
  </si>
  <si>
    <t>Weidmuller Product; WQV 35-4/6; P/N:106420000</t>
  </si>
  <si>
    <t>GASKET MDL 300/100 PN 35400013</t>
  </si>
  <si>
    <t xml:space="preserve">Weidmuller Product; WSI 6/2/LD 10-36V DC/AC; </t>
  </si>
  <si>
    <t>250 Ohms Shunt Resistor, X010-250-3</t>
  </si>
  <si>
    <t>MPV KIT P N 220210379</t>
  </si>
  <si>
    <t>32mm Heavy G. Coupling</t>
  </si>
  <si>
    <t>Hand Wire Brush C.S</t>
  </si>
  <si>
    <t>Weidmueller,Product :1739700000, Part No: ZQV</t>
  </si>
  <si>
    <t>SKF BEARING - HK 1015</t>
  </si>
  <si>
    <t>SKF PRODUCT 110X140X12 HMS5 RG</t>
  </si>
  <si>
    <t>PIN,SPRING,COILED 3/16" DIA X 1/2" LONG 08-05</t>
  </si>
  <si>
    <t>FILTER UNIT</t>
  </si>
  <si>
    <t>MEASURING TAPE 30M LONG</t>
  </si>
  <si>
    <t>NAIL, GRIP                              - PN:</t>
  </si>
  <si>
    <t>Weidmuller; Model No. HDC HEE 32 FC; Descript</t>
  </si>
  <si>
    <t>Weidmuller product; ADP 2/HP2 1M; P/N: 485300</t>
  </si>
  <si>
    <t>SKF BEARING W 12</t>
  </si>
  <si>
    <t>SKF BEARING - 6203/C3</t>
  </si>
  <si>
    <t xml:space="preserve">MECHANICAL ACTUATION, ITEM CODE :  PRD VE 03 </t>
  </si>
  <si>
    <t>SEAL KIT_SET _ PVAS 32, ITEM CODE : PRD SL 09</t>
  </si>
  <si>
    <t>SKF - PHF TB2517X2.125 Model No. PHP TB2517X2</t>
  </si>
  <si>
    <t>Electrical Items / Relay, D-Series DRM, Socke</t>
  </si>
  <si>
    <t>TOLSEN BLADE SK5</t>
  </si>
  <si>
    <t>Weidmuller Terminal P/N 1020100000 block; Mod</t>
  </si>
  <si>
    <t xml:space="preserve">Bartec Feam Cable Gland; PNA-03 NON, male 1" </t>
  </si>
  <si>
    <t>Weidmuller; Tooth Belt; Model No: PJ ADV ZHRE</t>
  </si>
  <si>
    <t>MATL:1000677580 SCREW; BOLT TYPE,M6 X 16 MM,8</t>
  </si>
  <si>
    <t>Weidmuller; Model No. HDC 16B DODQ 4BO;  P/N:</t>
  </si>
  <si>
    <t>P&amp;F Inductive Sensor; V3-WM-2M-PUR; P/N: 1040</t>
  </si>
  <si>
    <t>[.11.844.101.162] spacer spring P511</t>
  </si>
  <si>
    <t>Weidmuller Product; Model:AEB 35 SC/1;  P/N:1</t>
  </si>
  <si>
    <t xml:space="preserve">DESCRIPTION : WASHER; DISC TYPE,80 MM ID,100 </t>
  </si>
  <si>
    <t>SKF BEARING - 6205-2RSL</t>
  </si>
  <si>
    <t xml:space="preserve">Weidmuller; Terminal Marker; P/N: 0468760001 </t>
  </si>
  <si>
    <t>Weidmuller Product; WAH 70 BE; P/N: 106456000</t>
  </si>
  <si>
    <t>O RING-62.5x55.5x3.5 P N 10451120</t>
  </si>
  <si>
    <t>End plate;PN:1608740000</t>
  </si>
  <si>
    <t>Weidmuller; Model No. HDC 16B ABU; Descriptio</t>
  </si>
  <si>
    <t>Weidmuller Product; ISPF QB75 SW; P/N:5267000</t>
  </si>
  <si>
    <t>DESCRIPTION : CHEVRON SEAL_60X80X40 | Part No</t>
  </si>
  <si>
    <t>DESCRIPTION : SPEARHEAD PIN  | Part No: PRD C</t>
  </si>
  <si>
    <t>Weidmuller Product; S-1L-210/16; P/N:26579800</t>
  </si>
  <si>
    <t>Weidmueller Product; DEK 6 FSZ 1-10; P/N: 133</t>
  </si>
  <si>
    <t>Size 4 : (75-100mm) Oxy propane cutting tip |</t>
  </si>
  <si>
    <t>Weidmuller Product; QL 10 SAK6N; P/N:33830000</t>
  </si>
  <si>
    <t>SKF V-RING   Model No. 32 VA V</t>
  </si>
  <si>
    <t>SSB- Stainless Steel Transmitter Mounting Bol</t>
  </si>
  <si>
    <t>Weidmuller Product; Model:ZQV 1.5N/2;  P/N:19</t>
  </si>
  <si>
    <t>MATL : 5500020623 KEY,PARALLEL,POS. 180 PARTS</t>
  </si>
  <si>
    <t>O-RING, VITON (FLUOROCARBON)            - PN:</t>
  </si>
  <si>
    <t>Weidmuller; Ind Dike; Model No: PJ ADV TNAW 3</t>
  </si>
  <si>
    <t>DESCRIPTION : OIL SEAL | Part No: PRD GB 01 9</t>
  </si>
  <si>
    <t>DESCRIPTION : GASKET, CYLINDER COVER | Part N</t>
  </si>
  <si>
    <t xml:space="preserve">DESCRIPTION : GASKET, VALVE COVER | Part No: </t>
  </si>
  <si>
    <t>Weidmuller product, ZGB 30 P/N: 1611930000</t>
  </si>
  <si>
    <t>PRE FILTER PN 15403266</t>
  </si>
  <si>
    <t>Bartec Feam Cable Gland; PAP-R-01-MON</t>
  </si>
  <si>
    <t>Weidmuller Product; MK 3/12; P/N: 243520000</t>
  </si>
  <si>
    <t>P+F, Mounting Flange Model No.: BF 30; Part N</t>
  </si>
  <si>
    <t>Accessory Storage case-Probe Case; Model:B910</t>
  </si>
  <si>
    <t>O-RING  PN-14-304UA</t>
  </si>
  <si>
    <t>Weidmuller Product; Model:AEP 4C 1.5;  P/N:15</t>
  </si>
  <si>
    <t>SKF PRODUCT PHC 12B-1C/L</t>
  </si>
  <si>
    <t>Weidmuller Product; P/N: 697380000; Model No.</t>
  </si>
  <si>
    <t>30X47X7 HMSA10 RG Radial shaft seals SKF</t>
  </si>
  <si>
    <t>HAND ROLLER</t>
  </si>
  <si>
    <t>WEIDMULLER;PN:430700000;Model:G 20/1.00A/F</t>
  </si>
  <si>
    <t xml:space="preserve">Weidmuller; DIN Rail; P/N: 0383400000  Model </t>
  </si>
  <si>
    <t>HEX NIPPLE WITH LOCK NUT &amp; ORING 1/4" X 1/8"(</t>
  </si>
  <si>
    <t>GASKET 3"NB BALL VALVE | P/N-410431179</t>
  </si>
  <si>
    <t>SKF BEARING - 6008-2Z</t>
  </si>
  <si>
    <t>Bearing World</t>
  </si>
  <si>
    <t>SLEEVE WEAR 73S PN 13436020</t>
  </si>
  <si>
    <t>Weidmuller Product; Model:APP 1;  P/N:2488970</t>
  </si>
  <si>
    <t>MATL : 5500020626 CIRCLIP,POS. #173 MODEL/TYP</t>
  </si>
  <si>
    <t>MATL:1000202794  O RING; MATERIAL: BUNA-N, AP</t>
  </si>
  <si>
    <t>Teflon Gasket (1 pk consist of 5 nos of gaske</t>
  </si>
  <si>
    <t>Reducer male-female type RE03N01NXX, executio</t>
  </si>
  <si>
    <t>Weidmuller; WDU 95N/120N;P/N: 1820550000</t>
  </si>
  <si>
    <t>SKF PRODUCT PHF TB1210X30MM</t>
  </si>
  <si>
    <t>WASHER, LOCK                            - PN:</t>
  </si>
  <si>
    <t>FEMALE ADAPTOR 25MM</t>
  </si>
  <si>
    <t>Weidmuller Product; WPE 4N; P/N:1042700000</t>
  </si>
  <si>
    <t>Weidmuller; Accessories Rail Support; P/N:029</t>
  </si>
  <si>
    <t>GASKET, BFV, 6", DPSAC PG 900 - 200 PN 220413</t>
  </si>
  <si>
    <t>SKF - BELT, BLOWER, PART #B40   Model No. PHG</t>
  </si>
  <si>
    <t>ORIFICE CONTROL 1/8x1/4NPT 2.5</t>
  </si>
  <si>
    <t>DESCRIPTION : SEAL 45X62X7 ROTATION MOTOR DD|</t>
  </si>
  <si>
    <t xml:space="preserve">DESCRIPTION : OIL SEAL_110X140X13 | Part No: </t>
  </si>
  <si>
    <t>GASKET DCV , 35400362</t>
  </si>
  <si>
    <t>PN:279560000;Weidmueller; Model:AP SAK2.5</t>
  </si>
  <si>
    <t>Weidmuller Product; WS 10/12 MC NE WS; P/N:19</t>
  </si>
  <si>
    <t xml:space="preserve">Weidmuller; TERMINAL BLOCK; P/N: 1059180000; </t>
  </si>
  <si>
    <t>Weidmuller Product; WTW EN; P/N:1058800000</t>
  </si>
  <si>
    <t>SKF PRODUCT 30X52X8 HMS5 RG</t>
  </si>
  <si>
    <t>SKF Product MB 22</t>
  </si>
  <si>
    <t>20mm Heavy G. Coupling</t>
  </si>
  <si>
    <t>FEMALE ADAPTOR 20MM</t>
  </si>
  <si>
    <t>25mm Heavy G. Coupling</t>
  </si>
  <si>
    <t>SKF Product 6002/C3</t>
  </si>
  <si>
    <t>Weidmuller Product; DEK 5/6.5 PLUS MC SDR PN:</t>
  </si>
  <si>
    <t>Weidmuller Product; WSI 6/LD 10-36V LLC; P/N:</t>
  </si>
  <si>
    <t>DESCRIPTION : KEY SWITCH | Part No: PRD AE 00</t>
  </si>
  <si>
    <t>DESCRIPTION : INNERTUBE REATAINING CIRCLIP| P</t>
  </si>
  <si>
    <t>SKF Product; W 8</t>
  </si>
  <si>
    <t xml:space="preserve">Weidmuller; TERMINAL BLOCK; P/N: 1050020000; </t>
  </si>
  <si>
    <t>SKF PRODUCT 6204-2Z/C3WTF7</t>
  </si>
  <si>
    <t>SKF BEARING - 7414</t>
  </si>
  <si>
    <t>MATL: ST 1 - 4 to 6mm OD; P/N: 15401697</t>
  </si>
  <si>
    <t>DESCRIPTION : O-RING KIT _HOLD BACK BIG  (POL</t>
  </si>
  <si>
    <t>3020 Flange Seal Ring made in PTFE- to suit o</t>
  </si>
  <si>
    <t>SKF WASHER - MB 3</t>
  </si>
  <si>
    <t>SLACKNESS CABLE-1200      P/N B016206800006</t>
  </si>
  <si>
    <t>Weidmuller;  Model No: WAD 5 MC B GE/SW</t>
  </si>
  <si>
    <t>SKF BEARING - 6301</t>
  </si>
  <si>
    <t>SKF Product; AXK 1024</t>
  </si>
  <si>
    <t>Weidmueller,Product:1776030000;   PN:ZAP/TW Z</t>
  </si>
  <si>
    <t>Weidmuller; 9538110000; WAP WTL6 SL</t>
  </si>
  <si>
    <t>Weidmuller Product          SCHT 7   P/N:5179</t>
  </si>
  <si>
    <t>DESCRIPTION : OIL SEAL_55 X 80 X 10 | Part No</t>
  </si>
  <si>
    <t>DESCRIPTION : O-RING KIT_HOLD BACK SMALL (POL</t>
  </si>
  <si>
    <t>SKF Oil Seal; Size:65X120X10 HMS5 RG</t>
  </si>
  <si>
    <t>Weidmuller Product; WS 12/6 PLUS MC NE WS; PN</t>
  </si>
  <si>
    <t>SKF PRODUCT PHG A27</t>
  </si>
  <si>
    <t>HOSE CLAMP 1/2"</t>
  </si>
  <si>
    <t>Weidmuller; Model No:WAP WTL6/4FF; PN:1887240</t>
  </si>
  <si>
    <t>HOSE CLAMP 3/4"</t>
  </si>
  <si>
    <t xml:space="preserve">DESCRIPTION : O-RING | Part No: PRD GB 01 91 </t>
  </si>
  <si>
    <t>ELBOW CONNECTOR PNEUMATIC, ITEM CODE : PRD MI</t>
  </si>
  <si>
    <t>Weidmuller Product; WS 12/5 PLUS MC NE WS; PN</t>
  </si>
  <si>
    <t>Weidmuller; Model:G 20/2.00A/F;  PN:430900000</t>
  </si>
  <si>
    <t>Weidmuller Feed Through ZDU 2.5;   P/N:160851</t>
  </si>
  <si>
    <t>DESCRIPTION : 62X69X3.5_O-RING | Part No: PRD</t>
  </si>
  <si>
    <t>DESCRIPTION : WASHER_TEFLON_70X80X2MM_WATER P</t>
  </si>
  <si>
    <t>WAP WDK2.5  PN:1059100000</t>
  </si>
  <si>
    <t>MAT NO:1000118949 | DESC :BOLT,HEX,BS3692,209</t>
  </si>
  <si>
    <t>DESCRIPTION : O-RING 41.0 x 1.78 N7 | Part No</t>
  </si>
  <si>
    <t>P+F, SMART Current Driver    Model No. KFD2-S</t>
  </si>
  <si>
    <t>P+F, Cable Connector Model No. (V1-G-5M-PVC)(</t>
  </si>
  <si>
    <t>P+F, Inductive Sensor Model No. (NBB5-18GM40-</t>
  </si>
  <si>
    <t>P+F, Inductive Sensor Model No. (NBB5-18GM-40</t>
  </si>
  <si>
    <t>Pepperl+Fuchs Inductive Sensor (NBN4-12GM50-E</t>
  </si>
  <si>
    <t>P+F, Cable Connector Model No. (V1-W-5M-PVC)(</t>
  </si>
  <si>
    <t>P+F, Inductive Sensor Model No. (CJ8-18GM-E2-</t>
  </si>
  <si>
    <t>SKF BEARING - NJ 311 ECP</t>
  </si>
  <si>
    <t>P+F, Transmitter Power Supply Model No. (KFD2</t>
  </si>
  <si>
    <t>Bartec, Feam SS Junction Box ESX 4433 size 33</t>
  </si>
  <si>
    <t>Junction Box GL5 P&amp;F</t>
  </si>
  <si>
    <t>P+F, Inductive Sensor Model No. (H50-Reflecto</t>
  </si>
  <si>
    <t>ADAPTER; 2"DIA. RSC PVC COATED</t>
  </si>
  <si>
    <t>Manifold;M50C</t>
  </si>
  <si>
    <t>Pepperl+Fuchs Inductive Sensor (NBB20-L2M-E2-</t>
  </si>
  <si>
    <t xml:space="preserve">Pepperl+Fuchs Smart Transmitter Power Supply </t>
  </si>
  <si>
    <t>P+F, Inductive Sensor Model No. (HD2-FBPS-1.2</t>
  </si>
  <si>
    <t>SKF BEARING - 6216 NR</t>
  </si>
  <si>
    <t>Weidmuller Model:CLI O 20-3 GE/SW 8 MP;P/N:64</t>
  </si>
  <si>
    <t>P+F, Inductive Sensor Model No. (KFD2-EB2.RPI</t>
  </si>
  <si>
    <t>P+F, Inductive Sensor Model No. (NBB15-V1-32)</t>
  </si>
  <si>
    <t>4" DIA to 2" DIA REDUCER (MODEL NO. CRH RE106</t>
  </si>
  <si>
    <t>230V-60HZ type EVAC201-100HPNA (EVAC-201 -100</t>
  </si>
  <si>
    <t>P+F, Inductive Sensor Model No. (HD2-FBPS-1.5</t>
  </si>
  <si>
    <t>STAINLESS STEEL TIE-COATED 4.6MM X 260MM-100/</t>
  </si>
  <si>
    <t>SKF BEARING - 32309 J2/Q</t>
  </si>
  <si>
    <t>Gai-Tronic Handset Assembly c/w Steel Cord Mo</t>
  </si>
  <si>
    <t>Vector InfoTech Pte Ltd</t>
  </si>
  <si>
    <t>P+F, Inductive Sensor Model No. (CJ10-30GM-E2</t>
  </si>
  <si>
    <t>Manifold;G12FMM/NA</t>
  </si>
  <si>
    <t>SKF Product; NU 216 ECM</t>
  </si>
  <si>
    <t>Pepperl+Fuchs Inductive Sensor (NBB2-8GM40-E2</t>
  </si>
  <si>
    <t>SKF BEARING - 22230 CCK/C3W33</t>
  </si>
  <si>
    <t>SKF BEARING - PCM 808560 E</t>
  </si>
  <si>
    <t>P+F, Inductive Sensor Model No. (KFD2-STV4-EX</t>
  </si>
  <si>
    <t>P+F, Inductive Sensor Model No. (KM/EX-E2-HF)</t>
  </si>
  <si>
    <t>SKF BEARING - 594/592 A/Q</t>
  </si>
  <si>
    <t>Manifold;G12FMS/HP/NA</t>
  </si>
  <si>
    <t xml:space="preserve">ONE HOLE COMPRESSION CONNECTOR SIZE 70 SQ MM </t>
  </si>
  <si>
    <t>P+F, Inductive Sensor Model No. (NEB22-30GM60</t>
  </si>
  <si>
    <t>SKF BEARING - FYJ 35 KF</t>
  </si>
  <si>
    <t>Pepperl+Fuchs Diffuse Mode Sensor (3RG7010-0A</t>
  </si>
  <si>
    <t>ONE HOLE COMPRESSION CONNECTOR SIZE 120SQMMXM</t>
  </si>
  <si>
    <t>Pepperl+Fuchs Inductive Sensor (NBB2-12GM40-Z</t>
  </si>
  <si>
    <t>S/Steel Cable Tie AISI-316 (Tested to VL-1565</t>
  </si>
  <si>
    <t>P+F, Inductive Sensor Model No. KFD0-CC-1; P/</t>
  </si>
  <si>
    <t>P+F, Inductive Sensor     Model No. NBB15-30G</t>
  </si>
  <si>
    <t>P+F, Inductive Sensor Model No. (SJ30-N)</t>
  </si>
  <si>
    <t>P+F, SMART CURRENT DRIVER  Model No.: KFD2-SC</t>
  </si>
  <si>
    <t>Pepperl+Fuchs Inductive Sensor; NBB20-L2-E2-V</t>
  </si>
  <si>
    <t>Pepperl+Fuchs Inductive Sensor (NBB15-30GM50-</t>
  </si>
  <si>
    <t>MATL:WASHER, DISC PASS - 36 X 48 X 3,0</t>
  </si>
  <si>
    <t>PIN: 5/16 IN DIA                        - PN:</t>
  </si>
  <si>
    <t>2 Wire LP 24 V DC Transmitter; FLXA202-D-B-D-</t>
  </si>
  <si>
    <t>pH Sensor;Model:WU10-V-S-10</t>
  </si>
  <si>
    <t>Retractable fitting ;PR10-Z-V-L5-D50-FU20/FL2</t>
  </si>
  <si>
    <t xml:space="preserve">PulsarÂ® radar level transmitter:R80-511A-310 </t>
  </si>
  <si>
    <t>Junction Box FXLS811D P&amp;F</t>
  </si>
  <si>
    <t>Junction Box SLS41 P&amp;F</t>
  </si>
  <si>
    <t>Row Labels</t>
  </si>
  <si>
    <t>Count of Item</t>
  </si>
  <si>
    <t>Count of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</si>
</sst>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2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4" borderId="2" xfId="0" applyFont="1" applyFill="1" applyBorder="1"/>
    <xf numFmtId="0" fontId="0" fillId="5" borderId="5" xfId="0" applyFill="1" applyBorder="1"/>
    <xf numFmtId="0" fontId="0" fillId="2" borderId="7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/>
    <xf numFmtId="0" fontId="2" fillId="6" borderId="5" xfId="0" applyFont="1" applyFill="1" applyBorder="1"/>
    <xf numFmtId="9" fontId="2" fillId="6" borderId="9" xfId="2" applyFont="1" applyFill="1" applyBorder="1" applyAlignment="1">
      <alignment horizontal="center"/>
    </xf>
    <xf numFmtId="0" fontId="2" fillId="7" borderId="3" xfId="0" applyFont="1" applyFill="1" applyBorder="1"/>
    <xf numFmtId="0" fontId="0" fillId="0" borderId="3" xfId="0" applyBorder="1"/>
    <xf numFmtId="0" fontId="0" fillId="4" borderId="5" xfId="0" applyFill="1" applyBorder="1"/>
    <xf numFmtId="0" fontId="0" fillId="4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" fontId="5" fillId="9" borderId="3" xfId="1" applyNumberFormat="1" applyFont="1" applyFill="1" applyBorder="1" applyAlignment="1">
      <alignment horizontal="center"/>
    </xf>
    <xf numFmtId="165" fontId="5" fillId="9" borderId="3" xfId="1" applyNumberFormat="1" applyFont="1" applyFill="1" applyBorder="1" applyAlignment="1">
      <alignment horizontal="center"/>
    </xf>
    <xf numFmtId="165" fontId="5" fillId="9" borderId="3" xfId="1" applyNumberFormat="1" applyFont="1" applyFill="1" applyBorder="1" applyAlignment="1">
      <alignment horizontal="left"/>
    </xf>
    <xf numFmtId="164" fontId="5" fillId="9" borderId="3" xfId="1" applyFont="1" applyFill="1" applyBorder="1" applyAlignment="1">
      <alignment horizontal="center"/>
    </xf>
    <xf numFmtId="0" fontId="6" fillId="0" borderId="0" xfId="0" applyFont="1"/>
    <xf numFmtId="164" fontId="0" fillId="0" borderId="0" xfId="1" applyFont="1"/>
    <xf numFmtId="1" fontId="6" fillId="0" borderId="3" xfId="1" applyNumberFormat="1" applyFont="1" applyBorder="1" applyAlignment="1">
      <alignment horizontal="left"/>
    </xf>
    <xf numFmtId="165" fontId="6" fillId="0" borderId="3" xfId="1" applyNumberFormat="1" applyFont="1" applyBorder="1"/>
    <xf numFmtId="165" fontId="6" fillId="0" borderId="3" xfId="1" applyNumberFormat="1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0" fontId="6" fillId="0" borderId="3" xfId="0" applyFont="1" applyBorder="1"/>
    <xf numFmtId="164" fontId="6" fillId="0" borderId="3" xfId="1" applyFont="1" applyBorder="1"/>
    <xf numFmtId="0" fontId="4" fillId="8" borderId="6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0"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colors>
    <mruColors>
      <color rgb="FFF66D30"/>
      <color rgb="FFD6FAF4"/>
      <color rgb="FFFFCC00"/>
      <color rgb="FFFF9999"/>
      <color rgb="FFFEA2D9"/>
      <color rgb="FFF4FDC9"/>
      <color rgb="FF00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ersonal/mafas_gasarabian_com/Documents/Desktop/2026%20-%20Log-%20Audit/GAS_INVENTORY%20ON%20HAND%2011.5.2026.xlsx" TargetMode="External"/><Relationship Id="rId2" Type="http://schemas.openxmlformats.org/officeDocument/2006/relationships/externalLinkPath" Target="https://gasarabian-my.sharepoint.com/personal/mafas_gasarabian_com/Documents/Desktop/2026%20-%20Log-%20Audit/GAS_INVENTORY%20ON%20HAND%2011.5.2026.xlsx" TargetMode="External"/><Relationship Id="rId1" Type="http://schemas.openxmlformats.org/officeDocument/2006/relationships/externalLinkPath" Target="/personal/mafas_gasarabian_com/Documents/Desktop/2026%20-%20Log-%20Audit/GAS_INVENTORY%20ON%20HAND%2011.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RP"/>
      <sheetName val="MYSKF LOG"/>
      <sheetName val="SKF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Description</v>
          </cell>
          <cell r="C1" t="str">
            <v>Location</v>
          </cell>
          <cell r="D1" t="str">
            <v>Available Stocks</v>
          </cell>
        </row>
        <row r="2">
          <cell r="A2">
            <v>1000020001</v>
          </cell>
          <cell r="B2" t="str">
            <v xml:space="preserve"> 6317 M/C3VL0241</v>
          </cell>
          <cell r="C2">
            <v>35</v>
          </cell>
          <cell r="D2">
            <v>0</v>
          </cell>
        </row>
        <row r="3">
          <cell r="A3">
            <v>1000020002</v>
          </cell>
          <cell r="B3" t="str">
            <v xml:space="preserve"> 6205-Z </v>
          </cell>
          <cell r="C3" t="str">
            <v>E1</v>
          </cell>
          <cell r="D3">
            <v>28</v>
          </cell>
        </row>
        <row r="4">
          <cell r="A4">
            <v>1000020003</v>
          </cell>
          <cell r="B4">
            <v>6301</v>
          </cell>
          <cell r="C4" t="str">
            <v>D18</v>
          </cell>
          <cell r="D4">
            <v>2</v>
          </cell>
        </row>
        <row r="5">
          <cell r="A5">
            <v>1000020004</v>
          </cell>
          <cell r="B5">
            <v>6005</v>
          </cell>
          <cell r="C5" t="str">
            <v>E17</v>
          </cell>
          <cell r="D5">
            <v>109</v>
          </cell>
        </row>
        <row r="6">
          <cell r="A6">
            <v>1000020006</v>
          </cell>
          <cell r="B6">
            <v>6305</v>
          </cell>
          <cell r="C6" t="str">
            <v>G4</v>
          </cell>
          <cell r="D6">
            <v>5</v>
          </cell>
        </row>
        <row r="7">
          <cell r="A7">
            <v>1000020007</v>
          </cell>
          <cell r="B7">
            <v>6303</v>
          </cell>
          <cell r="C7" t="str">
            <v>L10</v>
          </cell>
          <cell r="D7">
            <v>14</v>
          </cell>
        </row>
        <row r="8">
          <cell r="A8">
            <v>1000020008</v>
          </cell>
          <cell r="B8" t="str">
            <v xml:space="preserve"> 32309 J2/Q </v>
          </cell>
          <cell r="C8" t="str">
            <v>E2</v>
          </cell>
          <cell r="D8">
            <v>2</v>
          </cell>
        </row>
        <row r="9">
          <cell r="A9">
            <v>1000020009</v>
          </cell>
          <cell r="B9" t="str">
            <v xml:space="preserve"> NJ 311 ECP </v>
          </cell>
          <cell r="C9" t="str">
            <v>E2</v>
          </cell>
          <cell r="D9">
            <v>2</v>
          </cell>
        </row>
        <row r="10">
          <cell r="A10">
            <v>1000020010</v>
          </cell>
          <cell r="B10" t="str">
            <v xml:space="preserve">30210 J2/Q </v>
          </cell>
          <cell r="C10" t="str">
            <v>D18</v>
          </cell>
          <cell r="D10">
            <v>5</v>
          </cell>
        </row>
        <row r="11">
          <cell r="A11">
            <v>1000020012</v>
          </cell>
          <cell r="B11" t="str">
            <v xml:space="preserve"> 6007-Z </v>
          </cell>
          <cell r="C11" t="str">
            <v>E1</v>
          </cell>
          <cell r="D11">
            <v>8</v>
          </cell>
        </row>
        <row r="12">
          <cell r="A12">
            <v>1000020013</v>
          </cell>
          <cell r="B12" t="str">
            <v>6202 (D)</v>
          </cell>
          <cell r="C12" t="str">
            <v>G3</v>
          </cell>
          <cell r="D12">
            <v>11</v>
          </cell>
        </row>
        <row r="13">
          <cell r="A13">
            <v>1000020014</v>
          </cell>
          <cell r="B13" t="str">
            <v xml:space="preserve"> 6216-NR </v>
          </cell>
          <cell r="C13">
            <v>57</v>
          </cell>
          <cell r="D13">
            <v>1</v>
          </cell>
        </row>
        <row r="14">
          <cell r="A14">
            <v>1000020015</v>
          </cell>
          <cell r="B14" t="str">
            <v xml:space="preserve"> 22230 CCK/C3W33 </v>
          </cell>
          <cell r="C14" t="str">
            <v>E4</v>
          </cell>
          <cell r="D14">
            <v>1</v>
          </cell>
        </row>
        <row r="15">
          <cell r="A15">
            <v>1000020016</v>
          </cell>
          <cell r="B15" t="str">
            <v xml:space="preserve"> 3213 A/C3 </v>
          </cell>
          <cell r="C15" t="str">
            <v>A10</v>
          </cell>
          <cell r="D15">
            <v>3</v>
          </cell>
        </row>
        <row r="16">
          <cell r="A16">
            <v>1000020017</v>
          </cell>
          <cell r="B16" t="str">
            <v xml:space="preserve"> 3218 A </v>
          </cell>
          <cell r="C16" t="str">
            <v>H6</v>
          </cell>
          <cell r="D16">
            <v>2</v>
          </cell>
        </row>
        <row r="17">
          <cell r="A17">
            <v>1000020018</v>
          </cell>
          <cell r="B17" t="str">
            <v xml:space="preserve"> 594/592 A/Q </v>
          </cell>
          <cell r="C17" t="str">
            <v>E3</v>
          </cell>
          <cell r="D17">
            <v>2</v>
          </cell>
        </row>
        <row r="18">
          <cell r="A18">
            <v>1000020020</v>
          </cell>
          <cell r="B18" t="str">
            <v xml:space="preserve"> FYJ 35 KF </v>
          </cell>
          <cell r="C18" t="str">
            <v>E2</v>
          </cell>
          <cell r="D18">
            <v>2</v>
          </cell>
        </row>
        <row r="19">
          <cell r="A19">
            <v>1000020021</v>
          </cell>
          <cell r="B19" t="str">
            <v xml:space="preserve"> FYJ 40 TF </v>
          </cell>
          <cell r="C19" t="str">
            <v>E2</v>
          </cell>
          <cell r="D19">
            <v>2</v>
          </cell>
        </row>
        <row r="20">
          <cell r="A20">
            <v>1000020022</v>
          </cell>
          <cell r="B20" t="str">
            <v xml:space="preserve">MB 11 </v>
          </cell>
          <cell r="C20" t="str">
            <v>G3</v>
          </cell>
          <cell r="D20">
            <v>55</v>
          </cell>
        </row>
        <row r="21">
          <cell r="A21">
            <v>1000020023</v>
          </cell>
          <cell r="B21" t="str">
            <v xml:space="preserve"> NN 3022 KTN9/SPW33 </v>
          </cell>
          <cell r="C21" t="str">
            <v>D6 E10 F1 E9</v>
          </cell>
          <cell r="D21">
            <v>6</v>
          </cell>
        </row>
        <row r="22">
          <cell r="A22">
            <v>1000020024</v>
          </cell>
          <cell r="B22" t="str">
            <v xml:space="preserve"> SY 30 FM </v>
          </cell>
          <cell r="C22" t="str">
            <v>L1</v>
          </cell>
          <cell r="D22">
            <v>1</v>
          </cell>
        </row>
        <row r="23">
          <cell r="A23">
            <v>1000020025</v>
          </cell>
          <cell r="B23" t="str">
            <v xml:space="preserve"> 6310/C3 </v>
          </cell>
          <cell r="C23" t="str">
            <v>N4 18 79 61 10R 25</v>
          </cell>
          <cell r="D23">
            <v>143</v>
          </cell>
        </row>
        <row r="24">
          <cell r="A24">
            <v>1000020026</v>
          </cell>
          <cell r="B24" t="str">
            <v xml:space="preserve">6312-Z/C3 </v>
          </cell>
          <cell r="C24" t="str">
            <v>56 19R</v>
          </cell>
          <cell r="D24">
            <v>8</v>
          </cell>
        </row>
        <row r="25">
          <cell r="A25">
            <v>1000020027</v>
          </cell>
          <cell r="B25" t="str">
            <v xml:space="preserve"> W 12 (D)</v>
          </cell>
          <cell r="C25" t="str">
            <v>G20</v>
          </cell>
          <cell r="D25">
            <v>15</v>
          </cell>
        </row>
        <row r="26">
          <cell r="A26">
            <v>1000020028</v>
          </cell>
          <cell r="B26">
            <v>6308</v>
          </cell>
          <cell r="C26" t="str">
            <v>J14 72</v>
          </cell>
          <cell r="D26">
            <v>32</v>
          </cell>
        </row>
        <row r="27">
          <cell r="A27">
            <v>1000020029</v>
          </cell>
          <cell r="B27" t="str">
            <v xml:space="preserve">BC1-0313 </v>
          </cell>
          <cell r="C27" t="str">
            <v>E2</v>
          </cell>
          <cell r="D27">
            <v>3</v>
          </cell>
        </row>
        <row r="28">
          <cell r="A28">
            <v>1000020030</v>
          </cell>
          <cell r="B28">
            <v>32308</v>
          </cell>
          <cell r="C28" t="str">
            <v>E2</v>
          </cell>
          <cell r="D28">
            <v>8</v>
          </cell>
        </row>
        <row r="29">
          <cell r="A29">
            <v>1000020031</v>
          </cell>
          <cell r="B29" t="str">
            <v>NU 314 ECJ</v>
          </cell>
          <cell r="C29" t="str">
            <v>B19</v>
          </cell>
          <cell r="D29">
            <v>13</v>
          </cell>
        </row>
        <row r="30">
          <cell r="A30">
            <v>1000020034</v>
          </cell>
          <cell r="B30" t="str">
            <v xml:space="preserve"> 2305 ETN9 </v>
          </cell>
          <cell r="C30" t="str">
            <v>E1</v>
          </cell>
          <cell r="D30">
            <v>7</v>
          </cell>
        </row>
        <row r="31">
          <cell r="A31">
            <v>1000020035</v>
          </cell>
          <cell r="B31" t="str">
            <v xml:space="preserve">PCM 303425 E </v>
          </cell>
          <cell r="C31" t="str">
            <v>G20</v>
          </cell>
          <cell r="D31">
            <v>16</v>
          </cell>
        </row>
        <row r="32">
          <cell r="A32">
            <v>1000020036</v>
          </cell>
          <cell r="B32" t="str">
            <v xml:space="preserve">6310-2RS1 </v>
          </cell>
          <cell r="C32" t="str">
            <v>I14 59 78 10R 22R 7 56R</v>
          </cell>
          <cell r="D32">
            <v>135</v>
          </cell>
        </row>
        <row r="33">
          <cell r="A33">
            <v>1000020037</v>
          </cell>
          <cell r="B33" t="str">
            <v>6202 (D1)</v>
          </cell>
          <cell r="C33" t="str">
            <v>G3</v>
          </cell>
          <cell r="D33">
            <v>4</v>
          </cell>
        </row>
        <row r="34">
          <cell r="A34">
            <v>1000020038</v>
          </cell>
          <cell r="B34" t="str">
            <v xml:space="preserve"> 6211-Z </v>
          </cell>
          <cell r="C34" t="str">
            <v>I10</v>
          </cell>
          <cell r="D34">
            <v>15</v>
          </cell>
        </row>
        <row r="35">
          <cell r="A35">
            <v>1000020039</v>
          </cell>
          <cell r="B35">
            <v>51222</v>
          </cell>
          <cell r="C35" t="str">
            <v>B14</v>
          </cell>
          <cell r="D35">
            <v>6</v>
          </cell>
        </row>
        <row r="36">
          <cell r="A36">
            <v>1000020040</v>
          </cell>
          <cell r="B36">
            <v>6218</v>
          </cell>
          <cell r="C36" t="str">
            <v>B2</v>
          </cell>
          <cell r="D36">
            <v>5</v>
          </cell>
        </row>
        <row r="37">
          <cell r="A37">
            <v>1000020042</v>
          </cell>
          <cell r="B37" t="str">
            <v xml:space="preserve">1210 EKTN9 </v>
          </cell>
          <cell r="C37" t="str">
            <v>E3</v>
          </cell>
          <cell r="D37">
            <v>3</v>
          </cell>
        </row>
        <row r="38">
          <cell r="A38">
            <v>1000020043</v>
          </cell>
          <cell r="B38" t="str">
            <v xml:space="preserve">1210 EKTN9/C3 </v>
          </cell>
          <cell r="C38" t="str">
            <v>E3</v>
          </cell>
          <cell r="D38">
            <v>1</v>
          </cell>
        </row>
        <row r="39">
          <cell r="A39">
            <v>1000020044</v>
          </cell>
          <cell r="B39">
            <v>6404</v>
          </cell>
          <cell r="C39" t="str">
            <v>E1</v>
          </cell>
          <cell r="D39">
            <v>5</v>
          </cell>
        </row>
        <row r="40">
          <cell r="A40">
            <v>1000020045</v>
          </cell>
          <cell r="B40" t="str">
            <v xml:space="preserve"> 7304 BECBY </v>
          </cell>
          <cell r="C40" t="str">
            <v>E3</v>
          </cell>
          <cell r="D40">
            <v>5</v>
          </cell>
        </row>
        <row r="41">
          <cell r="A41">
            <v>1000020046</v>
          </cell>
          <cell r="B41" t="str">
            <v xml:space="preserve">RLS 8-2RS1 </v>
          </cell>
          <cell r="C41" t="str">
            <v>E3</v>
          </cell>
          <cell r="D41">
            <v>5</v>
          </cell>
        </row>
        <row r="42">
          <cell r="A42">
            <v>1000020047</v>
          </cell>
          <cell r="B42" t="str">
            <v xml:space="preserve">81108 TN </v>
          </cell>
          <cell r="C42" t="str">
            <v>E2</v>
          </cell>
          <cell r="D42">
            <v>4</v>
          </cell>
        </row>
        <row r="43">
          <cell r="A43">
            <v>1000020048</v>
          </cell>
          <cell r="B43" t="str">
            <v xml:space="preserve"> 6304 ETN9 </v>
          </cell>
          <cell r="C43" t="str">
            <v>E1</v>
          </cell>
          <cell r="D43">
            <v>5</v>
          </cell>
        </row>
        <row r="44">
          <cell r="A44">
            <v>1000020049</v>
          </cell>
          <cell r="B44" t="str">
            <v xml:space="preserve">6311-2RS1 </v>
          </cell>
          <cell r="C44" t="str">
            <v>A7</v>
          </cell>
          <cell r="D44">
            <v>8</v>
          </cell>
        </row>
        <row r="45">
          <cell r="A45">
            <v>1000020050</v>
          </cell>
          <cell r="B45" t="str">
            <v xml:space="preserve"> 6010-2RS1 </v>
          </cell>
          <cell r="C45" t="str">
            <v>B5</v>
          </cell>
          <cell r="D45">
            <v>7</v>
          </cell>
        </row>
        <row r="46">
          <cell r="A46">
            <v>1000020051</v>
          </cell>
          <cell r="B46" t="str">
            <v xml:space="preserve"> 6211-2RS1 </v>
          </cell>
          <cell r="C46" t="str">
            <v>B5</v>
          </cell>
          <cell r="D46">
            <v>15</v>
          </cell>
        </row>
        <row r="47">
          <cell r="A47">
            <v>1000020052</v>
          </cell>
          <cell r="B47" t="str">
            <v xml:space="preserve"> PCM 353920 E </v>
          </cell>
          <cell r="C47" t="str">
            <v>E3</v>
          </cell>
          <cell r="D47">
            <v>10</v>
          </cell>
        </row>
        <row r="48">
          <cell r="A48">
            <v>1000020053</v>
          </cell>
          <cell r="B48" t="str">
            <v xml:space="preserve"> PCM 303430 E </v>
          </cell>
          <cell r="C48" t="str">
            <v>E3</v>
          </cell>
          <cell r="D48">
            <v>25</v>
          </cell>
        </row>
        <row r="49">
          <cell r="A49">
            <v>1000020054</v>
          </cell>
          <cell r="B49" t="str">
            <v>SKF BEARING - W 09</v>
          </cell>
          <cell r="C49" t="str">
            <v>C5</v>
          </cell>
          <cell r="D49">
            <v>0</v>
          </cell>
        </row>
        <row r="50">
          <cell r="A50">
            <v>1000020055</v>
          </cell>
          <cell r="B50" t="str">
            <v>N 11 (D)</v>
          </cell>
          <cell r="C50" t="str">
            <v>K41</v>
          </cell>
          <cell r="D50">
            <v>0</v>
          </cell>
        </row>
        <row r="51">
          <cell r="A51">
            <v>1000020056</v>
          </cell>
          <cell r="B51" t="str">
            <v xml:space="preserve">W 10 </v>
          </cell>
          <cell r="C51" t="str">
            <v>C5 E3 K41</v>
          </cell>
          <cell r="D51">
            <v>27</v>
          </cell>
        </row>
        <row r="52">
          <cell r="A52">
            <v>1000020057</v>
          </cell>
          <cell r="B52" t="str">
            <v xml:space="preserve"> N 06 </v>
          </cell>
          <cell r="C52" t="str">
            <v>C5 E3</v>
          </cell>
          <cell r="D52">
            <v>0</v>
          </cell>
        </row>
        <row r="53">
          <cell r="A53">
            <v>1000020058</v>
          </cell>
          <cell r="B53" t="str">
            <v xml:space="preserve"> N 08 </v>
          </cell>
          <cell r="C53" t="str">
            <v>J6</v>
          </cell>
          <cell r="D53">
            <v>3</v>
          </cell>
        </row>
        <row r="54">
          <cell r="A54">
            <v>1000020059</v>
          </cell>
          <cell r="B54" t="str">
            <v xml:space="preserve">W 06 </v>
          </cell>
          <cell r="C54" t="str">
            <v>E3</v>
          </cell>
          <cell r="D54">
            <v>7</v>
          </cell>
        </row>
        <row r="55">
          <cell r="A55">
            <v>1000020060</v>
          </cell>
          <cell r="B55" t="str">
            <v xml:space="preserve"> W 13 </v>
          </cell>
          <cell r="C55" t="str">
            <v>C5</v>
          </cell>
          <cell r="D55">
            <v>0</v>
          </cell>
        </row>
        <row r="56">
          <cell r="A56">
            <v>1000020061</v>
          </cell>
          <cell r="B56" t="str">
            <v xml:space="preserve"> N 12 </v>
          </cell>
          <cell r="C56" t="str">
            <v>G20</v>
          </cell>
          <cell r="D56">
            <v>0</v>
          </cell>
        </row>
        <row r="57">
          <cell r="A57">
            <v>1000020062</v>
          </cell>
          <cell r="B57" t="str">
            <v>SKF BEARING - N 09</v>
          </cell>
          <cell r="C57" t="str">
            <v>C5</v>
          </cell>
          <cell r="D57">
            <v>5</v>
          </cell>
        </row>
        <row r="58">
          <cell r="A58">
            <v>1000020063</v>
          </cell>
          <cell r="B58">
            <v>6302</v>
          </cell>
          <cell r="C58" t="str">
            <v>E13 35</v>
          </cell>
          <cell r="D58">
            <v>50</v>
          </cell>
        </row>
        <row r="59">
          <cell r="A59">
            <v>1000020065</v>
          </cell>
          <cell r="B59" t="str">
            <v xml:space="preserve"> NUKR 90 A </v>
          </cell>
          <cell r="C59" t="str">
            <v>B8</v>
          </cell>
          <cell r="D59">
            <v>4</v>
          </cell>
        </row>
        <row r="60">
          <cell r="A60">
            <v>1000020072</v>
          </cell>
          <cell r="B60" t="str">
            <v xml:space="preserve">6207-2Z/HT </v>
          </cell>
          <cell r="C60" t="str">
            <v>E1</v>
          </cell>
          <cell r="D60">
            <v>3</v>
          </cell>
        </row>
        <row r="61">
          <cell r="A61">
            <v>1000020073</v>
          </cell>
          <cell r="B61" t="str">
            <v xml:space="preserve">YAT 204 </v>
          </cell>
          <cell r="C61" t="str">
            <v>E1</v>
          </cell>
          <cell r="D61">
            <v>3</v>
          </cell>
        </row>
        <row r="62">
          <cell r="A62">
            <v>1000020074</v>
          </cell>
          <cell r="B62" t="str">
            <v xml:space="preserve"> 6201/C3 </v>
          </cell>
          <cell r="C62" t="str">
            <v>D6 E10 F1</v>
          </cell>
          <cell r="D62">
            <v>24</v>
          </cell>
        </row>
        <row r="63">
          <cell r="A63">
            <v>1000020075</v>
          </cell>
          <cell r="B63" t="str">
            <v xml:space="preserve"> 7330 BCBM </v>
          </cell>
          <cell r="C63" t="str">
            <v>E4</v>
          </cell>
          <cell r="D63">
            <v>5</v>
          </cell>
        </row>
        <row r="64">
          <cell r="A64">
            <v>1000020077</v>
          </cell>
          <cell r="B64" t="str">
            <v xml:space="preserve"> 3302 ATN9</v>
          </cell>
          <cell r="C64" t="str">
            <v>_</v>
          </cell>
          <cell r="D64">
            <v>0</v>
          </cell>
        </row>
        <row r="65">
          <cell r="A65">
            <v>1000020078</v>
          </cell>
          <cell r="B65" t="str">
            <v xml:space="preserve"> 3304 A-2RS1TN9/MT33</v>
          </cell>
          <cell r="C65" t="str">
            <v>D7</v>
          </cell>
          <cell r="D65">
            <v>2</v>
          </cell>
        </row>
        <row r="66">
          <cell r="A66">
            <v>1000020079</v>
          </cell>
          <cell r="B66" t="str">
            <v xml:space="preserve"> 3305 A/C3</v>
          </cell>
          <cell r="C66" t="str">
            <v>G16</v>
          </cell>
          <cell r="D66">
            <v>34</v>
          </cell>
        </row>
        <row r="67">
          <cell r="A67">
            <v>1000020080</v>
          </cell>
          <cell r="B67" t="str">
            <v xml:space="preserve"> 3305 A-2RS1TN9/C3MT33</v>
          </cell>
          <cell r="C67" t="str">
            <v>E5</v>
          </cell>
          <cell r="D67">
            <v>4</v>
          </cell>
        </row>
        <row r="68">
          <cell r="A68">
            <v>1000020082</v>
          </cell>
          <cell r="B68" t="str">
            <v xml:space="preserve"> 3305 A-2Z/C3</v>
          </cell>
          <cell r="C68" t="str">
            <v>E5</v>
          </cell>
          <cell r="D68">
            <v>3</v>
          </cell>
        </row>
        <row r="69">
          <cell r="A69">
            <v>1000020083</v>
          </cell>
          <cell r="B69" t="str">
            <v xml:space="preserve"> 3305 A-2Z/C3MT33</v>
          </cell>
          <cell r="C69" t="str">
            <v>C2</v>
          </cell>
          <cell r="D69">
            <v>2</v>
          </cell>
        </row>
        <row r="70">
          <cell r="A70">
            <v>1000020084</v>
          </cell>
          <cell r="B70" t="str">
            <v xml:space="preserve"> 3306 A/C3</v>
          </cell>
          <cell r="C70" t="str">
            <v>G16  66R</v>
          </cell>
          <cell r="D70">
            <v>50</v>
          </cell>
        </row>
        <row r="71">
          <cell r="A71">
            <v>1000020085</v>
          </cell>
          <cell r="B71" t="str">
            <v xml:space="preserve"> 3306 A-2RS1</v>
          </cell>
          <cell r="C71" t="str">
            <v>E14 K21 N2 13</v>
          </cell>
          <cell r="D71">
            <v>3</v>
          </cell>
        </row>
        <row r="72">
          <cell r="A72">
            <v>1000020086</v>
          </cell>
          <cell r="B72" t="str">
            <v xml:space="preserve"> 3306 A-2RS1/C3</v>
          </cell>
          <cell r="C72" t="str">
            <v>D9</v>
          </cell>
          <cell r="D72">
            <v>2</v>
          </cell>
        </row>
        <row r="73">
          <cell r="A73">
            <v>1000020087</v>
          </cell>
          <cell r="B73" t="str">
            <v xml:space="preserve">3306 A-2Z </v>
          </cell>
          <cell r="C73" t="str">
            <v>N1 71 57</v>
          </cell>
          <cell r="D73">
            <v>21</v>
          </cell>
        </row>
        <row r="74">
          <cell r="A74">
            <v>1000020088</v>
          </cell>
          <cell r="B74" t="str">
            <v xml:space="preserve"> 3306 A-2Z/C3</v>
          </cell>
          <cell r="C74" t="str">
            <v>C2</v>
          </cell>
          <cell r="D74">
            <v>1</v>
          </cell>
        </row>
        <row r="75">
          <cell r="A75">
            <v>1000020089</v>
          </cell>
          <cell r="B75" t="str">
            <v xml:space="preserve"> 3307 A/C3</v>
          </cell>
          <cell r="C75" t="str">
            <v>G12</v>
          </cell>
          <cell r="D75">
            <v>15</v>
          </cell>
        </row>
        <row r="76">
          <cell r="A76">
            <v>1000020090</v>
          </cell>
          <cell r="B76" t="str">
            <v xml:space="preserve"> 3307 A-2RS1</v>
          </cell>
          <cell r="C76" t="str">
            <v>D12</v>
          </cell>
          <cell r="D76">
            <v>2</v>
          </cell>
        </row>
        <row r="77">
          <cell r="A77">
            <v>1000020091</v>
          </cell>
          <cell r="B77" t="str">
            <v>3307 A-2RS1/C3</v>
          </cell>
          <cell r="C77" t="str">
            <v>C10</v>
          </cell>
          <cell r="D77">
            <v>2</v>
          </cell>
        </row>
        <row r="78">
          <cell r="A78">
            <v>1000020092</v>
          </cell>
          <cell r="B78" t="str">
            <v xml:space="preserve"> 3307 A-2Z</v>
          </cell>
          <cell r="C78" t="str">
            <v>E14 K15</v>
          </cell>
          <cell r="D78">
            <v>5</v>
          </cell>
        </row>
        <row r="79">
          <cell r="A79">
            <v>1000020093</v>
          </cell>
          <cell r="B79" t="str">
            <v xml:space="preserve"> 3307 A-2Z/C3</v>
          </cell>
          <cell r="C79" t="str">
            <v>C9</v>
          </cell>
          <cell r="D79">
            <v>0</v>
          </cell>
        </row>
        <row r="80">
          <cell r="A80">
            <v>1000020094</v>
          </cell>
          <cell r="B80" t="str">
            <v xml:space="preserve"> 3308 A/C3</v>
          </cell>
          <cell r="C80" t="str">
            <v>L16</v>
          </cell>
          <cell r="D80">
            <v>1</v>
          </cell>
        </row>
        <row r="81">
          <cell r="A81">
            <v>1000020095</v>
          </cell>
          <cell r="B81" t="str">
            <v xml:space="preserve"> 3308 A-2RS1</v>
          </cell>
          <cell r="C81" t="str">
            <v>I2</v>
          </cell>
          <cell r="D81">
            <v>0</v>
          </cell>
        </row>
        <row r="82">
          <cell r="A82">
            <v>1000020096</v>
          </cell>
          <cell r="B82" t="str">
            <v xml:space="preserve"> 3308 A-2RS1/C3</v>
          </cell>
          <cell r="C82" t="str">
            <v>C17</v>
          </cell>
          <cell r="D82">
            <v>2</v>
          </cell>
        </row>
        <row r="83">
          <cell r="A83">
            <v>1000020097</v>
          </cell>
          <cell r="B83" t="str">
            <v xml:space="preserve"> 3308 A-2Z</v>
          </cell>
          <cell r="C83" t="str">
            <v>C9</v>
          </cell>
          <cell r="D83">
            <v>4</v>
          </cell>
        </row>
        <row r="84">
          <cell r="A84">
            <v>1000020098</v>
          </cell>
          <cell r="B84" t="str">
            <v xml:space="preserve"> 3308 A-2Z/C3</v>
          </cell>
          <cell r="C84" t="str">
            <v>E5</v>
          </cell>
          <cell r="D84">
            <v>1</v>
          </cell>
        </row>
        <row r="85">
          <cell r="A85">
            <v>1000020099</v>
          </cell>
          <cell r="B85" t="str">
            <v xml:space="preserve"> 3308 ANR</v>
          </cell>
          <cell r="C85" t="str">
            <v>D2</v>
          </cell>
          <cell r="D85">
            <v>0</v>
          </cell>
        </row>
        <row r="86">
          <cell r="A86">
            <v>1000020100</v>
          </cell>
          <cell r="B86" t="str">
            <v xml:space="preserve"> 3309 A</v>
          </cell>
          <cell r="C86" t="str">
            <v>E9 I2 J16 K34 M11 12 40 13R  68R</v>
          </cell>
          <cell r="D86">
            <v>121</v>
          </cell>
        </row>
        <row r="87">
          <cell r="A87">
            <v>1000020101</v>
          </cell>
          <cell r="B87" t="str">
            <v xml:space="preserve"> 3309 A/C3</v>
          </cell>
          <cell r="C87" t="str">
            <v>G6 1 71</v>
          </cell>
          <cell r="D87">
            <v>16</v>
          </cell>
        </row>
        <row r="88">
          <cell r="A88">
            <v>1000020102</v>
          </cell>
          <cell r="B88" t="str">
            <v xml:space="preserve"> 3309 A-2RS1</v>
          </cell>
          <cell r="C88" t="str">
            <v>D3</v>
          </cell>
          <cell r="D88">
            <v>2</v>
          </cell>
        </row>
        <row r="89">
          <cell r="A89">
            <v>1000020103</v>
          </cell>
          <cell r="B89" t="str">
            <v xml:space="preserve"> 3309 A-2Z</v>
          </cell>
          <cell r="C89" t="str">
            <v>C3</v>
          </cell>
          <cell r="D89">
            <v>2</v>
          </cell>
        </row>
        <row r="90">
          <cell r="A90">
            <v>1000020104</v>
          </cell>
          <cell r="B90" t="str">
            <v xml:space="preserve"> 3309 A-2Z/C3</v>
          </cell>
          <cell r="C90" t="str">
            <v>F14 F17 E14 33 4</v>
          </cell>
          <cell r="D90">
            <v>144</v>
          </cell>
        </row>
        <row r="91">
          <cell r="A91">
            <v>1000020105</v>
          </cell>
          <cell r="B91" t="str">
            <v xml:space="preserve"> 3309 ANR</v>
          </cell>
          <cell r="C91" t="str">
            <v>E11</v>
          </cell>
          <cell r="D91">
            <v>2</v>
          </cell>
        </row>
        <row r="92">
          <cell r="A92">
            <v>1000020106</v>
          </cell>
          <cell r="B92" t="str">
            <v>SKF BEARING - 3310 A</v>
          </cell>
          <cell r="C92" t="str">
            <v>C10</v>
          </cell>
          <cell r="D92">
            <v>8</v>
          </cell>
        </row>
        <row r="93">
          <cell r="A93">
            <v>1000020107</v>
          </cell>
          <cell r="B93" t="str">
            <v>SKF BEARING - 3310 A/C3</v>
          </cell>
          <cell r="C93" t="str">
            <v>D18 E 2</v>
          </cell>
          <cell r="D93">
            <v>2</v>
          </cell>
        </row>
        <row r="94">
          <cell r="A94">
            <v>1000020108</v>
          </cell>
          <cell r="B94" t="str">
            <v>3310 A-2RS1</v>
          </cell>
          <cell r="C94" t="str">
            <v>C9</v>
          </cell>
          <cell r="D94">
            <v>2</v>
          </cell>
        </row>
        <row r="95">
          <cell r="A95">
            <v>1000020109</v>
          </cell>
          <cell r="B95" t="str">
            <v>3310 A-2RS1/C3</v>
          </cell>
          <cell r="C95" t="str">
            <v>C10</v>
          </cell>
          <cell r="D95">
            <v>2</v>
          </cell>
        </row>
        <row r="96">
          <cell r="A96">
            <v>1000020110</v>
          </cell>
          <cell r="B96" t="str">
            <v xml:space="preserve"> 3310 A-2Z</v>
          </cell>
          <cell r="C96" t="str">
            <v>E6</v>
          </cell>
          <cell r="D96">
            <v>2</v>
          </cell>
        </row>
        <row r="97">
          <cell r="A97">
            <v>1000020111</v>
          </cell>
          <cell r="B97" t="str">
            <v xml:space="preserve"> 3310 A-2Z/C3</v>
          </cell>
          <cell r="C97" t="str">
            <v>C9 M3</v>
          </cell>
          <cell r="D97">
            <v>10</v>
          </cell>
        </row>
        <row r="98">
          <cell r="A98">
            <v>1000020112</v>
          </cell>
          <cell r="B98" t="str">
            <v>3310 A-2Z/C3MT33</v>
          </cell>
          <cell r="C98" t="str">
            <v>C17</v>
          </cell>
          <cell r="D98">
            <v>2</v>
          </cell>
        </row>
        <row r="99">
          <cell r="A99">
            <v>1000020113</v>
          </cell>
          <cell r="B99" t="str">
            <v>3311 A</v>
          </cell>
          <cell r="C99" t="str">
            <v>C2</v>
          </cell>
          <cell r="D99">
            <v>3</v>
          </cell>
        </row>
        <row r="100">
          <cell r="A100">
            <v>1000020114</v>
          </cell>
          <cell r="B100" t="str">
            <v>3311 A/C3</v>
          </cell>
          <cell r="C100" t="str">
            <v>D7 F15 K34 L8 M23 N3</v>
          </cell>
          <cell r="D100">
            <v>31</v>
          </cell>
        </row>
        <row r="101">
          <cell r="A101">
            <v>1000020115</v>
          </cell>
          <cell r="B101" t="str">
            <v>3311 A-2Z</v>
          </cell>
          <cell r="C101" t="str">
            <v>_</v>
          </cell>
          <cell r="D101">
            <v>0</v>
          </cell>
        </row>
        <row r="102">
          <cell r="A102">
            <v>1000020116</v>
          </cell>
          <cell r="B102" t="str">
            <v>3311 A-2Z/C3</v>
          </cell>
          <cell r="C102" t="str">
            <v>E9</v>
          </cell>
          <cell r="D102">
            <v>2</v>
          </cell>
        </row>
        <row r="103">
          <cell r="A103">
            <v>1000020117</v>
          </cell>
          <cell r="B103" t="str">
            <v>3311 ANR/C3</v>
          </cell>
          <cell r="C103" t="str">
            <v>K35</v>
          </cell>
          <cell r="D103">
            <v>3</v>
          </cell>
        </row>
        <row r="104">
          <cell r="A104">
            <v>1000020118</v>
          </cell>
          <cell r="B104" t="str">
            <v>3312 A</v>
          </cell>
          <cell r="C104" t="str">
            <v>M29</v>
          </cell>
          <cell r="D104">
            <v>2</v>
          </cell>
        </row>
        <row r="105">
          <cell r="A105">
            <v>1000020119</v>
          </cell>
          <cell r="B105" t="str">
            <v>3312 A/C3</v>
          </cell>
          <cell r="C105" t="str">
            <v>C9</v>
          </cell>
          <cell r="D105">
            <v>3</v>
          </cell>
        </row>
        <row r="106">
          <cell r="A106">
            <v>1000020120</v>
          </cell>
          <cell r="B106" t="str">
            <v>3312 A-2Z/C3</v>
          </cell>
          <cell r="C106" t="str">
            <v>C10 F3 K18 K12</v>
          </cell>
          <cell r="D106">
            <v>15</v>
          </cell>
        </row>
        <row r="107">
          <cell r="A107">
            <v>1000020121</v>
          </cell>
          <cell r="B107" t="str">
            <v>3313 A</v>
          </cell>
          <cell r="C107" t="str">
            <v>D15 M6</v>
          </cell>
          <cell r="D107">
            <v>12</v>
          </cell>
        </row>
        <row r="108">
          <cell r="A108">
            <v>1000020122</v>
          </cell>
          <cell r="B108" t="str">
            <v>3313 A/C3</v>
          </cell>
          <cell r="C108" t="str">
            <v>E20 I1 I3 I7 J20 L13 M5 78 3R</v>
          </cell>
          <cell r="D108">
            <v>34</v>
          </cell>
        </row>
        <row r="109">
          <cell r="A109">
            <v>1000020123</v>
          </cell>
          <cell r="B109" t="str">
            <v>3313 A-2Z/C3</v>
          </cell>
          <cell r="C109" t="str">
            <v>B20</v>
          </cell>
          <cell r="D109">
            <v>2</v>
          </cell>
        </row>
        <row r="110">
          <cell r="A110">
            <v>1000020124</v>
          </cell>
          <cell r="B110" t="str">
            <v>3314 A</v>
          </cell>
          <cell r="C110" t="str">
            <v>B20</v>
          </cell>
          <cell r="D110">
            <v>8</v>
          </cell>
        </row>
        <row r="111">
          <cell r="A111">
            <v>1000020125</v>
          </cell>
          <cell r="B111" t="str">
            <v>3314 A/C3</v>
          </cell>
          <cell r="C111" t="str">
            <v>E19</v>
          </cell>
          <cell r="D111">
            <v>6</v>
          </cell>
        </row>
        <row r="112">
          <cell r="A112">
            <v>1000020126</v>
          </cell>
          <cell r="B112" t="str">
            <v>3314 A-2Z/C3</v>
          </cell>
          <cell r="C112" t="str">
            <v>F21</v>
          </cell>
          <cell r="D112">
            <v>2</v>
          </cell>
        </row>
        <row r="113">
          <cell r="A113">
            <v>1000020127</v>
          </cell>
          <cell r="B113" t="str">
            <v>3315 A/C3</v>
          </cell>
          <cell r="C113" t="str">
            <v>E8</v>
          </cell>
          <cell r="D113">
            <v>4</v>
          </cell>
        </row>
        <row r="114">
          <cell r="A114">
            <v>1000020128</v>
          </cell>
          <cell r="B114" t="str">
            <v>3316 A/C3</v>
          </cell>
          <cell r="C114" t="str">
            <v>B20</v>
          </cell>
          <cell r="D114">
            <v>10</v>
          </cell>
        </row>
        <row r="115">
          <cell r="A115">
            <v>1000020129</v>
          </cell>
          <cell r="B115" t="str">
            <v>3317 A/C3</v>
          </cell>
          <cell r="C115" t="str">
            <v>D20 M6</v>
          </cell>
          <cell r="D115">
            <v>7</v>
          </cell>
        </row>
        <row r="116">
          <cell r="A116">
            <v>1000020130</v>
          </cell>
          <cell r="B116" t="str">
            <v>3318 A</v>
          </cell>
          <cell r="C116" t="str">
            <v>C16</v>
          </cell>
          <cell r="D116">
            <v>2</v>
          </cell>
        </row>
        <row r="117">
          <cell r="A117">
            <v>1000020131</v>
          </cell>
          <cell r="B117" t="str">
            <v>3318 A/C3</v>
          </cell>
          <cell r="C117" t="str">
            <v>C8</v>
          </cell>
          <cell r="D117">
            <v>2</v>
          </cell>
        </row>
        <row r="118">
          <cell r="A118">
            <v>1000020132</v>
          </cell>
          <cell r="B118" t="str">
            <v>3319 A/C3</v>
          </cell>
          <cell r="C118" t="str">
            <v>C12</v>
          </cell>
          <cell r="D118">
            <v>2</v>
          </cell>
        </row>
        <row r="119">
          <cell r="A119">
            <v>1000020134</v>
          </cell>
          <cell r="B119" t="str">
            <v>3322 A</v>
          </cell>
          <cell r="C119" t="str">
            <v>C12</v>
          </cell>
          <cell r="D119">
            <v>1</v>
          </cell>
        </row>
        <row r="120">
          <cell r="A120">
            <v>1000020135</v>
          </cell>
          <cell r="B120" t="str">
            <v>30203 J2</v>
          </cell>
          <cell r="C120" t="str">
            <v>E13</v>
          </cell>
          <cell r="D120">
            <v>3</v>
          </cell>
        </row>
        <row r="121">
          <cell r="A121">
            <v>1000020136</v>
          </cell>
          <cell r="B121" t="str">
            <v>30204 J2/Q</v>
          </cell>
          <cell r="C121" t="str">
            <v>D13 M5</v>
          </cell>
          <cell r="D121">
            <v>20</v>
          </cell>
        </row>
        <row r="122">
          <cell r="A122">
            <v>1000020137</v>
          </cell>
          <cell r="B122" t="str">
            <v>30205 J2/Q</v>
          </cell>
          <cell r="C122" t="str">
            <v>E18</v>
          </cell>
          <cell r="D122">
            <v>5</v>
          </cell>
        </row>
        <row r="123">
          <cell r="A123">
            <v>1000020138</v>
          </cell>
          <cell r="B123" t="str">
            <v>30206 J2/Q</v>
          </cell>
          <cell r="C123" t="str">
            <v>C17</v>
          </cell>
          <cell r="D123">
            <v>5</v>
          </cell>
        </row>
        <row r="124">
          <cell r="A124">
            <v>1000020139</v>
          </cell>
          <cell r="B124" t="str">
            <v>30207 J2/Q</v>
          </cell>
          <cell r="C124" t="str">
            <v>C10</v>
          </cell>
          <cell r="D124">
            <v>95</v>
          </cell>
        </row>
        <row r="125">
          <cell r="A125">
            <v>1000020141</v>
          </cell>
          <cell r="B125" t="str">
            <v>30209 J2/Q</v>
          </cell>
          <cell r="C125" t="str">
            <v>C10</v>
          </cell>
          <cell r="D125">
            <v>3</v>
          </cell>
        </row>
        <row r="126">
          <cell r="A126">
            <v>1000020142</v>
          </cell>
          <cell r="B126" t="str">
            <v>30211 J2/Q</v>
          </cell>
          <cell r="C126" t="str">
            <v>D7</v>
          </cell>
          <cell r="D126">
            <v>5</v>
          </cell>
        </row>
        <row r="127">
          <cell r="A127">
            <v>1000020143</v>
          </cell>
          <cell r="B127" t="str">
            <v>30212 J2/Q</v>
          </cell>
          <cell r="C127" t="str">
            <v>C14</v>
          </cell>
          <cell r="D127">
            <v>4</v>
          </cell>
        </row>
        <row r="128">
          <cell r="A128">
            <v>1000020144</v>
          </cell>
          <cell r="B128" t="str">
            <v>30213 J2/Q</v>
          </cell>
          <cell r="C128" t="str">
            <v>E10 M2</v>
          </cell>
          <cell r="D128">
            <v>10</v>
          </cell>
        </row>
        <row r="129">
          <cell r="A129">
            <v>1000020145</v>
          </cell>
          <cell r="B129" t="str">
            <v>30217 J2/Q</v>
          </cell>
          <cell r="C129" t="str">
            <v>C18</v>
          </cell>
          <cell r="D129">
            <v>2</v>
          </cell>
        </row>
        <row r="130">
          <cell r="A130">
            <v>1000020146</v>
          </cell>
          <cell r="B130" t="str">
            <v>30304 J2/Q</v>
          </cell>
          <cell r="C130" t="str">
            <v>D6</v>
          </cell>
          <cell r="D130">
            <v>7</v>
          </cell>
        </row>
        <row r="131">
          <cell r="A131">
            <v>1000020149</v>
          </cell>
          <cell r="B131" t="str">
            <v>30307 J2/Q</v>
          </cell>
          <cell r="C131" t="str">
            <v>C14</v>
          </cell>
          <cell r="D131">
            <v>4</v>
          </cell>
        </row>
        <row r="132">
          <cell r="A132">
            <v>1000020150</v>
          </cell>
          <cell r="B132" t="str">
            <v>30308 J2/Q</v>
          </cell>
          <cell r="C132" t="str">
            <v>C18</v>
          </cell>
          <cell r="D132">
            <v>2</v>
          </cell>
        </row>
        <row r="133">
          <cell r="A133">
            <v>1000020151</v>
          </cell>
          <cell r="B133" t="str">
            <v>30309 J2/Q</v>
          </cell>
          <cell r="C133" t="str">
            <v>E18</v>
          </cell>
          <cell r="D133">
            <v>1</v>
          </cell>
        </row>
        <row r="134">
          <cell r="A134">
            <v>1000020152</v>
          </cell>
          <cell r="B134" t="str">
            <v>30310 J2/Q</v>
          </cell>
          <cell r="C134" t="str">
            <v>C3</v>
          </cell>
          <cell r="D134">
            <v>2</v>
          </cell>
        </row>
        <row r="135">
          <cell r="A135">
            <v>1000020153</v>
          </cell>
          <cell r="B135" t="str">
            <v>30311 J2/Q</v>
          </cell>
          <cell r="C135" t="str">
            <v>D7</v>
          </cell>
          <cell r="D135">
            <v>4</v>
          </cell>
        </row>
        <row r="136">
          <cell r="A136">
            <v>1000020154</v>
          </cell>
          <cell r="B136" t="str">
            <v>30312 J2/Q</v>
          </cell>
          <cell r="C136" t="str">
            <v>D7</v>
          </cell>
          <cell r="D136">
            <v>2</v>
          </cell>
        </row>
        <row r="137">
          <cell r="A137">
            <v>1000020156</v>
          </cell>
          <cell r="B137" t="str">
            <v>30314 J2/Q</v>
          </cell>
          <cell r="C137" t="str">
            <v>C18</v>
          </cell>
          <cell r="D137">
            <v>1</v>
          </cell>
        </row>
        <row r="138">
          <cell r="A138">
            <v>1000020157</v>
          </cell>
          <cell r="B138" t="str">
            <v>30317 J2</v>
          </cell>
          <cell r="C138" t="str">
            <v>C4</v>
          </cell>
          <cell r="D138">
            <v>1</v>
          </cell>
        </row>
        <row r="139">
          <cell r="A139">
            <v>1000020158</v>
          </cell>
          <cell r="B139" t="str">
            <v>30318 J2</v>
          </cell>
          <cell r="C139" t="str">
            <v>_</v>
          </cell>
          <cell r="D139">
            <v>0</v>
          </cell>
        </row>
        <row r="140">
          <cell r="A140">
            <v>1000020159</v>
          </cell>
          <cell r="B140" t="str">
            <v>31307 J2/Q</v>
          </cell>
          <cell r="C140" t="str">
            <v>_</v>
          </cell>
          <cell r="D140">
            <v>0</v>
          </cell>
        </row>
        <row r="141">
          <cell r="A141">
            <v>1000020160</v>
          </cell>
          <cell r="B141" t="str">
            <v>31311 J2/Q</v>
          </cell>
          <cell r="C141">
            <v>57</v>
          </cell>
          <cell r="D141">
            <v>2</v>
          </cell>
        </row>
        <row r="142">
          <cell r="A142">
            <v>1000020162</v>
          </cell>
          <cell r="B142" t="str">
            <v>31316 J1/QCL7A</v>
          </cell>
          <cell r="C142" t="str">
            <v>C3</v>
          </cell>
          <cell r="D142">
            <v>2</v>
          </cell>
        </row>
        <row r="143">
          <cell r="A143">
            <v>1000020163</v>
          </cell>
          <cell r="B143" t="str">
            <v>32004 X/Q</v>
          </cell>
          <cell r="C143" t="str">
            <v>D5</v>
          </cell>
          <cell r="D143">
            <v>5</v>
          </cell>
        </row>
        <row r="144">
          <cell r="A144">
            <v>1000020164</v>
          </cell>
          <cell r="B144" t="str">
            <v>32005 X/Q</v>
          </cell>
          <cell r="C144" t="str">
            <v>C10</v>
          </cell>
          <cell r="D144">
            <v>0</v>
          </cell>
        </row>
        <row r="145">
          <cell r="A145">
            <v>1000020165</v>
          </cell>
          <cell r="B145" t="str">
            <v>32006 X/Q</v>
          </cell>
          <cell r="C145" t="str">
            <v>D10</v>
          </cell>
          <cell r="D145">
            <v>5</v>
          </cell>
        </row>
        <row r="146">
          <cell r="A146">
            <v>1000020166</v>
          </cell>
          <cell r="B146" t="str">
            <v>32007 J2/Q</v>
          </cell>
          <cell r="C146" t="str">
            <v>D10</v>
          </cell>
          <cell r="D146">
            <v>2</v>
          </cell>
        </row>
        <row r="147">
          <cell r="A147">
            <v>1000020167</v>
          </cell>
          <cell r="B147" t="str">
            <v>32007 X/Q</v>
          </cell>
          <cell r="C147" t="str">
            <v>M3</v>
          </cell>
          <cell r="D147">
            <v>5</v>
          </cell>
        </row>
        <row r="148">
          <cell r="A148">
            <v>1000020168</v>
          </cell>
          <cell r="B148" t="str">
            <v>32008 X/Q</v>
          </cell>
          <cell r="C148" t="str">
            <v>C6</v>
          </cell>
          <cell r="D148">
            <v>5</v>
          </cell>
        </row>
        <row r="149">
          <cell r="A149">
            <v>1000020171</v>
          </cell>
          <cell r="B149" t="str">
            <v>32011 X/Q</v>
          </cell>
          <cell r="C149" t="str">
            <v>C10 M3</v>
          </cell>
          <cell r="D149">
            <v>10</v>
          </cell>
        </row>
        <row r="150">
          <cell r="A150">
            <v>1000020172</v>
          </cell>
          <cell r="B150" t="str">
            <v>32013 X/Q</v>
          </cell>
          <cell r="C150" t="str">
            <v>D10</v>
          </cell>
          <cell r="D150">
            <v>2</v>
          </cell>
        </row>
        <row r="151">
          <cell r="A151">
            <v>1000020173</v>
          </cell>
          <cell r="B151" t="str">
            <v>32014 X/Q</v>
          </cell>
          <cell r="C151" t="str">
            <v>C2</v>
          </cell>
          <cell r="D151">
            <v>8</v>
          </cell>
        </row>
        <row r="152">
          <cell r="A152">
            <v>1000020174</v>
          </cell>
          <cell r="B152" t="str">
            <v>32015 X/Q</v>
          </cell>
          <cell r="C152" t="str">
            <v>D15</v>
          </cell>
          <cell r="D152">
            <v>2</v>
          </cell>
        </row>
        <row r="153">
          <cell r="A153">
            <v>1000020175</v>
          </cell>
          <cell r="B153" t="str">
            <v>32016 X/Q</v>
          </cell>
          <cell r="C153" t="str">
            <v>E9</v>
          </cell>
          <cell r="D153">
            <v>4</v>
          </cell>
        </row>
        <row r="154">
          <cell r="A154">
            <v>1000020176</v>
          </cell>
          <cell r="B154" t="str">
            <v>32207 J2/Q</v>
          </cell>
          <cell r="C154" t="str">
            <v>D10 M3</v>
          </cell>
          <cell r="D154">
            <v>7</v>
          </cell>
        </row>
        <row r="155">
          <cell r="A155">
            <v>1000020177</v>
          </cell>
          <cell r="B155" t="str">
            <v>32208 J2/Q</v>
          </cell>
          <cell r="C155" t="str">
            <v>D5</v>
          </cell>
          <cell r="D155">
            <v>3</v>
          </cell>
        </row>
        <row r="156">
          <cell r="A156">
            <v>1000020178</v>
          </cell>
          <cell r="B156" t="str">
            <v>32209 J2/Q</v>
          </cell>
          <cell r="C156" t="str">
            <v>B5</v>
          </cell>
          <cell r="D156">
            <v>4</v>
          </cell>
        </row>
        <row r="157">
          <cell r="A157">
            <v>1000020179</v>
          </cell>
          <cell r="B157" t="str">
            <v>32211 J2/Q</v>
          </cell>
          <cell r="C157" t="str">
            <v>D15 M3</v>
          </cell>
          <cell r="D157">
            <v>4</v>
          </cell>
        </row>
        <row r="158">
          <cell r="A158">
            <v>1000020181</v>
          </cell>
          <cell r="B158" t="str">
            <v>32213 J2/Q</v>
          </cell>
          <cell r="C158" t="str">
            <v>C18</v>
          </cell>
          <cell r="D158">
            <v>1</v>
          </cell>
        </row>
        <row r="159">
          <cell r="A159">
            <v>1000020182</v>
          </cell>
          <cell r="B159" t="str">
            <v>32219 J2</v>
          </cell>
          <cell r="C159" t="str">
            <v>D19</v>
          </cell>
          <cell r="D159">
            <v>3</v>
          </cell>
        </row>
        <row r="160">
          <cell r="A160">
            <v>1000020183</v>
          </cell>
          <cell r="B160" t="str">
            <v>32303 J2</v>
          </cell>
          <cell r="C160" t="str">
            <v>D13 M10</v>
          </cell>
          <cell r="D160">
            <v>20</v>
          </cell>
        </row>
        <row r="161">
          <cell r="A161">
            <v>1000020184</v>
          </cell>
          <cell r="B161" t="str">
            <v>32304 J2/Q</v>
          </cell>
          <cell r="C161" t="str">
            <v>D14 M9</v>
          </cell>
          <cell r="D161">
            <v>20</v>
          </cell>
        </row>
        <row r="162">
          <cell r="A162">
            <v>1000020185</v>
          </cell>
          <cell r="B162" t="str">
            <v>SKF BEARING - 32308 J2/Q</v>
          </cell>
          <cell r="C162" t="str">
            <v>D3 M4</v>
          </cell>
          <cell r="D162">
            <v>18</v>
          </cell>
        </row>
        <row r="163">
          <cell r="A163">
            <v>1000020186</v>
          </cell>
          <cell r="B163" t="str">
            <v>32310 J2/Q</v>
          </cell>
          <cell r="C163" t="str">
            <v>D18</v>
          </cell>
          <cell r="D163">
            <v>3</v>
          </cell>
        </row>
        <row r="164">
          <cell r="A164">
            <v>1000020187</v>
          </cell>
          <cell r="B164" t="str">
            <v>32314 J2/Q</v>
          </cell>
          <cell r="C164" t="str">
            <v>C3</v>
          </cell>
          <cell r="D164">
            <v>4</v>
          </cell>
        </row>
        <row r="165">
          <cell r="A165">
            <v>1000020188</v>
          </cell>
          <cell r="B165" t="str">
            <v>32315 J2</v>
          </cell>
          <cell r="C165" t="str">
            <v>C3</v>
          </cell>
          <cell r="D165">
            <v>5</v>
          </cell>
        </row>
        <row r="166">
          <cell r="A166">
            <v>1000020190</v>
          </cell>
          <cell r="B166" t="str">
            <v>32317 J2 (D)</v>
          </cell>
          <cell r="C166" t="str">
            <v>G13 M16 M20 86 33</v>
          </cell>
          <cell r="D166">
            <v>1</v>
          </cell>
        </row>
        <row r="167">
          <cell r="A167">
            <v>1000020191</v>
          </cell>
          <cell r="B167" t="str">
            <v>32318 J2</v>
          </cell>
          <cell r="C167" t="str">
            <v>B20</v>
          </cell>
          <cell r="D167">
            <v>3</v>
          </cell>
        </row>
        <row r="168">
          <cell r="A168">
            <v>1000020192</v>
          </cell>
          <cell r="B168" t="str">
            <v>32319 J2</v>
          </cell>
          <cell r="C168" t="str">
            <v>F21</v>
          </cell>
          <cell r="D168">
            <v>2</v>
          </cell>
        </row>
        <row r="169">
          <cell r="A169">
            <v>1000020193</v>
          </cell>
          <cell r="B169" t="str">
            <v>32320 J2</v>
          </cell>
          <cell r="C169" t="str">
            <v>D8</v>
          </cell>
          <cell r="D169">
            <v>2</v>
          </cell>
        </row>
        <row r="170">
          <cell r="A170">
            <v>1000020194</v>
          </cell>
          <cell r="B170" t="str">
            <v>33012/Q</v>
          </cell>
          <cell r="C170" t="str">
            <v>C14</v>
          </cell>
          <cell r="D170">
            <v>2</v>
          </cell>
        </row>
        <row r="171">
          <cell r="A171">
            <v>1000020195</v>
          </cell>
          <cell r="B171" t="str">
            <v>33013/Q</v>
          </cell>
          <cell r="C171" t="str">
            <v>D14</v>
          </cell>
          <cell r="D171">
            <v>2</v>
          </cell>
        </row>
        <row r="172">
          <cell r="A172">
            <v>1000020196</v>
          </cell>
          <cell r="B172">
            <v>33014</v>
          </cell>
          <cell r="C172" t="str">
            <v>B4</v>
          </cell>
          <cell r="D172">
            <v>13</v>
          </cell>
        </row>
        <row r="173">
          <cell r="A173">
            <v>1000020197</v>
          </cell>
          <cell r="B173" t="str">
            <v>33115/Q</v>
          </cell>
          <cell r="C173" t="str">
            <v>C3</v>
          </cell>
          <cell r="D173">
            <v>3</v>
          </cell>
        </row>
        <row r="174">
          <cell r="A174">
            <v>1000020198</v>
          </cell>
          <cell r="B174" t="str">
            <v>33116/Q</v>
          </cell>
          <cell r="C174" t="str">
            <v>E7</v>
          </cell>
          <cell r="D174">
            <v>1</v>
          </cell>
        </row>
        <row r="175">
          <cell r="A175">
            <v>1000020199</v>
          </cell>
          <cell r="B175" t="str">
            <v>33117/Q</v>
          </cell>
          <cell r="C175" t="str">
            <v>C3</v>
          </cell>
          <cell r="D175">
            <v>4</v>
          </cell>
        </row>
        <row r="176">
          <cell r="A176">
            <v>1000020200</v>
          </cell>
          <cell r="B176" t="str">
            <v>33118/Q</v>
          </cell>
          <cell r="C176" t="str">
            <v>C3</v>
          </cell>
          <cell r="D176">
            <v>3</v>
          </cell>
        </row>
        <row r="177">
          <cell r="A177">
            <v>1000020202</v>
          </cell>
          <cell r="B177" t="str">
            <v>33206/Q</v>
          </cell>
          <cell r="C177" t="str">
            <v>C10</v>
          </cell>
          <cell r="D177">
            <v>4</v>
          </cell>
        </row>
        <row r="178">
          <cell r="A178">
            <v>1000020203</v>
          </cell>
          <cell r="B178" t="str">
            <v>33207/Q</v>
          </cell>
          <cell r="C178" t="str">
            <v>E14</v>
          </cell>
          <cell r="D178">
            <v>3</v>
          </cell>
        </row>
        <row r="179">
          <cell r="A179">
            <v>1000020204</v>
          </cell>
          <cell r="B179" t="str">
            <v>33208/Q</v>
          </cell>
          <cell r="C179" t="str">
            <v>D5</v>
          </cell>
          <cell r="D179">
            <v>4</v>
          </cell>
        </row>
        <row r="180">
          <cell r="A180">
            <v>1000020205</v>
          </cell>
          <cell r="B180" t="str">
            <v>33209/Q</v>
          </cell>
          <cell r="C180" t="str">
            <v>C18</v>
          </cell>
          <cell r="D180">
            <v>4</v>
          </cell>
        </row>
        <row r="181">
          <cell r="A181">
            <v>1000020206</v>
          </cell>
          <cell r="B181" t="str">
            <v>33210/Q</v>
          </cell>
          <cell r="C181" t="str">
            <v>E18 M1</v>
          </cell>
          <cell r="D181">
            <v>6</v>
          </cell>
        </row>
        <row r="182">
          <cell r="A182">
            <v>1000020207</v>
          </cell>
          <cell r="B182" t="str">
            <v>33211/Q</v>
          </cell>
          <cell r="C182" t="str">
            <v>C3</v>
          </cell>
          <cell r="D182">
            <v>4</v>
          </cell>
        </row>
        <row r="183">
          <cell r="A183">
            <v>1000020208</v>
          </cell>
          <cell r="B183" t="str">
            <v>33212/Q</v>
          </cell>
          <cell r="C183" t="str">
            <v>E7</v>
          </cell>
          <cell r="D183">
            <v>1</v>
          </cell>
        </row>
        <row r="184">
          <cell r="A184">
            <v>1000020209</v>
          </cell>
          <cell r="B184" t="str">
            <v>33213/Q</v>
          </cell>
          <cell r="C184" t="str">
            <v>E9</v>
          </cell>
          <cell r="D184">
            <v>4</v>
          </cell>
        </row>
        <row r="185">
          <cell r="A185">
            <v>1000020210</v>
          </cell>
          <cell r="B185" t="str">
            <v>33215/Q</v>
          </cell>
          <cell r="C185" t="str">
            <v>C14</v>
          </cell>
          <cell r="D185">
            <v>4</v>
          </cell>
        </row>
        <row r="186">
          <cell r="A186">
            <v>1000020211</v>
          </cell>
          <cell r="B186" t="str">
            <v>33216/Q</v>
          </cell>
          <cell r="C186" t="str">
            <v>E9</v>
          </cell>
          <cell r="D186">
            <v>1</v>
          </cell>
        </row>
        <row r="187">
          <cell r="A187">
            <v>1000020212</v>
          </cell>
          <cell r="B187" t="str">
            <v>33217/Q</v>
          </cell>
          <cell r="C187" t="str">
            <v>C12 N3</v>
          </cell>
          <cell r="D187">
            <v>2</v>
          </cell>
        </row>
        <row r="188">
          <cell r="A188">
            <v>1000020213</v>
          </cell>
          <cell r="B188" t="str">
            <v>4205 ATN9</v>
          </cell>
          <cell r="C188" t="str">
            <v>D18</v>
          </cell>
          <cell r="D188">
            <v>3</v>
          </cell>
        </row>
        <row r="189">
          <cell r="A189">
            <v>1000020214</v>
          </cell>
          <cell r="B189" t="str">
            <v>4206 ATN9</v>
          </cell>
          <cell r="C189" t="str">
            <v>C10</v>
          </cell>
          <cell r="D189">
            <v>1</v>
          </cell>
        </row>
        <row r="190">
          <cell r="A190">
            <v>1000020215</v>
          </cell>
          <cell r="B190" t="str">
            <v>4210 ATN9</v>
          </cell>
          <cell r="C190" t="str">
            <v>E11</v>
          </cell>
          <cell r="D190">
            <v>1</v>
          </cell>
        </row>
        <row r="191">
          <cell r="A191">
            <v>1000020216</v>
          </cell>
          <cell r="B191" t="str">
            <v>4214 ATN9</v>
          </cell>
          <cell r="C191" t="str">
            <v>C9</v>
          </cell>
          <cell r="D191">
            <v>1</v>
          </cell>
        </row>
        <row r="192">
          <cell r="A192">
            <v>1000020217</v>
          </cell>
          <cell r="B192" t="str">
            <v>4215 ATN9</v>
          </cell>
          <cell r="C192" t="str">
            <v>C18</v>
          </cell>
          <cell r="D192">
            <v>3</v>
          </cell>
        </row>
        <row r="193">
          <cell r="A193">
            <v>1000020218</v>
          </cell>
          <cell r="B193" t="str">
            <v>4305 ATN9</v>
          </cell>
          <cell r="C193" t="str">
            <v>E14 K12 K39 M14</v>
          </cell>
          <cell r="D193">
            <v>18</v>
          </cell>
        </row>
        <row r="194">
          <cell r="A194">
            <v>1000020219</v>
          </cell>
          <cell r="B194">
            <v>6000</v>
          </cell>
          <cell r="C194" t="str">
            <v>D1</v>
          </cell>
          <cell r="D194">
            <v>4</v>
          </cell>
        </row>
        <row r="195">
          <cell r="A195">
            <v>1000020220</v>
          </cell>
          <cell r="B195" t="str">
            <v>6000-2RSH</v>
          </cell>
          <cell r="C195" t="str">
            <v>D1 M2</v>
          </cell>
          <cell r="D195">
            <v>18</v>
          </cell>
        </row>
        <row r="196">
          <cell r="A196">
            <v>1000020221</v>
          </cell>
          <cell r="B196" t="str">
            <v>6000-2RSH/C3</v>
          </cell>
          <cell r="C196" t="str">
            <v>D1 M7</v>
          </cell>
          <cell r="D196">
            <v>50</v>
          </cell>
        </row>
        <row r="197">
          <cell r="A197">
            <v>1000020222</v>
          </cell>
          <cell r="B197" t="str">
            <v>6000-2Z</v>
          </cell>
          <cell r="C197" t="str">
            <v>D1 M2</v>
          </cell>
          <cell r="D197">
            <v>20</v>
          </cell>
        </row>
        <row r="198">
          <cell r="A198">
            <v>1000020223</v>
          </cell>
          <cell r="B198" t="str">
            <v>6000-2Z/C3</v>
          </cell>
          <cell r="C198" t="str">
            <v>D1 F16 M7 72</v>
          </cell>
          <cell r="D198">
            <v>252</v>
          </cell>
        </row>
        <row r="199">
          <cell r="A199">
            <v>1000020224</v>
          </cell>
          <cell r="B199" t="str">
            <v>6000-ZTN9</v>
          </cell>
          <cell r="C199" t="str">
            <v>E13 M2</v>
          </cell>
          <cell r="D199">
            <v>50</v>
          </cell>
        </row>
        <row r="200">
          <cell r="A200">
            <v>1000020225</v>
          </cell>
          <cell r="B200" t="str">
            <v>6001/C3</v>
          </cell>
          <cell r="C200" t="str">
            <v>C5</v>
          </cell>
          <cell r="D200">
            <v>5</v>
          </cell>
        </row>
        <row r="201">
          <cell r="A201">
            <v>1000020226</v>
          </cell>
          <cell r="B201" t="str">
            <v>6001-2RSH</v>
          </cell>
          <cell r="C201" t="str">
            <v>K38</v>
          </cell>
          <cell r="D201">
            <v>20</v>
          </cell>
        </row>
        <row r="202">
          <cell r="A202">
            <v>1000020227</v>
          </cell>
          <cell r="B202" t="str">
            <v>6001-2RSH/C3</v>
          </cell>
          <cell r="C202" t="str">
            <v>E13 M2</v>
          </cell>
          <cell r="D202">
            <v>50</v>
          </cell>
        </row>
        <row r="203">
          <cell r="A203">
            <v>1000020228</v>
          </cell>
          <cell r="B203" t="str">
            <v>6001-2Z/C3</v>
          </cell>
          <cell r="C203" t="str">
            <v>D5 M7</v>
          </cell>
          <cell r="D203">
            <v>60</v>
          </cell>
        </row>
        <row r="204">
          <cell r="A204">
            <v>1000020229</v>
          </cell>
          <cell r="B204" t="str">
            <v>6002-2RSH</v>
          </cell>
          <cell r="C204" t="str">
            <v>A14</v>
          </cell>
          <cell r="D204">
            <v>36</v>
          </cell>
        </row>
        <row r="205">
          <cell r="A205">
            <v>1000020230</v>
          </cell>
          <cell r="B205" t="str">
            <v>6002-2RSH/C3</v>
          </cell>
          <cell r="C205" t="str">
            <v>B3</v>
          </cell>
          <cell r="D205">
            <v>200</v>
          </cell>
        </row>
        <row r="206">
          <cell r="A206">
            <v>1000020231</v>
          </cell>
          <cell r="B206" t="str">
            <v>6002-2Z</v>
          </cell>
          <cell r="C206" t="str">
            <v>G3</v>
          </cell>
          <cell r="D206">
            <v>25</v>
          </cell>
        </row>
        <row r="207">
          <cell r="A207">
            <v>1000020232</v>
          </cell>
          <cell r="B207" t="str">
            <v>6002-2Z/C3</v>
          </cell>
          <cell r="C207" t="str">
            <v>E13 M5</v>
          </cell>
          <cell r="D207">
            <v>80</v>
          </cell>
        </row>
        <row r="208">
          <cell r="A208">
            <v>1000020233</v>
          </cell>
          <cell r="B208">
            <v>6003</v>
          </cell>
          <cell r="C208" t="str">
            <v>D6</v>
          </cell>
          <cell r="D208">
            <v>3</v>
          </cell>
        </row>
        <row r="209">
          <cell r="A209">
            <v>1000020234</v>
          </cell>
          <cell r="B209" t="str">
            <v>6003-2RSH</v>
          </cell>
          <cell r="C209" t="str">
            <v>B3</v>
          </cell>
          <cell r="D209">
            <v>0</v>
          </cell>
        </row>
        <row r="210">
          <cell r="A210">
            <v>1000020235</v>
          </cell>
          <cell r="B210" t="str">
            <v>6003-2RSH/C3</v>
          </cell>
          <cell r="C210" t="str">
            <v>E13 M32</v>
          </cell>
          <cell r="D210">
            <v>200</v>
          </cell>
        </row>
        <row r="211">
          <cell r="A211">
            <v>1000020236</v>
          </cell>
          <cell r="B211" t="str">
            <v>6003-2Z</v>
          </cell>
          <cell r="C211" t="str">
            <v>E13 K38 L4 M5</v>
          </cell>
          <cell r="D211">
            <v>36</v>
          </cell>
        </row>
        <row r="212">
          <cell r="A212">
            <v>1000020237</v>
          </cell>
          <cell r="B212" t="str">
            <v>6003-2Z/C3</v>
          </cell>
          <cell r="C212" t="str">
            <v>E17 M32</v>
          </cell>
          <cell r="D212">
            <v>130</v>
          </cell>
        </row>
        <row r="213">
          <cell r="A213">
            <v>1000020238</v>
          </cell>
          <cell r="B213">
            <v>6004</v>
          </cell>
          <cell r="C213" t="str">
            <v>B3</v>
          </cell>
          <cell r="D213">
            <v>1</v>
          </cell>
        </row>
        <row r="214">
          <cell r="A214">
            <v>1000020239</v>
          </cell>
          <cell r="B214" t="str">
            <v>6004 NR</v>
          </cell>
          <cell r="C214" t="str">
            <v>D5</v>
          </cell>
          <cell r="D214">
            <v>5</v>
          </cell>
        </row>
        <row r="215">
          <cell r="A215">
            <v>1000020240</v>
          </cell>
          <cell r="B215" t="str">
            <v>6004/C3</v>
          </cell>
          <cell r="C215" t="str">
            <v>E7 K39</v>
          </cell>
          <cell r="D215">
            <v>26</v>
          </cell>
        </row>
        <row r="216">
          <cell r="A216">
            <v>1000020241</v>
          </cell>
          <cell r="B216" t="str">
            <v>6004-2RSH</v>
          </cell>
          <cell r="C216" t="str">
            <v>D17 M20 N3</v>
          </cell>
          <cell r="D216">
            <v>69</v>
          </cell>
        </row>
        <row r="217">
          <cell r="A217">
            <v>1000020242</v>
          </cell>
          <cell r="B217" t="str">
            <v>6004-2RSH/C3</v>
          </cell>
          <cell r="C217" t="str">
            <v>M25 72 D27 42</v>
          </cell>
          <cell r="D217">
            <v>206</v>
          </cell>
        </row>
        <row r="218">
          <cell r="A218">
            <v>1000020243</v>
          </cell>
          <cell r="B218" t="str">
            <v>6004-2RSHNR</v>
          </cell>
          <cell r="C218" t="str">
            <v>E13</v>
          </cell>
          <cell r="D218">
            <v>5</v>
          </cell>
        </row>
        <row r="219">
          <cell r="A219">
            <v>1000020244</v>
          </cell>
          <cell r="B219" t="str">
            <v>6004-2Z</v>
          </cell>
          <cell r="C219" t="str">
            <v>E13 G3 J7 K38 M4</v>
          </cell>
          <cell r="D219">
            <v>145</v>
          </cell>
        </row>
        <row r="220">
          <cell r="A220">
            <v>1000020245</v>
          </cell>
          <cell r="B220" t="str">
            <v>6004-2Z/C3</v>
          </cell>
          <cell r="C220" t="str">
            <v>K38 L1</v>
          </cell>
          <cell r="D220">
            <v>435</v>
          </cell>
        </row>
        <row r="221">
          <cell r="A221">
            <v>1000020246</v>
          </cell>
          <cell r="B221" t="str">
            <v>6004-2ZNR</v>
          </cell>
          <cell r="C221" t="str">
            <v>D5</v>
          </cell>
          <cell r="D221">
            <v>5</v>
          </cell>
        </row>
        <row r="222">
          <cell r="A222">
            <v>1000020247</v>
          </cell>
          <cell r="B222" t="str">
            <v>6005-2RSH</v>
          </cell>
          <cell r="C222" t="str">
            <v>E13 M2</v>
          </cell>
          <cell r="D222">
            <v>50</v>
          </cell>
        </row>
        <row r="223">
          <cell r="A223">
            <v>1000020248</v>
          </cell>
          <cell r="B223" t="str">
            <v>6005-2RSH/C3</v>
          </cell>
          <cell r="C223" t="str">
            <v>E17 M2</v>
          </cell>
          <cell r="D223">
            <v>100</v>
          </cell>
        </row>
        <row r="224">
          <cell r="A224">
            <v>1000020249</v>
          </cell>
          <cell r="B224" t="str">
            <v>6005-2RSHNR</v>
          </cell>
          <cell r="C224" t="str">
            <v>D5</v>
          </cell>
          <cell r="D224">
            <v>5</v>
          </cell>
        </row>
        <row r="225">
          <cell r="A225">
            <v>1000020250</v>
          </cell>
          <cell r="B225" t="str">
            <v>6005-2Z</v>
          </cell>
          <cell r="C225" t="str">
            <v>M2</v>
          </cell>
          <cell r="D225">
            <v>10</v>
          </cell>
        </row>
        <row r="226">
          <cell r="A226">
            <v>1000020251</v>
          </cell>
          <cell r="B226" t="str">
            <v>6005-2Z/C3</v>
          </cell>
          <cell r="C226" t="str">
            <v>C6</v>
          </cell>
          <cell r="D226">
            <v>30</v>
          </cell>
        </row>
        <row r="227">
          <cell r="A227">
            <v>1000020252</v>
          </cell>
          <cell r="B227">
            <v>6006</v>
          </cell>
          <cell r="C227" t="str">
            <v>C10</v>
          </cell>
          <cell r="D227">
            <v>6</v>
          </cell>
        </row>
        <row r="228">
          <cell r="A228">
            <v>1000020253</v>
          </cell>
          <cell r="B228" t="str">
            <v>6006-2RS1</v>
          </cell>
          <cell r="C228" t="str">
            <v>B17</v>
          </cell>
          <cell r="D228">
            <v>44</v>
          </cell>
        </row>
        <row r="229">
          <cell r="A229">
            <v>1000020254</v>
          </cell>
          <cell r="B229" t="str">
            <v>6006-2RS1/C3</v>
          </cell>
          <cell r="C229" t="str">
            <v>C13 M3</v>
          </cell>
          <cell r="D229">
            <v>15</v>
          </cell>
        </row>
        <row r="230">
          <cell r="A230">
            <v>1000020255</v>
          </cell>
          <cell r="B230" t="str">
            <v>6006-2Z</v>
          </cell>
          <cell r="C230" t="str">
            <v>D7 G3</v>
          </cell>
          <cell r="D230">
            <v>5</v>
          </cell>
        </row>
        <row r="231">
          <cell r="A231">
            <v>1000020256</v>
          </cell>
          <cell r="B231" t="str">
            <v>6006-2Z/C3</v>
          </cell>
          <cell r="C231" t="str">
            <v>E5 M3</v>
          </cell>
          <cell r="D231">
            <v>75</v>
          </cell>
        </row>
        <row r="232">
          <cell r="A232">
            <v>1000020257</v>
          </cell>
          <cell r="B232">
            <v>6007</v>
          </cell>
          <cell r="C232" t="str">
            <v>B5</v>
          </cell>
          <cell r="D232">
            <v>24</v>
          </cell>
        </row>
        <row r="233">
          <cell r="A233">
            <v>1000020258</v>
          </cell>
          <cell r="B233" t="str">
            <v>6007/C3</v>
          </cell>
          <cell r="C233" t="str">
            <v>D10</v>
          </cell>
          <cell r="D233">
            <v>5</v>
          </cell>
        </row>
        <row r="234">
          <cell r="A234">
            <v>1000020259</v>
          </cell>
          <cell r="B234" t="str">
            <v>6007-2RS1</v>
          </cell>
          <cell r="C234" t="str">
            <v>D6 M3</v>
          </cell>
          <cell r="D234">
            <v>15</v>
          </cell>
        </row>
        <row r="235">
          <cell r="A235">
            <v>1000020260</v>
          </cell>
          <cell r="B235" t="str">
            <v>6007-2RS1/C3</v>
          </cell>
          <cell r="C235" t="str">
            <v>C2 M2</v>
          </cell>
          <cell r="D235">
            <v>30</v>
          </cell>
        </row>
        <row r="236">
          <cell r="A236">
            <v>1000020261</v>
          </cell>
          <cell r="B236" t="str">
            <v>6007-2Z/C3</v>
          </cell>
          <cell r="C236" t="str">
            <v>C5 M3</v>
          </cell>
          <cell r="D236">
            <v>25</v>
          </cell>
        </row>
        <row r="237">
          <cell r="A237">
            <v>1000020262</v>
          </cell>
          <cell r="B237">
            <v>6008</v>
          </cell>
          <cell r="C237" t="str">
            <v>D5</v>
          </cell>
          <cell r="D237">
            <v>4</v>
          </cell>
        </row>
        <row r="238">
          <cell r="A238">
            <v>1000020263</v>
          </cell>
          <cell r="B238" t="str">
            <v>6008-2RS1</v>
          </cell>
          <cell r="C238" t="str">
            <v>B5</v>
          </cell>
          <cell r="D238">
            <v>55</v>
          </cell>
        </row>
        <row r="239">
          <cell r="A239">
            <v>1000020264</v>
          </cell>
          <cell r="B239" t="str">
            <v>6008-2RS1/C3</v>
          </cell>
          <cell r="C239" t="str">
            <v>D6 J4 L2 M1 M20</v>
          </cell>
          <cell r="D239">
            <v>126</v>
          </cell>
        </row>
        <row r="240">
          <cell r="A240"/>
          <cell r="B240"/>
          <cell r="C240"/>
          <cell r="D240"/>
        </row>
        <row r="241">
          <cell r="A241">
            <v>1000020266</v>
          </cell>
          <cell r="B241" t="str">
            <v>6008-2Z/C3</v>
          </cell>
          <cell r="C241" t="str">
            <v>C6 M3 72</v>
          </cell>
          <cell r="D241">
            <v>40</v>
          </cell>
        </row>
        <row r="242">
          <cell r="A242">
            <v>1000020267</v>
          </cell>
          <cell r="B242" t="str">
            <v>6008-RS1</v>
          </cell>
          <cell r="C242" t="str">
            <v>A4</v>
          </cell>
          <cell r="D242">
            <v>11</v>
          </cell>
        </row>
        <row r="243">
          <cell r="A243">
            <v>1000020268</v>
          </cell>
          <cell r="B243">
            <v>6009</v>
          </cell>
          <cell r="C243" t="str">
            <v>D10 M3</v>
          </cell>
          <cell r="D243">
            <v>7</v>
          </cell>
        </row>
        <row r="244">
          <cell r="A244">
            <v>1000020269</v>
          </cell>
          <cell r="B244" t="str">
            <v>6009/C3</v>
          </cell>
          <cell r="C244" t="str">
            <v>B17</v>
          </cell>
          <cell r="D244">
            <v>11</v>
          </cell>
        </row>
        <row r="245">
          <cell r="A245">
            <v>1000020270</v>
          </cell>
          <cell r="B245" t="str">
            <v>6009-2RS1</v>
          </cell>
          <cell r="C245" t="str">
            <v>E7</v>
          </cell>
          <cell r="D245">
            <v>3</v>
          </cell>
        </row>
        <row r="246">
          <cell r="A246">
            <v>1000020271</v>
          </cell>
          <cell r="B246" t="str">
            <v>6009-2RS1/C3</v>
          </cell>
          <cell r="C246" t="str">
            <v>E5 M9</v>
          </cell>
          <cell r="D246">
            <v>20</v>
          </cell>
        </row>
        <row r="247">
          <cell r="A247">
            <v>1000020272</v>
          </cell>
          <cell r="B247" t="str">
            <v>6009-2Z</v>
          </cell>
          <cell r="C247" t="str">
            <v>C13</v>
          </cell>
          <cell r="D247">
            <v>0</v>
          </cell>
        </row>
        <row r="248">
          <cell r="A248">
            <v>1000020273</v>
          </cell>
          <cell r="B248" t="str">
            <v>6009-2Z/C3</v>
          </cell>
          <cell r="C248" t="str">
            <v>C6 M4</v>
          </cell>
          <cell r="D248">
            <v>77</v>
          </cell>
        </row>
        <row r="249">
          <cell r="A249">
            <v>1000020274</v>
          </cell>
          <cell r="B249" t="str">
            <v>6010 NR</v>
          </cell>
          <cell r="C249" t="str">
            <v>D11</v>
          </cell>
          <cell r="D249">
            <v>2</v>
          </cell>
        </row>
        <row r="250">
          <cell r="A250">
            <v>1000020275</v>
          </cell>
          <cell r="B250" t="str">
            <v>6010-2RS1/C3</v>
          </cell>
          <cell r="C250" t="str">
            <v>C2 M11</v>
          </cell>
          <cell r="D250">
            <v>20</v>
          </cell>
        </row>
        <row r="251">
          <cell r="A251">
            <v>1000020276</v>
          </cell>
          <cell r="B251" t="str">
            <v>6010-2Z</v>
          </cell>
          <cell r="C251" t="str">
            <v>G5</v>
          </cell>
          <cell r="D251">
            <v>0</v>
          </cell>
        </row>
        <row r="252">
          <cell r="A252">
            <v>1000020277</v>
          </cell>
          <cell r="B252" t="str">
            <v>6010-2Z/C3</v>
          </cell>
          <cell r="C252" t="str">
            <v>C5 M3</v>
          </cell>
          <cell r="D252">
            <v>30</v>
          </cell>
        </row>
        <row r="253">
          <cell r="A253">
            <v>1000020278</v>
          </cell>
          <cell r="B253">
            <v>6011</v>
          </cell>
          <cell r="C253" t="str">
            <v>C14 M3</v>
          </cell>
          <cell r="D253">
            <v>10</v>
          </cell>
        </row>
        <row r="254">
          <cell r="A254">
            <v>1000020279</v>
          </cell>
          <cell r="B254" t="str">
            <v>6011/C3</v>
          </cell>
          <cell r="C254" t="str">
            <v>C10 E10 K7 K40</v>
          </cell>
          <cell r="D254">
            <v>27</v>
          </cell>
        </row>
        <row r="255">
          <cell r="A255">
            <v>1000020280</v>
          </cell>
          <cell r="B255" t="str">
            <v>6011-2RS1</v>
          </cell>
          <cell r="C255" t="str">
            <v>D2</v>
          </cell>
          <cell r="D255">
            <v>3</v>
          </cell>
        </row>
        <row r="256">
          <cell r="A256">
            <v>1000020281</v>
          </cell>
          <cell r="B256" t="str">
            <v>6011-2RS1/C3</v>
          </cell>
          <cell r="C256" t="str">
            <v>C2 M9</v>
          </cell>
          <cell r="D256">
            <v>10</v>
          </cell>
        </row>
        <row r="257">
          <cell r="A257">
            <v>1000020282</v>
          </cell>
          <cell r="B257" t="str">
            <v>6011-2Z/C3</v>
          </cell>
          <cell r="C257" t="str">
            <v>C18 M1</v>
          </cell>
          <cell r="D257">
            <v>9</v>
          </cell>
        </row>
        <row r="258">
          <cell r="A258">
            <v>1000020283</v>
          </cell>
          <cell r="B258">
            <v>6012</v>
          </cell>
          <cell r="C258" t="str">
            <v>C14</v>
          </cell>
          <cell r="D258">
            <v>1</v>
          </cell>
        </row>
        <row r="259">
          <cell r="A259">
            <v>1000020284</v>
          </cell>
          <cell r="B259" t="str">
            <v>6012/C3</v>
          </cell>
          <cell r="C259" t="str">
            <v>E7</v>
          </cell>
          <cell r="D259">
            <v>1</v>
          </cell>
        </row>
        <row r="260">
          <cell r="A260">
            <v>1000020285</v>
          </cell>
          <cell r="B260" t="str">
            <v>6012/W64</v>
          </cell>
          <cell r="C260" t="str">
            <v>C3</v>
          </cell>
          <cell r="D260">
            <v>1</v>
          </cell>
        </row>
        <row r="261">
          <cell r="A261">
            <v>1000020286</v>
          </cell>
          <cell r="B261" t="str">
            <v>6012-2RS1/C3</v>
          </cell>
          <cell r="C261" t="str">
            <v>C6 M9</v>
          </cell>
          <cell r="D261">
            <v>10</v>
          </cell>
        </row>
        <row r="262">
          <cell r="A262">
            <v>1000020287</v>
          </cell>
          <cell r="B262" t="str">
            <v>6012-2Z</v>
          </cell>
          <cell r="C262" t="str">
            <v>D6 F15 J16 N1 20</v>
          </cell>
          <cell r="D262">
            <v>12</v>
          </cell>
        </row>
        <row r="263">
          <cell r="A263">
            <v>1000020288</v>
          </cell>
          <cell r="B263" t="str">
            <v>6012-2Z/C3</v>
          </cell>
          <cell r="C263" t="str">
            <v>C9 M9</v>
          </cell>
          <cell r="D263">
            <v>12</v>
          </cell>
        </row>
        <row r="264">
          <cell r="A264">
            <v>1000020289</v>
          </cell>
          <cell r="B264" t="str">
            <v>6013/C3</v>
          </cell>
          <cell r="C264" t="str">
            <v>D11</v>
          </cell>
          <cell r="D264">
            <v>3</v>
          </cell>
        </row>
        <row r="265">
          <cell r="A265">
            <v>1000020290</v>
          </cell>
          <cell r="B265" t="str">
            <v>6013-2RS1</v>
          </cell>
          <cell r="C265" t="str">
            <v>C18</v>
          </cell>
          <cell r="D265">
            <v>5</v>
          </cell>
        </row>
        <row r="266">
          <cell r="A266">
            <v>1000020291</v>
          </cell>
          <cell r="B266" t="str">
            <v>6013-2RS1/C3</v>
          </cell>
          <cell r="C266" t="str">
            <v>C9 M3</v>
          </cell>
          <cell r="D266">
            <v>10</v>
          </cell>
        </row>
        <row r="267">
          <cell r="A267">
            <v>1000020292</v>
          </cell>
          <cell r="B267" t="str">
            <v>6013-2Z/C3</v>
          </cell>
          <cell r="C267" t="str">
            <v>E6 M1</v>
          </cell>
          <cell r="D267">
            <v>10</v>
          </cell>
        </row>
        <row r="268">
          <cell r="A268">
            <v>1000020293</v>
          </cell>
          <cell r="B268" t="str">
            <v>6013-Z</v>
          </cell>
          <cell r="C268" t="str">
            <v>D7</v>
          </cell>
          <cell r="D268">
            <v>3</v>
          </cell>
        </row>
        <row r="269">
          <cell r="A269">
            <v>1000020294</v>
          </cell>
          <cell r="B269" t="str">
            <v>6014/C3</v>
          </cell>
          <cell r="C269" t="str">
            <v>D14</v>
          </cell>
          <cell r="D269">
            <v>2</v>
          </cell>
        </row>
        <row r="270">
          <cell r="A270">
            <v>1000020295</v>
          </cell>
          <cell r="B270" t="str">
            <v>6014-2RS1/C3</v>
          </cell>
          <cell r="C270" t="str">
            <v>D10</v>
          </cell>
          <cell r="D270">
            <v>3</v>
          </cell>
        </row>
        <row r="271">
          <cell r="A271">
            <v>1000020296</v>
          </cell>
          <cell r="B271" t="str">
            <v>6014-2Z/C3</v>
          </cell>
          <cell r="C271" t="str">
            <v>I5 J11 L2</v>
          </cell>
          <cell r="D271">
            <v>15</v>
          </cell>
        </row>
        <row r="272">
          <cell r="A272">
            <v>1000020297</v>
          </cell>
          <cell r="B272" t="str">
            <v>6015/C3</v>
          </cell>
          <cell r="C272" t="str">
            <v>D2 F5 K11 K14 K6</v>
          </cell>
          <cell r="D272">
            <v>14</v>
          </cell>
        </row>
        <row r="273">
          <cell r="A273">
            <v>1000020298</v>
          </cell>
          <cell r="B273" t="str">
            <v>6015-2RS1/C3</v>
          </cell>
          <cell r="C273" t="str">
            <v>E11 M1</v>
          </cell>
          <cell r="D273">
            <v>10</v>
          </cell>
        </row>
        <row r="274">
          <cell r="A274">
            <v>1000020299</v>
          </cell>
          <cell r="B274" t="str">
            <v>6015-2Z/C3</v>
          </cell>
          <cell r="C274" t="str">
            <v>C10</v>
          </cell>
          <cell r="D274">
            <v>2</v>
          </cell>
        </row>
        <row r="275">
          <cell r="A275">
            <v>1000020300</v>
          </cell>
          <cell r="B275" t="str">
            <v>6016/C3</v>
          </cell>
          <cell r="C275" t="str">
            <v>D7</v>
          </cell>
          <cell r="D275">
            <v>4</v>
          </cell>
        </row>
        <row r="276">
          <cell r="A276">
            <v>1000020301</v>
          </cell>
          <cell r="B276" t="str">
            <v>6016-2RS1/C3</v>
          </cell>
          <cell r="C276" t="str">
            <v>C10</v>
          </cell>
          <cell r="D276">
            <v>2</v>
          </cell>
        </row>
        <row r="277">
          <cell r="A277">
            <v>1000020302</v>
          </cell>
          <cell r="B277" t="str">
            <v>6016-2Z</v>
          </cell>
          <cell r="C277" t="str">
            <v>C15</v>
          </cell>
          <cell r="D277">
            <v>1</v>
          </cell>
        </row>
        <row r="278">
          <cell r="A278">
            <v>1000020303</v>
          </cell>
          <cell r="B278" t="str">
            <v>6016-2Z/C3</v>
          </cell>
          <cell r="C278" t="str">
            <v>C17</v>
          </cell>
          <cell r="D278">
            <v>2</v>
          </cell>
        </row>
        <row r="279">
          <cell r="A279">
            <v>1000020304</v>
          </cell>
          <cell r="B279">
            <v>6017</v>
          </cell>
          <cell r="C279" t="str">
            <v>E10</v>
          </cell>
          <cell r="D279">
            <v>1</v>
          </cell>
        </row>
        <row r="280">
          <cell r="A280">
            <v>1000020305</v>
          </cell>
          <cell r="B280" t="str">
            <v>6017/C3</v>
          </cell>
          <cell r="C280" t="str">
            <v>C18</v>
          </cell>
          <cell r="D280">
            <v>4</v>
          </cell>
        </row>
        <row r="281">
          <cell r="A281">
            <v>1000020306</v>
          </cell>
          <cell r="B281" t="str">
            <v>6017-2RS1/C3</v>
          </cell>
          <cell r="C281" t="str">
            <v>E9</v>
          </cell>
          <cell r="D281">
            <v>6</v>
          </cell>
        </row>
        <row r="282">
          <cell r="A282">
            <v>1000020307</v>
          </cell>
          <cell r="B282" t="str">
            <v>6017-2Z</v>
          </cell>
          <cell r="C282" t="str">
            <v>I15</v>
          </cell>
          <cell r="D282">
            <v>1</v>
          </cell>
        </row>
        <row r="283">
          <cell r="A283">
            <v>1000020308</v>
          </cell>
          <cell r="B283" t="str">
            <v>6017-2Z/C3</v>
          </cell>
          <cell r="C283" t="str">
            <v>C9</v>
          </cell>
          <cell r="D283">
            <v>4</v>
          </cell>
        </row>
        <row r="284">
          <cell r="A284">
            <v>1000020309</v>
          </cell>
          <cell r="B284" t="str">
            <v>6017-Z</v>
          </cell>
          <cell r="C284" t="str">
            <v>D7</v>
          </cell>
          <cell r="D284">
            <v>3</v>
          </cell>
        </row>
        <row r="285">
          <cell r="A285">
            <v>1000020311</v>
          </cell>
          <cell r="B285" t="str">
            <v>6018-2RS1</v>
          </cell>
          <cell r="C285" t="str">
            <v>C14 M11</v>
          </cell>
          <cell r="D285">
            <v>31</v>
          </cell>
        </row>
        <row r="286">
          <cell r="A286">
            <v>1000020312</v>
          </cell>
          <cell r="B286" t="str">
            <v>6018-2RS1/C3</v>
          </cell>
          <cell r="C286" t="str">
            <v>D15</v>
          </cell>
          <cell r="D286">
            <v>3</v>
          </cell>
        </row>
        <row r="287">
          <cell r="A287">
            <v>1000020313</v>
          </cell>
          <cell r="B287" t="str">
            <v>6018-2Z</v>
          </cell>
          <cell r="C287" t="str">
            <v>C9</v>
          </cell>
          <cell r="D287">
            <v>1</v>
          </cell>
        </row>
        <row r="288">
          <cell r="A288">
            <v>1000020314</v>
          </cell>
          <cell r="B288" t="str">
            <v>6018-2Z/C3</v>
          </cell>
          <cell r="C288" t="str">
            <v>E11</v>
          </cell>
          <cell r="D288">
            <v>4</v>
          </cell>
        </row>
        <row r="289">
          <cell r="A289">
            <v>1000020315</v>
          </cell>
          <cell r="B289" t="str">
            <v>6019-2Z/C3</v>
          </cell>
          <cell r="C289" t="str">
            <v>D10</v>
          </cell>
          <cell r="D289">
            <v>2</v>
          </cell>
        </row>
        <row r="290">
          <cell r="A290">
            <v>1000020316</v>
          </cell>
          <cell r="B290">
            <v>6020</v>
          </cell>
          <cell r="C290" t="str">
            <v>C2</v>
          </cell>
          <cell r="D290">
            <v>5</v>
          </cell>
        </row>
        <row r="291">
          <cell r="A291">
            <v>1000020318</v>
          </cell>
          <cell r="B291" t="str">
            <v>6020-2RS1/C3</v>
          </cell>
          <cell r="C291" t="str">
            <v>C2</v>
          </cell>
          <cell r="D291">
            <v>2</v>
          </cell>
        </row>
        <row r="292">
          <cell r="A292">
            <v>1000020319</v>
          </cell>
          <cell r="B292" t="str">
            <v>6020-2Z/C3</v>
          </cell>
          <cell r="C292" t="str">
            <v>C3 M1</v>
          </cell>
          <cell r="D292">
            <v>10</v>
          </cell>
        </row>
        <row r="293">
          <cell r="A293">
            <v>1000020320</v>
          </cell>
          <cell r="B293">
            <v>6021</v>
          </cell>
          <cell r="C293" t="str">
            <v>A11</v>
          </cell>
          <cell r="D293">
            <v>6</v>
          </cell>
        </row>
        <row r="294">
          <cell r="A294">
            <v>1000020321</v>
          </cell>
          <cell r="B294" t="str">
            <v>6021-2RS1</v>
          </cell>
          <cell r="C294" t="str">
            <v>C10</v>
          </cell>
          <cell r="D294">
            <v>1</v>
          </cell>
        </row>
        <row r="295">
          <cell r="A295">
            <v>1000020322</v>
          </cell>
          <cell r="B295" t="str">
            <v>6021-2Z/C3</v>
          </cell>
          <cell r="C295" t="str">
            <v>E7</v>
          </cell>
          <cell r="D295">
            <v>1</v>
          </cell>
        </row>
        <row r="296">
          <cell r="A296">
            <v>1000020323</v>
          </cell>
          <cell r="B296">
            <v>6022</v>
          </cell>
          <cell r="C296" t="str">
            <v>A3</v>
          </cell>
          <cell r="D296">
            <v>15</v>
          </cell>
        </row>
        <row r="297">
          <cell r="A297">
            <v>1000020324</v>
          </cell>
          <cell r="B297" t="str">
            <v>6022/C3</v>
          </cell>
          <cell r="C297" t="str">
            <v>D14</v>
          </cell>
          <cell r="D297">
            <v>4</v>
          </cell>
        </row>
        <row r="298">
          <cell r="A298">
            <v>1000020325</v>
          </cell>
          <cell r="B298" t="str">
            <v>6022-2Z/C3</v>
          </cell>
          <cell r="C298" t="str">
            <v>D15</v>
          </cell>
          <cell r="D298">
            <v>2</v>
          </cell>
        </row>
        <row r="299">
          <cell r="A299">
            <v>1000020326</v>
          </cell>
          <cell r="B299">
            <v>6024</v>
          </cell>
          <cell r="C299" t="str">
            <v>E7</v>
          </cell>
          <cell r="D299">
            <v>1</v>
          </cell>
        </row>
        <row r="300">
          <cell r="A300">
            <v>1000020327</v>
          </cell>
          <cell r="B300" t="str">
            <v>6024/C3</v>
          </cell>
          <cell r="C300" t="str">
            <v>E7</v>
          </cell>
          <cell r="D300">
            <v>2</v>
          </cell>
        </row>
        <row r="301">
          <cell r="A301">
            <v>1000020329</v>
          </cell>
          <cell r="B301" t="str">
            <v>6024-2Z/C3</v>
          </cell>
          <cell r="C301" t="str">
            <v>C10</v>
          </cell>
          <cell r="D301">
            <v>4</v>
          </cell>
        </row>
        <row r="302">
          <cell r="A302">
            <v>1000020330</v>
          </cell>
          <cell r="B302">
            <v>6026</v>
          </cell>
          <cell r="C302" t="str">
            <v>E20</v>
          </cell>
          <cell r="D302">
            <v>3</v>
          </cell>
        </row>
        <row r="303">
          <cell r="A303">
            <v>1000020331</v>
          </cell>
          <cell r="B303" t="str">
            <v>6026/C3</v>
          </cell>
          <cell r="C303" t="str">
            <v>D19</v>
          </cell>
          <cell r="D303">
            <v>2</v>
          </cell>
        </row>
        <row r="304">
          <cell r="A304">
            <v>1000020332</v>
          </cell>
          <cell r="B304">
            <v>6028</v>
          </cell>
          <cell r="C304" t="str">
            <v>G12 K1 J12 M27</v>
          </cell>
          <cell r="D304">
            <v>15</v>
          </cell>
        </row>
        <row r="305">
          <cell r="A305">
            <v>1000020334</v>
          </cell>
          <cell r="B305">
            <v>6030</v>
          </cell>
          <cell r="C305" t="str">
            <v>D8</v>
          </cell>
          <cell r="D305">
            <v>2</v>
          </cell>
        </row>
        <row r="306">
          <cell r="A306">
            <v>1000020335</v>
          </cell>
          <cell r="B306" t="str">
            <v>607-2RSH/C3</v>
          </cell>
          <cell r="C306" t="str">
            <v>D1 M7</v>
          </cell>
          <cell r="D306">
            <v>200</v>
          </cell>
        </row>
        <row r="307">
          <cell r="A307">
            <v>1000020336</v>
          </cell>
          <cell r="B307" t="str">
            <v>607-2Z/C3</v>
          </cell>
          <cell r="C307" t="str">
            <v>D1 M7</v>
          </cell>
          <cell r="D307">
            <v>50</v>
          </cell>
        </row>
        <row r="308">
          <cell r="A308">
            <v>1000020337</v>
          </cell>
          <cell r="B308" t="str">
            <v>608-2RSH</v>
          </cell>
          <cell r="C308" t="str">
            <v>E13 M2</v>
          </cell>
          <cell r="D308">
            <v>100</v>
          </cell>
        </row>
        <row r="309">
          <cell r="A309">
            <v>1000020338</v>
          </cell>
          <cell r="B309" t="str">
            <v>608-2RSH/C3</v>
          </cell>
          <cell r="C309" t="str">
            <v xml:space="preserve"> 65R</v>
          </cell>
          <cell r="D309">
            <v>100</v>
          </cell>
        </row>
        <row r="310">
          <cell r="A310">
            <v>1000020339</v>
          </cell>
          <cell r="B310" t="str">
            <v>608-2Z</v>
          </cell>
          <cell r="C310" t="str">
            <v>M19</v>
          </cell>
          <cell r="D310">
            <v>109</v>
          </cell>
        </row>
        <row r="311">
          <cell r="A311">
            <v>1000020340</v>
          </cell>
          <cell r="B311" t="str">
            <v>608-2Z/C3</v>
          </cell>
          <cell r="C311" t="str">
            <v>M19</v>
          </cell>
          <cell r="D311">
            <v>90</v>
          </cell>
        </row>
        <row r="312">
          <cell r="A312">
            <v>1000020341</v>
          </cell>
          <cell r="B312" t="str">
            <v>608-Z/C3</v>
          </cell>
          <cell r="C312" t="str">
            <v>D5</v>
          </cell>
          <cell r="D312">
            <v>2</v>
          </cell>
        </row>
        <row r="313">
          <cell r="A313">
            <v>1000020342</v>
          </cell>
          <cell r="B313" t="str">
            <v>609-2RSH/C3</v>
          </cell>
          <cell r="C313" t="str">
            <v>D1 M7</v>
          </cell>
          <cell r="D313">
            <v>100</v>
          </cell>
        </row>
        <row r="314">
          <cell r="A314">
            <v>1000020343</v>
          </cell>
          <cell r="B314" t="str">
            <v>609-2Z/C3</v>
          </cell>
          <cell r="C314" t="str">
            <v>D1 M2</v>
          </cell>
          <cell r="D314">
            <v>20</v>
          </cell>
        </row>
        <row r="315">
          <cell r="A315">
            <v>1000020344</v>
          </cell>
          <cell r="B315" t="str">
            <v>61800-2Z</v>
          </cell>
          <cell r="C315" t="str">
            <v>C5</v>
          </cell>
          <cell r="D315">
            <v>5</v>
          </cell>
        </row>
        <row r="316">
          <cell r="A316">
            <v>1000020345</v>
          </cell>
          <cell r="B316" t="str">
            <v>61801-2RS1</v>
          </cell>
          <cell r="C316" t="str">
            <v>D5 G4</v>
          </cell>
          <cell r="D316">
            <v>17</v>
          </cell>
        </row>
        <row r="317">
          <cell r="A317">
            <v>1000020346</v>
          </cell>
          <cell r="B317" t="str">
            <v>61801-2Z</v>
          </cell>
          <cell r="C317" t="str">
            <v>C5</v>
          </cell>
          <cell r="D317">
            <v>5</v>
          </cell>
        </row>
        <row r="318">
          <cell r="A318">
            <v>1000020347</v>
          </cell>
          <cell r="B318" t="str">
            <v>61804-2RS1</v>
          </cell>
          <cell r="C318" t="str">
            <v>A7</v>
          </cell>
          <cell r="D318">
            <v>13</v>
          </cell>
        </row>
        <row r="319">
          <cell r="A319">
            <v>1000020348</v>
          </cell>
          <cell r="B319" t="str">
            <v>61804-2RZ</v>
          </cell>
          <cell r="C319" t="str">
            <v>C5</v>
          </cell>
          <cell r="D319">
            <v>5</v>
          </cell>
        </row>
        <row r="320">
          <cell r="A320">
            <v>1000020349</v>
          </cell>
          <cell r="B320" t="str">
            <v>61805-2RS1</v>
          </cell>
          <cell r="C320" t="str">
            <v>C5</v>
          </cell>
          <cell r="D320">
            <v>3</v>
          </cell>
        </row>
        <row r="321">
          <cell r="A321">
            <v>1000020350</v>
          </cell>
          <cell r="B321" t="str">
            <v>61806-2RS1</v>
          </cell>
          <cell r="C321" t="str">
            <v>C5</v>
          </cell>
          <cell r="D321">
            <v>5</v>
          </cell>
        </row>
        <row r="322">
          <cell r="A322">
            <v>1000020351</v>
          </cell>
          <cell r="B322" t="str">
            <v>61806-2RZ</v>
          </cell>
          <cell r="C322" t="str">
            <v>C5</v>
          </cell>
          <cell r="D322">
            <v>5</v>
          </cell>
        </row>
        <row r="323">
          <cell r="A323">
            <v>1000020352</v>
          </cell>
          <cell r="B323" t="str">
            <v>61807-2RZ</v>
          </cell>
          <cell r="C323" t="str">
            <v>C5</v>
          </cell>
          <cell r="D323">
            <v>5</v>
          </cell>
        </row>
        <row r="324">
          <cell r="A324">
            <v>1000020353</v>
          </cell>
          <cell r="B324">
            <v>61808</v>
          </cell>
          <cell r="C324" t="str">
            <v>D1</v>
          </cell>
          <cell r="D324">
            <v>4</v>
          </cell>
        </row>
        <row r="325">
          <cell r="A325">
            <v>1000020354</v>
          </cell>
          <cell r="B325" t="str">
            <v>61808-2RS1</v>
          </cell>
          <cell r="C325" t="str">
            <v>C5</v>
          </cell>
          <cell r="D325">
            <v>5</v>
          </cell>
        </row>
        <row r="326">
          <cell r="A326">
            <v>1000020355</v>
          </cell>
          <cell r="B326" t="str">
            <v>61808-2RZ</v>
          </cell>
          <cell r="C326" t="str">
            <v>D5</v>
          </cell>
          <cell r="D326">
            <v>5</v>
          </cell>
        </row>
        <row r="327">
          <cell r="A327">
            <v>1000020356</v>
          </cell>
          <cell r="B327" t="str">
            <v>61809-2RZ</v>
          </cell>
          <cell r="C327" t="str">
            <v>C17</v>
          </cell>
          <cell r="D327">
            <v>1</v>
          </cell>
        </row>
        <row r="328">
          <cell r="A328">
            <v>1000020357</v>
          </cell>
          <cell r="B328" t="str">
            <v>61810-2RZ</v>
          </cell>
          <cell r="C328" t="str">
            <v>D6</v>
          </cell>
          <cell r="D328">
            <v>1</v>
          </cell>
        </row>
        <row r="329">
          <cell r="A329">
            <v>1000020358</v>
          </cell>
          <cell r="B329" t="str">
            <v>61811-2RZ</v>
          </cell>
          <cell r="C329" t="str">
            <v>D7</v>
          </cell>
          <cell r="D329">
            <v>1</v>
          </cell>
        </row>
        <row r="330">
          <cell r="A330">
            <v>1000020359</v>
          </cell>
          <cell r="B330" t="str">
            <v>61812-2RS1</v>
          </cell>
          <cell r="C330" t="str">
            <v>D6</v>
          </cell>
          <cell r="D330">
            <v>2</v>
          </cell>
        </row>
        <row r="331">
          <cell r="A331">
            <v>1000020360</v>
          </cell>
          <cell r="B331" t="str">
            <v>61812-2RZ</v>
          </cell>
          <cell r="C331" t="str">
            <v>D10</v>
          </cell>
          <cell r="D331">
            <v>1</v>
          </cell>
        </row>
        <row r="332">
          <cell r="A332">
            <v>1000020361</v>
          </cell>
          <cell r="B332" t="str">
            <v>61813-2RS1</v>
          </cell>
          <cell r="C332" t="str">
            <v>E11</v>
          </cell>
          <cell r="D332">
            <v>2</v>
          </cell>
        </row>
        <row r="333">
          <cell r="A333">
            <v>1000020362</v>
          </cell>
          <cell r="B333" t="str">
            <v>61813-2RZ</v>
          </cell>
          <cell r="C333" t="str">
            <v>C9</v>
          </cell>
          <cell r="D333">
            <v>1</v>
          </cell>
        </row>
        <row r="334">
          <cell r="A334">
            <v>1000020363</v>
          </cell>
          <cell r="B334" t="str">
            <v>61814-2RS1</v>
          </cell>
          <cell r="C334" t="str">
            <v>C9</v>
          </cell>
          <cell r="D334">
            <v>1</v>
          </cell>
        </row>
        <row r="335">
          <cell r="A335">
            <v>1000020364</v>
          </cell>
          <cell r="B335" t="str">
            <v>61814-2RZ</v>
          </cell>
          <cell r="C335" t="str">
            <v>C15</v>
          </cell>
          <cell r="D335">
            <v>1</v>
          </cell>
        </row>
        <row r="336">
          <cell r="A336">
            <v>1000020365</v>
          </cell>
          <cell r="B336" t="str">
            <v>61815/C3</v>
          </cell>
          <cell r="C336" t="str">
            <v>B2</v>
          </cell>
          <cell r="D336">
            <v>1</v>
          </cell>
        </row>
        <row r="337">
          <cell r="A337">
            <v>1000020366</v>
          </cell>
          <cell r="B337" t="str">
            <v>61815-2RS1</v>
          </cell>
          <cell r="C337" t="str">
            <v>C3</v>
          </cell>
          <cell r="D337">
            <v>1</v>
          </cell>
        </row>
        <row r="338">
          <cell r="A338">
            <v>1000020367</v>
          </cell>
          <cell r="B338" t="str">
            <v>61815-2RZ</v>
          </cell>
          <cell r="C338" t="str">
            <v>C13</v>
          </cell>
          <cell r="D338">
            <v>1</v>
          </cell>
        </row>
        <row r="339">
          <cell r="A339">
            <v>1000020368</v>
          </cell>
          <cell r="B339" t="str">
            <v>61816-2RS1</v>
          </cell>
          <cell r="C339" t="str">
            <v>E11</v>
          </cell>
          <cell r="D339">
            <v>2</v>
          </cell>
        </row>
        <row r="340">
          <cell r="A340">
            <v>1000020369</v>
          </cell>
          <cell r="B340" t="str">
            <v>61817-2RS1</v>
          </cell>
          <cell r="C340" t="str">
            <v>E15</v>
          </cell>
          <cell r="D340">
            <v>2</v>
          </cell>
        </row>
        <row r="341">
          <cell r="A341">
            <v>1000020370</v>
          </cell>
          <cell r="B341" t="str">
            <v>61817-2RZ</v>
          </cell>
          <cell r="C341" t="str">
            <v>E7</v>
          </cell>
          <cell r="D341">
            <v>1</v>
          </cell>
        </row>
        <row r="342">
          <cell r="A342">
            <v>1000020371</v>
          </cell>
          <cell r="B342" t="str">
            <v>61818-2RS1</v>
          </cell>
          <cell r="C342" t="str">
            <v>D7</v>
          </cell>
          <cell r="D342">
            <v>1</v>
          </cell>
        </row>
        <row r="343">
          <cell r="A343">
            <v>1000020372</v>
          </cell>
          <cell r="B343" t="str">
            <v>61818-2RZ</v>
          </cell>
          <cell r="C343" t="str">
            <v>D6</v>
          </cell>
          <cell r="D343">
            <v>1</v>
          </cell>
        </row>
        <row r="344">
          <cell r="A344">
            <v>1000020373</v>
          </cell>
          <cell r="B344" t="str">
            <v>61819-2RS1/C3</v>
          </cell>
          <cell r="C344" t="str">
            <v>C9</v>
          </cell>
          <cell r="D344">
            <v>1</v>
          </cell>
        </row>
        <row r="345">
          <cell r="A345">
            <v>1000020375</v>
          </cell>
          <cell r="B345" t="str">
            <v>61900-2RS1</v>
          </cell>
          <cell r="C345" t="str">
            <v>C5</v>
          </cell>
          <cell r="D345">
            <v>5</v>
          </cell>
        </row>
        <row r="346">
          <cell r="A346">
            <v>1000020376</v>
          </cell>
          <cell r="B346" t="str">
            <v>61900-2Z</v>
          </cell>
          <cell r="C346" t="str">
            <v>C5</v>
          </cell>
          <cell r="D346">
            <v>5</v>
          </cell>
        </row>
        <row r="347">
          <cell r="A347">
            <v>1000020377</v>
          </cell>
          <cell r="B347" t="str">
            <v>61901-2RS1</v>
          </cell>
          <cell r="C347" t="str">
            <v>D1</v>
          </cell>
          <cell r="D347">
            <v>5</v>
          </cell>
        </row>
        <row r="348">
          <cell r="A348">
            <v>1000020378</v>
          </cell>
          <cell r="B348" t="str">
            <v>61901-2Z</v>
          </cell>
          <cell r="C348" t="str">
            <v>C5</v>
          </cell>
          <cell r="D348">
            <v>0</v>
          </cell>
        </row>
        <row r="349">
          <cell r="A349">
            <v>1000020379</v>
          </cell>
          <cell r="B349" t="str">
            <v>61902-2RS1</v>
          </cell>
          <cell r="C349" t="str">
            <v>C5</v>
          </cell>
          <cell r="D349">
            <v>5</v>
          </cell>
        </row>
        <row r="350">
          <cell r="A350">
            <v>1000020380</v>
          </cell>
          <cell r="B350" t="str">
            <v>61902-2Z</v>
          </cell>
          <cell r="C350" t="str">
            <v>C5</v>
          </cell>
          <cell r="D350">
            <v>5</v>
          </cell>
        </row>
        <row r="351">
          <cell r="A351">
            <v>1000020381</v>
          </cell>
          <cell r="B351" t="str">
            <v>61903-2RS1</v>
          </cell>
          <cell r="C351" t="str">
            <v>C5</v>
          </cell>
          <cell r="D351">
            <v>5</v>
          </cell>
        </row>
        <row r="352">
          <cell r="A352">
            <v>1000020382</v>
          </cell>
          <cell r="B352" t="str">
            <v>61903-2Z</v>
          </cell>
          <cell r="C352" t="str">
            <v>C5</v>
          </cell>
          <cell r="D352">
            <v>5</v>
          </cell>
        </row>
        <row r="353">
          <cell r="A353">
            <v>1000020383</v>
          </cell>
          <cell r="B353" t="str">
            <v>61904-2RS1</v>
          </cell>
          <cell r="C353" t="str">
            <v>D5</v>
          </cell>
          <cell r="D353">
            <v>3</v>
          </cell>
        </row>
        <row r="354">
          <cell r="A354">
            <v>1000020384</v>
          </cell>
          <cell r="B354">
            <v>61905</v>
          </cell>
          <cell r="C354" t="str">
            <v>E13</v>
          </cell>
          <cell r="D354">
            <v>0</v>
          </cell>
        </row>
        <row r="355">
          <cell r="A355">
            <v>1000020385</v>
          </cell>
          <cell r="B355" t="str">
            <v>61905-2RS1</v>
          </cell>
          <cell r="C355" t="str">
            <v>D5</v>
          </cell>
          <cell r="D355">
            <v>10</v>
          </cell>
        </row>
        <row r="356">
          <cell r="A356">
            <v>1000020386</v>
          </cell>
          <cell r="B356" t="str">
            <v>61905-2RZ</v>
          </cell>
          <cell r="C356" t="str">
            <v>D5</v>
          </cell>
          <cell r="D356">
            <v>5</v>
          </cell>
        </row>
        <row r="357">
          <cell r="A357">
            <v>1000020387</v>
          </cell>
          <cell r="B357" t="str">
            <v>61906-2RS1</v>
          </cell>
          <cell r="C357" t="str">
            <v>D1</v>
          </cell>
          <cell r="D357">
            <v>5</v>
          </cell>
        </row>
        <row r="358">
          <cell r="A358">
            <v>1000020388</v>
          </cell>
          <cell r="B358" t="str">
            <v>61906-2RZ</v>
          </cell>
          <cell r="C358" t="str">
            <v>C5</v>
          </cell>
          <cell r="D358">
            <v>5</v>
          </cell>
        </row>
        <row r="359">
          <cell r="A359">
            <v>1000020389</v>
          </cell>
          <cell r="B359" t="str">
            <v>61907-2RZ</v>
          </cell>
          <cell r="C359" t="str">
            <v>C9</v>
          </cell>
          <cell r="D359">
            <v>1</v>
          </cell>
        </row>
        <row r="360">
          <cell r="A360">
            <v>1000020390</v>
          </cell>
          <cell r="B360" t="str">
            <v>61908-2RS1</v>
          </cell>
          <cell r="C360" t="str">
            <v>C3</v>
          </cell>
          <cell r="D360">
            <v>1</v>
          </cell>
        </row>
        <row r="361">
          <cell r="A361">
            <v>1000020391</v>
          </cell>
          <cell r="B361" t="str">
            <v>61908-2RZ</v>
          </cell>
          <cell r="C361" t="str">
            <v>D10</v>
          </cell>
          <cell r="D361">
            <v>4</v>
          </cell>
        </row>
        <row r="362">
          <cell r="A362">
            <v>1000020392</v>
          </cell>
          <cell r="B362" t="str">
            <v>61909-2RS1</v>
          </cell>
          <cell r="C362" t="str">
            <v>D10</v>
          </cell>
          <cell r="D362">
            <v>1</v>
          </cell>
        </row>
        <row r="363">
          <cell r="A363">
            <v>1000020393</v>
          </cell>
          <cell r="B363" t="str">
            <v>61910-2RS1</v>
          </cell>
          <cell r="C363" t="str">
            <v>E6</v>
          </cell>
          <cell r="D363">
            <v>2</v>
          </cell>
        </row>
        <row r="364">
          <cell r="A364">
            <v>1000020394</v>
          </cell>
          <cell r="B364" t="str">
            <v>61911-2RS1</v>
          </cell>
          <cell r="C364" t="str">
            <v>D7</v>
          </cell>
          <cell r="D364">
            <v>3</v>
          </cell>
        </row>
        <row r="365">
          <cell r="A365">
            <v>1000020395</v>
          </cell>
          <cell r="B365" t="str">
            <v>61912-2RS1</v>
          </cell>
          <cell r="C365" t="str">
            <v>C3</v>
          </cell>
          <cell r="D365">
            <v>1</v>
          </cell>
        </row>
        <row r="366">
          <cell r="A366">
            <v>1000020396</v>
          </cell>
          <cell r="B366" t="str">
            <v>61913/C3</v>
          </cell>
          <cell r="C366" t="str">
            <v>C9</v>
          </cell>
          <cell r="D366">
            <v>1</v>
          </cell>
        </row>
        <row r="367">
          <cell r="A367">
            <v>1000020397</v>
          </cell>
          <cell r="B367" t="str">
            <v>61916-2RS1</v>
          </cell>
          <cell r="C367" t="str">
            <v>C17</v>
          </cell>
          <cell r="D367">
            <v>1</v>
          </cell>
        </row>
        <row r="368">
          <cell r="A368">
            <v>1000020398</v>
          </cell>
          <cell r="B368" t="str">
            <v>61936 MA</v>
          </cell>
          <cell r="C368" t="str">
            <v>C20</v>
          </cell>
          <cell r="D368">
            <v>1</v>
          </cell>
        </row>
        <row r="369">
          <cell r="A369">
            <v>1000020399</v>
          </cell>
          <cell r="B369" t="str">
            <v>61952 MA</v>
          </cell>
          <cell r="C369" t="str">
            <v>E8</v>
          </cell>
          <cell r="D369">
            <v>1</v>
          </cell>
        </row>
        <row r="370">
          <cell r="A370">
            <v>1000020400</v>
          </cell>
          <cell r="B370" t="str">
            <v>6200-2RSH</v>
          </cell>
          <cell r="C370" t="str">
            <v>D5</v>
          </cell>
          <cell r="D370">
            <v>5</v>
          </cell>
        </row>
        <row r="371">
          <cell r="A371">
            <v>1000020401</v>
          </cell>
          <cell r="B371" t="str">
            <v>6200-2RSH/C3</v>
          </cell>
          <cell r="C371" t="str">
            <v>E13</v>
          </cell>
          <cell r="D371">
            <v>30</v>
          </cell>
        </row>
        <row r="372">
          <cell r="A372">
            <v>1000020402</v>
          </cell>
          <cell r="B372" t="str">
            <v>6200-2Z/C3</v>
          </cell>
          <cell r="C372" t="str">
            <v>L1 M2 M30</v>
          </cell>
          <cell r="D372">
            <v>253</v>
          </cell>
        </row>
        <row r="373">
          <cell r="A373">
            <v>1000020403</v>
          </cell>
          <cell r="B373" t="str">
            <v>6201-2RSH</v>
          </cell>
          <cell r="C373" t="str">
            <v>E17 M2</v>
          </cell>
          <cell r="D373">
            <v>32</v>
          </cell>
        </row>
        <row r="374">
          <cell r="A374">
            <v>1000020404</v>
          </cell>
          <cell r="B374" t="str">
            <v>6201-2RSH/C3</v>
          </cell>
          <cell r="C374" t="str">
            <v>B3 M3</v>
          </cell>
          <cell r="D374">
            <v>100</v>
          </cell>
        </row>
        <row r="375">
          <cell r="A375">
            <v>1000020405</v>
          </cell>
          <cell r="B375" t="str">
            <v>6201-2Z/C3</v>
          </cell>
          <cell r="C375" t="str">
            <v>F11 M10</v>
          </cell>
          <cell r="D375">
            <v>195</v>
          </cell>
        </row>
        <row r="376">
          <cell r="A376">
            <v>1000020406</v>
          </cell>
          <cell r="B376" t="str">
            <v>6202/C3</v>
          </cell>
          <cell r="C376" t="str">
            <v>K29 L3</v>
          </cell>
          <cell r="D376">
            <v>39</v>
          </cell>
        </row>
        <row r="377">
          <cell r="A377">
            <v>1000020407</v>
          </cell>
          <cell r="B377" t="str">
            <v>6202-2RSH</v>
          </cell>
          <cell r="C377" t="str">
            <v>E17</v>
          </cell>
          <cell r="D377">
            <v>5</v>
          </cell>
        </row>
        <row r="378">
          <cell r="A378">
            <v>1000020408</v>
          </cell>
          <cell r="B378" t="str">
            <v>6202-2RSH/C3</v>
          </cell>
          <cell r="C378" t="str">
            <v>B3</v>
          </cell>
          <cell r="D378">
            <v>73</v>
          </cell>
        </row>
        <row r="379">
          <cell r="A379">
            <v>1000020409</v>
          </cell>
          <cell r="B379" t="str">
            <v>6202-2Z</v>
          </cell>
          <cell r="C379" t="str">
            <v>K38 56R</v>
          </cell>
          <cell r="D379">
            <v>28</v>
          </cell>
        </row>
        <row r="380">
          <cell r="A380">
            <v>1000020410</v>
          </cell>
          <cell r="B380" t="str">
            <v>6202-2Z/C3</v>
          </cell>
          <cell r="C380" t="str">
            <v>G12 L3</v>
          </cell>
          <cell r="D380">
            <v>170</v>
          </cell>
        </row>
        <row r="381">
          <cell r="A381">
            <v>1000020411</v>
          </cell>
          <cell r="B381" t="str">
            <v>6202-2ZNR</v>
          </cell>
          <cell r="C381" t="str">
            <v>E8</v>
          </cell>
          <cell r="D381">
            <v>1</v>
          </cell>
        </row>
        <row r="382">
          <cell r="A382">
            <v>1000020412</v>
          </cell>
          <cell r="B382" t="str">
            <v>6202-Z</v>
          </cell>
          <cell r="C382" t="str">
            <v>E17 M5</v>
          </cell>
          <cell r="D382">
            <v>68</v>
          </cell>
        </row>
        <row r="383">
          <cell r="A383">
            <v>1000020414</v>
          </cell>
          <cell r="B383" t="str">
            <v>6203-2RSH</v>
          </cell>
          <cell r="C383" t="str">
            <v>B13</v>
          </cell>
          <cell r="D383">
            <v>14</v>
          </cell>
        </row>
        <row r="384">
          <cell r="A384">
            <v>1000020415</v>
          </cell>
          <cell r="B384" t="str">
            <v>6203-2RSH/C3</v>
          </cell>
          <cell r="C384" t="str">
            <v>E13 M5</v>
          </cell>
          <cell r="D384">
            <v>30</v>
          </cell>
        </row>
        <row r="385">
          <cell r="A385">
            <v>1000020416</v>
          </cell>
          <cell r="B385" t="str">
            <v>6203-2Z</v>
          </cell>
          <cell r="C385" t="str">
            <v>J16</v>
          </cell>
          <cell r="D385">
            <v>48</v>
          </cell>
        </row>
        <row r="386">
          <cell r="A386">
            <v>1000020417</v>
          </cell>
          <cell r="B386" t="str">
            <v>6203-2Z/C3</v>
          </cell>
          <cell r="C386" t="str">
            <v>I4 J14 M22 53 9R 57</v>
          </cell>
          <cell r="D386">
            <v>207</v>
          </cell>
        </row>
        <row r="387">
          <cell r="A387">
            <v>1000020418</v>
          </cell>
          <cell r="B387" t="str">
            <v>6203-Z</v>
          </cell>
          <cell r="C387" t="str">
            <v>E17 J6 K38 M5</v>
          </cell>
          <cell r="D387">
            <v>115</v>
          </cell>
        </row>
        <row r="388">
          <cell r="A388">
            <v>1000020419</v>
          </cell>
          <cell r="B388">
            <v>6204</v>
          </cell>
          <cell r="C388" t="str">
            <v>B9</v>
          </cell>
          <cell r="D388">
            <v>73</v>
          </cell>
        </row>
        <row r="389">
          <cell r="A389">
            <v>1000020420</v>
          </cell>
          <cell r="B389" t="str">
            <v>6204/C3</v>
          </cell>
          <cell r="C389" t="str">
            <v>E6 J9 M21 72</v>
          </cell>
          <cell r="D389">
            <v>28</v>
          </cell>
        </row>
        <row r="390">
          <cell r="A390">
            <v>1000020421</v>
          </cell>
          <cell r="B390" t="str">
            <v>6204-2RSH</v>
          </cell>
          <cell r="C390" t="str">
            <v>C17</v>
          </cell>
          <cell r="D390">
            <v>0</v>
          </cell>
        </row>
        <row r="391">
          <cell r="A391">
            <v>1000020422</v>
          </cell>
          <cell r="B391" t="str">
            <v>6204-2RSH/C3</v>
          </cell>
          <cell r="C391" t="str">
            <v>D5 M8</v>
          </cell>
          <cell r="D391">
            <v>56</v>
          </cell>
        </row>
        <row r="392">
          <cell r="A392">
            <v>1000020423</v>
          </cell>
          <cell r="B392" t="str">
            <v>6204-2Z</v>
          </cell>
          <cell r="C392" t="str">
            <v>L1 M22</v>
          </cell>
          <cell r="D392">
            <v>33</v>
          </cell>
        </row>
        <row r="393">
          <cell r="A393">
            <v>1000020424</v>
          </cell>
          <cell r="B393" t="str">
            <v>6204-2Z/C3</v>
          </cell>
          <cell r="C393" t="str">
            <v>J14 M32 56 20 57</v>
          </cell>
          <cell r="D393">
            <v>278</v>
          </cell>
        </row>
        <row r="394">
          <cell r="A394">
            <v>1000020425</v>
          </cell>
          <cell r="B394" t="str">
            <v>6204-2Z/C3GJN</v>
          </cell>
          <cell r="C394" t="str">
            <v>D18 M10</v>
          </cell>
          <cell r="D394">
            <v>20</v>
          </cell>
        </row>
        <row r="395">
          <cell r="A395">
            <v>1000020426</v>
          </cell>
          <cell r="B395" t="str">
            <v>6204-2Z/WT</v>
          </cell>
          <cell r="C395" t="str">
            <v>D16</v>
          </cell>
          <cell r="D395">
            <v>2</v>
          </cell>
        </row>
        <row r="396">
          <cell r="A396">
            <v>1000020427</v>
          </cell>
          <cell r="B396" t="str">
            <v>6204-RSH</v>
          </cell>
          <cell r="C396" t="str">
            <v>E7</v>
          </cell>
          <cell r="D396">
            <v>4</v>
          </cell>
        </row>
        <row r="397">
          <cell r="A397">
            <v>1000020428</v>
          </cell>
          <cell r="B397" t="str">
            <v>6204-Z/C3</v>
          </cell>
          <cell r="C397" t="str">
            <v>E18</v>
          </cell>
          <cell r="D397">
            <v>4</v>
          </cell>
        </row>
        <row r="398">
          <cell r="A398">
            <v>1000020429</v>
          </cell>
          <cell r="B398">
            <v>6205</v>
          </cell>
          <cell r="C398" t="str">
            <v>G12</v>
          </cell>
          <cell r="D398">
            <v>0</v>
          </cell>
        </row>
        <row r="399">
          <cell r="A399">
            <v>1000020430</v>
          </cell>
          <cell r="B399" t="str">
            <v>6205 NR</v>
          </cell>
          <cell r="C399" t="str">
            <v>C1 H2</v>
          </cell>
          <cell r="D399">
            <v>4</v>
          </cell>
        </row>
        <row r="400">
          <cell r="A400">
            <v>1000020431</v>
          </cell>
          <cell r="B400" t="str">
            <v>6205/C3</v>
          </cell>
          <cell r="C400" t="str">
            <v>C10 K12 K22 K39 M1</v>
          </cell>
          <cell r="D400">
            <v>110</v>
          </cell>
        </row>
        <row r="401">
          <cell r="A401">
            <v>1000020432</v>
          </cell>
          <cell r="B401" t="str">
            <v>6205-2RSH</v>
          </cell>
          <cell r="C401" t="str">
            <v>K39 I3</v>
          </cell>
          <cell r="D401">
            <v>150</v>
          </cell>
        </row>
        <row r="402">
          <cell r="A402">
            <v>1000020433</v>
          </cell>
          <cell r="B402" t="str">
            <v>6205-2RSH/C3</v>
          </cell>
          <cell r="C402" t="str">
            <v>M8 M30 42 1</v>
          </cell>
          <cell r="D402">
            <v>38</v>
          </cell>
        </row>
        <row r="403">
          <cell r="A403">
            <v>1000020434</v>
          </cell>
          <cell r="B403" t="str">
            <v>6205-2Z</v>
          </cell>
          <cell r="C403" t="str">
            <v>L3</v>
          </cell>
          <cell r="D403">
            <v>138</v>
          </cell>
        </row>
        <row r="404">
          <cell r="A404">
            <v>1000020435</v>
          </cell>
          <cell r="B404" t="str">
            <v>6205-2Z/C3</v>
          </cell>
          <cell r="C404" t="str">
            <v>L2 N2 29 30 9R</v>
          </cell>
          <cell r="D404">
            <v>170</v>
          </cell>
        </row>
        <row r="405">
          <cell r="A405">
            <v>1000020436</v>
          </cell>
          <cell r="B405" t="str">
            <v>6205-Z/C3</v>
          </cell>
          <cell r="C405" t="str">
            <v>D14</v>
          </cell>
          <cell r="D405">
            <v>3</v>
          </cell>
        </row>
        <row r="406">
          <cell r="A406">
            <v>1000020437</v>
          </cell>
          <cell r="B406">
            <v>6206</v>
          </cell>
          <cell r="C406" t="str">
            <v>I3 I15 K38</v>
          </cell>
          <cell r="D406">
            <v>89</v>
          </cell>
        </row>
        <row r="407">
          <cell r="A407">
            <v>1000020438</v>
          </cell>
          <cell r="B407" t="str">
            <v>6206 N</v>
          </cell>
          <cell r="C407" t="str">
            <v>D3</v>
          </cell>
          <cell r="D407">
            <v>1</v>
          </cell>
        </row>
        <row r="408">
          <cell r="A408">
            <v>1000020439</v>
          </cell>
          <cell r="B408" t="str">
            <v>6206/C3</v>
          </cell>
          <cell r="C408" t="str">
            <v>M24</v>
          </cell>
          <cell r="D408">
            <v>11</v>
          </cell>
        </row>
        <row r="409">
          <cell r="A409">
            <v>1000020440</v>
          </cell>
          <cell r="B409" t="str">
            <v>6206-2RS1</v>
          </cell>
          <cell r="C409" t="str">
            <v>K12 K39 K40</v>
          </cell>
          <cell r="D409">
            <v>175</v>
          </cell>
        </row>
        <row r="410">
          <cell r="A410">
            <v>1000020441</v>
          </cell>
          <cell r="B410" t="str">
            <v>6206-2RS1/C3</v>
          </cell>
          <cell r="C410" t="str">
            <v>E5 M2</v>
          </cell>
          <cell r="D410">
            <v>105</v>
          </cell>
        </row>
        <row r="411">
          <cell r="A411">
            <v>1000020442</v>
          </cell>
          <cell r="B411" t="str">
            <v>6206-2Z</v>
          </cell>
          <cell r="C411" t="str">
            <v>L10 M15 M26</v>
          </cell>
          <cell r="D411">
            <v>88</v>
          </cell>
        </row>
        <row r="412">
          <cell r="A412">
            <v>1000020443</v>
          </cell>
          <cell r="B412" t="str">
            <v>6206-2Z/C3</v>
          </cell>
          <cell r="C412" t="str">
            <v>M4</v>
          </cell>
          <cell r="D412">
            <v>157</v>
          </cell>
        </row>
        <row r="413">
          <cell r="A413">
            <v>1000020444</v>
          </cell>
          <cell r="B413" t="str">
            <v>6206-2Z/C4</v>
          </cell>
          <cell r="C413" t="str">
            <v>D10</v>
          </cell>
          <cell r="D413">
            <v>1</v>
          </cell>
        </row>
        <row r="414">
          <cell r="A414">
            <v>1000020445</v>
          </cell>
          <cell r="B414" t="str">
            <v>6206-Z</v>
          </cell>
          <cell r="C414" t="str">
            <v>I2 K40 M15</v>
          </cell>
          <cell r="D414">
            <v>41</v>
          </cell>
        </row>
        <row r="415">
          <cell r="A415">
            <v>1000020446</v>
          </cell>
          <cell r="B415" t="str">
            <v>6206-Z/C3</v>
          </cell>
          <cell r="C415" t="str">
            <v>K4 K21</v>
          </cell>
          <cell r="D415">
            <v>12</v>
          </cell>
        </row>
        <row r="416">
          <cell r="A416">
            <v>1000020447</v>
          </cell>
          <cell r="B416" t="str">
            <v>6206-ZN</v>
          </cell>
          <cell r="C416" t="str">
            <v>D10</v>
          </cell>
          <cell r="D416">
            <v>1</v>
          </cell>
        </row>
        <row r="417">
          <cell r="A417">
            <v>1000020448</v>
          </cell>
          <cell r="B417">
            <v>6207</v>
          </cell>
          <cell r="C417" t="str">
            <v>I4</v>
          </cell>
          <cell r="D417">
            <v>0</v>
          </cell>
        </row>
        <row r="418">
          <cell r="A418">
            <v>1000020449</v>
          </cell>
          <cell r="B418" t="str">
            <v>6207 NR/C3</v>
          </cell>
          <cell r="C418" t="str">
            <v>D6</v>
          </cell>
          <cell r="D418">
            <v>3</v>
          </cell>
        </row>
        <row r="419">
          <cell r="A419">
            <v>1000020450</v>
          </cell>
          <cell r="B419" t="str">
            <v>6207/C3</v>
          </cell>
          <cell r="C419" t="str">
            <v>L9</v>
          </cell>
          <cell r="D419">
            <v>15</v>
          </cell>
        </row>
        <row r="420">
          <cell r="A420">
            <v>1000020451</v>
          </cell>
          <cell r="B420" t="str">
            <v>6207/C4</v>
          </cell>
          <cell r="C420" t="str">
            <v>D13 M3</v>
          </cell>
          <cell r="D420">
            <v>10</v>
          </cell>
        </row>
        <row r="421">
          <cell r="A421">
            <v>1000020452</v>
          </cell>
          <cell r="B421" t="str">
            <v>6207-2RS1</v>
          </cell>
          <cell r="C421" t="str">
            <v>G3 L11</v>
          </cell>
          <cell r="D421">
            <v>104</v>
          </cell>
        </row>
        <row r="422">
          <cell r="A422">
            <v>1000020453</v>
          </cell>
          <cell r="B422" t="str">
            <v>6207-2RS1/C3</v>
          </cell>
          <cell r="C422" t="str">
            <v>C6 M10</v>
          </cell>
          <cell r="D422">
            <v>16</v>
          </cell>
        </row>
        <row r="423">
          <cell r="A423">
            <v>1000020454</v>
          </cell>
          <cell r="B423" t="str">
            <v>6207-2Z</v>
          </cell>
          <cell r="C423" t="str">
            <v>M20</v>
          </cell>
          <cell r="D423">
            <v>68</v>
          </cell>
        </row>
        <row r="424">
          <cell r="A424">
            <v>1000020455</v>
          </cell>
          <cell r="B424" t="str">
            <v>6207-2Z/C3</v>
          </cell>
          <cell r="C424" t="str">
            <v>E5 72</v>
          </cell>
          <cell r="D424">
            <v>9</v>
          </cell>
        </row>
        <row r="425">
          <cell r="A425">
            <v>1000020456</v>
          </cell>
          <cell r="B425" t="str">
            <v>6207-2Z/GJN</v>
          </cell>
          <cell r="C425" t="str">
            <v>E14</v>
          </cell>
          <cell r="D425">
            <v>1</v>
          </cell>
        </row>
        <row r="426">
          <cell r="A426">
            <v>1000020457</v>
          </cell>
          <cell r="B426" t="str">
            <v>6207-Z/C3</v>
          </cell>
          <cell r="C426" t="str">
            <v>E7</v>
          </cell>
          <cell r="D426">
            <v>1</v>
          </cell>
        </row>
        <row r="427">
          <cell r="A427">
            <v>1000020458</v>
          </cell>
          <cell r="B427" t="str">
            <v>6207-ZNR</v>
          </cell>
          <cell r="C427" t="str">
            <v>E11</v>
          </cell>
          <cell r="D427">
            <v>1</v>
          </cell>
        </row>
        <row r="428">
          <cell r="A428">
            <v>1000020459</v>
          </cell>
          <cell r="B428">
            <v>6208</v>
          </cell>
          <cell r="C428" t="str">
            <v>D13 F3 L16 M13 M23</v>
          </cell>
          <cell r="D428">
            <v>65</v>
          </cell>
        </row>
        <row r="429">
          <cell r="A429">
            <v>1000020460</v>
          </cell>
          <cell r="B429" t="str">
            <v>6208/C3</v>
          </cell>
          <cell r="C429" t="str">
            <v>J9 24</v>
          </cell>
          <cell r="D429">
            <v>114</v>
          </cell>
        </row>
        <row r="430">
          <cell r="A430">
            <v>1000020461</v>
          </cell>
          <cell r="B430" t="str">
            <v>6208-2RS1/C3</v>
          </cell>
          <cell r="C430" t="str">
            <v>F6 F15 K21 K40 L14</v>
          </cell>
          <cell r="D430">
            <v>117</v>
          </cell>
        </row>
        <row r="431">
          <cell r="A431">
            <v>1000020462</v>
          </cell>
          <cell r="B431" t="str">
            <v>6208-2Z</v>
          </cell>
          <cell r="C431" t="str">
            <v>A3</v>
          </cell>
          <cell r="D431">
            <v>192</v>
          </cell>
        </row>
        <row r="432">
          <cell r="A432">
            <v>1000020463</v>
          </cell>
          <cell r="B432" t="str">
            <v>6208-2Z/C3</v>
          </cell>
          <cell r="C432" t="str">
            <v>F2 F15 M32 82 61 34R 25</v>
          </cell>
          <cell r="D432">
            <v>179</v>
          </cell>
        </row>
        <row r="433">
          <cell r="A433">
            <v>1000020464</v>
          </cell>
          <cell r="B433" t="str">
            <v xml:space="preserve"> 6208-2Z/C3HT</v>
          </cell>
          <cell r="C433" t="str">
            <v xml:space="preserve"> 69R</v>
          </cell>
          <cell r="D433">
            <v>5</v>
          </cell>
        </row>
        <row r="434">
          <cell r="A434">
            <v>1000020465</v>
          </cell>
          <cell r="B434" t="str">
            <v>6208-2Z/GJN</v>
          </cell>
          <cell r="C434" t="str">
            <v>C2</v>
          </cell>
          <cell r="D434">
            <v>0</v>
          </cell>
        </row>
        <row r="435">
          <cell r="A435">
            <v>1000020466</v>
          </cell>
          <cell r="B435" t="str">
            <v>6208-2ZNR</v>
          </cell>
          <cell r="C435" t="str">
            <v>C14</v>
          </cell>
          <cell r="D435">
            <v>3</v>
          </cell>
        </row>
        <row r="436">
          <cell r="A436">
            <v>1000020467</v>
          </cell>
          <cell r="B436" t="str">
            <v>6208-RS1</v>
          </cell>
          <cell r="C436" t="str">
            <v>D13</v>
          </cell>
          <cell r="D436">
            <v>4</v>
          </cell>
        </row>
        <row r="437">
          <cell r="A437">
            <v>1000020468</v>
          </cell>
          <cell r="B437" t="str">
            <v>6208-RS1/C3</v>
          </cell>
          <cell r="C437" t="str">
            <v>C10 M3</v>
          </cell>
          <cell r="D437">
            <v>25</v>
          </cell>
        </row>
        <row r="438">
          <cell r="A438">
            <v>1000020469</v>
          </cell>
          <cell r="B438" t="str">
            <v>6208-Z</v>
          </cell>
          <cell r="C438" t="str">
            <v>D13</v>
          </cell>
          <cell r="D438">
            <v>4</v>
          </cell>
        </row>
        <row r="439">
          <cell r="A439">
            <v>1000020470</v>
          </cell>
          <cell r="B439" t="str">
            <v>6208-Z/C3</v>
          </cell>
          <cell r="C439" t="str">
            <v>F3 J14</v>
          </cell>
          <cell r="D439">
            <v>27</v>
          </cell>
        </row>
        <row r="440">
          <cell r="A440">
            <v>1000020471</v>
          </cell>
          <cell r="B440">
            <v>6209</v>
          </cell>
          <cell r="C440" t="str">
            <v>A6</v>
          </cell>
          <cell r="D440">
            <v>92</v>
          </cell>
        </row>
        <row r="441">
          <cell r="A441">
            <v>1000020472</v>
          </cell>
          <cell r="B441" t="str">
            <v>6209/C3</v>
          </cell>
          <cell r="C441" t="str">
            <v>_63 65R N2 21</v>
          </cell>
          <cell r="D441">
            <v>101</v>
          </cell>
        </row>
        <row r="442">
          <cell r="A442">
            <v>1000020473</v>
          </cell>
          <cell r="B442" t="str">
            <v>6209/C4</v>
          </cell>
          <cell r="C442" t="str">
            <v>D14</v>
          </cell>
          <cell r="D442">
            <v>3</v>
          </cell>
        </row>
        <row r="443">
          <cell r="A443">
            <v>1000020474</v>
          </cell>
          <cell r="B443" t="str">
            <v>6209-2RS1</v>
          </cell>
          <cell r="C443" t="str">
            <v>E10 I3 K21</v>
          </cell>
          <cell r="D443">
            <v>65</v>
          </cell>
        </row>
        <row r="444">
          <cell r="A444">
            <v>1000020475</v>
          </cell>
          <cell r="B444" t="str">
            <v>6209-2RS1/C3</v>
          </cell>
          <cell r="C444" t="str">
            <v>C1 M11</v>
          </cell>
          <cell r="D444">
            <v>95</v>
          </cell>
        </row>
        <row r="445">
          <cell r="A445">
            <v>1000020476</v>
          </cell>
          <cell r="B445" t="str">
            <v>6209-2Z</v>
          </cell>
          <cell r="C445" t="str">
            <v>C1</v>
          </cell>
          <cell r="D445">
            <v>1</v>
          </cell>
        </row>
        <row r="446">
          <cell r="A446">
            <v>1000020477</v>
          </cell>
          <cell r="B446" t="str">
            <v>6209-2Z/C3</v>
          </cell>
          <cell r="C446" t="str">
            <v>K36 86 5 57</v>
          </cell>
          <cell r="D446">
            <v>165</v>
          </cell>
        </row>
        <row r="447">
          <cell r="A447">
            <v>1000020478</v>
          </cell>
          <cell r="B447" t="str">
            <v>6209-Z</v>
          </cell>
          <cell r="C447" t="str">
            <v>E5</v>
          </cell>
          <cell r="D447">
            <v>3</v>
          </cell>
        </row>
        <row r="448">
          <cell r="A448">
            <v>1000020479</v>
          </cell>
          <cell r="B448" t="str">
            <v>6209-Z/C3</v>
          </cell>
          <cell r="C448" t="str">
            <v>G4 K40</v>
          </cell>
          <cell r="D448">
            <v>36</v>
          </cell>
        </row>
        <row r="449">
          <cell r="A449">
            <v>1000020480</v>
          </cell>
          <cell r="B449">
            <v>6210</v>
          </cell>
          <cell r="C449" t="str">
            <v>G2</v>
          </cell>
          <cell r="D449">
            <v>8</v>
          </cell>
        </row>
        <row r="450">
          <cell r="A450">
            <v>1000020481</v>
          </cell>
          <cell r="B450" t="str">
            <v>6210 NR/C3</v>
          </cell>
          <cell r="C450" t="str">
            <v>C10</v>
          </cell>
          <cell r="D450">
            <v>1</v>
          </cell>
        </row>
        <row r="451">
          <cell r="A451">
            <v>1000020482</v>
          </cell>
          <cell r="B451" t="str">
            <v>6210/C3</v>
          </cell>
          <cell r="C451" t="str">
            <v>G3 G11 K15 J16</v>
          </cell>
          <cell r="D451">
            <v>58</v>
          </cell>
        </row>
        <row r="452">
          <cell r="A452">
            <v>1000020483</v>
          </cell>
          <cell r="B452" t="str">
            <v>6210/C4</v>
          </cell>
          <cell r="C452" t="str">
            <v>I3</v>
          </cell>
          <cell r="D452">
            <v>7</v>
          </cell>
        </row>
        <row r="453">
          <cell r="A453">
            <v>1000020484</v>
          </cell>
          <cell r="B453" t="str">
            <v>6210-2RS1/C3</v>
          </cell>
          <cell r="C453" t="str">
            <v>C1 K8 M4</v>
          </cell>
          <cell r="D453">
            <v>37</v>
          </cell>
        </row>
        <row r="454">
          <cell r="A454">
            <v>1000020485</v>
          </cell>
          <cell r="B454" t="str">
            <v>6210-2Z</v>
          </cell>
          <cell r="C454" t="str">
            <v>L1</v>
          </cell>
          <cell r="D454">
            <v>40</v>
          </cell>
        </row>
        <row r="455">
          <cell r="A455">
            <v>1000020486</v>
          </cell>
          <cell r="B455" t="str">
            <v>6210-2Z/C3</v>
          </cell>
          <cell r="C455" t="str">
            <v>K33  65R</v>
          </cell>
          <cell r="D455">
            <v>0</v>
          </cell>
        </row>
        <row r="456">
          <cell r="A456">
            <v>1000020487</v>
          </cell>
          <cell r="B456" t="str">
            <v>6210-Z/C3</v>
          </cell>
          <cell r="C456" t="str">
            <v>G17</v>
          </cell>
          <cell r="D456">
            <v>12</v>
          </cell>
        </row>
        <row r="457">
          <cell r="A457">
            <v>1000020488</v>
          </cell>
          <cell r="B457">
            <v>6211</v>
          </cell>
          <cell r="C457" t="str">
            <v>M9</v>
          </cell>
          <cell r="D457">
            <v>63</v>
          </cell>
        </row>
        <row r="458">
          <cell r="A458">
            <v>1000020489</v>
          </cell>
          <cell r="B458" t="str">
            <v>6211/C3</v>
          </cell>
          <cell r="C458" t="str">
            <v>J15 J9 M11 49 39R</v>
          </cell>
          <cell r="D458">
            <v>128</v>
          </cell>
        </row>
        <row r="459">
          <cell r="A459">
            <v>1000020490</v>
          </cell>
          <cell r="B459" t="str">
            <v>6211-2RS1/C3</v>
          </cell>
          <cell r="C459" t="str">
            <v>D17 J3 I14 K4 M21</v>
          </cell>
          <cell r="D459">
            <v>83</v>
          </cell>
        </row>
        <row r="460">
          <cell r="A460">
            <v>1000020491</v>
          </cell>
          <cell r="B460" t="str">
            <v>6211-2Z</v>
          </cell>
          <cell r="C460" t="str">
            <v>E18</v>
          </cell>
          <cell r="D460">
            <v>1</v>
          </cell>
        </row>
        <row r="461">
          <cell r="A461">
            <v>1000020492</v>
          </cell>
          <cell r="B461" t="str">
            <v>6211-2Z/C3</v>
          </cell>
          <cell r="C461" t="str">
            <v>F11 L7 29R 57</v>
          </cell>
          <cell r="D461">
            <v>98</v>
          </cell>
        </row>
        <row r="462">
          <cell r="A462">
            <v>1000020493</v>
          </cell>
          <cell r="B462" t="str">
            <v>6211-Z/C3</v>
          </cell>
          <cell r="C462" t="str">
            <v>A10</v>
          </cell>
          <cell r="D462">
            <v>8</v>
          </cell>
        </row>
        <row r="463">
          <cell r="A463">
            <v>1000020494</v>
          </cell>
          <cell r="B463">
            <v>6212</v>
          </cell>
          <cell r="C463" t="str">
            <v>G7</v>
          </cell>
          <cell r="D463">
            <v>3</v>
          </cell>
        </row>
        <row r="464">
          <cell r="A464">
            <v>1000020495</v>
          </cell>
          <cell r="B464" t="str">
            <v>6212/C3</v>
          </cell>
          <cell r="C464" t="str">
            <v>A12 31 53 52 13R 18R  7 56R 4 14</v>
          </cell>
          <cell r="D464">
            <v>271</v>
          </cell>
        </row>
        <row r="465">
          <cell r="A465">
            <v>1000020496</v>
          </cell>
          <cell r="B465" t="str">
            <v>6212/C4</v>
          </cell>
          <cell r="C465" t="str">
            <v>A13</v>
          </cell>
          <cell r="D465">
            <v>23</v>
          </cell>
        </row>
        <row r="466">
          <cell r="A466">
            <v>1000020497</v>
          </cell>
          <cell r="B466" t="str">
            <v>6212-2RS1/C3</v>
          </cell>
          <cell r="C466" t="str">
            <v>C18 H4</v>
          </cell>
          <cell r="D466">
            <v>24</v>
          </cell>
        </row>
        <row r="467">
          <cell r="A467">
            <v>1000020498</v>
          </cell>
          <cell r="B467" t="str">
            <v>6212-2Z</v>
          </cell>
          <cell r="C467" t="str">
            <v>J11</v>
          </cell>
          <cell r="D467">
            <v>99</v>
          </cell>
        </row>
        <row r="468">
          <cell r="A468">
            <v>1000020499</v>
          </cell>
          <cell r="B468" t="str">
            <v>6212-2Z/C3</v>
          </cell>
          <cell r="C468" t="str">
            <v>A12 8R</v>
          </cell>
          <cell r="D468">
            <v>108</v>
          </cell>
        </row>
        <row r="469">
          <cell r="A469">
            <v>1000020500</v>
          </cell>
          <cell r="B469" t="str">
            <v>6212-2Z/VA228</v>
          </cell>
          <cell r="C469" t="str">
            <v>H5</v>
          </cell>
          <cell r="D469">
            <v>12</v>
          </cell>
        </row>
        <row r="470">
          <cell r="A470">
            <v>1000020501</v>
          </cell>
          <cell r="B470" t="str">
            <v>6212-RS1/C3</v>
          </cell>
          <cell r="C470" t="str">
            <v>C2</v>
          </cell>
          <cell r="D470">
            <v>2</v>
          </cell>
        </row>
        <row r="471">
          <cell r="A471">
            <v>1000020502</v>
          </cell>
          <cell r="B471" t="str">
            <v>6212-Z</v>
          </cell>
          <cell r="C471" t="str">
            <v>B2</v>
          </cell>
          <cell r="D471">
            <v>4</v>
          </cell>
        </row>
        <row r="472">
          <cell r="A472">
            <v>1000020503</v>
          </cell>
          <cell r="B472" t="str">
            <v>6212-Z/C3</v>
          </cell>
          <cell r="C472" t="str">
            <v>A7</v>
          </cell>
          <cell r="D472">
            <v>10</v>
          </cell>
        </row>
        <row r="473">
          <cell r="A473">
            <v>1000020505</v>
          </cell>
          <cell r="B473" t="str">
            <v>6213 M/C3</v>
          </cell>
          <cell r="C473" t="str">
            <v>D14</v>
          </cell>
          <cell r="D473">
            <v>0</v>
          </cell>
        </row>
        <row r="474">
          <cell r="A474">
            <v>1000020506</v>
          </cell>
          <cell r="B474" t="str">
            <v>6213/C3</v>
          </cell>
          <cell r="C474" t="str">
            <v>K22 72</v>
          </cell>
          <cell r="D474">
            <v>4</v>
          </cell>
        </row>
        <row r="475">
          <cell r="A475">
            <v>1000020507</v>
          </cell>
          <cell r="B475" t="str">
            <v>6213-2RS1</v>
          </cell>
          <cell r="C475" t="str">
            <v>F19 G9 I10</v>
          </cell>
          <cell r="D475">
            <v>21</v>
          </cell>
        </row>
        <row r="476">
          <cell r="A476">
            <v>1000020508</v>
          </cell>
          <cell r="B476" t="str">
            <v>6213-2RS1/C3</v>
          </cell>
          <cell r="C476" t="str">
            <v>E7 M11</v>
          </cell>
          <cell r="D476">
            <v>10</v>
          </cell>
        </row>
        <row r="477">
          <cell r="A477">
            <v>1000020509</v>
          </cell>
          <cell r="B477" t="str">
            <v>6213-2Z/C3 (D)</v>
          </cell>
          <cell r="C477" t="str">
            <v>M5 56 6R N1 7 56R 72</v>
          </cell>
          <cell r="D477">
            <v>54</v>
          </cell>
        </row>
        <row r="478">
          <cell r="A478">
            <v>1000020510</v>
          </cell>
          <cell r="B478" t="str">
            <v>6213-Z/C3</v>
          </cell>
          <cell r="C478" t="str">
            <v>E14 N1 7</v>
          </cell>
          <cell r="D478">
            <v>10</v>
          </cell>
        </row>
        <row r="479">
          <cell r="A479">
            <v>1000020511</v>
          </cell>
          <cell r="B479">
            <v>6214</v>
          </cell>
          <cell r="C479" t="str">
            <v>A7 72</v>
          </cell>
          <cell r="D479">
            <v>8</v>
          </cell>
        </row>
        <row r="480">
          <cell r="A480">
            <v>1000020513</v>
          </cell>
          <cell r="B480" t="str">
            <v>6214/C4</v>
          </cell>
          <cell r="C480" t="str">
            <v>K16 91 41R</v>
          </cell>
          <cell r="D480">
            <v>47</v>
          </cell>
        </row>
        <row r="481">
          <cell r="A481">
            <v>1000020514</v>
          </cell>
          <cell r="B481" t="str">
            <v>6214-2RS1/C3</v>
          </cell>
          <cell r="C481" t="str">
            <v>C14</v>
          </cell>
          <cell r="D481">
            <v>8</v>
          </cell>
        </row>
        <row r="482">
          <cell r="A482">
            <v>1000020515</v>
          </cell>
          <cell r="B482" t="str">
            <v>6214-2Z/C3</v>
          </cell>
          <cell r="C482" t="str">
            <v>C17 M8</v>
          </cell>
          <cell r="D482">
            <v>17</v>
          </cell>
        </row>
        <row r="483">
          <cell r="A483">
            <v>1000020516</v>
          </cell>
          <cell r="B483" t="str">
            <v>6214-Z</v>
          </cell>
          <cell r="C483" t="str">
            <v>C15 K15 K11 M27</v>
          </cell>
          <cell r="D483">
            <v>21</v>
          </cell>
        </row>
        <row r="484">
          <cell r="A484">
            <v>1000020517</v>
          </cell>
          <cell r="B484" t="str">
            <v>6214-Z/C3</v>
          </cell>
          <cell r="C484" t="str">
            <v>E11</v>
          </cell>
          <cell r="D484">
            <v>2</v>
          </cell>
        </row>
        <row r="485">
          <cell r="A485">
            <v>1000020518</v>
          </cell>
          <cell r="B485">
            <v>6215</v>
          </cell>
          <cell r="C485" t="str">
            <v>K27 L15 M21</v>
          </cell>
          <cell r="D485">
            <v>44</v>
          </cell>
        </row>
        <row r="486">
          <cell r="A486">
            <v>1000020519</v>
          </cell>
          <cell r="B486" t="str">
            <v>6215/C3</v>
          </cell>
          <cell r="C486" t="str">
            <v>F9 K15</v>
          </cell>
          <cell r="D486">
            <v>4</v>
          </cell>
        </row>
        <row r="487">
          <cell r="A487">
            <v>1000020520</v>
          </cell>
          <cell r="B487" t="str">
            <v>6215-2RS1</v>
          </cell>
          <cell r="C487" t="str">
            <v>B8 J13</v>
          </cell>
          <cell r="D487">
            <v>3</v>
          </cell>
        </row>
        <row r="488">
          <cell r="A488">
            <v>1000020521</v>
          </cell>
          <cell r="B488" t="str">
            <v>6215-2RS1/C3</v>
          </cell>
          <cell r="C488" t="str">
            <v>D11</v>
          </cell>
          <cell r="D488">
            <v>8</v>
          </cell>
        </row>
        <row r="489">
          <cell r="A489">
            <v>1000020522</v>
          </cell>
          <cell r="B489" t="str">
            <v>6215-2Z/C3</v>
          </cell>
          <cell r="C489" t="str">
            <v>C14 M10</v>
          </cell>
          <cell r="D489">
            <v>19</v>
          </cell>
        </row>
        <row r="490">
          <cell r="A490">
            <v>1000020523</v>
          </cell>
          <cell r="B490" t="str">
            <v>6215-Z/C3</v>
          </cell>
          <cell r="C490" t="str">
            <v>D7</v>
          </cell>
          <cell r="D490">
            <v>11</v>
          </cell>
        </row>
        <row r="491">
          <cell r="A491">
            <v>1000020524</v>
          </cell>
          <cell r="B491" t="str">
            <v>SKF BEARING - 6216</v>
          </cell>
          <cell r="C491" t="str">
            <v>D18 M5</v>
          </cell>
          <cell r="D491">
            <v>6</v>
          </cell>
        </row>
        <row r="492">
          <cell r="A492">
            <v>1000020525</v>
          </cell>
          <cell r="B492" t="str">
            <v>6216/C3</v>
          </cell>
          <cell r="C492" t="str">
            <v>M9 E4 25 30 47 13R 62R</v>
          </cell>
          <cell r="D492">
            <v>122</v>
          </cell>
        </row>
        <row r="493">
          <cell r="A493">
            <v>1000020526</v>
          </cell>
          <cell r="B493" t="str">
            <v>6216-2RS1</v>
          </cell>
          <cell r="C493" t="str">
            <v>K10 K34</v>
          </cell>
          <cell r="D493">
            <v>25</v>
          </cell>
        </row>
        <row r="494">
          <cell r="A494">
            <v>1000020527</v>
          </cell>
          <cell r="B494" t="str">
            <v>6216-2RS1/C3</v>
          </cell>
          <cell r="C494" t="str">
            <v>C3 M1</v>
          </cell>
          <cell r="D494">
            <v>10</v>
          </cell>
        </row>
        <row r="495">
          <cell r="A495">
            <v>1000020528</v>
          </cell>
          <cell r="B495" t="str">
            <v>6216-2Z</v>
          </cell>
          <cell r="C495" t="str">
            <v>D19</v>
          </cell>
          <cell r="D495">
            <v>1</v>
          </cell>
        </row>
        <row r="496">
          <cell r="A496">
            <v>1000020529</v>
          </cell>
          <cell r="B496" t="str">
            <v>6216-2Z/C3</v>
          </cell>
          <cell r="C496" t="str">
            <v>C3 E2 I11 J16</v>
          </cell>
          <cell r="D496">
            <v>3</v>
          </cell>
        </row>
        <row r="497">
          <cell r="A497">
            <v>1000020530</v>
          </cell>
          <cell r="B497" t="str">
            <v>6217 M/C3</v>
          </cell>
          <cell r="C497" t="str">
            <v>C10</v>
          </cell>
          <cell r="D497">
            <v>1</v>
          </cell>
        </row>
        <row r="498">
          <cell r="A498">
            <v>1000020531</v>
          </cell>
          <cell r="B498" t="str">
            <v>6217/C3</v>
          </cell>
          <cell r="C498" t="str">
            <v>B19</v>
          </cell>
          <cell r="D498">
            <v>10</v>
          </cell>
        </row>
        <row r="499">
          <cell r="A499">
            <v>1000020532</v>
          </cell>
          <cell r="B499" t="str">
            <v>6217-2RS1/C3</v>
          </cell>
          <cell r="C499" t="str">
            <v>C10</v>
          </cell>
          <cell r="D499">
            <v>2</v>
          </cell>
        </row>
        <row r="500">
          <cell r="A500">
            <v>1000020533</v>
          </cell>
          <cell r="B500" t="str">
            <v>6217-2Z/C3</v>
          </cell>
          <cell r="C500" t="str">
            <v>M27 79 75 22R 41R 21R</v>
          </cell>
          <cell r="D500">
            <v>37</v>
          </cell>
        </row>
        <row r="501">
          <cell r="A501">
            <v>1000020534</v>
          </cell>
          <cell r="B501" t="str">
            <v>6218/C3</v>
          </cell>
          <cell r="C501" t="str">
            <v>M14 34 65 19R  63R</v>
          </cell>
          <cell r="D501">
            <v>59</v>
          </cell>
        </row>
        <row r="502">
          <cell r="A502">
            <v>1000020535</v>
          </cell>
          <cell r="B502" t="str">
            <v>6218/C4</v>
          </cell>
          <cell r="C502" t="str">
            <v>C3</v>
          </cell>
          <cell r="D502">
            <v>2</v>
          </cell>
        </row>
        <row r="503">
          <cell r="A503">
            <v>1000020536</v>
          </cell>
          <cell r="B503" t="str">
            <v>6218-2RS1/C3</v>
          </cell>
          <cell r="C503" t="str">
            <v>C10 M1</v>
          </cell>
          <cell r="D503">
            <v>10</v>
          </cell>
        </row>
        <row r="504">
          <cell r="A504">
            <v>1000020537</v>
          </cell>
          <cell r="B504" t="str">
            <v>6218-2Z</v>
          </cell>
          <cell r="C504" t="str">
            <v>C2</v>
          </cell>
          <cell r="D504">
            <v>2</v>
          </cell>
        </row>
        <row r="505">
          <cell r="A505">
            <v>1000020538</v>
          </cell>
          <cell r="B505" t="str">
            <v>6218-2Z/C3</v>
          </cell>
          <cell r="C505" t="str">
            <v>E9</v>
          </cell>
          <cell r="D505">
            <v>5</v>
          </cell>
        </row>
        <row r="506">
          <cell r="A506">
            <v>1000020539</v>
          </cell>
          <cell r="B506" t="str">
            <v>6219 M/C3</v>
          </cell>
          <cell r="C506" t="str">
            <v>C8</v>
          </cell>
          <cell r="D506">
            <v>3</v>
          </cell>
        </row>
        <row r="507">
          <cell r="A507">
            <v>1000020540</v>
          </cell>
          <cell r="B507" t="str">
            <v>6219/C3</v>
          </cell>
          <cell r="C507" t="str">
            <v>F14 I10 J17</v>
          </cell>
          <cell r="D507">
            <v>14</v>
          </cell>
        </row>
        <row r="508">
          <cell r="A508">
            <v>1000020542</v>
          </cell>
          <cell r="B508" t="str">
            <v>6219-2RS1/C3</v>
          </cell>
          <cell r="C508" t="str">
            <v>E9</v>
          </cell>
          <cell r="D508">
            <v>2</v>
          </cell>
        </row>
        <row r="509">
          <cell r="A509">
            <v>1000020543</v>
          </cell>
          <cell r="B509" t="str">
            <v>6219-2Z/C3</v>
          </cell>
          <cell r="C509" t="str">
            <v>C3 M12</v>
          </cell>
          <cell r="D509">
            <v>6</v>
          </cell>
        </row>
        <row r="510">
          <cell r="A510">
            <v>1000020544</v>
          </cell>
          <cell r="B510" t="str">
            <v>6219-Z/C3</v>
          </cell>
          <cell r="C510" t="str">
            <v>C10</v>
          </cell>
          <cell r="D510">
            <v>1</v>
          </cell>
        </row>
        <row r="511">
          <cell r="A511">
            <v>1000020545</v>
          </cell>
          <cell r="B511">
            <v>6220</v>
          </cell>
          <cell r="C511" t="str">
            <v>A7</v>
          </cell>
          <cell r="D511">
            <v>0</v>
          </cell>
        </row>
        <row r="512">
          <cell r="A512">
            <v>1000020546</v>
          </cell>
          <cell r="B512" t="str">
            <v>6220/C3</v>
          </cell>
          <cell r="C512" t="str">
            <v>M12</v>
          </cell>
          <cell r="D512">
            <v>0</v>
          </cell>
        </row>
        <row r="513">
          <cell r="A513">
            <v>1000020547</v>
          </cell>
          <cell r="B513" t="str">
            <v>6220/C3VL0241</v>
          </cell>
          <cell r="C513" t="str">
            <v>G17</v>
          </cell>
          <cell r="D513">
            <v>0</v>
          </cell>
        </row>
        <row r="514">
          <cell r="A514">
            <v>1000020548</v>
          </cell>
          <cell r="B514" t="str">
            <v>62200-2RS1</v>
          </cell>
          <cell r="C514" t="str">
            <v>D6</v>
          </cell>
          <cell r="D514">
            <v>3</v>
          </cell>
        </row>
        <row r="515">
          <cell r="A515">
            <v>1000020549</v>
          </cell>
          <cell r="B515" t="str">
            <v>62201-2RS1/C3</v>
          </cell>
          <cell r="C515" t="str">
            <v>E13 M2</v>
          </cell>
          <cell r="D515">
            <v>25</v>
          </cell>
        </row>
        <row r="516">
          <cell r="A516">
            <v>1000020550</v>
          </cell>
          <cell r="B516" t="str">
            <v>62202-2RS1</v>
          </cell>
          <cell r="C516" t="str">
            <v>E13</v>
          </cell>
          <cell r="D516">
            <v>2</v>
          </cell>
        </row>
        <row r="517">
          <cell r="A517">
            <v>1000020551</v>
          </cell>
          <cell r="B517" t="str">
            <v>62202-2RS1/C3</v>
          </cell>
          <cell r="C517" t="str">
            <v>D5</v>
          </cell>
          <cell r="D517">
            <v>5</v>
          </cell>
        </row>
        <row r="518">
          <cell r="A518">
            <v>1000020552</v>
          </cell>
          <cell r="B518" t="str">
            <v>6220-2RS1/C3</v>
          </cell>
          <cell r="C518" t="str">
            <v>E11</v>
          </cell>
          <cell r="D518">
            <v>2</v>
          </cell>
        </row>
        <row r="519">
          <cell r="A519">
            <v>1000020553</v>
          </cell>
          <cell r="B519" t="str">
            <v>6220-2Z/C3</v>
          </cell>
          <cell r="C519" t="str">
            <v>42R</v>
          </cell>
          <cell r="D519">
            <v>15</v>
          </cell>
        </row>
        <row r="520">
          <cell r="A520">
            <v>1000020554</v>
          </cell>
          <cell r="B520" t="str">
            <v>62203-2RS1</v>
          </cell>
          <cell r="C520" t="str">
            <v>D17</v>
          </cell>
          <cell r="D520">
            <v>10</v>
          </cell>
        </row>
        <row r="521">
          <cell r="A521">
            <v>1000020555</v>
          </cell>
          <cell r="B521" t="str">
            <v>62203-2RS1/C3</v>
          </cell>
          <cell r="C521" t="str">
            <v>D5 M8</v>
          </cell>
          <cell r="D521">
            <v>25</v>
          </cell>
        </row>
        <row r="522">
          <cell r="A522">
            <v>1000020556</v>
          </cell>
          <cell r="B522" t="str">
            <v>62204-2RS1/C3</v>
          </cell>
          <cell r="C522" t="str">
            <v>E5 M8</v>
          </cell>
          <cell r="D522">
            <v>25</v>
          </cell>
        </row>
        <row r="523">
          <cell r="A523">
            <v>1000020557</v>
          </cell>
          <cell r="B523" t="str">
            <v>62205-2RS1</v>
          </cell>
          <cell r="C523" t="str">
            <v>C10</v>
          </cell>
          <cell r="D523">
            <v>8</v>
          </cell>
        </row>
        <row r="524">
          <cell r="A524">
            <v>1000020558</v>
          </cell>
          <cell r="B524" t="str">
            <v>62205-2RS1/C3</v>
          </cell>
          <cell r="C524" t="str">
            <v>C10 M8</v>
          </cell>
          <cell r="D524">
            <v>19</v>
          </cell>
        </row>
        <row r="525">
          <cell r="A525">
            <v>1000020559</v>
          </cell>
          <cell r="B525" t="str">
            <v>62206-2RS1</v>
          </cell>
          <cell r="C525" t="str">
            <v>C17</v>
          </cell>
          <cell r="D525">
            <v>0</v>
          </cell>
        </row>
        <row r="526">
          <cell r="A526">
            <v>1000020560</v>
          </cell>
          <cell r="B526" t="str">
            <v>62206-2RS1/C3</v>
          </cell>
          <cell r="C526" t="str">
            <v>D13 M3</v>
          </cell>
          <cell r="D526">
            <v>25</v>
          </cell>
        </row>
        <row r="527">
          <cell r="A527">
            <v>1000020561</v>
          </cell>
          <cell r="B527" t="str">
            <v>62207-2RS1</v>
          </cell>
          <cell r="C527" t="str">
            <v>C15</v>
          </cell>
          <cell r="D527">
            <v>2</v>
          </cell>
        </row>
        <row r="528">
          <cell r="A528">
            <v>1000020562</v>
          </cell>
          <cell r="B528" t="str">
            <v>62207-2RS1/C3</v>
          </cell>
          <cell r="C528" t="str">
            <v>D8 M1</v>
          </cell>
          <cell r="D528">
            <v>25</v>
          </cell>
        </row>
        <row r="529">
          <cell r="A529">
            <v>1000020563</v>
          </cell>
          <cell r="B529" t="str">
            <v>62208-2RS1</v>
          </cell>
          <cell r="C529" t="str">
            <v>G4 G7</v>
          </cell>
          <cell r="D529">
            <v>6</v>
          </cell>
        </row>
        <row r="530">
          <cell r="A530">
            <v>1000020564</v>
          </cell>
          <cell r="B530" t="str">
            <v>62208-2RS1/C3</v>
          </cell>
          <cell r="C530" t="str">
            <v>C17 M9</v>
          </cell>
          <cell r="D530">
            <v>25</v>
          </cell>
        </row>
        <row r="531">
          <cell r="A531">
            <v>1000020565</v>
          </cell>
          <cell r="B531" t="str">
            <v>62209-2RS1</v>
          </cell>
          <cell r="C531" t="str">
            <v>C13</v>
          </cell>
          <cell r="D531">
            <v>1</v>
          </cell>
        </row>
        <row r="532">
          <cell r="A532">
            <v>1000020566</v>
          </cell>
          <cell r="B532">
            <v>6221</v>
          </cell>
          <cell r="C532" t="str">
            <v>F4</v>
          </cell>
          <cell r="D532">
            <v>8</v>
          </cell>
        </row>
        <row r="533">
          <cell r="A533">
            <v>1000020567</v>
          </cell>
          <cell r="B533" t="str">
            <v>6221/C3</v>
          </cell>
          <cell r="C533" t="str">
            <v>J15 J17</v>
          </cell>
          <cell r="D533">
            <v>16</v>
          </cell>
        </row>
        <row r="534">
          <cell r="A534">
            <v>1000020568</v>
          </cell>
          <cell r="B534" t="str">
            <v>62210-2RS1</v>
          </cell>
          <cell r="C534" t="str">
            <v>C15</v>
          </cell>
          <cell r="D534">
            <v>5</v>
          </cell>
        </row>
        <row r="535">
          <cell r="A535">
            <v>1000020569</v>
          </cell>
          <cell r="B535" t="str">
            <v>62210-2RS1/C3</v>
          </cell>
          <cell r="C535" t="str">
            <v>C15</v>
          </cell>
          <cell r="D535">
            <v>2</v>
          </cell>
        </row>
        <row r="536">
          <cell r="A536">
            <v>1000020570</v>
          </cell>
          <cell r="B536" t="str">
            <v>62211-2RS1</v>
          </cell>
          <cell r="C536" t="str">
            <v>D18</v>
          </cell>
          <cell r="D536">
            <v>2</v>
          </cell>
        </row>
        <row r="537">
          <cell r="A537">
            <v>1000020571</v>
          </cell>
          <cell r="B537" t="str">
            <v>62212-2RS1</v>
          </cell>
          <cell r="C537" t="str">
            <v>C18</v>
          </cell>
          <cell r="D537">
            <v>5</v>
          </cell>
        </row>
        <row r="538">
          <cell r="A538">
            <v>1000020572</v>
          </cell>
          <cell r="B538" t="str">
            <v>62213-2RS1</v>
          </cell>
          <cell r="C538" t="str">
            <v>E11</v>
          </cell>
          <cell r="D538">
            <v>1</v>
          </cell>
        </row>
        <row r="539">
          <cell r="A539">
            <v>1000020573</v>
          </cell>
          <cell r="B539" t="str">
            <v>62214-2RS1</v>
          </cell>
          <cell r="C539" t="str">
            <v>D7</v>
          </cell>
          <cell r="D539">
            <v>1</v>
          </cell>
        </row>
        <row r="540">
          <cell r="A540">
            <v>1000020574</v>
          </cell>
          <cell r="B540">
            <v>6222</v>
          </cell>
          <cell r="C540" t="str">
            <v>E12</v>
          </cell>
          <cell r="D540">
            <v>3</v>
          </cell>
        </row>
        <row r="541">
          <cell r="A541">
            <v>1000020575</v>
          </cell>
          <cell r="B541" t="str">
            <v>6222/C3</v>
          </cell>
          <cell r="C541" t="str">
            <v>A9</v>
          </cell>
          <cell r="D541">
            <v>5</v>
          </cell>
        </row>
        <row r="542">
          <cell r="A542">
            <v>1000020576</v>
          </cell>
          <cell r="B542" t="str">
            <v>6222/C3VL0241</v>
          </cell>
          <cell r="C542" t="str">
            <v>C20</v>
          </cell>
          <cell r="D542">
            <v>2</v>
          </cell>
        </row>
        <row r="543">
          <cell r="A543">
            <v>1000020577</v>
          </cell>
          <cell r="B543" t="str">
            <v>6222-2Z</v>
          </cell>
          <cell r="C543" t="str">
            <v>B3</v>
          </cell>
          <cell r="D543">
            <v>3</v>
          </cell>
        </row>
        <row r="544">
          <cell r="A544">
            <v>1000020578</v>
          </cell>
          <cell r="B544" t="str">
            <v>6222-2Z/C3</v>
          </cell>
          <cell r="C544" t="str">
            <v>C8</v>
          </cell>
          <cell r="D544">
            <v>4</v>
          </cell>
        </row>
        <row r="545">
          <cell r="A545">
            <v>1000020579</v>
          </cell>
          <cell r="B545">
            <v>6224</v>
          </cell>
          <cell r="C545" t="str">
            <v>M31</v>
          </cell>
          <cell r="D545">
            <v>5</v>
          </cell>
        </row>
        <row r="546">
          <cell r="A546">
            <v>1000020580</v>
          </cell>
          <cell r="B546" t="str">
            <v>6224/C3</v>
          </cell>
          <cell r="C546" t="str">
            <v>F21</v>
          </cell>
          <cell r="D546">
            <v>0</v>
          </cell>
        </row>
        <row r="547">
          <cell r="A547">
            <v>1000020581</v>
          </cell>
          <cell r="B547" t="str">
            <v>62303-2RS1</v>
          </cell>
          <cell r="C547" t="str">
            <v>D10</v>
          </cell>
          <cell r="D547">
            <v>5</v>
          </cell>
        </row>
        <row r="548">
          <cell r="A548">
            <v>1000020582</v>
          </cell>
          <cell r="B548" t="str">
            <v>62304-2RS1</v>
          </cell>
          <cell r="C548" t="str">
            <v>C10 M8</v>
          </cell>
          <cell r="D548">
            <v>25</v>
          </cell>
        </row>
        <row r="549">
          <cell r="A549">
            <v>1000020583</v>
          </cell>
          <cell r="B549" t="str">
            <v>62305-2RS1</v>
          </cell>
          <cell r="C549" t="str">
            <v>E10 M3</v>
          </cell>
          <cell r="D549">
            <v>50</v>
          </cell>
        </row>
        <row r="550">
          <cell r="A550">
            <v>1000020584</v>
          </cell>
          <cell r="B550" t="str">
            <v>62306-2RS1</v>
          </cell>
          <cell r="C550" t="str">
            <v>C1 M10</v>
          </cell>
          <cell r="D550">
            <v>46</v>
          </cell>
        </row>
        <row r="551">
          <cell r="A551">
            <v>1000020585</v>
          </cell>
          <cell r="B551" t="str">
            <v>62306-2RS1/C3</v>
          </cell>
          <cell r="C551" t="str">
            <v>D9 M11</v>
          </cell>
          <cell r="D551">
            <v>25</v>
          </cell>
        </row>
        <row r="552">
          <cell r="A552">
            <v>1000020586</v>
          </cell>
          <cell r="B552" t="str">
            <v>62308-2RS1</v>
          </cell>
          <cell r="C552" t="str">
            <v>L16</v>
          </cell>
          <cell r="D552">
            <v>5</v>
          </cell>
        </row>
        <row r="553">
          <cell r="A553">
            <v>1000020587</v>
          </cell>
          <cell r="B553" t="str">
            <v>62309-2RS1</v>
          </cell>
          <cell r="C553" t="str">
            <v>D18</v>
          </cell>
          <cell r="D553">
            <v>5</v>
          </cell>
        </row>
        <row r="554">
          <cell r="A554">
            <v>1000020588</v>
          </cell>
          <cell r="B554" t="str">
            <v>624-2Z</v>
          </cell>
          <cell r="C554" t="str">
            <v>D5 M7</v>
          </cell>
          <cell r="D554">
            <v>25</v>
          </cell>
        </row>
        <row r="555">
          <cell r="A555">
            <v>1000020589</v>
          </cell>
          <cell r="B555" t="str">
            <v>625-2RS1</v>
          </cell>
          <cell r="C555" t="str">
            <v>D1</v>
          </cell>
          <cell r="D555">
            <v>10</v>
          </cell>
        </row>
        <row r="556">
          <cell r="A556">
            <v>1000020590</v>
          </cell>
          <cell r="B556" t="str">
            <v>625-2Z/C3</v>
          </cell>
          <cell r="C556" t="str">
            <v>E13 M2</v>
          </cell>
          <cell r="D556">
            <v>100</v>
          </cell>
        </row>
        <row r="557">
          <cell r="A557">
            <v>1000020591</v>
          </cell>
          <cell r="B557" t="str">
            <v>626-2RSH</v>
          </cell>
          <cell r="C557" t="str">
            <v>D1 M2</v>
          </cell>
          <cell r="D557">
            <v>20</v>
          </cell>
        </row>
        <row r="558">
          <cell r="A558">
            <v>1000020592</v>
          </cell>
          <cell r="B558" t="str">
            <v>626-2RSH/C3</v>
          </cell>
          <cell r="C558" t="str">
            <v>E13 M2</v>
          </cell>
          <cell r="D558">
            <v>100</v>
          </cell>
        </row>
        <row r="559">
          <cell r="A559">
            <v>1000020593</v>
          </cell>
          <cell r="B559" t="str">
            <v>626-2Z/C3</v>
          </cell>
          <cell r="C559" t="str">
            <v>E13 M2</v>
          </cell>
          <cell r="D559">
            <v>100</v>
          </cell>
        </row>
        <row r="560">
          <cell r="A560">
            <v>1000020594</v>
          </cell>
          <cell r="B560" t="str">
            <v>627-2RSH</v>
          </cell>
          <cell r="C560" t="str">
            <v>D5 M7</v>
          </cell>
          <cell r="D560">
            <v>25</v>
          </cell>
        </row>
        <row r="561">
          <cell r="A561">
            <v>1000020595</v>
          </cell>
          <cell r="B561" t="str">
            <v>627-2Z</v>
          </cell>
          <cell r="C561" t="str">
            <v>E13 M5</v>
          </cell>
          <cell r="D561">
            <v>15</v>
          </cell>
        </row>
        <row r="562">
          <cell r="A562">
            <v>1000020596</v>
          </cell>
          <cell r="B562" t="str">
            <v>627-2Z/C3</v>
          </cell>
          <cell r="C562" t="str">
            <v>D1 M2</v>
          </cell>
          <cell r="D562">
            <v>50</v>
          </cell>
        </row>
        <row r="563">
          <cell r="A563">
            <v>1000020597</v>
          </cell>
          <cell r="B563" t="str">
            <v>629-2RSH</v>
          </cell>
          <cell r="C563" t="str">
            <v>D1 M7</v>
          </cell>
          <cell r="D563">
            <v>50</v>
          </cell>
        </row>
        <row r="564">
          <cell r="A564">
            <v>1000020598</v>
          </cell>
          <cell r="B564" t="str">
            <v>629-2RSH/C3</v>
          </cell>
          <cell r="C564" t="str">
            <v>C5</v>
          </cell>
          <cell r="D564">
            <v>5</v>
          </cell>
        </row>
        <row r="565">
          <cell r="A565">
            <v>1000020599</v>
          </cell>
          <cell r="B565" t="str">
            <v>629-2Z/C3</v>
          </cell>
          <cell r="C565" t="str">
            <v>D5 M7</v>
          </cell>
          <cell r="D565">
            <v>25</v>
          </cell>
        </row>
        <row r="566">
          <cell r="A566">
            <v>1000020600</v>
          </cell>
          <cell r="B566" t="str">
            <v>63000-2RS1</v>
          </cell>
          <cell r="C566" t="str">
            <v>E14 J19</v>
          </cell>
          <cell r="D566">
            <v>34</v>
          </cell>
        </row>
        <row r="567">
          <cell r="A567">
            <v>1000020601</v>
          </cell>
          <cell r="B567" t="str">
            <v>63001-2RS1</v>
          </cell>
          <cell r="C567" t="str">
            <v>E13 M10</v>
          </cell>
          <cell r="D567">
            <v>25</v>
          </cell>
        </row>
        <row r="568">
          <cell r="A568">
            <v>1000020602</v>
          </cell>
          <cell r="B568" t="str">
            <v>63002-2RS1</v>
          </cell>
          <cell r="C568" t="str">
            <v>B3</v>
          </cell>
          <cell r="D568">
            <v>10</v>
          </cell>
        </row>
        <row r="569">
          <cell r="A569">
            <v>1000020603</v>
          </cell>
          <cell r="B569" t="str">
            <v>6300-2RSH/C3</v>
          </cell>
          <cell r="C569" t="str">
            <v>D6 M1</v>
          </cell>
          <cell r="D569">
            <v>50</v>
          </cell>
        </row>
        <row r="570">
          <cell r="A570">
            <v>1000020604</v>
          </cell>
          <cell r="B570" t="str">
            <v>6300-2Z/C3</v>
          </cell>
          <cell r="C570" t="str">
            <v>E13 M5</v>
          </cell>
          <cell r="D570">
            <v>25</v>
          </cell>
        </row>
        <row r="571">
          <cell r="A571">
            <v>1000020605</v>
          </cell>
          <cell r="B571" t="str">
            <v>63004-2RS1</v>
          </cell>
          <cell r="C571" t="str">
            <v>B3</v>
          </cell>
          <cell r="D571">
            <v>4</v>
          </cell>
        </row>
        <row r="572">
          <cell r="A572">
            <v>1000020606</v>
          </cell>
          <cell r="B572" t="str">
            <v>63005-2RS1</v>
          </cell>
          <cell r="C572" t="str">
            <v>E18 M8</v>
          </cell>
          <cell r="D572">
            <v>25</v>
          </cell>
        </row>
        <row r="573">
          <cell r="A573">
            <v>1000020607</v>
          </cell>
          <cell r="B573" t="str">
            <v>63006-2RS1</v>
          </cell>
          <cell r="C573" t="str">
            <v>B9</v>
          </cell>
          <cell r="D573">
            <v>54</v>
          </cell>
        </row>
        <row r="574">
          <cell r="A574">
            <v>1000020608</v>
          </cell>
          <cell r="B574" t="str">
            <v>63008-2RS1</v>
          </cell>
          <cell r="C574" t="str">
            <v>D14</v>
          </cell>
          <cell r="D574">
            <v>4</v>
          </cell>
        </row>
        <row r="575">
          <cell r="A575">
            <v>1000020609</v>
          </cell>
          <cell r="B575" t="str">
            <v>6301/C3</v>
          </cell>
          <cell r="C575" t="str">
            <v>C2 F16 J21</v>
          </cell>
          <cell r="D575">
            <v>42</v>
          </cell>
        </row>
        <row r="576">
          <cell r="A576">
            <v>1000020610</v>
          </cell>
          <cell r="B576" t="str">
            <v>63010-2RS1</v>
          </cell>
          <cell r="C576" t="str">
            <v>E14</v>
          </cell>
          <cell r="D576">
            <v>1</v>
          </cell>
        </row>
        <row r="577">
          <cell r="A577">
            <v>1000020611</v>
          </cell>
          <cell r="B577" t="str">
            <v>6301-2RSH/C3</v>
          </cell>
          <cell r="C577" t="str">
            <v>B3</v>
          </cell>
          <cell r="D577">
            <v>83</v>
          </cell>
        </row>
        <row r="578">
          <cell r="A578">
            <v>1000020612</v>
          </cell>
          <cell r="B578" t="str">
            <v>6301-2Z</v>
          </cell>
          <cell r="C578" t="str">
            <v>K34 L3</v>
          </cell>
          <cell r="D578">
            <v>34</v>
          </cell>
        </row>
        <row r="579">
          <cell r="A579">
            <v>1000020613</v>
          </cell>
          <cell r="B579" t="str">
            <v>6301-2Z/C3</v>
          </cell>
          <cell r="C579" t="str">
            <v>B3 72</v>
          </cell>
          <cell r="D579">
            <v>44</v>
          </cell>
        </row>
        <row r="580">
          <cell r="A580">
            <v>1000020614</v>
          </cell>
          <cell r="B580" t="str">
            <v>6302-2RSH/C3</v>
          </cell>
          <cell r="C580" t="str">
            <v>E17 M32</v>
          </cell>
          <cell r="D580">
            <v>100</v>
          </cell>
        </row>
        <row r="581">
          <cell r="A581">
            <v>1000020615</v>
          </cell>
          <cell r="B581" t="str">
            <v>6302-2Z/C3</v>
          </cell>
          <cell r="C581" t="str">
            <v>E17 M32 72</v>
          </cell>
          <cell r="D581">
            <v>100</v>
          </cell>
        </row>
        <row r="582">
          <cell r="A582">
            <v>1000020616</v>
          </cell>
          <cell r="B582" t="str">
            <v>6303-2RSH</v>
          </cell>
          <cell r="C582" t="str">
            <v>D18</v>
          </cell>
          <cell r="D582">
            <v>10</v>
          </cell>
        </row>
        <row r="583">
          <cell r="A583">
            <v>1000020617</v>
          </cell>
          <cell r="B583" t="str">
            <v>6303-2RSH/C3</v>
          </cell>
          <cell r="C583" t="str">
            <v>M32</v>
          </cell>
          <cell r="D583">
            <v>62</v>
          </cell>
        </row>
        <row r="584">
          <cell r="A584">
            <v>1000020618</v>
          </cell>
          <cell r="B584" t="str">
            <v>6303-2Z</v>
          </cell>
          <cell r="C584" t="str">
            <v>B13 K5 L2 M19</v>
          </cell>
          <cell r="D584">
            <v>124</v>
          </cell>
        </row>
        <row r="585">
          <cell r="A585">
            <v>1000020619</v>
          </cell>
          <cell r="B585" t="str">
            <v>6303-2Z/C3</v>
          </cell>
          <cell r="C585" t="str">
            <v>D10 J5 K38 L16 M1 72</v>
          </cell>
          <cell r="D585">
            <v>162</v>
          </cell>
        </row>
        <row r="586">
          <cell r="A586">
            <v>1000020620</v>
          </cell>
          <cell r="B586">
            <v>6304</v>
          </cell>
          <cell r="C586" t="str">
            <v>A2 G6 57</v>
          </cell>
          <cell r="D586">
            <v>14</v>
          </cell>
        </row>
        <row r="587">
          <cell r="A587">
            <v>1000020621</v>
          </cell>
          <cell r="B587" t="str">
            <v>6304-2RSH/C3</v>
          </cell>
          <cell r="C587" t="str">
            <v>E14 M8</v>
          </cell>
          <cell r="D587">
            <v>88</v>
          </cell>
        </row>
        <row r="588">
          <cell r="A588">
            <v>1000020623</v>
          </cell>
          <cell r="B588" t="str">
            <v>6304-2Z/C3</v>
          </cell>
          <cell r="C588" t="str">
            <v>D9 M10</v>
          </cell>
          <cell r="D588">
            <v>97</v>
          </cell>
        </row>
        <row r="589">
          <cell r="A589">
            <v>1000020624</v>
          </cell>
          <cell r="B589" t="str">
            <v>6304-RSH</v>
          </cell>
          <cell r="C589" t="str">
            <v>C10</v>
          </cell>
          <cell r="D589">
            <v>4</v>
          </cell>
        </row>
        <row r="590">
          <cell r="A590">
            <v>1000020625</v>
          </cell>
          <cell r="B590" t="str">
            <v>6304-Z</v>
          </cell>
          <cell r="C590" t="str">
            <v>D12 I4 K4 K38 L3</v>
          </cell>
          <cell r="D590">
            <v>29</v>
          </cell>
        </row>
        <row r="591">
          <cell r="A591">
            <v>1000020626</v>
          </cell>
          <cell r="B591" t="str">
            <v>6304-Z/C3</v>
          </cell>
          <cell r="C591" t="str">
            <v>C10</v>
          </cell>
          <cell r="D591">
            <v>2</v>
          </cell>
        </row>
        <row r="592">
          <cell r="A592">
            <v>1000020627</v>
          </cell>
          <cell r="B592" t="str">
            <v>6305/C3</v>
          </cell>
          <cell r="C592" t="str">
            <v>G6 J20 J11</v>
          </cell>
          <cell r="D592">
            <v>104</v>
          </cell>
        </row>
        <row r="593">
          <cell r="A593">
            <v>1000020628</v>
          </cell>
          <cell r="B593" t="str">
            <v>6305-2RS1</v>
          </cell>
          <cell r="C593" t="str">
            <v>B13 E13 35R 35 52</v>
          </cell>
          <cell r="D593">
            <v>63</v>
          </cell>
        </row>
        <row r="594">
          <cell r="A594">
            <v>1000020629</v>
          </cell>
          <cell r="B594" t="str">
            <v>6305-2RS1/C3</v>
          </cell>
          <cell r="C594" t="str">
            <v>E10 G14 J8 L8 M10</v>
          </cell>
          <cell r="D594">
            <v>187</v>
          </cell>
        </row>
        <row r="595">
          <cell r="A595">
            <v>1000020630</v>
          </cell>
          <cell r="B595" t="str">
            <v>6305-2Z</v>
          </cell>
          <cell r="C595" t="str">
            <v>C13 K38 L2</v>
          </cell>
          <cell r="D595">
            <v>109</v>
          </cell>
        </row>
        <row r="596">
          <cell r="A596">
            <v>1000020631</v>
          </cell>
          <cell r="B596" t="str">
            <v>6305-2Z/C3</v>
          </cell>
          <cell r="C596" t="str">
            <v>K12</v>
          </cell>
          <cell r="D596">
            <v>59</v>
          </cell>
        </row>
        <row r="597">
          <cell r="A597">
            <v>1000020632</v>
          </cell>
          <cell r="B597" t="str">
            <v>6305-RS1</v>
          </cell>
          <cell r="C597" t="str">
            <v>C15</v>
          </cell>
          <cell r="D597">
            <v>5</v>
          </cell>
        </row>
        <row r="598">
          <cell r="A598">
            <v>1000020633</v>
          </cell>
          <cell r="B598" t="str">
            <v>6305-Z</v>
          </cell>
          <cell r="C598" t="str">
            <v>B13</v>
          </cell>
          <cell r="D598">
            <v>4</v>
          </cell>
        </row>
        <row r="599">
          <cell r="A599">
            <v>1000020634</v>
          </cell>
          <cell r="B599">
            <v>6306</v>
          </cell>
          <cell r="C599" t="str">
            <v>k37 72</v>
          </cell>
          <cell r="D599">
            <v>38</v>
          </cell>
        </row>
        <row r="600">
          <cell r="A600">
            <v>1000020635</v>
          </cell>
          <cell r="B600" t="str">
            <v>6306 JEM</v>
          </cell>
          <cell r="C600" t="str">
            <v>E14</v>
          </cell>
          <cell r="D600">
            <v>1</v>
          </cell>
        </row>
        <row r="601">
          <cell r="A601">
            <v>1000020636</v>
          </cell>
          <cell r="B601" t="str">
            <v>6306/C3</v>
          </cell>
          <cell r="C601" t="str">
            <v>L11</v>
          </cell>
          <cell r="D601">
            <v>235</v>
          </cell>
        </row>
        <row r="602">
          <cell r="A602">
            <v>1000020637</v>
          </cell>
          <cell r="B602" t="str">
            <v>6306-2RS1</v>
          </cell>
          <cell r="C602" t="str">
            <v>B13 F19 7 56R</v>
          </cell>
          <cell r="D602">
            <v>22</v>
          </cell>
        </row>
        <row r="603">
          <cell r="A603">
            <v>1000020638</v>
          </cell>
          <cell r="B603" t="str">
            <v>6306-2RS1/C3</v>
          </cell>
          <cell r="C603" t="str">
            <v>C13 M4</v>
          </cell>
          <cell r="D603">
            <v>84</v>
          </cell>
        </row>
        <row r="604">
          <cell r="A604">
            <v>1000020639</v>
          </cell>
          <cell r="B604" t="str">
            <v>6306-2Z</v>
          </cell>
          <cell r="C604" t="str">
            <v>K3 J20 L7</v>
          </cell>
          <cell r="D604">
            <v>111</v>
          </cell>
        </row>
        <row r="605">
          <cell r="A605">
            <v>1000020640</v>
          </cell>
          <cell r="B605" t="str">
            <v>6306-2Z/C3</v>
          </cell>
          <cell r="C605" t="str">
            <v>J7 57</v>
          </cell>
          <cell r="D605">
            <v>35</v>
          </cell>
        </row>
        <row r="606">
          <cell r="A606">
            <v>1000020641</v>
          </cell>
          <cell r="B606" t="str">
            <v>6306-RS1/C3</v>
          </cell>
          <cell r="C606" t="str">
            <v>E7</v>
          </cell>
          <cell r="D606">
            <v>2</v>
          </cell>
        </row>
        <row r="607">
          <cell r="A607">
            <v>1000020642</v>
          </cell>
          <cell r="B607" t="str">
            <v>6306-Z</v>
          </cell>
          <cell r="C607" t="str">
            <v>D10</v>
          </cell>
          <cell r="D607">
            <v>5</v>
          </cell>
        </row>
        <row r="608">
          <cell r="A608">
            <v>1000020643</v>
          </cell>
          <cell r="B608" t="str">
            <v>6306-Z/C3</v>
          </cell>
          <cell r="C608" t="str">
            <v>C10</v>
          </cell>
          <cell r="D608">
            <v>0</v>
          </cell>
        </row>
        <row r="609">
          <cell r="A609">
            <v>1000020644</v>
          </cell>
          <cell r="B609" t="str">
            <v>6306-ZNR</v>
          </cell>
          <cell r="C609" t="str">
            <v>C3</v>
          </cell>
          <cell r="D609">
            <v>2</v>
          </cell>
        </row>
        <row r="610">
          <cell r="A610">
            <v>1000020645</v>
          </cell>
          <cell r="B610">
            <v>6307</v>
          </cell>
          <cell r="C610" t="str">
            <v>G3 K6</v>
          </cell>
          <cell r="D610">
            <v>7</v>
          </cell>
        </row>
        <row r="611">
          <cell r="A611">
            <v>1000020646</v>
          </cell>
          <cell r="B611" t="str">
            <v>6307 NR</v>
          </cell>
          <cell r="C611" t="str">
            <v>C3</v>
          </cell>
          <cell r="D611">
            <v>2</v>
          </cell>
        </row>
        <row r="612">
          <cell r="A612">
            <v>1000020647</v>
          </cell>
          <cell r="B612" t="str">
            <v>6307/C3</v>
          </cell>
          <cell r="C612" t="str">
            <v>F9 K15 L1 53 42 1 18R</v>
          </cell>
          <cell r="D612">
            <v>254</v>
          </cell>
        </row>
        <row r="613">
          <cell r="A613">
            <v>1000020648</v>
          </cell>
          <cell r="B613" t="str">
            <v>6307-2RS1/C3</v>
          </cell>
          <cell r="C613" t="str">
            <v>C6 F6</v>
          </cell>
          <cell r="D613">
            <v>90</v>
          </cell>
        </row>
        <row r="614">
          <cell r="A614">
            <v>1000020649</v>
          </cell>
          <cell r="B614" t="str">
            <v>6307-2Z</v>
          </cell>
          <cell r="C614" t="str">
            <v>J5</v>
          </cell>
          <cell r="D614">
            <v>97</v>
          </cell>
        </row>
        <row r="615">
          <cell r="A615">
            <v>1000020650</v>
          </cell>
          <cell r="B615" t="str">
            <v>6307-2Z/C3</v>
          </cell>
          <cell r="C615" t="str">
            <v>D9 K28 M8</v>
          </cell>
          <cell r="D615">
            <v>75</v>
          </cell>
        </row>
        <row r="616">
          <cell r="A616">
            <v>1000020651</v>
          </cell>
          <cell r="B616" t="str">
            <v>6307-Z</v>
          </cell>
          <cell r="C616" t="str">
            <v>E7</v>
          </cell>
          <cell r="D616">
            <v>4</v>
          </cell>
        </row>
        <row r="617">
          <cell r="A617">
            <v>1000020652</v>
          </cell>
          <cell r="B617" t="str">
            <v>6308 TN9/C3</v>
          </cell>
          <cell r="C617" t="str">
            <v>B7</v>
          </cell>
          <cell r="D617">
            <v>1</v>
          </cell>
        </row>
        <row r="618">
          <cell r="A618">
            <v>1000020654</v>
          </cell>
          <cell r="B618" t="str">
            <v>6308/C4</v>
          </cell>
          <cell r="C618" t="str">
            <v>C3</v>
          </cell>
          <cell r="D618">
            <v>1</v>
          </cell>
        </row>
        <row r="619">
          <cell r="A619">
            <v>1000020655</v>
          </cell>
          <cell r="B619" t="str">
            <v>6308-2RS1</v>
          </cell>
          <cell r="C619" t="str">
            <v>G7 I9 J9 L3 M30</v>
          </cell>
          <cell r="D619">
            <v>70</v>
          </cell>
        </row>
        <row r="620">
          <cell r="A620">
            <v>1000020656</v>
          </cell>
          <cell r="B620" t="str">
            <v>6308-2RS1/C3</v>
          </cell>
          <cell r="C620" t="str">
            <v>D7 M11</v>
          </cell>
          <cell r="D620">
            <v>1</v>
          </cell>
        </row>
        <row r="621">
          <cell r="A621">
            <v>1000020657</v>
          </cell>
          <cell r="B621" t="str">
            <v>6308-2Z</v>
          </cell>
          <cell r="C621" t="str">
            <v>H5 J8 65R</v>
          </cell>
          <cell r="D621">
            <v>88</v>
          </cell>
        </row>
        <row r="622">
          <cell r="A622">
            <v>1000020658</v>
          </cell>
          <cell r="B622" t="str">
            <v>6308-2Z/C3</v>
          </cell>
          <cell r="C622" t="str">
            <v>M30 M31</v>
          </cell>
          <cell r="D622">
            <v>5</v>
          </cell>
        </row>
        <row r="623">
          <cell r="A623">
            <v>1000020659</v>
          </cell>
          <cell r="B623" t="str">
            <v>6308-2Z/C3GJN</v>
          </cell>
          <cell r="C623" t="str">
            <v>C10</v>
          </cell>
          <cell r="D623">
            <v>1</v>
          </cell>
        </row>
        <row r="624">
          <cell r="A624">
            <v>1000020660</v>
          </cell>
          <cell r="B624" t="str">
            <v>6308-2Z/C3HT</v>
          </cell>
          <cell r="C624" t="str">
            <v>B18</v>
          </cell>
          <cell r="D624">
            <v>2</v>
          </cell>
        </row>
        <row r="625">
          <cell r="A625">
            <v>1000020661</v>
          </cell>
          <cell r="B625" t="str">
            <v>6308-Z</v>
          </cell>
          <cell r="C625" t="str">
            <v>I10 K35</v>
          </cell>
          <cell r="D625">
            <v>22</v>
          </cell>
        </row>
        <row r="626">
          <cell r="A626">
            <v>1000020662</v>
          </cell>
          <cell r="B626" t="str">
            <v>6308-Z/C3</v>
          </cell>
          <cell r="C626" t="str">
            <v>E6</v>
          </cell>
          <cell r="D626">
            <v>8</v>
          </cell>
        </row>
        <row r="627">
          <cell r="A627">
            <v>1000020663</v>
          </cell>
          <cell r="B627">
            <v>6309</v>
          </cell>
          <cell r="C627" t="str">
            <v>G6 G9 K13 K4 M3</v>
          </cell>
          <cell r="D627">
            <v>37</v>
          </cell>
        </row>
        <row r="628">
          <cell r="A628">
            <v>1000020664</v>
          </cell>
          <cell r="B628" t="str">
            <v>6309 2ZJEM</v>
          </cell>
          <cell r="C628" t="str">
            <v>E11</v>
          </cell>
          <cell r="D628">
            <v>1</v>
          </cell>
        </row>
        <row r="629">
          <cell r="A629">
            <v>1000020665</v>
          </cell>
          <cell r="B629" t="str">
            <v>6309 M</v>
          </cell>
          <cell r="C629" t="str">
            <v>D7</v>
          </cell>
          <cell r="D629">
            <v>2</v>
          </cell>
        </row>
        <row r="630">
          <cell r="A630">
            <v>1000020666</v>
          </cell>
          <cell r="B630" t="str">
            <v>6309 NR</v>
          </cell>
          <cell r="C630" t="str">
            <v>E11</v>
          </cell>
          <cell r="D630">
            <v>1</v>
          </cell>
        </row>
        <row r="631">
          <cell r="A631">
            <v>1000020667</v>
          </cell>
          <cell r="B631" t="str">
            <v>6309 NR/C3</v>
          </cell>
          <cell r="C631" t="str">
            <v>D15</v>
          </cell>
          <cell r="D631">
            <v>1</v>
          </cell>
        </row>
        <row r="632">
          <cell r="A632">
            <v>1000020668</v>
          </cell>
          <cell r="B632" t="str">
            <v>6309/C3</v>
          </cell>
          <cell r="C632" t="str">
            <v>K27 L14 32R 74  66R 72</v>
          </cell>
          <cell r="D632">
            <v>0</v>
          </cell>
        </row>
        <row r="633">
          <cell r="A633">
            <v>1000020669</v>
          </cell>
          <cell r="B633" t="str">
            <v>6309/C4</v>
          </cell>
          <cell r="C633" t="str">
            <v>D7</v>
          </cell>
          <cell r="D633">
            <v>1</v>
          </cell>
        </row>
        <row r="634">
          <cell r="A634">
            <v>1000020670</v>
          </cell>
          <cell r="B634" t="str">
            <v>6309/VA201</v>
          </cell>
          <cell r="C634" t="str">
            <v>C11 M3</v>
          </cell>
          <cell r="D634">
            <v>10</v>
          </cell>
        </row>
        <row r="635">
          <cell r="A635">
            <v>1000020671</v>
          </cell>
          <cell r="B635" t="str">
            <v>6309-2RS1</v>
          </cell>
          <cell r="C635" t="str">
            <v>G9 J6</v>
          </cell>
          <cell r="D635">
            <v>8</v>
          </cell>
        </row>
        <row r="636">
          <cell r="A636">
            <v>1000020672</v>
          </cell>
          <cell r="B636" t="str">
            <v>6309-2RS1/C3</v>
          </cell>
          <cell r="C636" t="str">
            <v>E3</v>
          </cell>
          <cell r="D636">
            <v>3</v>
          </cell>
        </row>
        <row r="637">
          <cell r="A637">
            <v>1000020673</v>
          </cell>
          <cell r="B637" t="str">
            <v>6309-2Z</v>
          </cell>
          <cell r="C637" t="str">
            <v>B14 L8 K13</v>
          </cell>
          <cell r="D637">
            <v>16</v>
          </cell>
        </row>
        <row r="638">
          <cell r="A638">
            <v>1000020674</v>
          </cell>
          <cell r="B638" t="str">
            <v>6309-2Z/C3</v>
          </cell>
          <cell r="C638" t="str">
            <v>E7</v>
          </cell>
          <cell r="D638">
            <v>50</v>
          </cell>
        </row>
        <row r="639">
          <cell r="A639">
            <v>1000020675</v>
          </cell>
          <cell r="B639" t="str">
            <v>6309-RS1</v>
          </cell>
          <cell r="C639" t="str">
            <v>C3</v>
          </cell>
          <cell r="D639">
            <v>4</v>
          </cell>
        </row>
        <row r="640">
          <cell r="A640">
            <v>1000020676</v>
          </cell>
          <cell r="B640" t="str">
            <v>6309-RS1/C3</v>
          </cell>
          <cell r="C640" t="str">
            <v>C10</v>
          </cell>
          <cell r="D640">
            <v>2</v>
          </cell>
        </row>
        <row r="641">
          <cell r="A641">
            <v>1000020677</v>
          </cell>
          <cell r="B641" t="str">
            <v>6309-Z/C3</v>
          </cell>
          <cell r="C641" t="str">
            <v>K1 M26</v>
          </cell>
          <cell r="D641">
            <v>8</v>
          </cell>
        </row>
        <row r="642">
          <cell r="A642">
            <v>1000020678</v>
          </cell>
          <cell r="B642" t="str">
            <v>6309-ZNR</v>
          </cell>
          <cell r="C642" t="str">
            <v>D10</v>
          </cell>
          <cell r="D642">
            <v>1</v>
          </cell>
        </row>
        <row r="643">
          <cell r="A643">
            <v>1000020679</v>
          </cell>
          <cell r="B643">
            <v>6310</v>
          </cell>
          <cell r="C643" t="str">
            <v>K14 L2 M21</v>
          </cell>
          <cell r="D643">
            <v>60</v>
          </cell>
        </row>
        <row r="644">
          <cell r="A644">
            <v>1000020680</v>
          </cell>
          <cell r="B644" t="str">
            <v>6310 M/C3</v>
          </cell>
          <cell r="C644" t="str">
            <v>D11</v>
          </cell>
          <cell r="D644">
            <v>7</v>
          </cell>
        </row>
        <row r="645">
          <cell r="A645">
            <v>1000020681</v>
          </cell>
          <cell r="B645" t="str">
            <v>6310-2RS1/C3</v>
          </cell>
          <cell r="C645" t="str">
            <v>E18 M3</v>
          </cell>
          <cell r="D645">
            <v>95</v>
          </cell>
        </row>
        <row r="646">
          <cell r="A646">
            <v>1000020682</v>
          </cell>
          <cell r="B646" t="str">
            <v>6310-2Z</v>
          </cell>
          <cell r="C646" t="str">
            <v>H6 K5 K26</v>
          </cell>
          <cell r="D646">
            <v>12</v>
          </cell>
        </row>
        <row r="647">
          <cell r="A647">
            <v>1000020683</v>
          </cell>
          <cell r="B647" t="str">
            <v>6310-2Z/C3</v>
          </cell>
          <cell r="C647" t="str">
            <v>K14 92 8R</v>
          </cell>
          <cell r="D647">
            <v>22</v>
          </cell>
        </row>
        <row r="648">
          <cell r="A648">
            <v>1000020684</v>
          </cell>
          <cell r="B648" t="str">
            <v>6310-2Z/C3GJN</v>
          </cell>
          <cell r="C648" t="str">
            <v>C3</v>
          </cell>
          <cell r="D648">
            <v>2</v>
          </cell>
        </row>
        <row r="649">
          <cell r="A649">
            <v>1000020686</v>
          </cell>
          <cell r="B649" t="str">
            <v>6310-Z/C3</v>
          </cell>
          <cell r="C649" t="str">
            <v>A10 6</v>
          </cell>
          <cell r="D649">
            <v>32</v>
          </cell>
        </row>
        <row r="650">
          <cell r="A650">
            <v>1000020687</v>
          </cell>
          <cell r="B650">
            <v>6311</v>
          </cell>
          <cell r="C650" t="str">
            <v>F11 G4 J5 K35 L2 M9</v>
          </cell>
          <cell r="D650">
            <v>74</v>
          </cell>
        </row>
        <row r="651">
          <cell r="A651">
            <v>1000020688</v>
          </cell>
          <cell r="B651" t="str">
            <v>6311/C3</v>
          </cell>
          <cell r="C651" t="str">
            <v>F20 G3 G11 27 87 47 2R 9R 12R 48 14</v>
          </cell>
          <cell r="D651">
            <v>382</v>
          </cell>
        </row>
        <row r="652">
          <cell r="A652">
            <v>1000020689</v>
          </cell>
          <cell r="B652" t="str">
            <v>6311/C4</v>
          </cell>
          <cell r="C652" t="str">
            <v>E7</v>
          </cell>
          <cell r="D652">
            <v>1</v>
          </cell>
        </row>
        <row r="653">
          <cell r="A653">
            <v>1000020690</v>
          </cell>
          <cell r="B653" t="str">
            <v>6311-2RS1/C3</v>
          </cell>
          <cell r="C653" t="str">
            <v>C9 G6 K34 M11</v>
          </cell>
          <cell r="D653">
            <v>33</v>
          </cell>
        </row>
        <row r="654">
          <cell r="A654">
            <v>1000020691</v>
          </cell>
          <cell r="B654" t="str">
            <v>6311-2Z</v>
          </cell>
          <cell r="C654" t="str">
            <v>G4</v>
          </cell>
          <cell r="D654">
            <v>1</v>
          </cell>
        </row>
        <row r="655">
          <cell r="A655">
            <v>1000020692</v>
          </cell>
          <cell r="B655" t="str">
            <v>6311-2Z/C3</v>
          </cell>
          <cell r="C655" t="str">
            <v>A15 N1 1 95 63 4R 10R 59</v>
          </cell>
          <cell r="D655">
            <v>72</v>
          </cell>
        </row>
        <row r="656">
          <cell r="A656">
            <v>1000020693</v>
          </cell>
          <cell r="B656" t="str">
            <v>6311-Z</v>
          </cell>
          <cell r="C656" t="str">
            <v>K6 M13</v>
          </cell>
          <cell r="D656">
            <v>0</v>
          </cell>
        </row>
        <row r="657">
          <cell r="A657">
            <v>1000020694</v>
          </cell>
          <cell r="B657" t="str">
            <v>6311-Z/C3</v>
          </cell>
          <cell r="C657" t="str">
            <v>C18</v>
          </cell>
          <cell r="D657">
            <v>4</v>
          </cell>
        </row>
        <row r="658">
          <cell r="A658">
            <v>1000020695</v>
          </cell>
          <cell r="B658">
            <v>6312</v>
          </cell>
          <cell r="C658" t="str">
            <v>J8 K6 L5 M21</v>
          </cell>
          <cell r="D658">
            <v>54</v>
          </cell>
        </row>
        <row r="659">
          <cell r="A659">
            <v>1000020696</v>
          </cell>
          <cell r="B659" t="str">
            <v>6312 M/C3</v>
          </cell>
          <cell r="C659" t="str">
            <v>D15</v>
          </cell>
          <cell r="D659">
            <v>0</v>
          </cell>
        </row>
        <row r="660">
          <cell r="A660">
            <v>1000020697</v>
          </cell>
          <cell r="B660" t="str">
            <v>6312/C3</v>
          </cell>
          <cell r="C660" t="str">
            <v>M31</v>
          </cell>
          <cell r="D660">
            <v>0</v>
          </cell>
        </row>
        <row r="661">
          <cell r="A661">
            <v>1000020698</v>
          </cell>
          <cell r="B661" t="str">
            <v>6312/C4</v>
          </cell>
          <cell r="C661" t="str">
            <v>N1 20</v>
          </cell>
          <cell r="D661">
            <v>5</v>
          </cell>
        </row>
        <row r="662">
          <cell r="A662">
            <v>1000020699</v>
          </cell>
          <cell r="B662" t="str">
            <v>6312-2RS1/C3</v>
          </cell>
          <cell r="C662" t="str">
            <v>E14 M1</v>
          </cell>
          <cell r="D662">
            <v>15</v>
          </cell>
        </row>
        <row r="663">
          <cell r="A663">
            <v>1000020700</v>
          </cell>
          <cell r="B663" t="str">
            <v>6312-2Z</v>
          </cell>
          <cell r="C663" t="str">
            <v>A12 M22</v>
          </cell>
          <cell r="D663">
            <v>17</v>
          </cell>
        </row>
        <row r="664">
          <cell r="A664">
            <v>1000020701</v>
          </cell>
          <cell r="B664" t="str">
            <v>6312-2Z/C3</v>
          </cell>
          <cell r="C664" t="str">
            <v>D19 63 17R 34 52 21</v>
          </cell>
          <cell r="D664">
            <v>69</v>
          </cell>
        </row>
        <row r="665">
          <cell r="A665">
            <v>1000020702</v>
          </cell>
          <cell r="B665" t="str">
            <v>6312-Z</v>
          </cell>
          <cell r="C665" t="str">
            <v>F5</v>
          </cell>
          <cell r="D665">
            <v>8</v>
          </cell>
        </row>
        <row r="666">
          <cell r="A666">
            <v>1000020703</v>
          </cell>
          <cell r="B666">
            <v>6313</v>
          </cell>
          <cell r="C666" t="str">
            <v>E12 63 75 34 21</v>
          </cell>
          <cell r="D666">
            <v>8</v>
          </cell>
        </row>
        <row r="667">
          <cell r="A667">
            <v>1000020704</v>
          </cell>
          <cell r="B667" t="str">
            <v>6313/C3</v>
          </cell>
          <cell r="C667" t="str">
            <v>B2 9 70R 72 57</v>
          </cell>
          <cell r="D667">
            <v>0</v>
          </cell>
        </row>
        <row r="668">
          <cell r="A668">
            <v>1000020705</v>
          </cell>
          <cell r="B668" t="str">
            <v>6313/C4</v>
          </cell>
          <cell r="C668" t="str">
            <v>C10</v>
          </cell>
          <cell r="D668">
            <v>0</v>
          </cell>
        </row>
        <row r="669">
          <cell r="A669">
            <v>1000020706</v>
          </cell>
          <cell r="B669" t="str">
            <v>6313-2RS1/C3</v>
          </cell>
          <cell r="C669">
            <v>41</v>
          </cell>
          <cell r="D669">
            <v>20</v>
          </cell>
        </row>
        <row r="670">
          <cell r="A670">
            <v>1000020707</v>
          </cell>
          <cell r="B670" t="str">
            <v>6313-2Z</v>
          </cell>
          <cell r="C670" t="str">
            <v>E20 28</v>
          </cell>
          <cell r="D670">
            <v>29</v>
          </cell>
        </row>
        <row r="671">
          <cell r="A671">
            <v>1000020708</v>
          </cell>
          <cell r="B671" t="str">
            <v>6313-2Z/C3</v>
          </cell>
          <cell r="C671" t="str">
            <v>M10 N2 5 36 38 44 54 58 15 62 76 31</v>
          </cell>
          <cell r="D671">
            <v>475</v>
          </cell>
        </row>
        <row r="672">
          <cell r="A672">
            <v>1000020709</v>
          </cell>
          <cell r="B672" t="str">
            <v>6313-Z/C3</v>
          </cell>
          <cell r="C672" t="str">
            <v>J16</v>
          </cell>
          <cell r="D672">
            <v>10</v>
          </cell>
        </row>
        <row r="673">
          <cell r="A673">
            <v>1000020710</v>
          </cell>
          <cell r="B673" t="str">
            <v>6313-ZNR</v>
          </cell>
          <cell r="C673" t="str">
            <v>D15</v>
          </cell>
          <cell r="D673">
            <v>1</v>
          </cell>
        </row>
        <row r="674">
          <cell r="A674">
            <v>1000020711</v>
          </cell>
          <cell r="B674">
            <v>6314</v>
          </cell>
          <cell r="C674" t="str">
            <v>I11 J19</v>
          </cell>
          <cell r="D674">
            <v>1</v>
          </cell>
        </row>
        <row r="675">
          <cell r="A675">
            <v>1000020712</v>
          </cell>
          <cell r="B675" t="str">
            <v>6314/C3</v>
          </cell>
          <cell r="C675" t="str">
            <v>N2 2 66 61 11R 32R 7 67R 25 7</v>
          </cell>
          <cell r="D675">
            <v>125</v>
          </cell>
        </row>
        <row r="676">
          <cell r="A676">
            <v>1000020713</v>
          </cell>
          <cell r="B676" t="str">
            <v>6314-2RS1</v>
          </cell>
          <cell r="C676" t="str">
            <v>I15</v>
          </cell>
          <cell r="D676">
            <v>21</v>
          </cell>
        </row>
        <row r="677">
          <cell r="A677">
            <v>1000020714</v>
          </cell>
          <cell r="B677" t="str">
            <v>6314-2RS1/C3</v>
          </cell>
          <cell r="C677" t="str">
            <v>C3 M12</v>
          </cell>
          <cell r="D677">
            <v>11</v>
          </cell>
        </row>
        <row r="678">
          <cell r="A678">
            <v>1000020715</v>
          </cell>
          <cell r="B678" t="str">
            <v>6314-2Z</v>
          </cell>
          <cell r="C678" t="str">
            <v>E11 G12 J20</v>
          </cell>
          <cell r="D678">
            <v>19</v>
          </cell>
        </row>
        <row r="679">
          <cell r="A679">
            <v>1000020716</v>
          </cell>
          <cell r="B679" t="str">
            <v>6314-2Z/C3</v>
          </cell>
          <cell r="C679" t="str">
            <v>D3 F15 F18  J14  M4  E19  23  50 35R 27</v>
          </cell>
          <cell r="D679">
            <v>18</v>
          </cell>
        </row>
        <row r="680">
          <cell r="A680">
            <v>1000020717</v>
          </cell>
          <cell r="B680" t="str">
            <v>6314-Z/C3</v>
          </cell>
          <cell r="C680" t="str">
            <v>82 35R N2</v>
          </cell>
          <cell r="D680">
            <v>20</v>
          </cell>
        </row>
        <row r="681">
          <cell r="A681">
            <v>1000020718</v>
          </cell>
          <cell r="B681">
            <v>6315</v>
          </cell>
          <cell r="C681" t="str">
            <v>K10 K26</v>
          </cell>
          <cell r="D681">
            <v>45</v>
          </cell>
        </row>
        <row r="682">
          <cell r="A682">
            <v>1000020719</v>
          </cell>
          <cell r="B682" t="str">
            <v>6315 M/C3</v>
          </cell>
          <cell r="C682" t="str">
            <v>_</v>
          </cell>
          <cell r="D682">
            <v>0</v>
          </cell>
        </row>
        <row r="683">
          <cell r="A683">
            <v>1000020720</v>
          </cell>
          <cell r="B683" t="str">
            <v>6315/C3</v>
          </cell>
          <cell r="C683" t="str">
            <v>L10 M15 M20</v>
          </cell>
          <cell r="D683">
            <v>12</v>
          </cell>
        </row>
        <row r="684">
          <cell r="A684">
            <v>1000020721</v>
          </cell>
          <cell r="B684" t="str">
            <v>6315-2RS1</v>
          </cell>
          <cell r="C684" t="str">
            <v>E11</v>
          </cell>
          <cell r="D684">
            <v>2</v>
          </cell>
        </row>
        <row r="685">
          <cell r="A685">
            <v>1000020722</v>
          </cell>
          <cell r="B685" t="str">
            <v>6315-2RS1/C3</v>
          </cell>
          <cell r="C685" t="str">
            <v>_56 24</v>
          </cell>
          <cell r="D685">
            <v>10</v>
          </cell>
        </row>
        <row r="686">
          <cell r="A686">
            <v>1000020723</v>
          </cell>
          <cell r="B686" t="str">
            <v>6315-2Z/C3</v>
          </cell>
          <cell r="C686" t="str">
            <v>M12 3R</v>
          </cell>
          <cell r="D686">
            <v>20</v>
          </cell>
        </row>
        <row r="687">
          <cell r="A687">
            <v>1000020724</v>
          </cell>
          <cell r="B687" t="str">
            <v>6315-Z</v>
          </cell>
          <cell r="C687" t="str">
            <v>C4</v>
          </cell>
          <cell r="D687">
            <v>2</v>
          </cell>
        </row>
        <row r="688">
          <cell r="A688">
            <v>1000020725</v>
          </cell>
          <cell r="B688">
            <v>6316</v>
          </cell>
          <cell r="C688" t="str">
            <v>G7</v>
          </cell>
          <cell r="D688">
            <v>4</v>
          </cell>
        </row>
        <row r="689">
          <cell r="A689">
            <v>1000020726</v>
          </cell>
          <cell r="B689" t="str">
            <v>6316 M/C3</v>
          </cell>
          <cell r="C689" t="str">
            <v>C2 F1 K7 K8 J12 K21 33R</v>
          </cell>
          <cell r="D689">
            <v>19</v>
          </cell>
        </row>
        <row r="690">
          <cell r="A690">
            <v>1000020727</v>
          </cell>
          <cell r="B690" t="str">
            <v>6316 M/C3VL0241</v>
          </cell>
          <cell r="C690" t="str">
            <v>J23 K34</v>
          </cell>
          <cell r="D690">
            <v>4</v>
          </cell>
        </row>
        <row r="691">
          <cell r="A691">
            <v>1000020728</v>
          </cell>
          <cell r="B691" t="str">
            <v>6316/C3</v>
          </cell>
          <cell r="C691" t="str">
            <v>J13 7 62 74 33 57</v>
          </cell>
          <cell r="D691">
            <v>53</v>
          </cell>
        </row>
        <row r="692">
          <cell r="A692">
            <v>1000020729</v>
          </cell>
          <cell r="B692" t="str">
            <v>6316-2RS1/C3</v>
          </cell>
          <cell r="C692" t="str">
            <v>C12</v>
          </cell>
          <cell r="D692">
            <v>1</v>
          </cell>
        </row>
        <row r="693">
          <cell r="A693">
            <v>1000020730</v>
          </cell>
          <cell r="B693" t="str">
            <v>6316-2Z/C3</v>
          </cell>
          <cell r="C693" t="str">
            <v>65 M13 63R</v>
          </cell>
          <cell r="D693">
            <v>18</v>
          </cell>
        </row>
        <row r="694">
          <cell r="A694">
            <v>1000020731</v>
          </cell>
          <cell r="B694" t="str">
            <v>6316-Z</v>
          </cell>
          <cell r="C694" t="str">
            <v>C7</v>
          </cell>
          <cell r="D694">
            <v>4</v>
          </cell>
        </row>
        <row r="695">
          <cell r="A695">
            <v>1000020732</v>
          </cell>
          <cell r="B695" t="str">
            <v>6316-Z/C3</v>
          </cell>
          <cell r="C695" t="str">
            <v>B8</v>
          </cell>
          <cell r="D695">
            <v>4</v>
          </cell>
        </row>
        <row r="696">
          <cell r="A696">
            <v>1000020733</v>
          </cell>
          <cell r="B696">
            <v>6317</v>
          </cell>
          <cell r="C696" t="str">
            <v>G6</v>
          </cell>
          <cell r="D696">
            <v>11</v>
          </cell>
        </row>
        <row r="697">
          <cell r="A697">
            <v>1000020734</v>
          </cell>
          <cell r="B697" t="str">
            <v>6317 M/C3</v>
          </cell>
          <cell r="C697" t="str">
            <v>F23</v>
          </cell>
          <cell r="D697">
            <v>36</v>
          </cell>
        </row>
        <row r="698">
          <cell r="A698">
            <v>1000020735</v>
          </cell>
          <cell r="B698" t="str">
            <v>6317/C3</v>
          </cell>
          <cell r="C698" t="str">
            <v>B6 F9 57</v>
          </cell>
          <cell r="D698">
            <v>5</v>
          </cell>
        </row>
        <row r="699">
          <cell r="A699">
            <v>1000020736</v>
          </cell>
          <cell r="B699" t="str">
            <v>6317-2RS1/C3</v>
          </cell>
          <cell r="C699" t="str">
            <v>E8</v>
          </cell>
          <cell r="D699">
            <v>1</v>
          </cell>
        </row>
        <row r="700">
          <cell r="A700">
            <v>1000020737</v>
          </cell>
          <cell r="B700" t="str">
            <v>6317-2Z</v>
          </cell>
          <cell r="C700" t="str">
            <v>B15 J4 K26</v>
          </cell>
          <cell r="D700">
            <v>14</v>
          </cell>
        </row>
        <row r="701">
          <cell r="A701">
            <v>1000020738</v>
          </cell>
          <cell r="B701" t="str">
            <v>6317-2Z/C3</v>
          </cell>
          <cell r="C701" t="str">
            <v>D19</v>
          </cell>
          <cell r="D701">
            <v>5</v>
          </cell>
        </row>
        <row r="702">
          <cell r="A702">
            <v>1000020739</v>
          </cell>
          <cell r="B702">
            <v>6318</v>
          </cell>
          <cell r="C702" t="str">
            <v>C19 F10 K3</v>
          </cell>
          <cell r="D702">
            <v>33</v>
          </cell>
        </row>
        <row r="703">
          <cell r="A703">
            <v>1000020740</v>
          </cell>
          <cell r="B703" t="str">
            <v>6318/C3</v>
          </cell>
          <cell r="C703" t="str">
            <v>59 88 62 56 N3 33 22R 32R 24</v>
          </cell>
          <cell r="D703">
            <v>34</v>
          </cell>
        </row>
        <row r="704">
          <cell r="A704">
            <v>1000020741</v>
          </cell>
          <cell r="B704" t="str">
            <v>6318-2RS1/C3</v>
          </cell>
          <cell r="C704" t="str">
            <v>E8</v>
          </cell>
          <cell r="D704">
            <v>1</v>
          </cell>
        </row>
        <row r="705">
          <cell r="A705">
            <v>1000020742</v>
          </cell>
          <cell r="B705" t="str">
            <v>6318-2Z/C3</v>
          </cell>
          <cell r="C705" t="str">
            <v>D20</v>
          </cell>
          <cell r="D705">
            <v>5</v>
          </cell>
        </row>
        <row r="706">
          <cell r="A706">
            <v>1000020744</v>
          </cell>
          <cell r="B706">
            <v>6319</v>
          </cell>
          <cell r="C706" t="str">
            <v>B15</v>
          </cell>
          <cell r="D706">
            <v>4</v>
          </cell>
        </row>
        <row r="707">
          <cell r="A707">
            <v>1000020745</v>
          </cell>
          <cell r="B707" t="str">
            <v>6319 M/C3VL0241</v>
          </cell>
          <cell r="C707" t="str">
            <v>C20</v>
          </cell>
          <cell r="D707">
            <v>2</v>
          </cell>
        </row>
        <row r="708">
          <cell r="A708">
            <v>1000020746</v>
          </cell>
          <cell r="B708" t="str">
            <v>6319/C3</v>
          </cell>
          <cell r="C708" t="str">
            <v>M18</v>
          </cell>
          <cell r="D708">
            <v>6</v>
          </cell>
        </row>
        <row r="709">
          <cell r="A709">
            <v>1000020747</v>
          </cell>
          <cell r="B709" t="str">
            <v>6319-2Z/C3</v>
          </cell>
          <cell r="C709">
            <v>75</v>
          </cell>
          <cell r="D709">
            <v>11</v>
          </cell>
        </row>
        <row r="710">
          <cell r="A710">
            <v>1000020749</v>
          </cell>
          <cell r="B710" t="str">
            <v>6320/C3</v>
          </cell>
          <cell r="C710" t="str">
            <v>N3 19 46 71R 30</v>
          </cell>
          <cell r="D710">
            <v>20</v>
          </cell>
        </row>
        <row r="711">
          <cell r="A711">
            <v>1000020750</v>
          </cell>
          <cell r="B711" t="str">
            <v>6320/C3VL0241</v>
          </cell>
          <cell r="C711" t="str">
            <v>I12</v>
          </cell>
          <cell r="D711">
            <v>2</v>
          </cell>
        </row>
        <row r="712">
          <cell r="A712">
            <v>1000020751</v>
          </cell>
          <cell r="B712" t="str">
            <v>6320-2Z/C3</v>
          </cell>
          <cell r="C712" t="str">
            <v>C20</v>
          </cell>
          <cell r="D712">
            <v>8</v>
          </cell>
        </row>
        <row r="713">
          <cell r="A713">
            <v>1000020752</v>
          </cell>
          <cell r="B713">
            <v>6322</v>
          </cell>
          <cell r="C713" t="str">
            <v>F12 G18</v>
          </cell>
          <cell r="D713">
            <v>13</v>
          </cell>
        </row>
        <row r="714">
          <cell r="A714">
            <v>1000020753</v>
          </cell>
          <cell r="B714" t="str">
            <v>6322/C3</v>
          </cell>
          <cell r="C714" t="str">
            <v>J18 L15 M14 M18 39 75</v>
          </cell>
          <cell r="D714">
            <v>12</v>
          </cell>
        </row>
        <row r="715">
          <cell r="A715">
            <v>1000020754</v>
          </cell>
          <cell r="B715" t="str">
            <v>6324/C3</v>
          </cell>
          <cell r="C715" t="str">
            <v>F12</v>
          </cell>
          <cell r="D715">
            <v>0</v>
          </cell>
        </row>
        <row r="716">
          <cell r="A716">
            <v>1000020755</v>
          </cell>
          <cell r="B716" t="str">
            <v>6326 M/C3</v>
          </cell>
          <cell r="C716" t="str">
            <v>C12 G20 K32 K30</v>
          </cell>
          <cell r="D716">
            <v>10</v>
          </cell>
        </row>
        <row r="717">
          <cell r="A717">
            <v>1000020756</v>
          </cell>
          <cell r="B717" t="str">
            <v>6326/C3</v>
          </cell>
          <cell r="C717" t="str">
            <v>A13 32</v>
          </cell>
          <cell r="D717">
            <v>6</v>
          </cell>
        </row>
        <row r="718">
          <cell r="A718">
            <v>1000020757</v>
          </cell>
          <cell r="B718">
            <v>6403</v>
          </cell>
          <cell r="C718" t="str">
            <v>C17</v>
          </cell>
          <cell r="D718">
            <v>2</v>
          </cell>
        </row>
        <row r="719">
          <cell r="A719">
            <v>1000020758</v>
          </cell>
          <cell r="B719" t="str">
            <v>6403/C3</v>
          </cell>
          <cell r="C719" t="str">
            <v>D6</v>
          </cell>
          <cell r="D719">
            <v>1</v>
          </cell>
        </row>
        <row r="720">
          <cell r="A720">
            <v>1000020759</v>
          </cell>
          <cell r="B720" t="str">
            <v>6403-2RS1</v>
          </cell>
          <cell r="C720" t="str">
            <v>E6 M8</v>
          </cell>
          <cell r="D720">
            <v>10</v>
          </cell>
        </row>
        <row r="721">
          <cell r="A721">
            <v>1000020760</v>
          </cell>
          <cell r="B721" t="str">
            <v>6404/C3</v>
          </cell>
          <cell r="C721" t="str">
            <v>C7</v>
          </cell>
          <cell r="D721">
            <v>1</v>
          </cell>
        </row>
        <row r="722">
          <cell r="A722">
            <v>1000020761</v>
          </cell>
          <cell r="B722">
            <v>6405</v>
          </cell>
          <cell r="C722" t="str">
            <v>D13</v>
          </cell>
          <cell r="D722">
            <v>3</v>
          </cell>
        </row>
        <row r="723">
          <cell r="A723">
            <v>1000020762</v>
          </cell>
          <cell r="B723" t="str">
            <v>6405/C3</v>
          </cell>
          <cell r="C723" t="str">
            <v>B13</v>
          </cell>
          <cell r="D723">
            <v>5</v>
          </cell>
        </row>
        <row r="724">
          <cell r="A724">
            <v>1000020764</v>
          </cell>
          <cell r="B724" t="str">
            <v>6406/C3</v>
          </cell>
          <cell r="C724" t="str">
            <v>E7 J4 M3</v>
          </cell>
          <cell r="D724">
            <v>25</v>
          </cell>
        </row>
        <row r="725">
          <cell r="A725">
            <v>1000020765</v>
          </cell>
          <cell r="B725" t="str">
            <v>6407/C3</v>
          </cell>
          <cell r="C725" t="str">
            <v>A7</v>
          </cell>
          <cell r="D725">
            <v>5</v>
          </cell>
        </row>
        <row r="726">
          <cell r="A726">
            <v>1000020766</v>
          </cell>
          <cell r="B726" t="str">
            <v>6408/C3</v>
          </cell>
          <cell r="C726" t="str">
            <v>E11</v>
          </cell>
          <cell r="D726">
            <v>1</v>
          </cell>
        </row>
        <row r="727">
          <cell r="A727">
            <v>1000020767</v>
          </cell>
          <cell r="B727" t="str">
            <v>6409/C3</v>
          </cell>
          <cell r="C727" t="str">
            <v>B18</v>
          </cell>
          <cell r="D727">
            <v>4</v>
          </cell>
        </row>
        <row r="728">
          <cell r="A728">
            <v>1000020768</v>
          </cell>
          <cell r="B728" t="str">
            <v>6410/C3</v>
          </cell>
          <cell r="C728" t="str">
            <v>D11</v>
          </cell>
          <cell r="D728">
            <v>4</v>
          </cell>
        </row>
        <row r="729">
          <cell r="A729">
            <v>1000020769</v>
          </cell>
          <cell r="B729" t="str">
            <v>6411/C3</v>
          </cell>
          <cell r="C729" t="str">
            <v>M30</v>
          </cell>
          <cell r="D729">
            <v>2</v>
          </cell>
        </row>
        <row r="730">
          <cell r="A730">
            <v>1000020770</v>
          </cell>
          <cell r="B730" t="str">
            <v>6412/C3</v>
          </cell>
          <cell r="C730" t="str">
            <v>E7</v>
          </cell>
          <cell r="D730">
            <v>2</v>
          </cell>
        </row>
        <row r="731">
          <cell r="A731">
            <v>1000020771</v>
          </cell>
          <cell r="B731" t="str">
            <v>6413/C3</v>
          </cell>
          <cell r="C731" t="str">
            <v>H3</v>
          </cell>
          <cell r="D731">
            <v>1</v>
          </cell>
        </row>
        <row r="732">
          <cell r="A732">
            <v>1000020772</v>
          </cell>
          <cell r="B732">
            <v>6416</v>
          </cell>
          <cell r="C732" t="str">
            <v>D12 F15 F16 K17</v>
          </cell>
          <cell r="D732">
            <v>16</v>
          </cell>
        </row>
        <row r="733">
          <cell r="A733">
            <v>1000020773</v>
          </cell>
          <cell r="B733" t="str">
            <v>6416/C3</v>
          </cell>
          <cell r="C733" t="str">
            <v>D16</v>
          </cell>
          <cell r="D733">
            <v>1</v>
          </cell>
        </row>
        <row r="734">
          <cell r="A734">
            <v>1000020774</v>
          </cell>
          <cell r="B734">
            <v>51102</v>
          </cell>
          <cell r="C734" t="str">
            <v>D5</v>
          </cell>
          <cell r="D734">
            <v>5</v>
          </cell>
        </row>
        <row r="735">
          <cell r="A735">
            <v>1000020775</v>
          </cell>
          <cell r="B735">
            <v>51104</v>
          </cell>
          <cell r="C735" t="str">
            <v>D5 J6 L16</v>
          </cell>
          <cell r="D735">
            <v>19</v>
          </cell>
        </row>
        <row r="736">
          <cell r="A736">
            <v>1000020776</v>
          </cell>
          <cell r="B736">
            <v>51106</v>
          </cell>
          <cell r="C736" t="str">
            <v>E13 I9 L16</v>
          </cell>
          <cell r="D736">
            <v>53</v>
          </cell>
        </row>
        <row r="737">
          <cell r="A737">
            <v>1000020777</v>
          </cell>
          <cell r="B737">
            <v>51107</v>
          </cell>
          <cell r="C737" t="str">
            <v>E13 J7 M26</v>
          </cell>
          <cell r="D737">
            <v>30</v>
          </cell>
        </row>
        <row r="738">
          <cell r="A738">
            <v>1000020778</v>
          </cell>
          <cell r="B738">
            <v>51110</v>
          </cell>
          <cell r="C738" t="str">
            <v>D13</v>
          </cell>
          <cell r="D738">
            <v>3</v>
          </cell>
        </row>
        <row r="739">
          <cell r="A739">
            <v>1000020779</v>
          </cell>
          <cell r="B739">
            <v>51112</v>
          </cell>
          <cell r="C739" t="str">
            <v>D13</v>
          </cell>
          <cell r="D739">
            <v>3</v>
          </cell>
        </row>
        <row r="740">
          <cell r="A740">
            <v>1000020780</v>
          </cell>
          <cell r="B740">
            <v>51114</v>
          </cell>
          <cell r="C740" t="str">
            <v>E14</v>
          </cell>
          <cell r="D740">
            <v>5</v>
          </cell>
        </row>
        <row r="741">
          <cell r="A741">
            <v>1000020781</v>
          </cell>
          <cell r="B741">
            <v>51118</v>
          </cell>
          <cell r="C741" t="str">
            <v>C18</v>
          </cell>
          <cell r="D741">
            <v>3</v>
          </cell>
        </row>
        <row r="742">
          <cell r="A742">
            <v>1000020782</v>
          </cell>
          <cell r="B742">
            <v>51203</v>
          </cell>
          <cell r="C742" t="str">
            <v>B17</v>
          </cell>
          <cell r="D742">
            <v>99</v>
          </cell>
        </row>
        <row r="743">
          <cell r="A743">
            <v>1000020783</v>
          </cell>
          <cell r="B743">
            <v>51205</v>
          </cell>
          <cell r="C743" t="str">
            <v>C10</v>
          </cell>
          <cell r="D743">
            <v>5</v>
          </cell>
        </row>
        <row r="744">
          <cell r="A744">
            <v>1000020784</v>
          </cell>
          <cell r="B744">
            <v>51206</v>
          </cell>
          <cell r="C744" t="str">
            <v>C13</v>
          </cell>
          <cell r="D744">
            <v>5</v>
          </cell>
        </row>
        <row r="745">
          <cell r="A745">
            <v>1000020785</v>
          </cell>
          <cell r="B745">
            <v>51207</v>
          </cell>
          <cell r="C745" t="str">
            <v>D3</v>
          </cell>
          <cell r="D745">
            <v>4</v>
          </cell>
        </row>
        <row r="746">
          <cell r="A746">
            <v>1000020786</v>
          </cell>
          <cell r="B746">
            <v>51208</v>
          </cell>
          <cell r="C746" t="str">
            <v>D18</v>
          </cell>
          <cell r="D746">
            <v>4</v>
          </cell>
        </row>
        <row r="747">
          <cell r="A747">
            <v>1000020787</v>
          </cell>
          <cell r="B747" t="str">
            <v>7202 BEGAP</v>
          </cell>
          <cell r="C747" t="str">
            <v>D6</v>
          </cell>
          <cell r="D747">
            <v>2</v>
          </cell>
        </row>
        <row r="748">
          <cell r="A748">
            <v>1000020788</v>
          </cell>
          <cell r="B748" t="str">
            <v>7202 BEP</v>
          </cell>
          <cell r="C748" t="str">
            <v>D5</v>
          </cell>
          <cell r="D748">
            <v>1</v>
          </cell>
        </row>
        <row r="749">
          <cell r="A749">
            <v>1000020789</v>
          </cell>
          <cell r="B749" t="str">
            <v>7203 BECBM</v>
          </cell>
          <cell r="C749" t="str">
            <v>C1</v>
          </cell>
          <cell r="D749">
            <v>2</v>
          </cell>
        </row>
        <row r="750">
          <cell r="A750">
            <v>1000020790</v>
          </cell>
          <cell r="B750" t="str">
            <v>7204 BECBM</v>
          </cell>
          <cell r="C750" t="str">
            <v>E10</v>
          </cell>
          <cell r="D750">
            <v>27</v>
          </cell>
        </row>
        <row r="751">
          <cell r="A751">
            <v>1000020791</v>
          </cell>
          <cell r="B751" t="str">
            <v>7204 BECBP</v>
          </cell>
          <cell r="C751" t="str">
            <v>C10</v>
          </cell>
          <cell r="D751">
            <v>2</v>
          </cell>
        </row>
        <row r="752">
          <cell r="A752">
            <v>1000020792</v>
          </cell>
          <cell r="B752" t="str">
            <v>7205 BECBM</v>
          </cell>
          <cell r="C752" t="str">
            <v>B17</v>
          </cell>
          <cell r="D752">
            <v>1</v>
          </cell>
        </row>
        <row r="753">
          <cell r="A753">
            <v>1000020793</v>
          </cell>
          <cell r="B753" t="str">
            <v>7205 BECBP</v>
          </cell>
          <cell r="C753" t="str">
            <v>I3 L16</v>
          </cell>
          <cell r="D753">
            <v>4</v>
          </cell>
        </row>
        <row r="754">
          <cell r="A754">
            <v>1000020794</v>
          </cell>
          <cell r="B754" t="str">
            <v>7206 BECBM</v>
          </cell>
          <cell r="C754" t="str">
            <v>C10</v>
          </cell>
          <cell r="D754">
            <v>1</v>
          </cell>
        </row>
        <row r="755">
          <cell r="A755">
            <v>1000020795</v>
          </cell>
          <cell r="B755" t="str">
            <v>7206 BECBP</v>
          </cell>
          <cell r="C755" t="str">
            <v>B13</v>
          </cell>
          <cell r="D755">
            <v>4</v>
          </cell>
        </row>
        <row r="756">
          <cell r="A756">
            <v>1000020796</v>
          </cell>
          <cell r="B756" t="str">
            <v>7207 BECBM</v>
          </cell>
          <cell r="C756" t="str">
            <v>C2 F16 9R 48</v>
          </cell>
          <cell r="D756">
            <v>11</v>
          </cell>
        </row>
        <row r="757">
          <cell r="A757">
            <v>1000020797</v>
          </cell>
          <cell r="B757" t="str">
            <v>7207 BECBP</v>
          </cell>
          <cell r="C757" t="str">
            <v>D14</v>
          </cell>
          <cell r="D757">
            <v>2</v>
          </cell>
        </row>
        <row r="758">
          <cell r="A758">
            <v>1000020798</v>
          </cell>
          <cell r="B758" t="str">
            <v>7208 BECBM</v>
          </cell>
          <cell r="C758" t="str">
            <v>F15</v>
          </cell>
          <cell r="D758">
            <v>7</v>
          </cell>
        </row>
        <row r="759">
          <cell r="A759">
            <v>1000020799</v>
          </cell>
          <cell r="B759" t="str">
            <v>7208 BECBP</v>
          </cell>
          <cell r="C759" t="str">
            <v>D14</v>
          </cell>
          <cell r="D759">
            <v>2</v>
          </cell>
        </row>
        <row r="760">
          <cell r="A760">
            <v>1000020800</v>
          </cell>
          <cell r="B760" t="str">
            <v>7209 BECBM</v>
          </cell>
          <cell r="C760" t="str">
            <v>D9 1R 48</v>
          </cell>
          <cell r="D760">
            <v>18</v>
          </cell>
        </row>
        <row r="761">
          <cell r="A761">
            <v>1000020801</v>
          </cell>
          <cell r="B761" t="str">
            <v>7209 BECBP</v>
          </cell>
          <cell r="C761" t="str">
            <v>D14</v>
          </cell>
          <cell r="D761">
            <v>2</v>
          </cell>
        </row>
        <row r="762">
          <cell r="A762">
            <v>1000020802</v>
          </cell>
          <cell r="B762" t="str">
            <v>7210 BECBJ</v>
          </cell>
          <cell r="C762" t="str">
            <v>J10</v>
          </cell>
          <cell r="D762">
            <v>13</v>
          </cell>
        </row>
        <row r="763">
          <cell r="A763">
            <v>1000020803</v>
          </cell>
          <cell r="B763" t="str">
            <v>7210 BECBM</v>
          </cell>
          <cell r="C763" t="str">
            <v>B13</v>
          </cell>
          <cell r="D763">
            <v>4</v>
          </cell>
        </row>
        <row r="764">
          <cell r="A764">
            <v>1000020804</v>
          </cell>
          <cell r="B764" t="str">
            <v>7211 BECBM</v>
          </cell>
          <cell r="C764" t="str">
            <v>D13</v>
          </cell>
          <cell r="D764">
            <v>2</v>
          </cell>
        </row>
        <row r="765">
          <cell r="A765">
            <v>1000020805</v>
          </cell>
          <cell r="B765" t="str">
            <v>7212 BECBM</v>
          </cell>
          <cell r="C765" t="str">
            <v>D18 J15</v>
          </cell>
          <cell r="D765">
            <v>5</v>
          </cell>
        </row>
        <row r="766">
          <cell r="A766">
            <v>1000020806</v>
          </cell>
          <cell r="B766" t="str">
            <v>7213 BECBM</v>
          </cell>
          <cell r="C766" t="str">
            <v>C18 I18</v>
          </cell>
          <cell r="D766">
            <v>80</v>
          </cell>
        </row>
        <row r="767">
          <cell r="A767">
            <v>1000020807</v>
          </cell>
          <cell r="B767" t="str">
            <v>7214 BECBJ</v>
          </cell>
          <cell r="C767" t="str">
            <v>C10</v>
          </cell>
          <cell r="D767">
            <v>1</v>
          </cell>
        </row>
        <row r="768">
          <cell r="A768">
            <v>1000020808</v>
          </cell>
          <cell r="B768" t="str">
            <v>7214 BECBM</v>
          </cell>
          <cell r="C768" t="str">
            <v>G4</v>
          </cell>
          <cell r="D768">
            <v>0</v>
          </cell>
        </row>
        <row r="769">
          <cell r="A769">
            <v>1000020809</v>
          </cell>
          <cell r="B769" t="str">
            <v>7215 BECBJ</v>
          </cell>
          <cell r="C769" t="str">
            <v>H2 I11 K20 M29</v>
          </cell>
          <cell r="D769">
            <v>24</v>
          </cell>
        </row>
        <row r="770">
          <cell r="A770">
            <v>1000020810</v>
          </cell>
          <cell r="B770" t="str">
            <v>7215 BECBM</v>
          </cell>
          <cell r="C770" t="str">
            <v>J11</v>
          </cell>
          <cell r="D770">
            <v>12</v>
          </cell>
        </row>
        <row r="771">
          <cell r="A771">
            <v>1000020811</v>
          </cell>
          <cell r="B771" t="str">
            <v>7216 BECBJ</v>
          </cell>
          <cell r="C771" t="str">
            <v>K20</v>
          </cell>
          <cell r="D771">
            <v>0</v>
          </cell>
        </row>
        <row r="772">
          <cell r="A772">
            <v>1000020812</v>
          </cell>
          <cell r="B772" t="str">
            <v>7216 BECBM</v>
          </cell>
          <cell r="C772" t="str">
            <v>A3 F1 K14 J11 K20 M22</v>
          </cell>
          <cell r="D772">
            <v>33</v>
          </cell>
        </row>
        <row r="773">
          <cell r="A773">
            <v>1000020813</v>
          </cell>
          <cell r="B773" t="str">
            <v>7216 BECBP</v>
          </cell>
          <cell r="C773" t="str">
            <v>C17</v>
          </cell>
          <cell r="D773">
            <v>4</v>
          </cell>
        </row>
        <row r="774">
          <cell r="A774">
            <v>1000020814</v>
          </cell>
          <cell r="B774" t="str">
            <v>7217 BECBJ</v>
          </cell>
          <cell r="C774" t="str">
            <v>K3 J22</v>
          </cell>
          <cell r="D774">
            <v>24</v>
          </cell>
        </row>
        <row r="775">
          <cell r="A775">
            <v>1000020815</v>
          </cell>
          <cell r="B775" t="str">
            <v>7217 BECBM</v>
          </cell>
          <cell r="C775" t="str">
            <v>K4 M29</v>
          </cell>
          <cell r="D775">
            <v>2</v>
          </cell>
        </row>
        <row r="776">
          <cell r="A776">
            <v>1000020816</v>
          </cell>
          <cell r="B776" t="str">
            <v>7217 BECBP</v>
          </cell>
          <cell r="C776" t="str">
            <v>D15</v>
          </cell>
          <cell r="D776">
            <v>2</v>
          </cell>
        </row>
        <row r="777">
          <cell r="A777">
            <v>1000020817</v>
          </cell>
          <cell r="B777" t="str">
            <v>7218 BECBJ</v>
          </cell>
          <cell r="C777" t="str">
            <v>I17</v>
          </cell>
          <cell r="D777">
            <v>5</v>
          </cell>
        </row>
        <row r="778">
          <cell r="A778">
            <v>1000020818</v>
          </cell>
          <cell r="B778" t="str">
            <v>7218 BECBM</v>
          </cell>
          <cell r="C778" t="str">
            <v>E9 J5 J23 L4 L16 M30</v>
          </cell>
          <cell r="D778">
            <v>15</v>
          </cell>
        </row>
        <row r="779">
          <cell r="A779">
            <v>1000020819</v>
          </cell>
          <cell r="B779" t="str">
            <v>7218 BECBP</v>
          </cell>
          <cell r="C779" t="str">
            <v>D7</v>
          </cell>
          <cell r="D779">
            <v>1</v>
          </cell>
        </row>
        <row r="780">
          <cell r="A780">
            <v>1000020820</v>
          </cell>
          <cell r="B780" t="str">
            <v>7219 BECBM</v>
          </cell>
          <cell r="C780" t="str">
            <v>I18 K4 J19 J14</v>
          </cell>
          <cell r="D780">
            <v>0</v>
          </cell>
        </row>
        <row r="781">
          <cell r="A781">
            <v>1000020821</v>
          </cell>
          <cell r="B781" t="str">
            <v>7219 BECBP</v>
          </cell>
          <cell r="C781" t="str">
            <v>_</v>
          </cell>
          <cell r="D781">
            <v>0</v>
          </cell>
        </row>
        <row r="782">
          <cell r="A782">
            <v>1000020823</v>
          </cell>
          <cell r="B782" t="str">
            <v>7220 BECBP</v>
          </cell>
          <cell r="C782" t="str">
            <v>C4</v>
          </cell>
          <cell r="D782">
            <v>0</v>
          </cell>
        </row>
        <row r="783">
          <cell r="A783">
            <v>1000020824</v>
          </cell>
          <cell r="B783" t="str">
            <v>7220 BEGAM</v>
          </cell>
          <cell r="C783" t="str">
            <v>F21</v>
          </cell>
          <cell r="D783">
            <v>2</v>
          </cell>
        </row>
        <row r="784">
          <cell r="A784">
            <v>1000020825</v>
          </cell>
          <cell r="B784" t="str">
            <v>7221 BECBM</v>
          </cell>
          <cell r="C784" t="str">
            <v>E16</v>
          </cell>
          <cell r="D784">
            <v>1</v>
          </cell>
        </row>
        <row r="785">
          <cell r="A785">
            <v>1000020827</v>
          </cell>
          <cell r="B785" t="str">
            <v>7224 BCBM</v>
          </cell>
          <cell r="C785" t="str">
            <v>C16</v>
          </cell>
          <cell r="D785">
            <v>5</v>
          </cell>
        </row>
        <row r="786">
          <cell r="A786">
            <v>1000020828</v>
          </cell>
          <cell r="B786" t="str">
            <v>7226 BCBM</v>
          </cell>
          <cell r="C786" t="str">
            <v>J6 J23 L6 L12 L13 M30</v>
          </cell>
          <cell r="D786">
            <v>12</v>
          </cell>
        </row>
        <row r="787">
          <cell r="A787">
            <v>1000020830</v>
          </cell>
          <cell r="B787" t="str">
            <v>7304 BECBM</v>
          </cell>
          <cell r="C787" t="str">
            <v>D14</v>
          </cell>
          <cell r="D787">
            <v>10</v>
          </cell>
        </row>
        <row r="788">
          <cell r="A788">
            <v>1000020831</v>
          </cell>
          <cell r="B788" t="str">
            <v>7305 BECBM</v>
          </cell>
          <cell r="C788" t="str">
            <v>H5 K38 M22</v>
          </cell>
          <cell r="D788">
            <v>14</v>
          </cell>
        </row>
        <row r="789">
          <cell r="A789">
            <v>1000020833</v>
          </cell>
          <cell r="B789" t="str">
            <v>7306 BECBM (D1)</v>
          </cell>
          <cell r="C789" t="str">
            <v>B13 G16 I11 J10 K21</v>
          </cell>
          <cell r="D789">
            <v>17</v>
          </cell>
        </row>
        <row r="790">
          <cell r="A790">
            <v>1000020834</v>
          </cell>
          <cell r="B790" t="str">
            <v>SKF BEARING - 7306 BECBP</v>
          </cell>
          <cell r="C790" t="str">
            <v>G6</v>
          </cell>
          <cell r="D790">
            <v>3</v>
          </cell>
        </row>
        <row r="791">
          <cell r="A791">
            <v>1000020836</v>
          </cell>
          <cell r="B791" t="str">
            <v>7307 BECBP</v>
          </cell>
          <cell r="C791" t="str">
            <v>J22</v>
          </cell>
          <cell r="D791">
            <v>22</v>
          </cell>
        </row>
        <row r="792">
          <cell r="A792">
            <v>1000020837</v>
          </cell>
          <cell r="B792" t="str">
            <v>7308 BECBJ</v>
          </cell>
          <cell r="C792" t="str">
            <v>F1 F9 J2 K3 K22 M3 M15 M21 1R</v>
          </cell>
          <cell r="D792">
            <v>232</v>
          </cell>
        </row>
        <row r="793">
          <cell r="A793">
            <v>1000020838</v>
          </cell>
          <cell r="B793" t="str">
            <v>7308 BECBM</v>
          </cell>
          <cell r="C793" t="str">
            <v>A3 I9 M13 D17</v>
          </cell>
          <cell r="D793">
            <v>32</v>
          </cell>
        </row>
        <row r="794">
          <cell r="A794">
            <v>1000020840</v>
          </cell>
          <cell r="B794" t="str">
            <v>7308 BEGAM</v>
          </cell>
          <cell r="C794" t="str">
            <v>A8</v>
          </cell>
          <cell r="D794">
            <v>22</v>
          </cell>
        </row>
        <row r="795">
          <cell r="A795">
            <v>1000020841</v>
          </cell>
          <cell r="B795" t="str">
            <v>7309 BECBJ</v>
          </cell>
          <cell r="C795" t="str">
            <v>F19 57</v>
          </cell>
          <cell r="D795">
            <v>17</v>
          </cell>
        </row>
        <row r="796">
          <cell r="A796">
            <v>1000020842</v>
          </cell>
          <cell r="B796" t="str">
            <v>7309 BECBM</v>
          </cell>
          <cell r="C796" t="str">
            <v>A17 K28 29 53 44 14R 18R 74  66R</v>
          </cell>
          <cell r="D796">
            <v>299</v>
          </cell>
        </row>
        <row r="797">
          <cell r="A797">
            <v>1000020843</v>
          </cell>
          <cell r="B797" t="str">
            <v>7309 BECBP</v>
          </cell>
          <cell r="C797" t="str">
            <v>F19 65</v>
          </cell>
          <cell r="D797">
            <v>32</v>
          </cell>
        </row>
        <row r="798">
          <cell r="A798">
            <v>1000020844</v>
          </cell>
          <cell r="B798" t="str">
            <v>7310 BECBJ</v>
          </cell>
          <cell r="C798" t="str">
            <v>G16</v>
          </cell>
          <cell r="D798">
            <v>15</v>
          </cell>
        </row>
        <row r="799">
          <cell r="A799">
            <v>1000020845</v>
          </cell>
          <cell r="B799" t="str">
            <v>7310 BECBM</v>
          </cell>
          <cell r="C799" t="str">
            <v>I9</v>
          </cell>
          <cell r="D799">
            <v>6</v>
          </cell>
        </row>
        <row r="800">
          <cell r="A800">
            <v>1000020847</v>
          </cell>
          <cell r="B800" t="str">
            <v>7310 BEGAM</v>
          </cell>
          <cell r="C800" t="str">
            <v>K7 K4 K4</v>
          </cell>
          <cell r="D800">
            <v>5</v>
          </cell>
        </row>
        <row r="801">
          <cell r="A801">
            <v>1000020848</v>
          </cell>
          <cell r="B801" t="str">
            <v>7311 BECBJ</v>
          </cell>
          <cell r="C801" t="str">
            <v>L10 M20</v>
          </cell>
          <cell r="D801">
            <v>3</v>
          </cell>
        </row>
        <row r="802">
          <cell r="A802">
            <v>1000020849</v>
          </cell>
          <cell r="B802" t="str">
            <v xml:space="preserve"> 7311 BECBM</v>
          </cell>
          <cell r="C802" t="str">
            <v>J1 N1 6 49 74 40R 55R</v>
          </cell>
          <cell r="D802">
            <v>110</v>
          </cell>
        </row>
        <row r="803">
          <cell r="A803">
            <v>1000020850</v>
          </cell>
          <cell r="B803" t="str">
            <v>7311 BECBP</v>
          </cell>
          <cell r="C803" t="str">
            <v>K1 60</v>
          </cell>
          <cell r="D803">
            <v>12</v>
          </cell>
        </row>
        <row r="804">
          <cell r="A804">
            <v>1000020851</v>
          </cell>
          <cell r="B804" t="str">
            <v>7311 BECCM</v>
          </cell>
          <cell r="C804" t="str">
            <v>K28 8R</v>
          </cell>
          <cell r="D804">
            <v>15</v>
          </cell>
        </row>
        <row r="805">
          <cell r="A805">
            <v>1000020852</v>
          </cell>
          <cell r="B805" t="str">
            <v>7312 BECBJ</v>
          </cell>
          <cell r="C805" t="str">
            <v>M3</v>
          </cell>
          <cell r="D805">
            <v>0</v>
          </cell>
        </row>
        <row r="806">
          <cell r="A806">
            <v>1000020853</v>
          </cell>
          <cell r="B806" t="str">
            <v>7312 BECBM</v>
          </cell>
          <cell r="C806" t="str">
            <v>A17 L2 86  42 1 37R 10</v>
          </cell>
          <cell r="D806">
            <v>214</v>
          </cell>
        </row>
        <row r="807">
          <cell r="A807">
            <v>1000020854</v>
          </cell>
          <cell r="B807" t="str">
            <v>7312 BECCM</v>
          </cell>
          <cell r="C807" t="str">
            <v>J6</v>
          </cell>
          <cell r="D807">
            <v>0</v>
          </cell>
        </row>
        <row r="808">
          <cell r="A808">
            <v>1000020855</v>
          </cell>
          <cell r="B808" t="str">
            <v>7312 BEGAM</v>
          </cell>
          <cell r="C808" t="str">
            <v>36R</v>
          </cell>
          <cell r="D808">
            <v>7</v>
          </cell>
        </row>
        <row r="809">
          <cell r="A809">
            <v>1000020856</v>
          </cell>
          <cell r="B809" t="str">
            <v>7313 BECBJ</v>
          </cell>
          <cell r="C809" t="str">
            <v>G3</v>
          </cell>
          <cell r="D809">
            <v>11</v>
          </cell>
        </row>
        <row r="810">
          <cell r="A810">
            <v>1000020857</v>
          </cell>
          <cell r="B810" t="str">
            <v>7313 BECBM</v>
          </cell>
          <cell r="C810" t="str">
            <v>F19 G2 M10 M13 M12 21 35 19R 40R</v>
          </cell>
          <cell r="D810">
            <v>189</v>
          </cell>
        </row>
        <row r="811">
          <cell r="A811">
            <v>1000020859</v>
          </cell>
          <cell r="B811" t="str">
            <v>7313 BECCM</v>
          </cell>
          <cell r="C811" t="str">
            <v>F15 K15 K20</v>
          </cell>
          <cell r="D811">
            <v>2</v>
          </cell>
        </row>
        <row r="812">
          <cell r="A812">
            <v>1000020860</v>
          </cell>
          <cell r="B812" t="str">
            <v>7313 BEGAM</v>
          </cell>
          <cell r="C812" t="str">
            <v>K12</v>
          </cell>
          <cell r="D812">
            <v>2</v>
          </cell>
        </row>
        <row r="813">
          <cell r="A813">
            <v>1000020861</v>
          </cell>
          <cell r="B813" t="str">
            <v>7314 BECBJ</v>
          </cell>
          <cell r="C813" t="str">
            <v>M15 56</v>
          </cell>
          <cell r="D813">
            <v>13</v>
          </cell>
        </row>
        <row r="814">
          <cell r="A814">
            <v>1000020862</v>
          </cell>
          <cell r="B814" t="str">
            <v>7314 BECBM</v>
          </cell>
          <cell r="C814" t="str">
            <v>M11 N2 7 82 44 52 74 35R 66R  67R 75</v>
          </cell>
          <cell r="D814">
            <v>175</v>
          </cell>
        </row>
        <row r="815">
          <cell r="A815">
            <v>1000020863</v>
          </cell>
          <cell r="B815" t="str">
            <v>7314 BECBP</v>
          </cell>
          <cell r="C815" t="str">
            <v>F9</v>
          </cell>
          <cell r="D815">
            <v>10</v>
          </cell>
        </row>
        <row r="816">
          <cell r="A816">
            <v>1000020864</v>
          </cell>
          <cell r="B816" t="str">
            <v>7314 BEGAM</v>
          </cell>
          <cell r="C816">
            <v>30</v>
          </cell>
          <cell r="D816">
            <v>0</v>
          </cell>
        </row>
        <row r="817">
          <cell r="A817">
            <v>1000020865</v>
          </cell>
          <cell r="B817" t="str">
            <v>7315 BECBJ</v>
          </cell>
          <cell r="C817" t="str">
            <v>C15 I8 K3 L16</v>
          </cell>
          <cell r="D817">
            <v>14</v>
          </cell>
        </row>
        <row r="818">
          <cell r="A818">
            <v>1000020866</v>
          </cell>
          <cell r="B818" t="str">
            <v>7315 BECBM</v>
          </cell>
          <cell r="C818" t="str">
            <v>K2</v>
          </cell>
          <cell r="D818">
            <v>9</v>
          </cell>
        </row>
        <row r="819">
          <cell r="A819">
            <v>1000020868</v>
          </cell>
          <cell r="B819" t="str">
            <v>7316 BECBJ</v>
          </cell>
          <cell r="C819" t="str">
            <v>C12</v>
          </cell>
          <cell r="D819">
            <v>1</v>
          </cell>
        </row>
        <row r="820">
          <cell r="A820">
            <v>1000020869</v>
          </cell>
          <cell r="B820" t="str">
            <v>7316 BECBM</v>
          </cell>
          <cell r="C820" t="str">
            <v>M26</v>
          </cell>
          <cell r="D820">
            <v>4</v>
          </cell>
        </row>
        <row r="821">
          <cell r="A821">
            <v>1000020870</v>
          </cell>
          <cell r="B821" t="str">
            <v>7316 BECBP</v>
          </cell>
          <cell r="C821" t="str">
            <v>G14</v>
          </cell>
          <cell r="D821">
            <v>0</v>
          </cell>
        </row>
        <row r="822">
          <cell r="A822">
            <v>1000020871</v>
          </cell>
          <cell r="B822" t="str">
            <v>7317 BECBM</v>
          </cell>
          <cell r="C822" t="str">
            <v>K29 K33 L7 M5</v>
          </cell>
          <cell r="D822">
            <v>10</v>
          </cell>
        </row>
        <row r="823">
          <cell r="A823">
            <v>1000020872</v>
          </cell>
          <cell r="B823" t="str">
            <v>7317 BECBP</v>
          </cell>
          <cell r="C823" t="str">
            <v>F5 K29</v>
          </cell>
          <cell r="D823">
            <v>32</v>
          </cell>
        </row>
        <row r="824">
          <cell r="A824">
            <v>1000020874</v>
          </cell>
          <cell r="B824" t="str">
            <v>7318 BECBJ</v>
          </cell>
          <cell r="C824" t="str">
            <v>C15</v>
          </cell>
          <cell r="D824">
            <v>3</v>
          </cell>
        </row>
        <row r="825">
          <cell r="A825">
            <v>1000020875</v>
          </cell>
          <cell r="B825" t="str">
            <v>7318 BECBM</v>
          </cell>
          <cell r="C825" t="str">
            <v>G14 I10 21R</v>
          </cell>
          <cell r="D825">
            <v>35</v>
          </cell>
        </row>
        <row r="826">
          <cell r="A826">
            <v>1000020876</v>
          </cell>
          <cell r="B826" t="str">
            <v>7319 BECBM</v>
          </cell>
          <cell r="C826" t="str">
            <v>A4</v>
          </cell>
          <cell r="D826">
            <v>0</v>
          </cell>
        </row>
        <row r="827">
          <cell r="A827">
            <v>1000020877</v>
          </cell>
          <cell r="B827" t="str">
            <v>7320 BECBM</v>
          </cell>
          <cell r="C827" t="str">
            <v>L6</v>
          </cell>
          <cell r="D827">
            <v>3</v>
          </cell>
        </row>
        <row r="828">
          <cell r="A828">
            <v>1000020878</v>
          </cell>
          <cell r="B828" t="str">
            <v>7320 BECBP</v>
          </cell>
          <cell r="C828" t="str">
            <v>C4</v>
          </cell>
          <cell r="D828">
            <v>2</v>
          </cell>
        </row>
        <row r="829">
          <cell r="A829">
            <v>1000020879</v>
          </cell>
          <cell r="B829" t="str">
            <v>7321 BECBM</v>
          </cell>
          <cell r="C829" t="str">
            <v>C20</v>
          </cell>
          <cell r="D829">
            <v>2</v>
          </cell>
        </row>
        <row r="830">
          <cell r="A830">
            <v>1000020880</v>
          </cell>
          <cell r="B830" t="str">
            <v>7322 BECBM</v>
          </cell>
          <cell r="C830" t="str">
            <v>I18 K25 L12 M30</v>
          </cell>
          <cell r="D830">
            <v>21</v>
          </cell>
        </row>
        <row r="831">
          <cell r="A831">
            <v>1000020881</v>
          </cell>
          <cell r="B831" t="str">
            <v>7322 BECBP</v>
          </cell>
          <cell r="C831" t="str">
            <v>K33 K17 M28</v>
          </cell>
          <cell r="D831">
            <v>12</v>
          </cell>
        </row>
        <row r="832">
          <cell r="A832">
            <v>1000020883</v>
          </cell>
          <cell r="B832" t="str">
            <v>7324 BGAM</v>
          </cell>
          <cell r="C832" t="str">
            <v>C20</v>
          </cell>
          <cell r="D832">
            <v>2</v>
          </cell>
        </row>
        <row r="833">
          <cell r="A833">
            <v>1000020884</v>
          </cell>
          <cell r="B833" t="str">
            <v>7326 BCBM</v>
          </cell>
          <cell r="C833" t="str">
            <v>B12 61R 26 43</v>
          </cell>
          <cell r="D833">
            <v>5</v>
          </cell>
        </row>
        <row r="834">
          <cell r="A834">
            <v>1000020885</v>
          </cell>
          <cell r="B834" t="str">
            <v>7328 BCBM</v>
          </cell>
          <cell r="C834" t="str">
            <v>G19 I18 K11 K8 J24 K25</v>
          </cell>
          <cell r="D834">
            <v>12</v>
          </cell>
        </row>
        <row r="835">
          <cell r="A835">
            <v>1000020886</v>
          </cell>
          <cell r="B835" t="str">
            <v>7334 BCBM</v>
          </cell>
          <cell r="C835" t="str">
            <v>FDOWN</v>
          </cell>
          <cell r="D835">
            <v>0</v>
          </cell>
        </row>
        <row r="836">
          <cell r="A836">
            <v>1000020887</v>
          </cell>
          <cell r="B836" t="str">
            <v>NJ 205 ECJ</v>
          </cell>
          <cell r="C836" t="str">
            <v>D2</v>
          </cell>
          <cell r="D836">
            <v>1</v>
          </cell>
        </row>
        <row r="837">
          <cell r="A837">
            <v>1000020888</v>
          </cell>
          <cell r="B837" t="str">
            <v>NJ 205 ECP/C3</v>
          </cell>
          <cell r="C837" t="str">
            <v>D10</v>
          </cell>
          <cell r="D837">
            <v>4</v>
          </cell>
        </row>
        <row r="838">
          <cell r="A838">
            <v>1000020889</v>
          </cell>
          <cell r="B838" t="str">
            <v>NJ 206 ECJ/C3</v>
          </cell>
          <cell r="C838" t="str">
            <v>E14</v>
          </cell>
          <cell r="D838">
            <v>2</v>
          </cell>
        </row>
        <row r="839">
          <cell r="A839">
            <v>1000020890</v>
          </cell>
          <cell r="B839" t="str">
            <v>NJ 207 ECP/C3</v>
          </cell>
          <cell r="C839" t="str">
            <v>E11</v>
          </cell>
          <cell r="D839">
            <v>1</v>
          </cell>
        </row>
        <row r="840">
          <cell r="A840">
            <v>1000020891</v>
          </cell>
          <cell r="B840" t="str">
            <v>NJ 208 ECJ/C3</v>
          </cell>
          <cell r="C840" t="str">
            <v>E11</v>
          </cell>
          <cell r="D840">
            <v>1</v>
          </cell>
        </row>
        <row r="841">
          <cell r="A841">
            <v>1000020892</v>
          </cell>
          <cell r="B841" t="str">
            <v>NJ 208 ECP</v>
          </cell>
          <cell r="C841" t="str">
            <v>C10</v>
          </cell>
          <cell r="D841">
            <v>2</v>
          </cell>
        </row>
        <row r="842">
          <cell r="A842">
            <v>1000020893</v>
          </cell>
          <cell r="B842" t="str">
            <v>NJ 208 ECP/C3</v>
          </cell>
          <cell r="C842" t="str">
            <v>D7</v>
          </cell>
          <cell r="D842">
            <v>2</v>
          </cell>
        </row>
        <row r="843">
          <cell r="A843">
            <v>1000020894</v>
          </cell>
          <cell r="B843" t="str">
            <v>NJ 210 ECP/C3</v>
          </cell>
          <cell r="C843" t="str">
            <v>C15</v>
          </cell>
          <cell r="D843">
            <v>1</v>
          </cell>
        </row>
        <row r="844">
          <cell r="A844">
            <v>1000020895</v>
          </cell>
          <cell r="B844" t="str">
            <v>NJ 211 ECML/C3</v>
          </cell>
          <cell r="C844" t="str">
            <v>C13</v>
          </cell>
          <cell r="D844">
            <v>2</v>
          </cell>
        </row>
        <row r="845">
          <cell r="A845">
            <v>1000020896</v>
          </cell>
          <cell r="B845" t="str">
            <v>NJ 212 ECJ</v>
          </cell>
          <cell r="C845" t="str">
            <v>E6</v>
          </cell>
          <cell r="D845">
            <v>3</v>
          </cell>
        </row>
        <row r="846">
          <cell r="A846">
            <v>1000020897</v>
          </cell>
          <cell r="B846" t="str">
            <v>NJ 212 ECP/C3</v>
          </cell>
          <cell r="C846" t="str">
            <v>C10</v>
          </cell>
          <cell r="D846">
            <v>1</v>
          </cell>
        </row>
        <row r="847">
          <cell r="A847">
            <v>1000020898</v>
          </cell>
          <cell r="B847" t="str">
            <v>NJ 213 ECJ</v>
          </cell>
          <cell r="C847" t="str">
            <v>E6</v>
          </cell>
          <cell r="D847">
            <v>2</v>
          </cell>
        </row>
        <row r="848">
          <cell r="A848">
            <v>1000020899</v>
          </cell>
          <cell r="B848" t="str">
            <v>NJ 213 ECJ/C3</v>
          </cell>
          <cell r="C848" t="str">
            <v>C18</v>
          </cell>
          <cell r="D848">
            <v>1</v>
          </cell>
        </row>
        <row r="849">
          <cell r="A849">
            <v>1000020900</v>
          </cell>
          <cell r="B849" t="str">
            <v>NJ 213 ECP/C3</v>
          </cell>
          <cell r="C849" t="str">
            <v>C10</v>
          </cell>
          <cell r="D849">
            <v>1</v>
          </cell>
        </row>
        <row r="850">
          <cell r="A850">
            <v>1000020901</v>
          </cell>
          <cell r="B850" t="str">
            <v>NJ 214 ECP</v>
          </cell>
          <cell r="C850" t="str">
            <v>E6</v>
          </cell>
          <cell r="D850">
            <v>1</v>
          </cell>
        </row>
        <row r="851">
          <cell r="A851">
            <v>1000020902</v>
          </cell>
          <cell r="B851" t="str">
            <v>NJ 214 ECP/C3</v>
          </cell>
          <cell r="C851" t="str">
            <v>E11</v>
          </cell>
          <cell r="D851">
            <v>0</v>
          </cell>
        </row>
        <row r="852">
          <cell r="A852">
            <v>1000020903</v>
          </cell>
          <cell r="B852" t="str">
            <v>NJ 215 ECJ</v>
          </cell>
          <cell r="C852" t="str">
            <v>D14</v>
          </cell>
          <cell r="D852">
            <v>3</v>
          </cell>
        </row>
        <row r="853">
          <cell r="A853">
            <v>1000020904</v>
          </cell>
          <cell r="B853" t="str">
            <v>NJ 215 ECP/C3</v>
          </cell>
          <cell r="C853" t="str">
            <v>B18 F15 F16</v>
          </cell>
          <cell r="D853">
            <v>16</v>
          </cell>
        </row>
        <row r="854">
          <cell r="A854">
            <v>1000020905</v>
          </cell>
          <cell r="B854" t="str">
            <v>NJ 216 ECJ</v>
          </cell>
          <cell r="C854" t="str">
            <v>A16</v>
          </cell>
          <cell r="D854">
            <v>7</v>
          </cell>
        </row>
        <row r="855">
          <cell r="A855">
            <v>1000020906</v>
          </cell>
          <cell r="B855" t="str">
            <v>NJ 216 ECJ/C3</v>
          </cell>
          <cell r="C855" t="str">
            <v>E7</v>
          </cell>
          <cell r="D855">
            <v>1</v>
          </cell>
        </row>
        <row r="856">
          <cell r="A856">
            <v>1000020907</v>
          </cell>
          <cell r="B856" t="str">
            <v>NJ 218 ECML/C3</v>
          </cell>
          <cell r="C856" t="str">
            <v>E7</v>
          </cell>
          <cell r="D856">
            <v>1</v>
          </cell>
        </row>
        <row r="857">
          <cell r="A857">
            <v>1000020909</v>
          </cell>
          <cell r="B857" t="str">
            <v>NJ 218 ECP/C3</v>
          </cell>
          <cell r="C857" t="str">
            <v>E7</v>
          </cell>
          <cell r="D857">
            <v>1</v>
          </cell>
        </row>
        <row r="858">
          <cell r="A858">
            <v>1000020910</v>
          </cell>
          <cell r="B858" t="str">
            <v>NJ 220 ECJ</v>
          </cell>
          <cell r="C858" t="str">
            <v>C19</v>
          </cell>
          <cell r="D858">
            <v>2</v>
          </cell>
        </row>
        <row r="859">
          <cell r="A859">
            <v>1000020911</v>
          </cell>
          <cell r="B859" t="str">
            <v>NJ 2206 ECP</v>
          </cell>
          <cell r="C859" t="str">
            <v>D18</v>
          </cell>
          <cell r="D859">
            <v>4</v>
          </cell>
        </row>
        <row r="860">
          <cell r="A860">
            <v>1000020912</v>
          </cell>
          <cell r="B860" t="str">
            <v>NJ 2206 ECP/C3</v>
          </cell>
          <cell r="C860" t="str">
            <v>C10</v>
          </cell>
          <cell r="D860">
            <v>1</v>
          </cell>
        </row>
        <row r="861">
          <cell r="A861">
            <v>1000020913</v>
          </cell>
          <cell r="B861" t="str">
            <v>NJ 2207 ECML/C3</v>
          </cell>
          <cell r="C861" t="str">
            <v>E14</v>
          </cell>
          <cell r="D861">
            <v>1</v>
          </cell>
        </row>
        <row r="862">
          <cell r="A862">
            <v>1000020914</v>
          </cell>
          <cell r="B862" t="str">
            <v>NJ 2207 ECP</v>
          </cell>
          <cell r="C862" t="str">
            <v>C13</v>
          </cell>
          <cell r="D862">
            <v>1</v>
          </cell>
        </row>
        <row r="863">
          <cell r="A863">
            <v>1000020915</v>
          </cell>
          <cell r="B863" t="str">
            <v>NJ 2207 ECP/C3</v>
          </cell>
          <cell r="C863" t="str">
            <v>E15</v>
          </cell>
          <cell r="D863">
            <v>1</v>
          </cell>
        </row>
        <row r="864">
          <cell r="A864">
            <v>1000020916</v>
          </cell>
          <cell r="B864" t="str">
            <v>NJ 2208 ECJ</v>
          </cell>
          <cell r="C864" t="str">
            <v>D13</v>
          </cell>
          <cell r="D864">
            <v>1</v>
          </cell>
        </row>
        <row r="865">
          <cell r="A865">
            <v>1000020917</v>
          </cell>
          <cell r="B865" t="str">
            <v>NJ 2208 ECJ/C3</v>
          </cell>
          <cell r="C865" t="str">
            <v>C9</v>
          </cell>
          <cell r="D865">
            <v>1</v>
          </cell>
        </row>
        <row r="866">
          <cell r="A866">
            <v>1000020918</v>
          </cell>
          <cell r="B866" t="str">
            <v>NJ 2208 ECP/C3</v>
          </cell>
          <cell r="C866" t="str">
            <v>C10</v>
          </cell>
          <cell r="D866">
            <v>1</v>
          </cell>
        </row>
        <row r="867">
          <cell r="A867">
            <v>1000020919</v>
          </cell>
          <cell r="B867" t="str">
            <v>NJ 2210 ECJ</v>
          </cell>
          <cell r="C867" t="str">
            <v>D14</v>
          </cell>
          <cell r="D867">
            <v>3</v>
          </cell>
        </row>
        <row r="868">
          <cell r="A868">
            <v>1000020920</v>
          </cell>
          <cell r="B868" t="str">
            <v>NJ 2210 ECJ/C3</v>
          </cell>
          <cell r="C868" t="str">
            <v>D14</v>
          </cell>
          <cell r="D868">
            <v>2</v>
          </cell>
        </row>
        <row r="869">
          <cell r="A869">
            <v>1000020921</v>
          </cell>
          <cell r="B869" t="str">
            <v>NJ 2210 ECP</v>
          </cell>
          <cell r="C869" t="str">
            <v>D18</v>
          </cell>
          <cell r="D869">
            <v>1</v>
          </cell>
        </row>
        <row r="870">
          <cell r="A870">
            <v>1000020922</v>
          </cell>
          <cell r="B870" t="str">
            <v>NJ 2213 ECJ</v>
          </cell>
          <cell r="C870" t="str">
            <v>C18</v>
          </cell>
          <cell r="D870">
            <v>4</v>
          </cell>
        </row>
        <row r="871">
          <cell r="A871">
            <v>1000020923</v>
          </cell>
          <cell r="B871" t="str">
            <v>NJ 2213 ECJ/C3</v>
          </cell>
          <cell r="C871" t="str">
            <v>D15</v>
          </cell>
          <cell r="D871">
            <v>1</v>
          </cell>
        </row>
        <row r="872">
          <cell r="A872">
            <v>1000020924</v>
          </cell>
          <cell r="B872" t="str">
            <v>NJ 2214 ECM</v>
          </cell>
          <cell r="C872" t="str">
            <v>E12</v>
          </cell>
          <cell r="D872">
            <v>4</v>
          </cell>
        </row>
        <row r="873">
          <cell r="A873">
            <v>1000020925</v>
          </cell>
          <cell r="B873" t="str">
            <v>NJ 2214 ECP</v>
          </cell>
          <cell r="C873" t="str">
            <v>D7</v>
          </cell>
          <cell r="D873">
            <v>2</v>
          </cell>
        </row>
        <row r="874">
          <cell r="A874">
            <v>1000020926</v>
          </cell>
          <cell r="B874" t="str">
            <v>NJ 2306 ECP/C3</v>
          </cell>
          <cell r="C874" t="str">
            <v>D9</v>
          </cell>
          <cell r="D874">
            <v>4</v>
          </cell>
        </row>
        <row r="875">
          <cell r="A875">
            <v>1000020927</v>
          </cell>
          <cell r="B875" t="str">
            <v>NJ 2307 ECP</v>
          </cell>
          <cell r="C875" t="str">
            <v>D12</v>
          </cell>
          <cell r="D875">
            <v>3</v>
          </cell>
        </row>
        <row r="876">
          <cell r="A876">
            <v>1000020928</v>
          </cell>
          <cell r="B876" t="str">
            <v>NJ 2307 ECP/C3</v>
          </cell>
          <cell r="C876" t="str">
            <v>D7</v>
          </cell>
          <cell r="D876">
            <v>2</v>
          </cell>
        </row>
        <row r="877">
          <cell r="A877">
            <v>1000020929</v>
          </cell>
          <cell r="B877" t="str">
            <v>NJ 2308 ECJ</v>
          </cell>
          <cell r="C877" t="str">
            <v>D15</v>
          </cell>
          <cell r="D877">
            <v>1</v>
          </cell>
        </row>
        <row r="878">
          <cell r="A878">
            <v>1000020930</v>
          </cell>
          <cell r="B878" t="str">
            <v>NJ 2308 ECJ/C3</v>
          </cell>
          <cell r="C878" t="str">
            <v>C9</v>
          </cell>
          <cell r="D878">
            <v>4</v>
          </cell>
        </row>
        <row r="879">
          <cell r="A879">
            <v>1000020931</v>
          </cell>
          <cell r="B879" t="str">
            <v>NJ 2308 ECP</v>
          </cell>
          <cell r="C879" t="str">
            <v>_</v>
          </cell>
          <cell r="D879">
            <v>0</v>
          </cell>
        </row>
        <row r="880">
          <cell r="A880">
            <v>1000020932</v>
          </cell>
          <cell r="B880" t="str">
            <v>NJ 2308 ECP/C3</v>
          </cell>
          <cell r="C880" t="str">
            <v>D14 F5 K8</v>
          </cell>
          <cell r="D880">
            <v>6</v>
          </cell>
        </row>
        <row r="881">
          <cell r="A881">
            <v>1000020933</v>
          </cell>
          <cell r="B881" t="str">
            <v>NJ 2309 ECP/C3</v>
          </cell>
          <cell r="C881" t="str">
            <v>C18</v>
          </cell>
          <cell r="D881">
            <v>4</v>
          </cell>
        </row>
        <row r="882">
          <cell r="A882">
            <v>1000020934</v>
          </cell>
          <cell r="B882" t="str">
            <v>NJ 2310 ECML/C3</v>
          </cell>
          <cell r="C882" t="str">
            <v>E6</v>
          </cell>
          <cell r="D882">
            <v>1</v>
          </cell>
        </row>
        <row r="883">
          <cell r="A883">
            <v>1000020935</v>
          </cell>
          <cell r="B883" t="str">
            <v>NJ 2310 ECP</v>
          </cell>
          <cell r="C883" t="str">
            <v>C18</v>
          </cell>
          <cell r="D883">
            <v>2</v>
          </cell>
        </row>
        <row r="884">
          <cell r="A884">
            <v>1000020936</v>
          </cell>
          <cell r="B884" t="str">
            <v>NJ 2310 ECP/C3</v>
          </cell>
          <cell r="C884" t="str">
            <v>D14</v>
          </cell>
          <cell r="D884">
            <v>2</v>
          </cell>
        </row>
        <row r="885">
          <cell r="A885">
            <v>1000020937</v>
          </cell>
          <cell r="B885" t="str">
            <v>NJ 2311 ECP</v>
          </cell>
          <cell r="C885" t="str">
            <v>A3</v>
          </cell>
          <cell r="D885">
            <v>2</v>
          </cell>
        </row>
        <row r="886">
          <cell r="A886">
            <v>1000020938</v>
          </cell>
          <cell r="B886" t="str">
            <v>NJ 2311 ECP/C3</v>
          </cell>
          <cell r="C886" t="str">
            <v>C18</v>
          </cell>
          <cell r="D886">
            <v>6</v>
          </cell>
        </row>
        <row r="887">
          <cell r="A887">
            <v>1000020939</v>
          </cell>
          <cell r="B887" t="str">
            <v>NJ 2312 ECML/C3</v>
          </cell>
          <cell r="C887" t="str">
            <v>C19</v>
          </cell>
          <cell r="D887">
            <v>1</v>
          </cell>
        </row>
        <row r="888">
          <cell r="A888">
            <v>1000020940</v>
          </cell>
          <cell r="B888" t="str">
            <v>NJ 2313 ECP/C3</v>
          </cell>
          <cell r="C888" t="str">
            <v>C3</v>
          </cell>
          <cell r="D888">
            <v>2</v>
          </cell>
        </row>
        <row r="889">
          <cell r="A889">
            <v>1000020941</v>
          </cell>
          <cell r="B889" t="str">
            <v>NJ 2314 ECP</v>
          </cell>
          <cell r="C889" t="str">
            <v>C19 K3</v>
          </cell>
          <cell r="D889">
            <v>4</v>
          </cell>
        </row>
        <row r="890">
          <cell r="A890">
            <v>1000020942</v>
          </cell>
          <cell r="B890" t="str">
            <v>NJ 2314 ECP/C3</v>
          </cell>
          <cell r="C890" t="str">
            <v>C19</v>
          </cell>
          <cell r="D890">
            <v>1</v>
          </cell>
        </row>
        <row r="891">
          <cell r="A891">
            <v>1000020943</v>
          </cell>
          <cell r="B891" t="str">
            <v>NJ 2315 ECP</v>
          </cell>
          <cell r="C891" t="str">
            <v>C2</v>
          </cell>
          <cell r="D891">
            <v>1</v>
          </cell>
        </row>
        <row r="892">
          <cell r="A892">
            <v>1000020944</v>
          </cell>
          <cell r="B892" t="str">
            <v>NJ 2315 ECP/C3</v>
          </cell>
          <cell r="C892" t="str">
            <v>D12</v>
          </cell>
          <cell r="D892">
            <v>1</v>
          </cell>
        </row>
        <row r="893">
          <cell r="A893">
            <v>1000020945</v>
          </cell>
          <cell r="B893" t="str">
            <v>NJ 2316 ECP/C3</v>
          </cell>
          <cell r="C893" t="str">
            <v>C2</v>
          </cell>
          <cell r="D893">
            <v>1</v>
          </cell>
        </row>
        <row r="894">
          <cell r="A894">
            <v>1000020946</v>
          </cell>
          <cell r="B894" t="str">
            <v>NJ 304 ECP</v>
          </cell>
          <cell r="C894" t="str">
            <v>D10</v>
          </cell>
          <cell r="D894">
            <v>1</v>
          </cell>
        </row>
        <row r="895">
          <cell r="A895">
            <v>1000020947</v>
          </cell>
          <cell r="B895" t="str">
            <v>NJ 304 ECP/C3</v>
          </cell>
          <cell r="C895" t="str">
            <v>C13</v>
          </cell>
          <cell r="D895">
            <v>0</v>
          </cell>
        </row>
        <row r="896">
          <cell r="A896">
            <v>1000020948</v>
          </cell>
          <cell r="B896" t="str">
            <v>NJ 305 ECP</v>
          </cell>
          <cell r="C896" t="str">
            <v>E14</v>
          </cell>
          <cell r="D896">
            <v>1</v>
          </cell>
        </row>
        <row r="897">
          <cell r="A897">
            <v>1000020949</v>
          </cell>
          <cell r="B897" t="str">
            <v>NJ 306 ECJ/C3</v>
          </cell>
          <cell r="C897" t="str">
            <v>C2</v>
          </cell>
          <cell r="D897">
            <v>2</v>
          </cell>
        </row>
        <row r="898">
          <cell r="A898">
            <v>1000020950</v>
          </cell>
          <cell r="B898" t="str">
            <v>NJ 306 ECP</v>
          </cell>
          <cell r="C898" t="str">
            <v>E11</v>
          </cell>
          <cell r="D898">
            <v>1</v>
          </cell>
        </row>
        <row r="899">
          <cell r="A899">
            <v>1000020951</v>
          </cell>
          <cell r="B899" t="str">
            <v>NJ 306 ECP/C3</v>
          </cell>
          <cell r="C899" t="str">
            <v>C15</v>
          </cell>
          <cell r="D899">
            <v>5</v>
          </cell>
        </row>
        <row r="900">
          <cell r="A900">
            <v>1000020952</v>
          </cell>
          <cell r="B900" t="str">
            <v>NJ 307 ECJ/C3</v>
          </cell>
          <cell r="C900" t="str">
            <v>C10</v>
          </cell>
          <cell r="D900">
            <v>1</v>
          </cell>
        </row>
        <row r="901">
          <cell r="A901">
            <v>1000020953</v>
          </cell>
          <cell r="B901" t="str">
            <v>NJ 307 ECP/C3</v>
          </cell>
          <cell r="C901" t="str">
            <v>C8</v>
          </cell>
          <cell r="D901">
            <v>2</v>
          </cell>
        </row>
        <row r="902">
          <cell r="A902">
            <v>1000020954</v>
          </cell>
          <cell r="B902" t="str">
            <v>NJ 308 ECJ</v>
          </cell>
          <cell r="C902" t="str">
            <v>E6</v>
          </cell>
          <cell r="D902">
            <v>4</v>
          </cell>
        </row>
        <row r="903">
          <cell r="A903">
            <v>1000020955</v>
          </cell>
          <cell r="B903" t="str">
            <v>NJ 308 ECJ/C3</v>
          </cell>
          <cell r="C903" t="str">
            <v>L16</v>
          </cell>
          <cell r="D903">
            <v>3</v>
          </cell>
        </row>
        <row r="904">
          <cell r="A904">
            <v>1000020956</v>
          </cell>
          <cell r="B904" t="str">
            <v>NJ 308 ECM</v>
          </cell>
          <cell r="C904" t="str">
            <v>E11</v>
          </cell>
          <cell r="D904">
            <v>1</v>
          </cell>
        </row>
        <row r="905">
          <cell r="A905">
            <v>1000020957</v>
          </cell>
          <cell r="B905" t="str">
            <v>NJ 308 ECP/C3</v>
          </cell>
          <cell r="C905" t="str">
            <v>E18</v>
          </cell>
          <cell r="D905">
            <v>1</v>
          </cell>
        </row>
        <row r="906">
          <cell r="A906">
            <v>1000020958</v>
          </cell>
          <cell r="B906" t="str">
            <v>NJ 309 ECJ/C3</v>
          </cell>
          <cell r="C906" t="str">
            <v>E6</v>
          </cell>
          <cell r="D906">
            <v>1</v>
          </cell>
        </row>
        <row r="907">
          <cell r="A907">
            <v>1000020959</v>
          </cell>
          <cell r="B907" t="str">
            <v>NJ 310 ECJ/C3</v>
          </cell>
          <cell r="C907" t="str">
            <v>E18</v>
          </cell>
          <cell r="D907">
            <v>3</v>
          </cell>
        </row>
        <row r="908">
          <cell r="A908">
            <v>1000020961</v>
          </cell>
          <cell r="B908" t="str">
            <v>NJ 311 ECJ/C3</v>
          </cell>
          <cell r="C908" t="str">
            <v>C18</v>
          </cell>
          <cell r="D908">
            <v>3</v>
          </cell>
        </row>
        <row r="909">
          <cell r="A909">
            <v>1000020962</v>
          </cell>
          <cell r="B909" t="str">
            <v>NJ 312 ECJ</v>
          </cell>
          <cell r="C909" t="str">
            <v>D6 E18 L5</v>
          </cell>
          <cell r="D909">
            <v>8</v>
          </cell>
        </row>
        <row r="910">
          <cell r="A910">
            <v>1000020964</v>
          </cell>
          <cell r="B910" t="str">
            <v>NJ 313 ECJ/C3</v>
          </cell>
          <cell r="C910" t="str">
            <v>B8</v>
          </cell>
          <cell r="D910">
            <v>3</v>
          </cell>
        </row>
        <row r="911">
          <cell r="A911">
            <v>1000020965</v>
          </cell>
          <cell r="B911" t="str">
            <v>NJ 314 ECJ/C3</v>
          </cell>
          <cell r="C911" t="str">
            <v>D14 F7 K14</v>
          </cell>
          <cell r="D911">
            <v>11</v>
          </cell>
        </row>
        <row r="912">
          <cell r="A912">
            <v>1000020966</v>
          </cell>
          <cell r="B912" t="str">
            <v>NJ 315 ECJ/C3</v>
          </cell>
          <cell r="C912" t="str">
            <v>E15</v>
          </cell>
          <cell r="D912">
            <v>2</v>
          </cell>
        </row>
        <row r="913">
          <cell r="A913">
            <v>1000020967</v>
          </cell>
          <cell r="B913" t="str">
            <v>NJ 316 ECJ</v>
          </cell>
          <cell r="C913" t="str">
            <v>C20</v>
          </cell>
          <cell r="D913">
            <v>1</v>
          </cell>
        </row>
        <row r="914">
          <cell r="A914">
            <v>1000020969</v>
          </cell>
          <cell r="B914" t="str">
            <v>NJ 318 ECJ/C3</v>
          </cell>
          <cell r="C914" t="str">
            <v>C20</v>
          </cell>
          <cell r="D914">
            <v>0</v>
          </cell>
        </row>
        <row r="915">
          <cell r="A915">
            <v>1000020970</v>
          </cell>
          <cell r="B915" t="str">
            <v>NJ 319 ECJ/C3</v>
          </cell>
          <cell r="C915" t="str">
            <v>E15</v>
          </cell>
          <cell r="D915">
            <v>1</v>
          </cell>
        </row>
        <row r="916">
          <cell r="A916">
            <v>1000020971</v>
          </cell>
          <cell r="B916" t="str">
            <v>NJ 320 ECJ/C3</v>
          </cell>
          <cell r="C916" t="str">
            <v>F21</v>
          </cell>
          <cell r="D916">
            <v>1</v>
          </cell>
        </row>
        <row r="917">
          <cell r="A917">
            <v>1000020972</v>
          </cell>
          <cell r="B917" t="str">
            <v>NU 1006</v>
          </cell>
          <cell r="C917" t="str">
            <v>B3</v>
          </cell>
          <cell r="D917">
            <v>10</v>
          </cell>
        </row>
        <row r="918">
          <cell r="A918">
            <v>1000020973</v>
          </cell>
          <cell r="B918" t="str">
            <v>NU 1008 ML</v>
          </cell>
          <cell r="C918" t="str">
            <v>D14</v>
          </cell>
          <cell r="D918">
            <v>4</v>
          </cell>
        </row>
        <row r="919">
          <cell r="A919">
            <v>1000020974</v>
          </cell>
          <cell r="B919" t="str">
            <v>NU 1010 ECP</v>
          </cell>
          <cell r="C919" t="str">
            <v>E11</v>
          </cell>
          <cell r="D919">
            <v>8</v>
          </cell>
        </row>
        <row r="920">
          <cell r="A920">
            <v>1000020975</v>
          </cell>
          <cell r="B920" t="str">
            <v>NU 1011 ECP</v>
          </cell>
          <cell r="C920" t="str">
            <v>C13 G12 N1 20</v>
          </cell>
          <cell r="D920">
            <v>8</v>
          </cell>
        </row>
        <row r="921">
          <cell r="A921">
            <v>1000020976</v>
          </cell>
          <cell r="B921" t="str">
            <v>NU 1012 ML</v>
          </cell>
          <cell r="C921" t="str">
            <v>C2</v>
          </cell>
          <cell r="D921">
            <v>4</v>
          </cell>
        </row>
        <row r="922">
          <cell r="A922">
            <v>1000020977</v>
          </cell>
          <cell r="B922" t="str">
            <v>NU 1018 ML</v>
          </cell>
          <cell r="C922" t="str">
            <v>B19</v>
          </cell>
          <cell r="D922">
            <v>5</v>
          </cell>
        </row>
        <row r="923">
          <cell r="A923">
            <v>1000020978</v>
          </cell>
          <cell r="B923" t="str">
            <v>NU 202 ECP</v>
          </cell>
          <cell r="C923" t="str">
            <v>E13</v>
          </cell>
          <cell r="D923">
            <v>6</v>
          </cell>
        </row>
        <row r="924">
          <cell r="A924">
            <v>1000020979</v>
          </cell>
          <cell r="B924" t="str">
            <v>NU 202 ECP/C3</v>
          </cell>
          <cell r="C924" t="str">
            <v>D5</v>
          </cell>
          <cell r="D924">
            <v>5</v>
          </cell>
        </row>
        <row r="925">
          <cell r="A925">
            <v>1000020980</v>
          </cell>
          <cell r="B925" t="str">
            <v>NU 205 ECP</v>
          </cell>
          <cell r="C925" t="str">
            <v>D9</v>
          </cell>
          <cell r="D925">
            <v>2</v>
          </cell>
        </row>
        <row r="926">
          <cell r="A926">
            <v>1000020981</v>
          </cell>
          <cell r="B926" t="str">
            <v>NU 205 ECP/C3</v>
          </cell>
          <cell r="C926" t="str">
            <v>D13</v>
          </cell>
          <cell r="D926">
            <v>3</v>
          </cell>
        </row>
        <row r="927">
          <cell r="A927">
            <v>1000020982</v>
          </cell>
          <cell r="B927" t="str">
            <v>NU 206 ECJ</v>
          </cell>
          <cell r="C927" t="str">
            <v>D2</v>
          </cell>
          <cell r="D927">
            <v>3</v>
          </cell>
        </row>
        <row r="928">
          <cell r="A928">
            <v>1000020983</v>
          </cell>
          <cell r="B928" t="str">
            <v>NU 206 ECJ/C3</v>
          </cell>
          <cell r="C928" t="str">
            <v>E14 J22 L3</v>
          </cell>
          <cell r="D928">
            <v>13</v>
          </cell>
        </row>
        <row r="929">
          <cell r="A929">
            <v>1000020984</v>
          </cell>
          <cell r="B929" t="str">
            <v>NU 206 ECP/C3</v>
          </cell>
          <cell r="C929" t="str">
            <v>D9 M30</v>
          </cell>
          <cell r="D929">
            <v>2</v>
          </cell>
        </row>
        <row r="930">
          <cell r="A930">
            <v>1000020985</v>
          </cell>
          <cell r="B930" t="str">
            <v>NU 207 ECJ</v>
          </cell>
          <cell r="C930" t="str">
            <v>C3</v>
          </cell>
          <cell r="D930">
            <v>2</v>
          </cell>
        </row>
        <row r="931">
          <cell r="A931">
            <v>1000020986</v>
          </cell>
          <cell r="B931" t="str">
            <v>NU 207 ECP/C3</v>
          </cell>
          <cell r="C931" t="str">
            <v>D13</v>
          </cell>
          <cell r="D931">
            <v>5</v>
          </cell>
        </row>
        <row r="932">
          <cell r="A932">
            <v>1000020987</v>
          </cell>
          <cell r="B932" t="str">
            <v>NU 208 ECJ</v>
          </cell>
          <cell r="C932" t="str">
            <v>B11 G12 J4 L9</v>
          </cell>
          <cell r="D932">
            <v>29</v>
          </cell>
        </row>
        <row r="933">
          <cell r="A933">
            <v>1000020988</v>
          </cell>
          <cell r="B933" t="str">
            <v>NU 208 ECM</v>
          </cell>
          <cell r="C933" t="str">
            <v>E5 72</v>
          </cell>
          <cell r="D933">
            <v>4</v>
          </cell>
        </row>
        <row r="934">
          <cell r="A934">
            <v>1000020989</v>
          </cell>
          <cell r="B934" t="str">
            <v>NU 208 ECP/C3</v>
          </cell>
          <cell r="C934" t="str">
            <v>E11</v>
          </cell>
          <cell r="D934">
            <v>5</v>
          </cell>
        </row>
        <row r="935">
          <cell r="A935">
            <v>1000020990</v>
          </cell>
          <cell r="B935" t="str">
            <v>NU 209 ECJ</v>
          </cell>
          <cell r="C935" t="str">
            <v>C1</v>
          </cell>
          <cell r="D935">
            <v>1</v>
          </cell>
        </row>
        <row r="936">
          <cell r="A936">
            <v>1000020991</v>
          </cell>
          <cell r="B936" t="str">
            <v>NU 209 ECP</v>
          </cell>
          <cell r="C936" t="str">
            <v>G12 J12 M9</v>
          </cell>
          <cell r="D936">
            <v>13</v>
          </cell>
        </row>
        <row r="937">
          <cell r="A937">
            <v>1000020992</v>
          </cell>
          <cell r="B937" t="str">
            <v>NU 209 ECP/C3</v>
          </cell>
          <cell r="C937" t="str">
            <v>E18</v>
          </cell>
          <cell r="D937">
            <v>2</v>
          </cell>
        </row>
        <row r="938">
          <cell r="A938">
            <v>1000020993</v>
          </cell>
          <cell r="B938" t="str">
            <v>NU 210 ECM</v>
          </cell>
          <cell r="C938" t="str">
            <v>C2</v>
          </cell>
          <cell r="D938">
            <v>1</v>
          </cell>
        </row>
        <row r="939">
          <cell r="A939">
            <v>1000020994</v>
          </cell>
          <cell r="B939" t="str">
            <v>NU 210 ECP</v>
          </cell>
          <cell r="C939" t="str">
            <v>M26</v>
          </cell>
          <cell r="D939">
            <v>4</v>
          </cell>
        </row>
        <row r="940">
          <cell r="A940">
            <v>1000020995</v>
          </cell>
          <cell r="B940" t="str">
            <v>NU 210 ECP/C3</v>
          </cell>
          <cell r="C940" t="str">
            <v>D12</v>
          </cell>
          <cell r="D940">
            <v>3</v>
          </cell>
        </row>
        <row r="941">
          <cell r="A941">
            <v>1000020996</v>
          </cell>
          <cell r="B941" t="str">
            <v>NU 211 ECJ/C3</v>
          </cell>
          <cell r="C941" t="str">
            <v>E14</v>
          </cell>
          <cell r="D941">
            <v>0</v>
          </cell>
        </row>
        <row r="942">
          <cell r="A942">
            <v>1000020997</v>
          </cell>
          <cell r="B942" t="str">
            <v>NU 211 ECP</v>
          </cell>
          <cell r="C942" t="str">
            <v>G16 M18</v>
          </cell>
          <cell r="D942">
            <v>1</v>
          </cell>
        </row>
        <row r="943">
          <cell r="A943">
            <v>1000020998</v>
          </cell>
          <cell r="B943" t="str">
            <v>NU 211 ECP/C3</v>
          </cell>
          <cell r="C943" t="str">
            <v>C9</v>
          </cell>
          <cell r="D943">
            <v>5</v>
          </cell>
        </row>
        <row r="944">
          <cell r="A944">
            <v>1000020999</v>
          </cell>
          <cell r="B944" t="str">
            <v>NU 212 ECJ</v>
          </cell>
          <cell r="C944" t="str">
            <v>E18</v>
          </cell>
          <cell r="D944">
            <v>2</v>
          </cell>
        </row>
        <row r="945">
          <cell r="A945">
            <v>1000021000</v>
          </cell>
          <cell r="B945" t="str">
            <v>SKF BEARING - NU 212 ECJ/C3</v>
          </cell>
          <cell r="C945" t="str">
            <v>A20</v>
          </cell>
          <cell r="D945">
            <v>158</v>
          </cell>
        </row>
        <row r="946">
          <cell r="A946">
            <v>1000021001</v>
          </cell>
          <cell r="B946" t="str">
            <v>NU 212 ECM</v>
          </cell>
          <cell r="C946" t="str">
            <v>D7</v>
          </cell>
          <cell r="D946">
            <v>1</v>
          </cell>
        </row>
        <row r="947">
          <cell r="A947">
            <v>1000021002</v>
          </cell>
          <cell r="B947" t="str">
            <v>NU 212 ECM/C3</v>
          </cell>
          <cell r="C947" t="str">
            <v>53 18R 48  69R</v>
          </cell>
          <cell r="D947">
            <v>31</v>
          </cell>
        </row>
        <row r="948">
          <cell r="A948">
            <v>1000021003</v>
          </cell>
          <cell r="B948" t="str">
            <v>NU 212 ECP</v>
          </cell>
          <cell r="C948" t="str">
            <v>I4 K21 M14</v>
          </cell>
          <cell r="D948">
            <v>23</v>
          </cell>
        </row>
        <row r="949">
          <cell r="A949">
            <v>1000021005</v>
          </cell>
          <cell r="B949" t="str">
            <v>NU 213 ECJ</v>
          </cell>
          <cell r="C949" t="str">
            <v>D7 F1 G8 L8 M30 M22</v>
          </cell>
          <cell r="D949">
            <v>29</v>
          </cell>
        </row>
        <row r="950">
          <cell r="A950">
            <v>1000021006</v>
          </cell>
          <cell r="B950" t="str">
            <v>NU 213 ECM/C3</v>
          </cell>
          <cell r="C950" t="str">
            <v>D4</v>
          </cell>
          <cell r="D950">
            <v>2</v>
          </cell>
        </row>
        <row r="951">
          <cell r="A951">
            <v>1000021007</v>
          </cell>
          <cell r="B951" t="str">
            <v>NU 213 ECP/C3</v>
          </cell>
          <cell r="C951" t="str">
            <v>A7</v>
          </cell>
          <cell r="D951">
            <v>17</v>
          </cell>
        </row>
        <row r="952">
          <cell r="A952">
            <v>1000021008</v>
          </cell>
          <cell r="B952" t="str">
            <v>NU 214 ECM</v>
          </cell>
          <cell r="C952" t="str">
            <v>D7</v>
          </cell>
          <cell r="D952">
            <v>2</v>
          </cell>
        </row>
        <row r="953">
          <cell r="A953">
            <v>1000021009</v>
          </cell>
          <cell r="B953" t="str">
            <v>NU 214 ECM/C3</v>
          </cell>
          <cell r="C953" t="str">
            <v>D4</v>
          </cell>
          <cell r="D953">
            <v>4</v>
          </cell>
        </row>
        <row r="954">
          <cell r="A954">
            <v>1000021010</v>
          </cell>
          <cell r="B954" t="str">
            <v>NU 215 ECJ</v>
          </cell>
          <cell r="C954" t="str">
            <v>A6  9R 48</v>
          </cell>
          <cell r="D954">
            <v>8</v>
          </cell>
        </row>
        <row r="955">
          <cell r="A955">
            <v>1000021011</v>
          </cell>
          <cell r="B955" t="str">
            <v>NU 215 ECJ/C3</v>
          </cell>
          <cell r="C955" t="str">
            <v>D7 F13 K15 J23</v>
          </cell>
          <cell r="D955">
            <v>5</v>
          </cell>
        </row>
        <row r="956">
          <cell r="A956">
            <v>1000021012</v>
          </cell>
          <cell r="B956" t="str">
            <v>NU 215 ECM/C3</v>
          </cell>
          <cell r="C956" t="str">
            <v>E14</v>
          </cell>
          <cell r="D956">
            <v>1</v>
          </cell>
        </row>
        <row r="957">
          <cell r="A957">
            <v>1000021013</v>
          </cell>
          <cell r="B957" t="str">
            <v>NU 215 ECP</v>
          </cell>
          <cell r="C957" t="str">
            <v>E7</v>
          </cell>
          <cell r="D957">
            <v>2</v>
          </cell>
        </row>
        <row r="958">
          <cell r="A958">
            <v>1000021014</v>
          </cell>
          <cell r="B958" t="str">
            <v>NU 215 ECP/C3</v>
          </cell>
          <cell r="C958" t="str">
            <v>D7</v>
          </cell>
          <cell r="D958">
            <v>2</v>
          </cell>
        </row>
        <row r="959">
          <cell r="A959">
            <v>1000021015</v>
          </cell>
          <cell r="B959" t="str">
            <v>NU 216 ECJ (D1)</v>
          </cell>
          <cell r="C959" t="str">
            <v>D2 M13</v>
          </cell>
          <cell r="D959">
            <v>4</v>
          </cell>
        </row>
        <row r="960">
          <cell r="A960">
            <v>1000021016</v>
          </cell>
          <cell r="B960" t="str">
            <v>NU 216 ECJ/C3</v>
          </cell>
          <cell r="C960" t="str">
            <v>C15 J12 M12</v>
          </cell>
          <cell r="D960">
            <v>9</v>
          </cell>
        </row>
        <row r="961">
          <cell r="A961">
            <v>1000021017</v>
          </cell>
          <cell r="B961" t="str">
            <v>NU 216 ECM/C3</v>
          </cell>
          <cell r="C961" t="str">
            <v>A3</v>
          </cell>
          <cell r="D961">
            <v>4</v>
          </cell>
        </row>
        <row r="962">
          <cell r="A962">
            <v>1000021018</v>
          </cell>
          <cell r="B962" t="str">
            <v>NU 216 ECP/C3</v>
          </cell>
          <cell r="C962" t="str">
            <v>C18</v>
          </cell>
          <cell r="D962">
            <v>2</v>
          </cell>
        </row>
        <row r="963">
          <cell r="A963">
            <v>1000021019</v>
          </cell>
          <cell r="B963" t="str">
            <v>NU 217 ECJ</v>
          </cell>
          <cell r="C963" t="str">
            <v>D14</v>
          </cell>
          <cell r="D963">
            <v>2</v>
          </cell>
        </row>
        <row r="964">
          <cell r="A964">
            <v>1000021020</v>
          </cell>
          <cell r="B964" t="str">
            <v>NU 217 ECJ/C3</v>
          </cell>
          <cell r="C964" t="str">
            <v>I18</v>
          </cell>
          <cell r="D964">
            <v>3</v>
          </cell>
        </row>
        <row r="965">
          <cell r="A965">
            <v>1000021021</v>
          </cell>
          <cell r="B965" t="str">
            <v>NU 218 ECJ</v>
          </cell>
          <cell r="C965" t="str">
            <v>C18</v>
          </cell>
          <cell r="D965">
            <v>2</v>
          </cell>
        </row>
        <row r="966">
          <cell r="A966">
            <v>1000021022</v>
          </cell>
          <cell r="B966" t="str">
            <v>NU 218 ECJ/C3</v>
          </cell>
          <cell r="C966" t="str">
            <v>C10 J12</v>
          </cell>
          <cell r="D966">
            <v>9</v>
          </cell>
        </row>
        <row r="967">
          <cell r="A967">
            <v>1000021023</v>
          </cell>
          <cell r="B967" t="str">
            <v>NU 218 ECM</v>
          </cell>
          <cell r="C967" t="str">
            <v>C18</v>
          </cell>
          <cell r="D967">
            <v>3</v>
          </cell>
        </row>
        <row r="968">
          <cell r="A968">
            <v>1000021024</v>
          </cell>
          <cell r="B968" t="str">
            <v>NU 218 ECP/C3</v>
          </cell>
          <cell r="C968" t="str">
            <v>D7</v>
          </cell>
          <cell r="D968">
            <v>1</v>
          </cell>
        </row>
        <row r="969">
          <cell r="A969">
            <v>1000021025</v>
          </cell>
          <cell r="B969" t="str">
            <v>NU 219 ECM</v>
          </cell>
          <cell r="C969" t="str">
            <v>A10</v>
          </cell>
          <cell r="D969">
            <v>5</v>
          </cell>
        </row>
        <row r="970">
          <cell r="A970">
            <v>1000021026</v>
          </cell>
          <cell r="B970" t="str">
            <v>NU 219 ECM/C3</v>
          </cell>
          <cell r="C970" t="str">
            <v>A12</v>
          </cell>
          <cell r="D970">
            <v>4</v>
          </cell>
        </row>
        <row r="971">
          <cell r="A971">
            <v>1000021027</v>
          </cell>
          <cell r="B971" t="str">
            <v>NU 220 ECJ/C3</v>
          </cell>
          <cell r="C971" t="str">
            <v>D6 K20</v>
          </cell>
          <cell r="D971">
            <v>9</v>
          </cell>
        </row>
        <row r="972">
          <cell r="A972">
            <v>1000021028</v>
          </cell>
          <cell r="B972" t="str">
            <v>NU 220 ECM</v>
          </cell>
          <cell r="C972" t="str">
            <v>A2</v>
          </cell>
          <cell r="D972">
            <v>7</v>
          </cell>
        </row>
        <row r="973">
          <cell r="A973">
            <v>1000021029</v>
          </cell>
          <cell r="B973" t="str">
            <v>NU 220 ECML/C3</v>
          </cell>
          <cell r="C973" t="str">
            <v>C4</v>
          </cell>
          <cell r="D973">
            <v>0</v>
          </cell>
        </row>
        <row r="974">
          <cell r="A974">
            <v>1000021030</v>
          </cell>
          <cell r="B974" t="str">
            <v>SKF BEARING - NU 220 ECP/C3</v>
          </cell>
          <cell r="C974" t="str">
            <v>C8</v>
          </cell>
          <cell r="D974">
            <v>1</v>
          </cell>
        </row>
        <row r="975">
          <cell r="A975">
            <v>1000021031</v>
          </cell>
          <cell r="B975" t="str">
            <v>NU 2205 ECP</v>
          </cell>
          <cell r="C975" t="str">
            <v>D10</v>
          </cell>
          <cell r="D975">
            <v>3</v>
          </cell>
        </row>
        <row r="976">
          <cell r="A976">
            <v>1000021032</v>
          </cell>
          <cell r="B976" t="str">
            <v>NU 2208 ECJ/C3</v>
          </cell>
          <cell r="C976" t="str">
            <v>C10</v>
          </cell>
          <cell r="D976">
            <v>2</v>
          </cell>
        </row>
        <row r="977">
          <cell r="A977">
            <v>1000021033</v>
          </cell>
          <cell r="B977" t="str">
            <v>NU 2208 ECP/C3</v>
          </cell>
          <cell r="C977" t="str">
            <v>D14</v>
          </cell>
          <cell r="D977">
            <v>2</v>
          </cell>
        </row>
        <row r="978">
          <cell r="A978">
            <v>1000021034</v>
          </cell>
          <cell r="B978" t="str">
            <v>NU 2209 ECJ/C3</v>
          </cell>
          <cell r="C978" t="str">
            <v>B13</v>
          </cell>
          <cell r="D978">
            <v>2</v>
          </cell>
        </row>
        <row r="979">
          <cell r="A979">
            <v>1000021035</v>
          </cell>
          <cell r="B979" t="str">
            <v>NU 2210 ECJ</v>
          </cell>
          <cell r="C979" t="str">
            <v>E11</v>
          </cell>
          <cell r="D979">
            <v>3</v>
          </cell>
        </row>
        <row r="980">
          <cell r="A980">
            <v>1000021036</v>
          </cell>
          <cell r="B980" t="str">
            <v>NU 2210 ECJ/C3</v>
          </cell>
          <cell r="C980" t="str">
            <v>E6</v>
          </cell>
          <cell r="D980">
            <v>2</v>
          </cell>
        </row>
        <row r="981">
          <cell r="A981">
            <v>1000021037</v>
          </cell>
          <cell r="B981" t="str">
            <v>NU 2210 ECP</v>
          </cell>
          <cell r="C981" t="str">
            <v>B5</v>
          </cell>
          <cell r="D981">
            <v>25</v>
          </cell>
        </row>
        <row r="982">
          <cell r="A982">
            <v>1000021038</v>
          </cell>
          <cell r="B982" t="str">
            <v>NU 2211 ECJ</v>
          </cell>
          <cell r="C982" t="str">
            <v>B13</v>
          </cell>
          <cell r="D982">
            <v>5</v>
          </cell>
        </row>
        <row r="983">
          <cell r="A983">
            <v>1000021039</v>
          </cell>
          <cell r="B983" t="str">
            <v>NU 2211 ECJ/C3</v>
          </cell>
          <cell r="C983" t="str">
            <v>E11</v>
          </cell>
          <cell r="D983">
            <v>1</v>
          </cell>
        </row>
        <row r="984">
          <cell r="A984">
            <v>1000021040</v>
          </cell>
          <cell r="B984" t="str">
            <v>NU 2211 ECP/C3</v>
          </cell>
          <cell r="C984" t="str">
            <v>D15 K21 1R 48</v>
          </cell>
          <cell r="D984">
            <v>13</v>
          </cell>
        </row>
        <row r="985">
          <cell r="A985">
            <v>1000021041</v>
          </cell>
          <cell r="B985" t="str">
            <v>NU 2212 ECM</v>
          </cell>
          <cell r="C985" t="str">
            <v>C3</v>
          </cell>
          <cell r="D985">
            <v>3</v>
          </cell>
        </row>
        <row r="986">
          <cell r="A986">
            <v>1000021042</v>
          </cell>
          <cell r="B986" t="str">
            <v>NU 2212 ECP/C3</v>
          </cell>
          <cell r="C986" t="str">
            <v>C3</v>
          </cell>
          <cell r="D986">
            <v>0</v>
          </cell>
        </row>
        <row r="987">
          <cell r="A987">
            <v>1000021043</v>
          </cell>
          <cell r="B987" t="str">
            <v>NU 2213 ECJ</v>
          </cell>
          <cell r="C987" t="str">
            <v>D7</v>
          </cell>
          <cell r="D987">
            <v>3</v>
          </cell>
        </row>
        <row r="988">
          <cell r="A988">
            <v>1000021044</v>
          </cell>
          <cell r="B988" t="str">
            <v>NU 2213 ECJ/C3</v>
          </cell>
          <cell r="C988" t="str">
            <v>E11</v>
          </cell>
          <cell r="D988">
            <v>1</v>
          </cell>
        </row>
        <row r="989">
          <cell r="A989">
            <v>1000021045</v>
          </cell>
          <cell r="B989" t="str">
            <v>NU 2214 ECM</v>
          </cell>
          <cell r="C989" t="str">
            <v>E12</v>
          </cell>
          <cell r="D989">
            <v>4</v>
          </cell>
        </row>
        <row r="990">
          <cell r="A990">
            <v>1000021046</v>
          </cell>
          <cell r="B990" t="str">
            <v>NU 2214 ECP</v>
          </cell>
          <cell r="C990" t="str">
            <v>C9</v>
          </cell>
          <cell r="D990">
            <v>0</v>
          </cell>
        </row>
        <row r="991">
          <cell r="A991">
            <v>1000021047</v>
          </cell>
          <cell r="B991" t="str">
            <v>NU 2214 ECP/C3</v>
          </cell>
          <cell r="C991" t="str">
            <v>E7</v>
          </cell>
          <cell r="D991">
            <v>1</v>
          </cell>
        </row>
        <row r="992">
          <cell r="A992">
            <v>1000021048</v>
          </cell>
          <cell r="B992" t="str">
            <v>NU 2215 ECJ/C3</v>
          </cell>
          <cell r="C992" t="str">
            <v>E14</v>
          </cell>
          <cell r="D992">
            <v>0</v>
          </cell>
        </row>
        <row r="993">
          <cell r="A993">
            <v>1000021049</v>
          </cell>
          <cell r="B993" t="str">
            <v>NU 2215 ECP/C3 (D)</v>
          </cell>
          <cell r="C993" t="str">
            <v>B10</v>
          </cell>
          <cell r="D993">
            <v>0</v>
          </cell>
        </row>
        <row r="994">
          <cell r="A994">
            <v>1000021050</v>
          </cell>
          <cell r="B994" t="str">
            <v>NU 2216 ECJ</v>
          </cell>
          <cell r="C994" t="str">
            <v>A8 M13</v>
          </cell>
          <cell r="D994">
            <v>6</v>
          </cell>
        </row>
        <row r="995">
          <cell r="A995">
            <v>1000021051</v>
          </cell>
          <cell r="B995" t="str">
            <v>NU 2216 ECJ/C3</v>
          </cell>
          <cell r="C995" t="str">
            <v>C10 F12 H4 I3 J15 M14</v>
          </cell>
          <cell r="D995">
            <v>40</v>
          </cell>
        </row>
        <row r="996">
          <cell r="A996">
            <v>1000021052</v>
          </cell>
          <cell r="B996" t="str">
            <v>NU 2216 ECP</v>
          </cell>
          <cell r="C996" t="str">
            <v>C18</v>
          </cell>
          <cell r="D996">
            <v>1</v>
          </cell>
        </row>
        <row r="997">
          <cell r="A997">
            <v>1000021053</v>
          </cell>
          <cell r="B997" t="str">
            <v>NU 2216 ECP/C3</v>
          </cell>
          <cell r="C997" t="str">
            <v>D2</v>
          </cell>
          <cell r="D997">
            <v>0</v>
          </cell>
        </row>
        <row r="998">
          <cell r="A998">
            <v>1000021054</v>
          </cell>
          <cell r="B998" t="str">
            <v>NU 2218 ECP</v>
          </cell>
          <cell r="C998" t="str">
            <v>C12</v>
          </cell>
          <cell r="D998">
            <v>2</v>
          </cell>
        </row>
        <row r="999">
          <cell r="A999">
            <v>1000021055</v>
          </cell>
          <cell r="B999" t="str">
            <v>NU 2218 ECP/C3</v>
          </cell>
          <cell r="C999" t="str">
            <v>C19</v>
          </cell>
          <cell r="D999">
            <v>2</v>
          </cell>
        </row>
        <row r="1000">
          <cell r="A1000">
            <v>1000021057</v>
          </cell>
          <cell r="B1000" t="str">
            <v>NU 2219 ECP/C3</v>
          </cell>
          <cell r="C1000" t="str">
            <v>D8</v>
          </cell>
          <cell r="D1000">
            <v>1</v>
          </cell>
        </row>
        <row r="1001">
          <cell r="A1001">
            <v>1000021058</v>
          </cell>
          <cell r="B1001" t="str">
            <v>NU 222 ECJ</v>
          </cell>
          <cell r="C1001" t="str">
            <v>C4</v>
          </cell>
          <cell r="D1001">
            <v>3</v>
          </cell>
        </row>
        <row r="1002">
          <cell r="A1002">
            <v>1000021059</v>
          </cell>
          <cell r="B1002" t="str">
            <v>NU 222 ECJ/C3</v>
          </cell>
          <cell r="C1002" t="str">
            <v>K6 K27</v>
          </cell>
          <cell r="D1002">
            <v>3</v>
          </cell>
        </row>
        <row r="1003">
          <cell r="A1003">
            <v>1000021060</v>
          </cell>
          <cell r="B1003" t="str">
            <v>NU 222 ECM</v>
          </cell>
          <cell r="C1003" t="str">
            <v>C16</v>
          </cell>
          <cell r="D1003">
            <v>1</v>
          </cell>
        </row>
        <row r="1004">
          <cell r="A1004">
            <v>1000021061</v>
          </cell>
          <cell r="B1004" t="str">
            <v>NU 2222 ECJ/C3</v>
          </cell>
          <cell r="C1004" t="str">
            <v>C15</v>
          </cell>
          <cell r="D1004">
            <v>1</v>
          </cell>
        </row>
        <row r="1005">
          <cell r="A1005">
            <v>1000021062</v>
          </cell>
          <cell r="B1005" t="str">
            <v>NU 2306 ECP/C3</v>
          </cell>
          <cell r="C1005" t="str">
            <v>D14</v>
          </cell>
          <cell r="D1005">
            <v>5</v>
          </cell>
        </row>
        <row r="1006">
          <cell r="A1006">
            <v>1000021063</v>
          </cell>
          <cell r="B1006" t="str">
            <v>NU 2307 ECP/C3</v>
          </cell>
          <cell r="C1006" t="str">
            <v>D12</v>
          </cell>
          <cell r="D1006">
            <v>2</v>
          </cell>
        </row>
        <row r="1007">
          <cell r="A1007">
            <v>1000021064</v>
          </cell>
          <cell r="B1007" t="str">
            <v>NU 2308 ECJ</v>
          </cell>
          <cell r="C1007" t="str">
            <v>E10</v>
          </cell>
          <cell r="D1007">
            <v>5</v>
          </cell>
        </row>
        <row r="1008">
          <cell r="A1008">
            <v>1000021065</v>
          </cell>
          <cell r="B1008" t="str">
            <v>NU 2308 ECJ/C3</v>
          </cell>
          <cell r="C1008" t="str">
            <v>E14</v>
          </cell>
          <cell r="D1008">
            <v>2</v>
          </cell>
        </row>
        <row r="1009">
          <cell r="A1009">
            <v>1000021066</v>
          </cell>
          <cell r="B1009" t="str">
            <v>NU 2308 ECP</v>
          </cell>
          <cell r="C1009" t="str">
            <v>C2</v>
          </cell>
          <cell r="D1009">
            <v>3</v>
          </cell>
        </row>
        <row r="1010">
          <cell r="A1010">
            <v>1000021067</v>
          </cell>
          <cell r="B1010" t="str">
            <v>NU 2308 ECP/C3</v>
          </cell>
          <cell r="C1010" t="str">
            <v>_</v>
          </cell>
          <cell r="D1010">
            <v>0</v>
          </cell>
        </row>
        <row r="1011">
          <cell r="A1011">
            <v>1000021068</v>
          </cell>
          <cell r="B1011" t="str">
            <v>NU 2309 ECML</v>
          </cell>
          <cell r="C1011" t="str">
            <v>E7</v>
          </cell>
          <cell r="D1011">
            <v>1</v>
          </cell>
        </row>
        <row r="1012">
          <cell r="A1012">
            <v>1000021070</v>
          </cell>
          <cell r="B1012" t="str">
            <v>NU 2310 ECP</v>
          </cell>
          <cell r="C1012" t="str">
            <v>C18</v>
          </cell>
          <cell r="D1012">
            <v>0</v>
          </cell>
        </row>
        <row r="1013">
          <cell r="A1013">
            <v>1000021071</v>
          </cell>
          <cell r="B1013" t="str">
            <v>NU 2310 ECP/C3</v>
          </cell>
          <cell r="C1013" t="str">
            <v>D15</v>
          </cell>
          <cell r="D1013">
            <v>2</v>
          </cell>
        </row>
        <row r="1014">
          <cell r="A1014">
            <v>1000021072</v>
          </cell>
          <cell r="B1014" t="str">
            <v>NU 2312 ECP/C3</v>
          </cell>
          <cell r="C1014" t="str">
            <v>C18</v>
          </cell>
          <cell r="D1014">
            <v>2</v>
          </cell>
        </row>
        <row r="1015">
          <cell r="A1015">
            <v>1000021073</v>
          </cell>
          <cell r="B1015" t="str">
            <v>NU 2313 ECML</v>
          </cell>
          <cell r="C1015" t="str">
            <v>C12</v>
          </cell>
          <cell r="D1015">
            <v>2</v>
          </cell>
        </row>
        <row r="1016">
          <cell r="A1016">
            <v>1000021074</v>
          </cell>
          <cell r="B1016" t="str">
            <v>NU 2313 ECP</v>
          </cell>
          <cell r="C1016" t="str">
            <v>C2</v>
          </cell>
          <cell r="D1016">
            <v>3</v>
          </cell>
        </row>
        <row r="1017">
          <cell r="A1017">
            <v>1000021075</v>
          </cell>
          <cell r="B1017" t="str">
            <v>NU 2313 ECP/C3</v>
          </cell>
          <cell r="C1017" t="str">
            <v>D19</v>
          </cell>
          <cell r="D1017">
            <v>1</v>
          </cell>
        </row>
        <row r="1018">
          <cell r="A1018">
            <v>1000021076</v>
          </cell>
          <cell r="B1018" t="str">
            <v>NU 2315 ECP</v>
          </cell>
          <cell r="C1018" t="str">
            <v>C7</v>
          </cell>
          <cell r="D1018">
            <v>1</v>
          </cell>
        </row>
        <row r="1019">
          <cell r="A1019">
            <v>1000021077</v>
          </cell>
          <cell r="B1019" t="str">
            <v>NU 2315 ECP/C3</v>
          </cell>
          <cell r="C1019" t="str">
            <v>D19</v>
          </cell>
          <cell r="D1019">
            <v>1</v>
          </cell>
        </row>
        <row r="1020">
          <cell r="A1020">
            <v>1000021078</v>
          </cell>
          <cell r="B1020" t="str">
            <v>NU 2317 ECJ</v>
          </cell>
          <cell r="C1020" t="str">
            <v>E16</v>
          </cell>
          <cell r="D1020">
            <v>1</v>
          </cell>
        </row>
        <row r="1021">
          <cell r="A1021">
            <v>1000021079</v>
          </cell>
          <cell r="B1021" t="str">
            <v>NU 2318 ECJ</v>
          </cell>
          <cell r="C1021" t="str">
            <v>D19</v>
          </cell>
          <cell r="D1021">
            <v>1</v>
          </cell>
        </row>
        <row r="1022">
          <cell r="A1022">
            <v>1000021080</v>
          </cell>
          <cell r="B1022" t="str">
            <v>NU 2318 ECJ/C3</v>
          </cell>
          <cell r="C1022" t="str">
            <v>C12</v>
          </cell>
          <cell r="D1022">
            <v>1</v>
          </cell>
        </row>
        <row r="1023">
          <cell r="A1023">
            <v>1000021081</v>
          </cell>
          <cell r="B1023" t="str">
            <v>NU 306 ECP</v>
          </cell>
          <cell r="C1023" t="str">
            <v>D13</v>
          </cell>
          <cell r="D1023">
            <v>4</v>
          </cell>
        </row>
        <row r="1024">
          <cell r="A1024">
            <v>1000021082</v>
          </cell>
          <cell r="B1024" t="str">
            <v>NU 306 ECP/C3</v>
          </cell>
          <cell r="C1024" t="str">
            <v>C10</v>
          </cell>
          <cell r="D1024">
            <v>2</v>
          </cell>
        </row>
        <row r="1025">
          <cell r="A1025">
            <v>1000021083</v>
          </cell>
          <cell r="B1025" t="str">
            <v>NU 307 ECJ</v>
          </cell>
          <cell r="C1025" t="str">
            <v>K37 M15</v>
          </cell>
          <cell r="D1025">
            <v>6</v>
          </cell>
        </row>
        <row r="1026">
          <cell r="A1026">
            <v>1000021084</v>
          </cell>
          <cell r="B1026" t="str">
            <v>NU 307 ECJ/C3</v>
          </cell>
          <cell r="C1026" t="str">
            <v>E7</v>
          </cell>
          <cell r="D1026">
            <v>3</v>
          </cell>
        </row>
        <row r="1027">
          <cell r="A1027">
            <v>1000021085</v>
          </cell>
          <cell r="B1027" t="str">
            <v>NU 307 ECM</v>
          </cell>
          <cell r="C1027" t="str">
            <v>D10</v>
          </cell>
          <cell r="D1027">
            <v>2</v>
          </cell>
        </row>
        <row r="1028">
          <cell r="A1028">
            <v>1000021086</v>
          </cell>
          <cell r="B1028" t="str">
            <v>NU 307 ECP/C3</v>
          </cell>
          <cell r="C1028" t="str">
            <v>C10</v>
          </cell>
          <cell r="D1028">
            <v>3</v>
          </cell>
        </row>
        <row r="1029">
          <cell r="A1029">
            <v>1000021087</v>
          </cell>
          <cell r="B1029" t="str">
            <v>NU 308 ECJ</v>
          </cell>
          <cell r="C1029" t="str">
            <v>B3 I16</v>
          </cell>
          <cell r="D1029">
            <v>28</v>
          </cell>
        </row>
        <row r="1030">
          <cell r="A1030">
            <v>1000021088</v>
          </cell>
          <cell r="B1030" t="str">
            <v>NU 308 ECJ/C3</v>
          </cell>
          <cell r="C1030" t="str">
            <v>D13</v>
          </cell>
          <cell r="D1030">
            <v>5</v>
          </cell>
        </row>
        <row r="1031">
          <cell r="A1031">
            <v>1000021089</v>
          </cell>
          <cell r="B1031" t="str">
            <v>NU 308 ECM</v>
          </cell>
          <cell r="C1031" t="str">
            <v>C10</v>
          </cell>
          <cell r="D1031">
            <v>2</v>
          </cell>
        </row>
        <row r="1032">
          <cell r="A1032">
            <v>1000021090</v>
          </cell>
          <cell r="B1032" t="str">
            <v>NU 308 ECP</v>
          </cell>
          <cell r="C1032" t="str">
            <v>F5 L1</v>
          </cell>
          <cell r="D1032">
            <v>16</v>
          </cell>
        </row>
        <row r="1033">
          <cell r="A1033">
            <v>1000021091</v>
          </cell>
          <cell r="B1033" t="str">
            <v>NU 308 ECP/C3</v>
          </cell>
          <cell r="C1033" t="str">
            <v>G6 B7</v>
          </cell>
          <cell r="D1033">
            <v>26</v>
          </cell>
        </row>
        <row r="1034">
          <cell r="A1034">
            <v>1000021092</v>
          </cell>
          <cell r="B1034" t="str">
            <v>NU 309 ECJ</v>
          </cell>
          <cell r="C1034" t="str">
            <v>B9 F1 K15 K32 M14</v>
          </cell>
          <cell r="D1034">
            <v>41</v>
          </cell>
        </row>
        <row r="1035">
          <cell r="A1035">
            <v>1000021093</v>
          </cell>
          <cell r="B1035" t="str">
            <v>NU 309 ECJ/C3</v>
          </cell>
          <cell r="C1035" t="str">
            <v>D9 L6 M21</v>
          </cell>
          <cell r="D1035">
            <v>10</v>
          </cell>
        </row>
        <row r="1036">
          <cell r="A1036">
            <v>1000021094</v>
          </cell>
          <cell r="B1036" t="str">
            <v>NU 309 ECP</v>
          </cell>
          <cell r="C1036" t="str">
            <v>A14</v>
          </cell>
          <cell r="D1036">
            <v>2</v>
          </cell>
        </row>
        <row r="1037">
          <cell r="A1037">
            <v>1000021095</v>
          </cell>
          <cell r="B1037" t="str">
            <v>NU 309 ECP/C3</v>
          </cell>
          <cell r="C1037" t="str">
            <v>D7</v>
          </cell>
          <cell r="D1037">
            <v>3</v>
          </cell>
        </row>
        <row r="1038">
          <cell r="A1038">
            <v>1000021096</v>
          </cell>
          <cell r="B1038" t="str">
            <v>NU 310 ECJ</v>
          </cell>
          <cell r="C1038" t="str">
            <v>D7</v>
          </cell>
          <cell r="D1038">
            <v>1</v>
          </cell>
        </row>
        <row r="1039">
          <cell r="A1039">
            <v>1000021097</v>
          </cell>
          <cell r="B1039" t="str">
            <v>NU 310 ECJ/C3</v>
          </cell>
          <cell r="C1039" t="str">
            <v>C1</v>
          </cell>
          <cell r="D1039">
            <v>3</v>
          </cell>
        </row>
        <row r="1040">
          <cell r="A1040">
            <v>1000021098</v>
          </cell>
          <cell r="B1040" t="str">
            <v>NU 310 ECM/C3</v>
          </cell>
          <cell r="C1040" t="str">
            <v>D15</v>
          </cell>
          <cell r="D1040">
            <v>2</v>
          </cell>
        </row>
        <row r="1041">
          <cell r="A1041">
            <v>1000021099</v>
          </cell>
          <cell r="B1041" t="str">
            <v>NU 310 ECP</v>
          </cell>
          <cell r="C1041" t="str">
            <v>J6</v>
          </cell>
          <cell r="D1041">
            <v>0</v>
          </cell>
        </row>
        <row r="1042">
          <cell r="A1042">
            <v>1000021100</v>
          </cell>
          <cell r="B1042" t="str">
            <v>NU 310 ECP/C3</v>
          </cell>
          <cell r="C1042" t="str">
            <v>D2</v>
          </cell>
          <cell r="D1042">
            <v>1</v>
          </cell>
        </row>
        <row r="1043">
          <cell r="A1043">
            <v>1000021101</v>
          </cell>
          <cell r="B1043" t="str">
            <v>NU 311 ECJ</v>
          </cell>
          <cell r="C1043" t="str">
            <v>B9 E18 F19 L2 32R 72</v>
          </cell>
          <cell r="D1043">
            <v>18</v>
          </cell>
        </row>
        <row r="1044">
          <cell r="A1044">
            <v>1000021102</v>
          </cell>
          <cell r="B1044" t="str">
            <v>NU 311 ECJ/C3</v>
          </cell>
          <cell r="C1044" t="str">
            <v xml:space="preserve">K28 </v>
          </cell>
          <cell r="D1044">
            <v>5</v>
          </cell>
        </row>
        <row r="1045">
          <cell r="A1045">
            <v>1000021103</v>
          </cell>
          <cell r="B1045" t="str">
            <v>NU 311 ECM</v>
          </cell>
          <cell r="C1045" t="str">
            <v>D18</v>
          </cell>
          <cell r="D1045">
            <v>1</v>
          </cell>
        </row>
        <row r="1046">
          <cell r="A1046">
            <v>1000021104</v>
          </cell>
          <cell r="B1046" t="str">
            <v>NU 311 ECM/C3</v>
          </cell>
          <cell r="C1046" t="str">
            <v>G8</v>
          </cell>
          <cell r="D1046">
            <v>1</v>
          </cell>
        </row>
        <row r="1047">
          <cell r="A1047">
            <v>1000021105</v>
          </cell>
          <cell r="B1047" t="str">
            <v>NU 311 ECP</v>
          </cell>
          <cell r="C1047" t="str">
            <v>E10</v>
          </cell>
          <cell r="D1047">
            <v>3</v>
          </cell>
        </row>
        <row r="1048">
          <cell r="A1048">
            <v>1000021106</v>
          </cell>
          <cell r="B1048" t="str">
            <v>NU 311 ECP/C3</v>
          </cell>
          <cell r="C1048" t="str">
            <v>A6</v>
          </cell>
          <cell r="D1048">
            <v>7</v>
          </cell>
        </row>
        <row r="1049">
          <cell r="A1049">
            <v>1000021107</v>
          </cell>
          <cell r="B1049" t="str">
            <v>NU 312 ECJ</v>
          </cell>
          <cell r="C1049" t="str">
            <v>B14 I17</v>
          </cell>
          <cell r="D1049">
            <v>6</v>
          </cell>
        </row>
        <row r="1050">
          <cell r="A1050">
            <v>1000021108</v>
          </cell>
          <cell r="B1050" t="str">
            <v>NU 312 ECJ/C3</v>
          </cell>
          <cell r="C1050" t="str">
            <v>C10</v>
          </cell>
          <cell r="D1050">
            <v>1</v>
          </cell>
        </row>
        <row r="1051">
          <cell r="A1051">
            <v>1000021109</v>
          </cell>
          <cell r="B1051" t="str">
            <v>NU 312 ECM</v>
          </cell>
          <cell r="C1051" t="str">
            <v>D14</v>
          </cell>
          <cell r="D1051">
            <v>2</v>
          </cell>
        </row>
        <row r="1052">
          <cell r="A1052">
            <v>1000021110</v>
          </cell>
          <cell r="B1052" t="str">
            <v>NU 312 ECP</v>
          </cell>
          <cell r="C1052" t="str">
            <v>D3 40 32R 68R</v>
          </cell>
          <cell r="D1052">
            <v>6</v>
          </cell>
        </row>
        <row r="1053">
          <cell r="A1053">
            <v>1000021111</v>
          </cell>
          <cell r="B1053" t="str">
            <v>NU 312 ECP/C3</v>
          </cell>
          <cell r="C1053" t="str">
            <v xml:space="preserve"> 65R</v>
          </cell>
          <cell r="D1053">
            <v>5</v>
          </cell>
        </row>
        <row r="1054">
          <cell r="A1054">
            <v>1000021112</v>
          </cell>
          <cell r="B1054" t="str">
            <v>SKF BEARING - NU 313 ECJ/C3</v>
          </cell>
          <cell r="C1054" t="str">
            <v>E12 34 71R</v>
          </cell>
          <cell r="D1054">
            <v>5</v>
          </cell>
        </row>
        <row r="1055">
          <cell r="A1055">
            <v>1000021113</v>
          </cell>
          <cell r="B1055" t="str">
            <v>NU 313 ECM</v>
          </cell>
          <cell r="C1055" t="str">
            <v>I4 I11 J6 K7 K34 L8</v>
          </cell>
          <cell r="D1055">
            <v>10</v>
          </cell>
        </row>
        <row r="1056">
          <cell r="A1056">
            <v>1000021114</v>
          </cell>
          <cell r="B1056" t="str">
            <v>NU 313 ECM/C3</v>
          </cell>
          <cell r="C1056" t="str">
            <v>C9</v>
          </cell>
          <cell r="D1056">
            <v>0</v>
          </cell>
        </row>
        <row r="1057">
          <cell r="A1057">
            <v>1000021115</v>
          </cell>
          <cell r="B1057" t="str">
            <v>NU 313 ECP</v>
          </cell>
          <cell r="C1057" t="str">
            <v>A11</v>
          </cell>
          <cell r="D1057">
            <v>8</v>
          </cell>
        </row>
        <row r="1058">
          <cell r="A1058">
            <v>1000021116</v>
          </cell>
          <cell r="B1058" t="str">
            <v>NU 313 ECP/C3</v>
          </cell>
          <cell r="C1058" t="str">
            <v>E9</v>
          </cell>
          <cell r="D1058">
            <v>4</v>
          </cell>
        </row>
        <row r="1059">
          <cell r="A1059">
            <v>1000021117</v>
          </cell>
          <cell r="B1059" t="str">
            <v>NU 314 ECJ/C3</v>
          </cell>
          <cell r="C1059" t="str">
            <v>I4</v>
          </cell>
          <cell r="D1059">
            <v>5</v>
          </cell>
        </row>
        <row r="1060">
          <cell r="A1060">
            <v>1000021118</v>
          </cell>
          <cell r="B1060" t="str">
            <v>NU 314 ECM</v>
          </cell>
          <cell r="C1060" t="str">
            <v>E15</v>
          </cell>
          <cell r="D1060">
            <v>0</v>
          </cell>
        </row>
        <row r="1061">
          <cell r="A1061">
            <v>1000021119</v>
          </cell>
          <cell r="B1061" t="str">
            <v>NU 314 ECM/C3</v>
          </cell>
          <cell r="C1061" t="str">
            <v>C7</v>
          </cell>
          <cell r="D1061">
            <v>1</v>
          </cell>
        </row>
        <row r="1062">
          <cell r="A1062">
            <v>1000021120</v>
          </cell>
          <cell r="B1062" t="str">
            <v>NU 314 ECP</v>
          </cell>
          <cell r="C1062" t="str">
            <v>A7</v>
          </cell>
          <cell r="D1062">
            <v>1</v>
          </cell>
        </row>
        <row r="1063">
          <cell r="A1063">
            <v>1000021121</v>
          </cell>
          <cell r="B1063" t="str">
            <v>NU 314 ECP/C3</v>
          </cell>
          <cell r="C1063" t="str">
            <v>K3</v>
          </cell>
          <cell r="D1063">
            <v>5</v>
          </cell>
        </row>
        <row r="1064">
          <cell r="A1064">
            <v>1000021122</v>
          </cell>
          <cell r="B1064" t="str">
            <v>NU 315 ECJ</v>
          </cell>
          <cell r="C1064" t="str">
            <v>D12 F9 I4 L9</v>
          </cell>
          <cell r="D1064">
            <v>8</v>
          </cell>
        </row>
        <row r="1065">
          <cell r="A1065">
            <v>1000021123</v>
          </cell>
          <cell r="B1065" t="str">
            <v>NU 315 ECJ/C3</v>
          </cell>
          <cell r="C1065" t="str">
            <v>C15</v>
          </cell>
          <cell r="D1065">
            <v>2</v>
          </cell>
        </row>
        <row r="1066">
          <cell r="A1066">
            <v>1000021124</v>
          </cell>
          <cell r="B1066" t="str">
            <v>NU 315 ECM/C3</v>
          </cell>
          <cell r="C1066" t="str">
            <v>B2</v>
          </cell>
          <cell r="D1066">
            <v>3</v>
          </cell>
        </row>
        <row r="1067">
          <cell r="A1067">
            <v>1000021127</v>
          </cell>
          <cell r="B1067" t="str">
            <v>NU 316 ECJ</v>
          </cell>
          <cell r="C1067" t="str">
            <v>C15</v>
          </cell>
          <cell r="D1067">
            <v>1</v>
          </cell>
        </row>
        <row r="1068">
          <cell r="A1068">
            <v>1000021128</v>
          </cell>
          <cell r="B1068" t="str">
            <v>NU 316 ECJ/C3</v>
          </cell>
          <cell r="C1068" t="str">
            <v>J23</v>
          </cell>
          <cell r="D1068">
            <v>13</v>
          </cell>
        </row>
        <row r="1069">
          <cell r="A1069">
            <v>1000021132</v>
          </cell>
          <cell r="B1069" t="str">
            <v>NU 317 ECJ/C3</v>
          </cell>
          <cell r="C1069" t="str">
            <v>N1 71R</v>
          </cell>
          <cell r="D1069">
            <v>8</v>
          </cell>
        </row>
        <row r="1070">
          <cell r="A1070">
            <v>1000021133</v>
          </cell>
          <cell r="B1070" t="str">
            <v>NU 317 ECP</v>
          </cell>
          <cell r="C1070" t="str">
            <v>C4 E9 74  66R</v>
          </cell>
          <cell r="D1070">
            <v>14</v>
          </cell>
        </row>
        <row r="1071">
          <cell r="A1071">
            <v>1000021134</v>
          </cell>
          <cell r="B1071" t="str">
            <v>NU 317 ECP/C3</v>
          </cell>
          <cell r="C1071" t="str">
            <v>D20</v>
          </cell>
          <cell r="D1071">
            <v>0</v>
          </cell>
        </row>
        <row r="1072">
          <cell r="A1072">
            <v>1000021135</v>
          </cell>
          <cell r="B1072" t="str">
            <v>NU 318 ECJ</v>
          </cell>
          <cell r="C1072" t="str">
            <v>B7</v>
          </cell>
          <cell r="D1072">
            <v>0</v>
          </cell>
        </row>
        <row r="1073">
          <cell r="A1073">
            <v>1000021136</v>
          </cell>
          <cell r="B1073" t="str">
            <v>NU 318 ECJ/C3</v>
          </cell>
          <cell r="C1073" t="str">
            <v>D15</v>
          </cell>
          <cell r="D1073">
            <v>2</v>
          </cell>
        </row>
        <row r="1074">
          <cell r="A1074">
            <v>1000021137</v>
          </cell>
          <cell r="B1074" t="str">
            <v>NU 318 ECM</v>
          </cell>
          <cell r="C1074" t="str">
            <v>J19 J21 E4</v>
          </cell>
          <cell r="D1074">
            <v>14</v>
          </cell>
        </row>
        <row r="1075">
          <cell r="A1075">
            <v>1000021138</v>
          </cell>
          <cell r="B1075" t="str">
            <v>NU 318 ECM/C3</v>
          </cell>
          <cell r="C1075" t="str">
            <v>E19 F3 F15 K26</v>
          </cell>
          <cell r="D1075">
            <v>7</v>
          </cell>
        </row>
        <row r="1076">
          <cell r="A1076">
            <v>1000021139</v>
          </cell>
          <cell r="B1076" t="str">
            <v>NU 318 ECP</v>
          </cell>
          <cell r="C1076" t="str">
            <v>C16</v>
          </cell>
          <cell r="D1076">
            <v>0</v>
          </cell>
        </row>
        <row r="1077">
          <cell r="A1077">
            <v>1000021140</v>
          </cell>
          <cell r="B1077" t="str">
            <v>NU 318 ECP/C3</v>
          </cell>
          <cell r="C1077" t="str">
            <v>E15</v>
          </cell>
          <cell r="D1077">
            <v>1</v>
          </cell>
        </row>
        <row r="1078">
          <cell r="A1078">
            <v>1000021141</v>
          </cell>
          <cell r="B1078" t="str">
            <v>NU 319 ECJ</v>
          </cell>
          <cell r="C1078" t="str">
            <v>D20</v>
          </cell>
          <cell r="D1078">
            <v>4</v>
          </cell>
        </row>
        <row r="1079">
          <cell r="A1079">
            <v>1000021142</v>
          </cell>
          <cell r="B1079" t="str">
            <v>NU 319 ECJ/C3</v>
          </cell>
          <cell r="C1079" t="str">
            <v>F21 M15</v>
          </cell>
          <cell r="D1079">
            <v>8</v>
          </cell>
        </row>
        <row r="1080">
          <cell r="A1080">
            <v>1000021143</v>
          </cell>
          <cell r="B1080" t="str">
            <v>NU 319 ECM/C3</v>
          </cell>
          <cell r="C1080" t="str">
            <v>F13</v>
          </cell>
          <cell r="D1080">
            <v>2</v>
          </cell>
        </row>
        <row r="1081">
          <cell r="A1081">
            <v>1000021144</v>
          </cell>
          <cell r="B1081" t="str">
            <v>NU 320 ECJ</v>
          </cell>
          <cell r="C1081" t="str">
            <v>D20</v>
          </cell>
          <cell r="D1081">
            <v>1</v>
          </cell>
        </row>
        <row r="1082">
          <cell r="A1082">
            <v>1000021145</v>
          </cell>
          <cell r="B1082" t="str">
            <v>NU 320 ECJ/C3</v>
          </cell>
          <cell r="C1082" t="str">
            <v>I18</v>
          </cell>
          <cell r="D1082">
            <v>1</v>
          </cell>
        </row>
        <row r="1083">
          <cell r="A1083">
            <v>1000021146</v>
          </cell>
          <cell r="B1083" t="str">
            <v>21307 CC/C3</v>
          </cell>
          <cell r="C1083" t="str">
            <v>D6</v>
          </cell>
          <cell r="D1083">
            <v>4</v>
          </cell>
        </row>
        <row r="1084">
          <cell r="A1084">
            <v>1000021147</v>
          </cell>
          <cell r="B1084" t="str">
            <v>21308 E/C3</v>
          </cell>
          <cell r="C1084" t="str">
            <v>D3</v>
          </cell>
          <cell r="D1084">
            <v>4</v>
          </cell>
        </row>
        <row r="1085">
          <cell r="A1085">
            <v>1000021148</v>
          </cell>
          <cell r="B1085" t="str">
            <v>21309 E</v>
          </cell>
          <cell r="C1085" t="str">
            <v>B13 E8</v>
          </cell>
          <cell r="D1085">
            <v>1</v>
          </cell>
        </row>
        <row r="1086">
          <cell r="A1086">
            <v>1000021149</v>
          </cell>
          <cell r="B1086" t="str">
            <v>21309 E/C3</v>
          </cell>
          <cell r="C1086" t="str">
            <v>D19</v>
          </cell>
          <cell r="D1086">
            <v>2</v>
          </cell>
        </row>
        <row r="1087">
          <cell r="A1087">
            <v>1000021150</v>
          </cell>
          <cell r="B1087" t="str">
            <v>21310 E/C3</v>
          </cell>
          <cell r="C1087" t="str">
            <v>C6</v>
          </cell>
          <cell r="D1087">
            <v>0</v>
          </cell>
        </row>
        <row r="1088">
          <cell r="A1088">
            <v>1000021151</v>
          </cell>
          <cell r="B1088" t="str">
            <v>21311 E/C3</v>
          </cell>
          <cell r="C1088" t="str">
            <v>C11</v>
          </cell>
          <cell r="D1088">
            <v>0</v>
          </cell>
        </row>
        <row r="1089">
          <cell r="A1089">
            <v>1000021152</v>
          </cell>
          <cell r="B1089" t="str">
            <v>21312 E/C3</v>
          </cell>
          <cell r="C1089" t="str">
            <v>C11</v>
          </cell>
          <cell r="D1089">
            <v>4</v>
          </cell>
        </row>
        <row r="1090">
          <cell r="A1090">
            <v>1000021153</v>
          </cell>
          <cell r="B1090" t="str">
            <v>21313 E</v>
          </cell>
          <cell r="C1090" t="str">
            <v>C11</v>
          </cell>
          <cell r="D1090">
            <v>8</v>
          </cell>
        </row>
        <row r="1091">
          <cell r="A1091">
            <v>1000021154</v>
          </cell>
          <cell r="B1091" t="str">
            <v>21313 E/C3</v>
          </cell>
          <cell r="C1091" t="str">
            <v>D3</v>
          </cell>
          <cell r="D1091">
            <v>4</v>
          </cell>
        </row>
        <row r="1092">
          <cell r="A1092">
            <v>1000021155</v>
          </cell>
          <cell r="B1092" t="str">
            <v>21315 E</v>
          </cell>
          <cell r="C1092" t="str">
            <v>E15 L11</v>
          </cell>
          <cell r="D1092">
            <v>3</v>
          </cell>
        </row>
        <row r="1093">
          <cell r="A1093">
            <v>1000021156</v>
          </cell>
          <cell r="B1093" t="str">
            <v>21315 E/C3</v>
          </cell>
          <cell r="C1093" t="str">
            <v>E20</v>
          </cell>
          <cell r="D1093">
            <v>5</v>
          </cell>
        </row>
        <row r="1094">
          <cell r="A1094">
            <v>1000021157</v>
          </cell>
          <cell r="B1094" t="str">
            <v>21316 E</v>
          </cell>
          <cell r="C1094" t="str">
            <v>E11</v>
          </cell>
          <cell r="D1094">
            <v>2</v>
          </cell>
        </row>
        <row r="1095">
          <cell r="A1095">
            <v>1000021158</v>
          </cell>
          <cell r="B1095" t="str">
            <v>21316 E/C3</v>
          </cell>
          <cell r="C1095" t="str">
            <v>E11</v>
          </cell>
          <cell r="D1095">
            <v>2</v>
          </cell>
        </row>
        <row r="1096">
          <cell r="A1096">
            <v>1000021159</v>
          </cell>
          <cell r="B1096" t="str">
            <v>21318 E/C3</v>
          </cell>
          <cell r="C1096" t="str">
            <v>C7</v>
          </cell>
          <cell r="D1096">
            <v>1</v>
          </cell>
        </row>
        <row r="1097">
          <cell r="A1097">
            <v>1000021160</v>
          </cell>
          <cell r="B1097" t="str">
            <v>21319 E</v>
          </cell>
          <cell r="C1097" t="str">
            <v>A16</v>
          </cell>
          <cell r="D1097">
            <v>0</v>
          </cell>
        </row>
        <row r="1098">
          <cell r="A1098">
            <v>1000021161</v>
          </cell>
          <cell r="B1098" t="str">
            <v>21319 E/C3</v>
          </cell>
          <cell r="C1098" t="str">
            <v>D20</v>
          </cell>
          <cell r="D1098">
            <v>2</v>
          </cell>
        </row>
        <row r="1099">
          <cell r="A1099">
            <v>1000021162</v>
          </cell>
          <cell r="B1099" t="str">
            <v>21320 E</v>
          </cell>
          <cell r="C1099" t="str">
            <v>E8</v>
          </cell>
          <cell r="D1099">
            <v>3</v>
          </cell>
        </row>
        <row r="1100">
          <cell r="A1100">
            <v>1000021163</v>
          </cell>
          <cell r="B1100" t="str">
            <v>2200 E-2RS1TN9</v>
          </cell>
          <cell r="C1100" t="str">
            <v>E13</v>
          </cell>
          <cell r="D1100">
            <v>2</v>
          </cell>
        </row>
        <row r="1101">
          <cell r="A1101">
            <v>1000021164</v>
          </cell>
          <cell r="B1101" t="str">
            <v>2203 E-2RS1TN9</v>
          </cell>
          <cell r="C1101" t="str">
            <v>D5</v>
          </cell>
          <cell r="D1101">
            <v>5</v>
          </cell>
        </row>
        <row r="1102">
          <cell r="A1102">
            <v>1000021165</v>
          </cell>
          <cell r="B1102" t="str">
            <v>2203 ETN9</v>
          </cell>
          <cell r="C1102" t="str">
            <v>D5</v>
          </cell>
          <cell r="D1102">
            <v>2</v>
          </cell>
        </row>
        <row r="1103">
          <cell r="A1103">
            <v>1000021166</v>
          </cell>
          <cell r="B1103" t="str">
            <v>2205 E-2RS1KTN9/C3</v>
          </cell>
          <cell r="C1103" t="str">
            <v>D13</v>
          </cell>
          <cell r="D1103">
            <v>2</v>
          </cell>
        </row>
        <row r="1104">
          <cell r="A1104">
            <v>1000021167</v>
          </cell>
          <cell r="B1104" t="str">
            <v>23220 CC/W33</v>
          </cell>
          <cell r="C1104" t="str">
            <v>C19</v>
          </cell>
          <cell r="D1104">
            <v>1</v>
          </cell>
        </row>
        <row r="1105">
          <cell r="A1105">
            <v>1000021168</v>
          </cell>
          <cell r="B1105" t="str">
            <v>2205 E-2RS1TN9</v>
          </cell>
          <cell r="C1105" t="str">
            <v>B5</v>
          </cell>
          <cell r="D1105">
            <v>2</v>
          </cell>
        </row>
        <row r="1106">
          <cell r="A1106">
            <v>1000021169</v>
          </cell>
          <cell r="B1106" t="str">
            <v>2205 E-2RS1TN9/C3</v>
          </cell>
          <cell r="C1106" t="str">
            <v>E11</v>
          </cell>
          <cell r="D1106">
            <v>1</v>
          </cell>
        </row>
        <row r="1107">
          <cell r="A1107">
            <v>1000021171</v>
          </cell>
          <cell r="B1107" t="str">
            <v>2205 ETN9/C3</v>
          </cell>
          <cell r="C1107" t="str">
            <v>D10</v>
          </cell>
          <cell r="D1107">
            <v>4</v>
          </cell>
        </row>
        <row r="1108">
          <cell r="A1108">
            <v>1000021172</v>
          </cell>
          <cell r="B1108" t="str">
            <v>2207 E-2RS1KTN9</v>
          </cell>
          <cell r="C1108" t="str">
            <v>D14</v>
          </cell>
          <cell r="D1108">
            <v>2</v>
          </cell>
        </row>
        <row r="1109">
          <cell r="A1109">
            <v>1000021173</v>
          </cell>
          <cell r="B1109" t="str">
            <v>H 307 E</v>
          </cell>
          <cell r="C1109" t="str">
            <v>C7</v>
          </cell>
          <cell r="D1109">
            <v>10</v>
          </cell>
        </row>
        <row r="1110">
          <cell r="A1110">
            <v>1000021174</v>
          </cell>
          <cell r="B1110" t="str">
            <v>2207 E-2RS1KTN9/C3</v>
          </cell>
          <cell r="C1110" t="str">
            <v>D15</v>
          </cell>
          <cell r="D1110">
            <v>1</v>
          </cell>
        </row>
        <row r="1111">
          <cell r="A1111">
            <v>1000021175</v>
          </cell>
          <cell r="B1111" t="str">
            <v>2207 E-2RS1TN9</v>
          </cell>
          <cell r="C1111" t="str">
            <v>E7</v>
          </cell>
          <cell r="D1111">
            <v>3</v>
          </cell>
        </row>
        <row r="1112">
          <cell r="A1112">
            <v>1000021176</v>
          </cell>
          <cell r="B1112" t="str">
            <v>2207 EKTN9/C3</v>
          </cell>
          <cell r="C1112" t="str">
            <v>E18</v>
          </cell>
          <cell r="D1112">
            <v>3</v>
          </cell>
        </row>
        <row r="1113">
          <cell r="A1113">
            <v>1000021177</v>
          </cell>
          <cell r="B1113" t="str">
            <v>2207 ETN9</v>
          </cell>
          <cell r="C1113" t="str">
            <v>D9</v>
          </cell>
          <cell r="D1113">
            <v>8</v>
          </cell>
        </row>
        <row r="1114">
          <cell r="A1114">
            <v>1000021178</v>
          </cell>
          <cell r="B1114" t="str">
            <v>2208 E-2RS1KTN9/C3</v>
          </cell>
          <cell r="C1114" t="str">
            <v>D18</v>
          </cell>
          <cell r="D1114">
            <v>1</v>
          </cell>
        </row>
        <row r="1115">
          <cell r="A1115">
            <v>1000021179</v>
          </cell>
          <cell r="B1115" t="str">
            <v>2208 E-2RS1TN9</v>
          </cell>
          <cell r="C1115" t="str">
            <v>C17 M10</v>
          </cell>
          <cell r="D1115">
            <v>25</v>
          </cell>
        </row>
        <row r="1116">
          <cell r="A1116">
            <v>1000021180</v>
          </cell>
          <cell r="B1116" t="str">
            <v>2208 EKTN9</v>
          </cell>
          <cell r="C1116" t="str">
            <v>E5</v>
          </cell>
          <cell r="D1116">
            <v>2</v>
          </cell>
        </row>
        <row r="1117">
          <cell r="A1117">
            <v>1000021181</v>
          </cell>
          <cell r="B1117" t="str">
            <v>H 308</v>
          </cell>
          <cell r="C1117" t="str">
            <v>E5</v>
          </cell>
          <cell r="D1117">
            <v>16</v>
          </cell>
        </row>
        <row r="1118">
          <cell r="A1118">
            <v>1000021182</v>
          </cell>
          <cell r="B1118" t="str">
            <v>2210 EKTN9/C3</v>
          </cell>
          <cell r="C1118" t="str">
            <v>C10</v>
          </cell>
          <cell r="D1118">
            <v>1</v>
          </cell>
        </row>
        <row r="1119">
          <cell r="A1119">
            <v>1000021183</v>
          </cell>
          <cell r="B1119" t="str">
            <v>H 310</v>
          </cell>
          <cell r="C1119" t="str">
            <v>I11 K38 L5 M8</v>
          </cell>
          <cell r="D1119">
            <v>17</v>
          </cell>
        </row>
        <row r="1120">
          <cell r="A1120">
            <v>1000021184</v>
          </cell>
          <cell r="B1120" t="str">
            <v>2211 EKTN9</v>
          </cell>
          <cell r="C1120" t="str">
            <v>E18</v>
          </cell>
          <cell r="D1120">
            <v>1</v>
          </cell>
        </row>
        <row r="1121">
          <cell r="A1121">
            <v>1000021185</v>
          </cell>
          <cell r="B1121" t="str">
            <v>H 311</v>
          </cell>
          <cell r="C1121" t="str">
            <v>J9 M2 M19</v>
          </cell>
          <cell r="D1121">
            <v>25</v>
          </cell>
        </row>
        <row r="1122">
          <cell r="A1122">
            <v>1000021186</v>
          </cell>
          <cell r="B1122" t="str">
            <v>2211 ETN9</v>
          </cell>
          <cell r="C1122" t="str">
            <v>C10</v>
          </cell>
          <cell r="D1122">
            <v>1</v>
          </cell>
        </row>
        <row r="1123">
          <cell r="A1123">
            <v>1000021187</v>
          </cell>
          <cell r="B1123" t="str">
            <v>2213 EKTN9/C3</v>
          </cell>
          <cell r="C1123" t="str">
            <v>E7</v>
          </cell>
          <cell r="D1123">
            <v>1</v>
          </cell>
        </row>
        <row r="1124">
          <cell r="A1124">
            <v>1000021188</v>
          </cell>
          <cell r="B1124" t="str">
            <v>H 313</v>
          </cell>
          <cell r="C1124" t="str">
            <v>M17</v>
          </cell>
          <cell r="D1124">
            <v>3</v>
          </cell>
        </row>
        <row r="1125">
          <cell r="A1125">
            <v>1000021189</v>
          </cell>
          <cell r="B1125" t="str">
            <v>2218 K</v>
          </cell>
          <cell r="C1125" t="str">
            <v>C16</v>
          </cell>
          <cell r="D1125">
            <v>2</v>
          </cell>
        </row>
        <row r="1126">
          <cell r="A1126">
            <v>1000021190</v>
          </cell>
          <cell r="B1126" t="str">
            <v>SKF BEARING - H 318</v>
          </cell>
          <cell r="C1126" t="str">
            <v>M2</v>
          </cell>
          <cell r="D1126">
            <v>3</v>
          </cell>
        </row>
        <row r="1127">
          <cell r="A1127">
            <v>1000021191</v>
          </cell>
          <cell r="B1127" t="str">
            <v>2218 K/C3</v>
          </cell>
          <cell r="C1127" t="str">
            <v>C19 H6</v>
          </cell>
          <cell r="D1127">
            <v>4</v>
          </cell>
        </row>
        <row r="1128">
          <cell r="A1128">
            <v>1000021192</v>
          </cell>
          <cell r="B1128" t="str">
            <v>2220 K</v>
          </cell>
          <cell r="C1128" t="str">
            <v>D19</v>
          </cell>
          <cell r="D1128">
            <v>2</v>
          </cell>
        </row>
        <row r="1129">
          <cell r="A1129">
            <v>1000021193</v>
          </cell>
          <cell r="B1129" t="str">
            <v>H 320</v>
          </cell>
          <cell r="C1129" t="str">
            <v>C4 M8</v>
          </cell>
          <cell r="D1129">
            <v>19</v>
          </cell>
        </row>
        <row r="1130">
          <cell r="A1130">
            <v>1000021194</v>
          </cell>
          <cell r="B1130" t="str">
            <v>22205 E</v>
          </cell>
          <cell r="C1130" t="str">
            <v>D10</v>
          </cell>
          <cell r="D1130">
            <v>4</v>
          </cell>
        </row>
        <row r="1131">
          <cell r="A1131">
            <v>1000021195</v>
          </cell>
          <cell r="B1131" t="str">
            <v>22206 E</v>
          </cell>
          <cell r="C1131" t="str">
            <v>B20</v>
          </cell>
          <cell r="D1131">
            <v>2</v>
          </cell>
        </row>
        <row r="1132">
          <cell r="A1132">
            <v>1000021196</v>
          </cell>
          <cell r="B1132" t="str">
            <v>22207 E</v>
          </cell>
          <cell r="C1132" t="str">
            <v>C7 G4</v>
          </cell>
          <cell r="D1132">
            <v>5</v>
          </cell>
        </row>
        <row r="1133">
          <cell r="A1133">
            <v>1000021197</v>
          </cell>
          <cell r="B1133" t="str">
            <v>22207 EK/C3</v>
          </cell>
          <cell r="C1133" t="str">
            <v>D3</v>
          </cell>
          <cell r="D1133">
            <v>4</v>
          </cell>
        </row>
        <row r="1134">
          <cell r="A1134">
            <v>1000021198</v>
          </cell>
          <cell r="B1134" t="str">
            <v>H 307</v>
          </cell>
          <cell r="C1134" t="str">
            <v>E16</v>
          </cell>
          <cell r="D1134">
            <v>4</v>
          </cell>
        </row>
        <row r="1135">
          <cell r="A1135">
            <v>1000021200</v>
          </cell>
          <cell r="B1135" t="str">
            <v>22208 E/C3</v>
          </cell>
          <cell r="C1135" t="str">
            <v>C6 M9</v>
          </cell>
          <cell r="D1135">
            <v>9</v>
          </cell>
        </row>
        <row r="1136">
          <cell r="A1136">
            <v>1000021201</v>
          </cell>
          <cell r="B1136" t="str">
            <v>22208 EK</v>
          </cell>
          <cell r="C1136" t="str">
            <v>C3</v>
          </cell>
          <cell r="D1136">
            <v>2</v>
          </cell>
        </row>
        <row r="1137">
          <cell r="A1137">
            <v>1000021202</v>
          </cell>
          <cell r="B1137" t="str">
            <v>22208 EK/C3</v>
          </cell>
          <cell r="C1137" t="str">
            <v>B9</v>
          </cell>
          <cell r="D1137">
            <v>6</v>
          </cell>
        </row>
        <row r="1138">
          <cell r="A1138">
            <v>1000021203</v>
          </cell>
          <cell r="B1138" t="str">
            <v>22209 EK</v>
          </cell>
          <cell r="C1138" t="str">
            <v>B9 J10 L14</v>
          </cell>
          <cell r="D1138">
            <v>33</v>
          </cell>
        </row>
        <row r="1139">
          <cell r="A1139">
            <v>1000021204</v>
          </cell>
          <cell r="B1139" t="str">
            <v>22210 E</v>
          </cell>
          <cell r="C1139" t="str">
            <v>D17</v>
          </cell>
          <cell r="D1139">
            <v>2</v>
          </cell>
        </row>
        <row r="1140">
          <cell r="A1140">
            <v>1000021205</v>
          </cell>
          <cell r="B1140" t="str">
            <v>22210 E/C3</v>
          </cell>
          <cell r="C1140" t="str">
            <v>D18 M1</v>
          </cell>
          <cell r="D1140">
            <v>18</v>
          </cell>
        </row>
        <row r="1141">
          <cell r="A1141">
            <v>1000021206</v>
          </cell>
          <cell r="B1141" t="str">
            <v>22210 EK/C3</v>
          </cell>
          <cell r="C1141" t="str">
            <v>D17</v>
          </cell>
          <cell r="D1141">
            <v>6</v>
          </cell>
        </row>
        <row r="1142">
          <cell r="A1142">
            <v>1000021207</v>
          </cell>
          <cell r="B1142" t="str">
            <v>22211 E</v>
          </cell>
          <cell r="C1142" t="str">
            <v>A6</v>
          </cell>
          <cell r="D1142">
            <v>41</v>
          </cell>
        </row>
        <row r="1143">
          <cell r="A1143">
            <v>1000021208</v>
          </cell>
          <cell r="B1143" t="str">
            <v>22211 E/C3</v>
          </cell>
          <cell r="C1143" t="str">
            <v>B20 M2</v>
          </cell>
          <cell r="D1143">
            <v>7</v>
          </cell>
        </row>
        <row r="1144">
          <cell r="A1144">
            <v>1000021209</v>
          </cell>
          <cell r="B1144" t="str">
            <v>22211 EK</v>
          </cell>
          <cell r="C1144" t="str">
            <v>B20</v>
          </cell>
          <cell r="D1144">
            <v>25</v>
          </cell>
        </row>
        <row r="1145">
          <cell r="A1145">
            <v>1000021210</v>
          </cell>
          <cell r="B1145" t="str">
            <v>22211 EK/C3</v>
          </cell>
          <cell r="C1145" t="str">
            <v>I10</v>
          </cell>
          <cell r="D1145">
            <v>6</v>
          </cell>
        </row>
        <row r="1146">
          <cell r="A1146">
            <v>1000021211</v>
          </cell>
          <cell r="B1146" t="str">
            <v>22212 E</v>
          </cell>
          <cell r="C1146" t="str">
            <v>I10 K10</v>
          </cell>
          <cell r="D1146">
            <v>3</v>
          </cell>
        </row>
        <row r="1147">
          <cell r="A1147">
            <v>1000021212</v>
          </cell>
          <cell r="B1147" t="str">
            <v>22212 E/C3</v>
          </cell>
          <cell r="C1147" t="str">
            <v>D7 I17</v>
          </cell>
          <cell r="D1147">
            <v>11</v>
          </cell>
        </row>
        <row r="1148">
          <cell r="A1148">
            <v>1000021213</v>
          </cell>
          <cell r="B1148" t="str">
            <v>22212 EK</v>
          </cell>
          <cell r="C1148" t="str">
            <v>D7</v>
          </cell>
          <cell r="D1148">
            <v>1</v>
          </cell>
        </row>
        <row r="1149">
          <cell r="A1149">
            <v>1000021214</v>
          </cell>
          <cell r="B1149" t="str">
            <v>H 312</v>
          </cell>
          <cell r="C1149" t="str">
            <v>C6 F15 I10 J11</v>
          </cell>
          <cell r="D1149">
            <v>32</v>
          </cell>
        </row>
        <row r="1150">
          <cell r="A1150">
            <v>1000021215</v>
          </cell>
          <cell r="B1150" t="str">
            <v>22212 EK/C3</v>
          </cell>
          <cell r="C1150" t="str">
            <v>E3 75 36R</v>
          </cell>
          <cell r="D1150">
            <v>8</v>
          </cell>
        </row>
        <row r="1151">
          <cell r="A1151">
            <v>1000021216</v>
          </cell>
          <cell r="B1151" t="str">
            <v>22213 E</v>
          </cell>
          <cell r="C1151" t="str">
            <v>L14</v>
          </cell>
          <cell r="D1151">
            <v>21</v>
          </cell>
        </row>
        <row r="1152">
          <cell r="A1152">
            <v>1000021217</v>
          </cell>
          <cell r="B1152" t="str">
            <v>22213 EK</v>
          </cell>
          <cell r="C1152" t="str">
            <v>M17</v>
          </cell>
          <cell r="D1152">
            <v>3</v>
          </cell>
        </row>
        <row r="1153">
          <cell r="A1153">
            <v>1000021218</v>
          </cell>
          <cell r="B1153" t="str">
            <v>22213 EK/C3</v>
          </cell>
          <cell r="C1153" t="str">
            <v>N3 7</v>
          </cell>
          <cell r="D1153">
            <v>12</v>
          </cell>
        </row>
        <row r="1154">
          <cell r="A1154">
            <v>1000021219</v>
          </cell>
          <cell r="B1154" t="str">
            <v>22214 E/C3</v>
          </cell>
          <cell r="C1154" t="str">
            <v>I16 K3</v>
          </cell>
          <cell r="D1154">
            <v>3</v>
          </cell>
        </row>
        <row r="1155">
          <cell r="A1155">
            <v>1000021220</v>
          </cell>
          <cell r="B1155" t="str">
            <v>22214 EK</v>
          </cell>
          <cell r="C1155" t="str">
            <v>D19</v>
          </cell>
          <cell r="D1155">
            <v>4</v>
          </cell>
        </row>
        <row r="1156">
          <cell r="A1156">
            <v>1000021221</v>
          </cell>
          <cell r="B1156" t="str">
            <v>H 314</v>
          </cell>
          <cell r="C1156" t="str">
            <v>D11</v>
          </cell>
          <cell r="D1156">
            <v>7</v>
          </cell>
        </row>
        <row r="1157">
          <cell r="A1157">
            <v>1000021222</v>
          </cell>
          <cell r="B1157" t="str">
            <v>22214 EK/C3</v>
          </cell>
          <cell r="C1157" t="str">
            <v>C13</v>
          </cell>
          <cell r="D1157">
            <v>1</v>
          </cell>
        </row>
        <row r="1158">
          <cell r="A1158">
            <v>1000021223</v>
          </cell>
          <cell r="B1158" t="str">
            <v>22215 E</v>
          </cell>
          <cell r="C1158" t="str">
            <v>F9 H3 J3 L10 M29</v>
          </cell>
          <cell r="D1158">
            <v>66</v>
          </cell>
        </row>
        <row r="1159">
          <cell r="A1159">
            <v>1000021224</v>
          </cell>
          <cell r="B1159" t="str">
            <v>22215 E/C3</v>
          </cell>
          <cell r="C1159" t="str">
            <v>D16</v>
          </cell>
          <cell r="D1159">
            <v>12</v>
          </cell>
        </row>
        <row r="1160">
          <cell r="A1160">
            <v>1000021225</v>
          </cell>
          <cell r="B1160" t="str">
            <v>22215 EK</v>
          </cell>
          <cell r="C1160" t="str">
            <v>D11</v>
          </cell>
          <cell r="D1160">
            <v>3</v>
          </cell>
        </row>
        <row r="1161">
          <cell r="A1161">
            <v>1000021226</v>
          </cell>
          <cell r="B1161" t="str">
            <v>H 315</v>
          </cell>
          <cell r="C1161" t="str">
            <v>C4</v>
          </cell>
          <cell r="D1161">
            <v>3</v>
          </cell>
        </row>
        <row r="1162">
          <cell r="A1162">
            <v>1000021227</v>
          </cell>
          <cell r="B1162" t="str">
            <v>22215 EK/C3</v>
          </cell>
          <cell r="C1162" t="str">
            <v>B19 I10</v>
          </cell>
          <cell r="D1162">
            <v>22</v>
          </cell>
        </row>
        <row r="1163">
          <cell r="A1163">
            <v>1000021228</v>
          </cell>
          <cell r="B1163" t="str">
            <v>22216 E</v>
          </cell>
          <cell r="C1163" t="str">
            <v>M6</v>
          </cell>
          <cell r="D1163">
            <v>3</v>
          </cell>
        </row>
        <row r="1164">
          <cell r="A1164">
            <v>1000021229</v>
          </cell>
          <cell r="B1164" t="str">
            <v>22216 E/C3</v>
          </cell>
          <cell r="C1164" t="str">
            <v>B18 G9 L10 M22</v>
          </cell>
          <cell r="D1164">
            <v>43</v>
          </cell>
        </row>
        <row r="1165">
          <cell r="A1165">
            <v>1000021230</v>
          </cell>
          <cell r="B1165" t="str">
            <v>22216 EK</v>
          </cell>
          <cell r="C1165" t="str">
            <v>C8</v>
          </cell>
          <cell r="D1165">
            <v>0</v>
          </cell>
        </row>
        <row r="1166">
          <cell r="A1166">
            <v>1000021231</v>
          </cell>
          <cell r="B1166" t="str">
            <v>H 316</v>
          </cell>
          <cell r="C1166" t="str">
            <v>B9</v>
          </cell>
          <cell r="D1166">
            <v>16</v>
          </cell>
        </row>
        <row r="1167">
          <cell r="A1167">
            <v>1000021232</v>
          </cell>
          <cell r="B1167" t="str">
            <v>22216 EK/C3</v>
          </cell>
          <cell r="C1167" t="str">
            <v>C8 N3 20  61R</v>
          </cell>
          <cell r="D1167">
            <v>37</v>
          </cell>
        </row>
        <row r="1168">
          <cell r="A1168">
            <v>1000021233</v>
          </cell>
          <cell r="B1168" t="str">
            <v>22217 E</v>
          </cell>
          <cell r="C1168" t="str">
            <v>I2 L1</v>
          </cell>
          <cell r="D1168">
            <v>11</v>
          </cell>
        </row>
        <row r="1169">
          <cell r="A1169">
            <v>1000021234</v>
          </cell>
          <cell r="B1169" t="str">
            <v>22217 E/C3</v>
          </cell>
          <cell r="C1169" t="str">
            <v>M11</v>
          </cell>
          <cell r="D1169">
            <v>3</v>
          </cell>
        </row>
        <row r="1170">
          <cell r="A1170">
            <v>1000021235</v>
          </cell>
          <cell r="B1170" t="str">
            <v>22217 EK</v>
          </cell>
          <cell r="C1170" t="str">
            <v xml:space="preserve"> N1 65 49 20 63R</v>
          </cell>
          <cell r="D1170">
            <v>20</v>
          </cell>
        </row>
        <row r="1171">
          <cell r="A1171">
            <v>1000021236</v>
          </cell>
          <cell r="B1171" t="str">
            <v>H 317</v>
          </cell>
          <cell r="C1171" t="str">
            <v>D17</v>
          </cell>
          <cell r="D1171">
            <v>4</v>
          </cell>
        </row>
        <row r="1172">
          <cell r="A1172">
            <v>1000021237</v>
          </cell>
          <cell r="B1172" t="str">
            <v>22217 EK/C3</v>
          </cell>
          <cell r="C1172" t="str">
            <v>K14 K34 M26</v>
          </cell>
          <cell r="D1172">
            <v>24</v>
          </cell>
        </row>
        <row r="1173">
          <cell r="A1173">
            <v>1000021238</v>
          </cell>
          <cell r="B1173" t="str">
            <v>22218 E</v>
          </cell>
          <cell r="C1173" t="str">
            <v>M 13</v>
          </cell>
          <cell r="D1173">
            <v>10</v>
          </cell>
        </row>
        <row r="1174">
          <cell r="A1174">
            <v>1000021239</v>
          </cell>
          <cell r="B1174" t="str">
            <v>22218 E/C3</v>
          </cell>
          <cell r="C1174" t="str">
            <v>F6</v>
          </cell>
          <cell r="D1174">
            <v>6</v>
          </cell>
        </row>
        <row r="1175">
          <cell r="A1175">
            <v>1000021240</v>
          </cell>
          <cell r="B1175" t="str">
            <v>22218 EK</v>
          </cell>
          <cell r="C1175" t="str">
            <v>60R</v>
          </cell>
          <cell r="D1175">
            <v>3</v>
          </cell>
        </row>
        <row r="1176">
          <cell r="A1176">
            <v>1000021241</v>
          </cell>
          <cell r="B1176" t="str">
            <v>22218 EK/C3</v>
          </cell>
          <cell r="C1176" t="str">
            <v>D19</v>
          </cell>
          <cell r="D1176">
            <v>1</v>
          </cell>
        </row>
        <row r="1177">
          <cell r="A1177">
            <v>1000021242</v>
          </cell>
          <cell r="B1177" t="str">
            <v>22219 E/C3</v>
          </cell>
          <cell r="C1177" t="str">
            <v>C7</v>
          </cell>
          <cell r="D1177">
            <v>2</v>
          </cell>
        </row>
        <row r="1178">
          <cell r="A1178">
            <v>1000021243</v>
          </cell>
          <cell r="B1178" t="str">
            <v>22219 EK</v>
          </cell>
          <cell r="C1178" t="str">
            <v>C11</v>
          </cell>
          <cell r="D1178">
            <v>5</v>
          </cell>
        </row>
        <row r="1179">
          <cell r="A1179">
            <v>1000021244</v>
          </cell>
          <cell r="B1179" t="str">
            <v>H 319</v>
          </cell>
          <cell r="C1179" t="str">
            <v>B7</v>
          </cell>
          <cell r="D1179">
            <v>2</v>
          </cell>
        </row>
        <row r="1180">
          <cell r="A1180">
            <v>1000021245</v>
          </cell>
          <cell r="B1180" t="str">
            <v>22219 EK/C3</v>
          </cell>
          <cell r="C1180" t="str">
            <v>C7 G8</v>
          </cell>
          <cell r="D1180">
            <v>4</v>
          </cell>
        </row>
        <row r="1181">
          <cell r="A1181">
            <v>1000021246</v>
          </cell>
          <cell r="B1181" t="str">
            <v>22220 E</v>
          </cell>
          <cell r="C1181" t="str">
            <v>F3 G9 K30 M26</v>
          </cell>
          <cell r="D1181">
            <v>39</v>
          </cell>
        </row>
        <row r="1182">
          <cell r="A1182">
            <v>1000021247</v>
          </cell>
          <cell r="B1182" t="str">
            <v>22220 E/C3</v>
          </cell>
          <cell r="C1182" t="str">
            <v>C15 F3 F6 G6 L4 L13</v>
          </cell>
          <cell r="D1182">
            <v>38</v>
          </cell>
        </row>
        <row r="1183">
          <cell r="A1183">
            <v>1000021248</v>
          </cell>
          <cell r="B1183" t="str">
            <v>22220 EK</v>
          </cell>
          <cell r="C1183" t="str">
            <v>M12</v>
          </cell>
          <cell r="D1183">
            <v>5</v>
          </cell>
        </row>
        <row r="1184">
          <cell r="A1184">
            <v>1000021249</v>
          </cell>
          <cell r="B1184" t="str">
            <v>22220 EK/C3</v>
          </cell>
          <cell r="C1184" t="str">
            <v>J2 M27</v>
          </cell>
          <cell r="D1184">
            <v>13</v>
          </cell>
        </row>
        <row r="1185">
          <cell r="A1185">
            <v>1000021250</v>
          </cell>
          <cell r="B1185" t="str">
            <v>22222 E</v>
          </cell>
          <cell r="C1185" t="str">
            <v>F22</v>
          </cell>
          <cell r="D1185">
            <v>32</v>
          </cell>
        </row>
        <row r="1186">
          <cell r="A1186">
            <v>1000021251</v>
          </cell>
          <cell r="B1186" t="str">
            <v>22222 E/C3</v>
          </cell>
          <cell r="C1186" t="str">
            <v>C16</v>
          </cell>
          <cell r="D1186">
            <v>2</v>
          </cell>
        </row>
        <row r="1187">
          <cell r="A1187">
            <v>1000021252</v>
          </cell>
          <cell r="B1187" t="str">
            <v>22222 EK</v>
          </cell>
          <cell r="C1187" t="str">
            <v>D20 F5 K6 K7 L11 M12</v>
          </cell>
          <cell r="D1187">
            <v>21</v>
          </cell>
        </row>
        <row r="1188">
          <cell r="A1188">
            <v>1000021253</v>
          </cell>
          <cell r="B1188" t="str">
            <v>H 322</v>
          </cell>
          <cell r="C1188" t="str">
            <v>K1</v>
          </cell>
          <cell r="D1188">
            <v>4</v>
          </cell>
        </row>
        <row r="1189">
          <cell r="A1189">
            <v>1000021254</v>
          </cell>
          <cell r="B1189" t="str">
            <v xml:space="preserve"> 22222 EK/C3</v>
          </cell>
          <cell r="C1189" t="str">
            <v>F18 K25 E8 22 61 26R 18</v>
          </cell>
          <cell r="D1189">
            <v>22</v>
          </cell>
        </row>
        <row r="1190">
          <cell r="A1190">
            <v>1000021255</v>
          </cell>
          <cell r="B1190" t="str">
            <v>22224 E</v>
          </cell>
          <cell r="C1190" t="str">
            <v>B11</v>
          </cell>
          <cell r="D1190">
            <v>1</v>
          </cell>
        </row>
        <row r="1191">
          <cell r="A1191">
            <v>1000021256</v>
          </cell>
          <cell r="B1191" t="str">
            <v>22224 E/C3</v>
          </cell>
          <cell r="C1191" t="str">
            <v>G18</v>
          </cell>
          <cell r="D1191">
            <v>1</v>
          </cell>
        </row>
        <row r="1192">
          <cell r="A1192">
            <v>1000021257</v>
          </cell>
          <cell r="B1192" t="str">
            <v>22224 EK</v>
          </cell>
          <cell r="C1192" t="str">
            <v>C16 F3</v>
          </cell>
          <cell r="D1192">
            <v>3</v>
          </cell>
        </row>
        <row r="1193">
          <cell r="A1193">
            <v>1000021259</v>
          </cell>
          <cell r="B1193" t="str">
            <v>22224 EK/C3</v>
          </cell>
          <cell r="C1193" t="str">
            <v>F1 F6 G9 K1 J17 K26 L6 M24</v>
          </cell>
          <cell r="D1193">
            <v>28</v>
          </cell>
        </row>
        <row r="1194">
          <cell r="A1194">
            <v>1000021260</v>
          </cell>
          <cell r="B1194" t="str">
            <v>22226 E</v>
          </cell>
          <cell r="C1194" t="str">
            <v>E20 M6</v>
          </cell>
          <cell r="D1194">
            <v>5</v>
          </cell>
        </row>
        <row r="1195">
          <cell r="A1195">
            <v>1000021261</v>
          </cell>
          <cell r="B1195" t="str">
            <v>22226 E/C3</v>
          </cell>
          <cell r="C1195" t="str">
            <v>E12 M6</v>
          </cell>
          <cell r="D1195">
            <v>10</v>
          </cell>
        </row>
        <row r="1196">
          <cell r="A1196">
            <v>1000021262</v>
          </cell>
          <cell r="B1196" t="str">
            <v>22226 EK</v>
          </cell>
          <cell r="C1196" t="str">
            <v>F13</v>
          </cell>
          <cell r="D1196">
            <v>2</v>
          </cell>
        </row>
        <row r="1197">
          <cell r="A1197">
            <v>1000021263</v>
          </cell>
          <cell r="B1197" t="str">
            <v>H 3126</v>
          </cell>
          <cell r="C1197" t="str">
            <v>D4</v>
          </cell>
          <cell r="D1197">
            <v>0</v>
          </cell>
        </row>
        <row r="1198">
          <cell r="A1198">
            <v>1000021264</v>
          </cell>
          <cell r="B1198" t="str">
            <v>22228 CC/C3W33</v>
          </cell>
          <cell r="C1198" t="str">
            <v>D20</v>
          </cell>
          <cell r="D1198">
            <v>2</v>
          </cell>
        </row>
        <row r="1199">
          <cell r="A1199">
            <v>1000021265</v>
          </cell>
          <cell r="B1199" t="str">
            <v>22228 CCK/C3W33</v>
          </cell>
          <cell r="C1199" t="str">
            <v>B20</v>
          </cell>
          <cell r="D1199">
            <v>5</v>
          </cell>
        </row>
        <row r="1200">
          <cell r="A1200">
            <v>1000021266</v>
          </cell>
          <cell r="B1200" t="str">
            <v>H 3128</v>
          </cell>
          <cell r="C1200" t="str">
            <v>C8</v>
          </cell>
          <cell r="D1200">
            <v>0</v>
          </cell>
        </row>
        <row r="1201">
          <cell r="A1201">
            <v>1000021267</v>
          </cell>
          <cell r="B1201" t="str">
            <v>22228 CCK/W33</v>
          </cell>
          <cell r="C1201" t="str">
            <v>K28</v>
          </cell>
          <cell r="D1201">
            <v>0</v>
          </cell>
        </row>
        <row r="1202">
          <cell r="A1202">
            <v>1000021268</v>
          </cell>
          <cell r="B1202" t="str">
            <v>22308 E/C3</v>
          </cell>
          <cell r="C1202" t="str">
            <v>A18</v>
          </cell>
          <cell r="D1202">
            <v>0</v>
          </cell>
        </row>
        <row r="1203">
          <cell r="A1203">
            <v>1000021269</v>
          </cell>
          <cell r="B1203" t="str">
            <v>22310 E</v>
          </cell>
          <cell r="C1203" t="str">
            <v>I4 J8</v>
          </cell>
          <cell r="D1203">
            <v>22</v>
          </cell>
        </row>
        <row r="1204">
          <cell r="A1204">
            <v>1000021270</v>
          </cell>
          <cell r="B1204" t="str">
            <v>22310 E/C3</v>
          </cell>
          <cell r="C1204" t="str">
            <v>E 3 40 68R</v>
          </cell>
          <cell r="D1204">
            <v>20</v>
          </cell>
        </row>
        <row r="1205">
          <cell r="A1205">
            <v>1000021271</v>
          </cell>
          <cell r="B1205" t="str">
            <v>22311 E</v>
          </cell>
          <cell r="C1205" t="str">
            <v>I16 K10 L10 L16 M27</v>
          </cell>
          <cell r="D1205">
            <v>23</v>
          </cell>
        </row>
        <row r="1206">
          <cell r="A1206">
            <v>1000021272</v>
          </cell>
          <cell r="B1206" t="str">
            <v>22311 EK</v>
          </cell>
          <cell r="C1206" t="str">
            <v>B7</v>
          </cell>
          <cell r="D1206">
            <v>0</v>
          </cell>
        </row>
        <row r="1207">
          <cell r="A1207">
            <v>1000021273</v>
          </cell>
          <cell r="B1207" t="str">
            <v>H 2311</v>
          </cell>
          <cell r="C1207" t="str">
            <v>C18 L13 M26</v>
          </cell>
          <cell r="D1207">
            <v>27</v>
          </cell>
        </row>
        <row r="1208">
          <cell r="A1208">
            <v>1000021274</v>
          </cell>
          <cell r="B1208" t="str">
            <v>22312 E</v>
          </cell>
          <cell r="C1208" t="str">
            <v>C6</v>
          </cell>
          <cell r="D1208">
            <v>2</v>
          </cell>
        </row>
        <row r="1209">
          <cell r="A1209">
            <v>1000021275</v>
          </cell>
          <cell r="B1209" t="str">
            <v>22312 E/C3</v>
          </cell>
          <cell r="C1209" t="str">
            <v>G17 M18</v>
          </cell>
          <cell r="D1209">
            <v>7</v>
          </cell>
        </row>
        <row r="1210">
          <cell r="A1210">
            <v>1000021276</v>
          </cell>
          <cell r="B1210" t="str">
            <v>22312 EK/C3</v>
          </cell>
          <cell r="C1210" t="str">
            <v>A7</v>
          </cell>
          <cell r="D1210">
            <v>5</v>
          </cell>
        </row>
        <row r="1211">
          <cell r="A1211">
            <v>1000021277</v>
          </cell>
          <cell r="B1211" t="str">
            <v>H 2312</v>
          </cell>
          <cell r="C1211" t="str">
            <v>B13</v>
          </cell>
          <cell r="D1211">
            <v>0</v>
          </cell>
        </row>
        <row r="1212">
          <cell r="A1212">
            <v>1000021279</v>
          </cell>
          <cell r="B1212" t="str">
            <v>22313 E/C3</v>
          </cell>
          <cell r="C1212" t="str">
            <v>C8</v>
          </cell>
          <cell r="D1212">
            <v>4</v>
          </cell>
        </row>
        <row r="1213">
          <cell r="A1213">
            <v>1000021280</v>
          </cell>
          <cell r="B1213" t="str">
            <v>22313 EK/C3</v>
          </cell>
          <cell r="C1213" t="str">
            <v>C8</v>
          </cell>
          <cell r="D1213">
            <v>2</v>
          </cell>
        </row>
        <row r="1214">
          <cell r="A1214">
            <v>1000021281</v>
          </cell>
          <cell r="B1214" t="str">
            <v>H 2313</v>
          </cell>
          <cell r="C1214" t="str">
            <v>B17 F19</v>
          </cell>
          <cell r="D1214">
            <v>24</v>
          </cell>
        </row>
        <row r="1215">
          <cell r="A1215">
            <v>1000021282</v>
          </cell>
          <cell r="B1215" t="str">
            <v>22314 E</v>
          </cell>
          <cell r="C1215" t="str">
            <v>C8 G8</v>
          </cell>
          <cell r="D1215">
            <v>2</v>
          </cell>
        </row>
        <row r="1216">
          <cell r="A1216">
            <v>1000021283</v>
          </cell>
          <cell r="B1216" t="str">
            <v>22314 E/C3</v>
          </cell>
          <cell r="C1216" t="str">
            <v>C7</v>
          </cell>
          <cell r="D1216">
            <v>7</v>
          </cell>
        </row>
        <row r="1217">
          <cell r="A1217">
            <v>1000021285</v>
          </cell>
          <cell r="B1217" t="str">
            <v>H 2314</v>
          </cell>
          <cell r="C1217" t="str">
            <v>E13 35 39 1</v>
          </cell>
          <cell r="D1217">
            <v>10</v>
          </cell>
        </row>
        <row r="1218">
          <cell r="A1218">
            <v>1000021286</v>
          </cell>
          <cell r="B1218" t="str">
            <v>22315 E</v>
          </cell>
          <cell r="C1218" t="str">
            <v>K7 K31</v>
          </cell>
          <cell r="D1218">
            <v>33</v>
          </cell>
        </row>
        <row r="1219">
          <cell r="A1219">
            <v>1000021287</v>
          </cell>
          <cell r="B1219" t="str">
            <v>22315 E/C3</v>
          </cell>
          <cell r="C1219" t="str">
            <v>C19</v>
          </cell>
          <cell r="D1219">
            <v>3</v>
          </cell>
        </row>
        <row r="1220">
          <cell r="A1220">
            <v>1000021288</v>
          </cell>
          <cell r="B1220" t="str">
            <v>22315 EK</v>
          </cell>
          <cell r="C1220" t="str">
            <v>D12 I6</v>
          </cell>
          <cell r="D1220">
            <v>4</v>
          </cell>
        </row>
        <row r="1221">
          <cell r="A1221">
            <v>1000021289</v>
          </cell>
          <cell r="B1221" t="str">
            <v>H 2315</v>
          </cell>
          <cell r="C1221" t="str">
            <v>E19</v>
          </cell>
          <cell r="D1221">
            <v>14</v>
          </cell>
        </row>
        <row r="1222">
          <cell r="A1222">
            <v>1000021290</v>
          </cell>
          <cell r="B1222" t="str">
            <v>22315 EK/C3</v>
          </cell>
          <cell r="C1222" t="str">
            <v>E16</v>
          </cell>
          <cell r="D1222">
            <v>3</v>
          </cell>
        </row>
        <row r="1223">
          <cell r="A1223">
            <v>1000021291</v>
          </cell>
          <cell r="B1223" t="str">
            <v>22316 E</v>
          </cell>
          <cell r="C1223" t="str">
            <v>G5</v>
          </cell>
          <cell r="D1223">
            <v>7</v>
          </cell>
        </row>
        <row r="1224">
          <cell r="A1224">
            <v>1000021292</v>
          </cell>
          <cell r="B1224" t="str">
            <v>22316 E/C3</v>
          </cell>
          <cell r="C1224" t="str">
            <v>C11</v>
          </cell>
          <cell r="D1224">
            <v>4</v>
          </cell>
        </row>
        <row r="1225">
          <cell r="A1225">
            <v>1000021293</v>
          </cell>
          <cell r="B1225" t="str">
            <v>22316 EK</v>
          </cell>
          <cell r="C1225" t="str">
            <v>I12</v>
          </cell>
          <cell r="D1225">
            <v>0</v>
          </cell>
        </row>
        <row r="1226">
          <cell r="A1226">
            <v>1000021294</v>
          </cell>
          <cell r="B1226" t="str">
            <v xml:space="preserve"> H 2316</v>
          </cell>
          <cell r="C1226" t="str">
            <v>M31</v>
          </cell>
          <cell r="D1226">
            <v>3</v>
          </cell>
        </row>
        <row r="1227">
          <cell r="A1227">
            <v>1000021295</v>
          </cell>
          <cell r="B1227" t="str">
            <v>22316 EK/C3</v>
          </cell>
          <cell r="C1227" t="str">
            <v>C11</v>
          </cell>
          <cell r="D1227">
            <v>2</v>
          </cell>
        </row>
        <row r="1228">
          <cell r="A1228">
            <v>1000021296</v>
          </cell>
          <cell r="B1228" t="str">
            <v>22317 E</v>
          </cell>
          <cell r="C1228" t="str">
            <v>F13</v>
          </cell>
          <cell r="D1228">
            <v>1</v>
          </cell>
        </row>
        <row r="1229">
          <cell r="A1229">
            <v>1000021297</v>
          </cell>
          <cell r="B1229" t="str">
            <v>22317 E/C3</v>
          </cell>
          <cell r="C1229" t="str">
            <v>C11</v>
          </cell>
          <cell r="D1229">
            <v>4</v>
          </cell>
        </row>
        <row r="1230">
          <cell r="A1230">
            <v>1000021298</v>
          </cell>
          <cell r="B1230" t="str">
            <v>22317 EK</v>
          </cell>
          <cell r="C1230" t="str">
            <v>C11</v>
          </cell>
          <cell r="D1230">
            <v>1</v>
          </cell>
        </row>
        <row r="1231">
          <cell r="A1231">
            <v>1000021299</v>
          </cell>
          <cell r="B1231" t="str">
            <v>H 2317</v>
          </cell>
          <cell r="C1231" t="str">
            <v>C2</v>
          </cell>
          <cell r="D1231">
            <v>2</v>
          </cell>
        </row>
        <row r="1232">
          <cell r="A1232">
            <v>1000021300</v>
          </cell>
          <cell r="B1232" t="str">
            <v>22318 E</v>
          </cell>
          <cell r="C1232" t="str">
            <v>D12</v>
          </cell>
          <cell r="D1232">
            <v>4</v>
          </cell>
        </row>
        <row r="1233">
          <cell r="A1233">
            <v>1000021301</v>
          </cell>
          <cell r="B1233" t="str">
            <v>22318 EK</v>
          </cell>
          <cell r="C1233" t="str">
            <v>C20</v>
          </cell>
          <cell r="D1233">
            <v>3</v>
          </cell>
        </row>
        <row r="1234">
          <cell r="A1234">
            <v>1000021302</v>
          </cell>
          <cell r="B1234" t="str">
            <v>H 2318</v>
          </cell>
          <cell r="C1234" t="str">
            <v>D11</v>
          </cell>
          <cell r="D1234">
            <v>9</v>
          </cell>
        </row>
        <row r="1235">
          <cell r="A1235">
            <v>1000021303</v>
          </cell>
          <cell r="B1235" t="str">
            <v>22319 E</v>
          </cell>
          <cell r="C1235" t="str">
            <v>E12</v>
          </cell>
          <cell r="D1235">
            <v>3</v>
          </cell>
        </row>
        <row r="1236">
          <cell r="A1236">
            <v>1000021304</v>
          </cell>
          <cell r="B1236" t="str">
            <v>22319 E/C3</v>
          </cell>
          <cell r="C1236" t="str">
            <v>E12</v>
          </cell>
          <cell r="D1236">
            <v>0</v>
          </cell>
        </row>
        <row r="1237">
          <cell r="A1237">
            <v>1000021305</v>
          </cell>
          <cell r="B1237" t="str">
            <v>22320 E</v>
          </cell>
          <cell r="C1237" t="str">
            <v>E16 F7 K19 K1</v>
          </cell>
          <cell r="D1237">
            <v>7</v>
          </cell>
        </row>
        <row r="1238">
          <cell r="A1238">
            <v>1000021307</v>
          </cell>
          <cell r="B1238" t="str">
            <v>22320 EK/C3</v>
          </cell>
          <cell r="C1238" t="str">
            <v>F7 I4 K8 J18 L15</v>
          </cell>
          <cell r="D1238">
            <v>21</v>
          </cell>
        </row>
        <row r="1239">
          <cell r="A1239">
            <v>1000021308</v>
          </cell>
          <cell r="B1239" t="str">
            <v>H 2320</v>
          </cell>
          <cell r="C1239" t="str">
            <v xml:space="preserve">  M14</v>
          </cell>
          <cell r="D1239">
            <v>6</v>
          </cell>
        </row>
        <row r="1240">
          <cell r="A1240">
            <v>1000021309</v>
          </cell>
          <cell r="B1240" t="str">
            <v>22322 E</v>
          </cell>
          <cell r="C1240" t="str">
            <v>C12 F11 G20 K8 M23</v>
          </cell>
          <cell r="D1240">
            <v>16</v>
          </cell>
        </row>
        <row r="1241">
          <cell r="A1241">
            <v>1000021311</v>
          </cell>
          <cell r="B1241" t="str">
            <v>22324 CC/C3W33</v>
          </cell>
          <cell r="C1241" t="str">
            <v>F13</v>
          </cell>
          <cell r="D1241">
            <v>1</v>
          </cell>
        </row>
        <row r="1242">
          <cell r="A1242">
            <v>1000021312</v>
          </cell>
          <cell r="B1242" t="str">
            <v>22324 CC/W33</v>
          </cell>
          <cell r="C1242" t="str">
            <v>C12</v>
          </cell>
          <cell r="D1242">
            <v>1</v>
          </cell>
        </row>
        <row r="1243">
          <cell r="A1243">
            <v>1000021313</v>
          </cell>
          <cell r="B1243" t="str">
            <v>22326 CC/C3W33</v>
          </cell>
          <cell r="C1243" t="str">
            <v>A19</v>
          </cell>
          <cell r="D1243">
            <v>8</v>
          </cell>
        </row>
        <row r="1244">
          <cell r="A1244">
            <v>1000021314</v>
          </cell>
          <cell r="B1244" t="str">
            <v>22328 CC/C3W33</v>
          </cell>
          <cell r="C1244" t="str">
            <v>ADOWN</v>
          </cell>
          <cell r="D1244">
            <v>2</v>
          </cell>
        </row>
        <row r="1245">
          <cell r="A1245">
            <v>1000021315</v>
          </cell>
          <cell r="B1245" t="str">
            <v>22328 CC/W33</v>
          </cell>
          <cell r="C1245" t="str">
            <v>ADOWN</v>
          </cell>
          <cell r="D1245">
            <v>4</v>
          </cell>
        </row>
        <row r="1246">
          <cell r="A1246">
            <v>1000021316</v>
          </cell>
          <cell r="B1246" t="str">
            <v>22328 CCK/C3W33</v>
          </cell>
          <cell r="C1246" t="str">
            <v>ADOWN</v>
          </cell>
          <cell r="D1246">
            <v>1</v>
          </cell>
        </row>
        <row r="1247">
          <cell r="A1247">
            <v>1000021317</v>
          </cell>
          <cell r="B1247" t="str">
            <v>H 2328</v>
          </cell>
          <cell r="C1247" t="str">
            <v>C16 G2</v>
          </cell>
          <cell r="D1247">
            <v>2</v>
          </cell>
        </row>
        <row r="1248">
          <cell r="A1248">
            <v>1000021318</v>
          </cell>
          <cell r="B1248" t="str">
            <v>23120 CC/C3W33</v>
          </cell>
          <cell r="C1248" t="str">
            <v>C7 M12</v>
          </cell>
          <cell r="D1248">
            <v>4</v>
          </cell>
        </row>
        <row r="1249">
          <cell r="A1249">
            <v>1000021319</v>
          </cell>
          <cell r="B1249">
            <v>2315</v>
          </cell>
          <cell r="C1249" t="str">
            <v>D14</v>
          </cell>
          <cell r="D1249">
            <v>1</v>
          </cell>
        </row>
        <row r="1250">
          <cell r="A1250">
            <v>1000021320</v>
          </cell>
          <cell r="B1250" t="str">
            <v>2315 K</v>
          </cell>
          <cell r="C1250" t="str">
            <v>C8</v>
          </cell>
          <cell r="D1250">
            <v>1</v>
          </cell>
        </row>
        <row r="1251">
          <cell r="A1251">
            <v>1000021321</v>
          </cell>
          <cell r="B1251" t="str">
            <v>2315 K/C3</v>
          </cell>
          <cell r="C1251" t="str">
            <v>D16</v>
          </cell>
          <cell r="D1251">
            <v>1</v>
          </cell>
        </row>
        <row r="1252">
          <cell r="A1252">
            <v>1000021322</v>
          </cell>
          <cell r="B1252" t="str">
            <v>2315/C3</v>
          </cell>
          <cell r="C1252" t="str">
            <v>C7</v>
          </cell>
          <cell r="D1252">
            <v>2</v>
          </cell>
        </row>
        <row r="1253">
          <cell r="A1253">
            <v>1000021323</v>
          </cell>
          <cell r="B1253" t="str">
            <v>23218 CC/C3W33</v>
          </cell>
          <cell r="C1253" t="str">
            <v>C19</v>
          </cell>
          <cell r="D1253">
            <v>2</v>
          </cell>
        </row>
        <row r="1254">
          <cell r="A1254">
            <v>1000021324</v>
          </cell>
          <cell r="B1254" t="str">
            <v>23218 CC/W33</v>
          </cell>
          <cell r="C1254" t="str">
            <v>A11</v>
          </cell>
          <cell r="D1254">
            <v>6</v>
          </cell>
        </row>
        <row r="1255">
          <cell r="A1255">
            <v>1000021325</v>
          </cell>
          <cell r="B1255" t="str">
            <v>23218 CCK/C3W33</v>
          </cell>
          <cell r="C1255" t="str">
            <v>C7</v>
          </cell>
          <cell r="D1255">
            <v>5</v>
          </cell>
        </row>
        <row r="1256">
          <cell r="A1256">
            <v>1000021326</v>
          </cell>
          <cell r="B1256" t="str">
            <v>23220 CC/C3W33</v>
          </cell>
          <cell r="C1256" t="str">
            <v>C19</v>
          </cell>
          <cell r="D1256">
            <v>2</v>
          </cell>
        </row>
        <row r="1257">
          <cell r="A1257">
            <v>1000021330</v>
          </cell>
          <cell r="B1257" t="str">
            <v>3216 A</v>
          </cell>
          <cell r="C1257" t="str">
            <v>G1 J10 K21</v>
          </cell>
          <cell r="D1257">
            <v>7</v>
          </cell>
        </row>
        <row r="1258">
          <cell r="A1258">
            <v>1000021364</v>
          </cell>
          <cell r="B1258" t="str">
            <v>HA 317</v>
          </cell>
          <cell r="C1258" t="str">
            <v>K2</v>
          </cell>
          <cell r="D1258">
            <v>13</v>
          </cell>
        </row>
        <row r="1259">
          <cell r="A1259">
            <v>1000021366</v>
          </cell>
          <cell r="B1259" t="str">
            <v>SNL 520-617 (D1)</v>
          </cell>
          <cell r="C1259" t="str">
            <v>O5</v>
          </cell>
          <cell r="D1259">
            <v>2</v>
          </cell>
        </row>
        <row r="1260">
          <cell r="A1260">
            <v>1000021368</v>
          </cell>
          <cell r="B1260" t="str">
            <v>FRB 12/180 (D)</v>
          </cell>
          <cell r="C1260" t="str">
            <v>E3</v>
          </cell>
          <cell r="D1260">
            <v>3</v>
          </cell>
        </row>
        <row r="1261">
          <cell r="A1261">
            <v>1000021371</v>
          </cell>
          <cell r="B1261" t="str">
            <v>3310 DNRCBM</v>
          </cell>
          <cell r="C1261" t="str">
            <v>H4</v>
          </cell>
          <cell r="D1261">
            <v>0</v>
          </cell>
        </row>
        <row r="1262">
          <cell r="A1262">
            <v>1000021379</v>
          </cell>
          <cell r="B1262" t="str">
            <v>MB 5</v>
          </cell>
          <cell r="C1262" t="str">
            <v>B9</v>
          </cell>
          <cell r="D1262">
            <v>96</v>
          </cell>
        </row>
        <row r="1263">
          <cell r="A1263">
            <v>1000021380</v>
          </cell>
          <cell r="B1263" t="str">
            <v>AN 16</v>
          </cell>
          <cell r="C1263" t="str">
            <v>E3</v>
          </cell>
          <cell r="D1263">
            <v>2</v>
          </cell>
        </row>
        <row r="1264">
          <cell r="A1264">
            <v>1000021381</v>
          </cell>
          <cell r="B1264" t="str">
            <v>W 16</v>
          </cell>
          <cell r="C1264" t="str">
            <v>E3</v>
          </cell>
          <cell r="D1264">
            <v>3</v>
          </cell>
        </row>
        <row r="1265">
          <cell r="A1265">
            <v>1000021383</v>
          </cell>
          <cell r="B1265" t="str">
            <v>3206 A</v>
          </cell>
          <cell r="C1265" t="str">
            <v>B5</v>
          </cell>
          <cell r="D1265">
            <v>3</v>
          </cell>
        </row>
        <row r="1266">
          <cell r="A1266">
            <v>1000021384</v>
          </cell>
          <cell r="B1266">
            <v>6010</v>
          </cell>
          <cell r="C1266" t="str">
            <v>I3</v>
          </cell>
          <cell r="D1266">
            <v>5</v>
          </cell>
        </row>
        <row r="1267">
          <cell r="A1267">
            <v>1000021386</v>
          </cell>
          <cell r="B1267">
            <v>32206</v>
          </cell>
          <cell r="C1267" t="str">
            <v>L16</v>
          </cell>
          <cell r="D1267">
            <v>1</v>
          </cell>
        </row>
        <row r="1268">
          <cell r="A1268">
            <v>1000021390</v>
          </cell>
          <cell r="B1268" t="str">
            <v>MB 15</v>
          </cell>
          <cell r="C1268" t="str">
            <v>J4 J21 K37</v>
          </cell>
          <cell r="D1268">
            <v>145</v>
          </cell>
        </row>
        <row r="1269">
          <cell r="A1269">
            <v>1000021392</v>
          </cell>
          <cell r="B1269" t="str">
            <v>SKF BEARING - SY 508M</v>
          </cell>
          <cell r="C1269" t="str">
            <v>D4 8</v>
          </cell>
          <cell r="D1269">
            <v>8</v>
          </cell>
        </row>
        <row r="1270">
          <cell r="A1270">
            <v>1000021393</v>
          </cell>
          <cell r="B1270" t="str">
            <v>SY 507M</v>
          </cell>
          <cell r="C1270" t="str">
            <v>K37 14</v>
          </cell>
          <cell r="D1270">
            <v>2</v>
          </cell>
        </row>
        <row r="1271">
          <cell r="A1271">
            <v>1000021396</v>
          </cell>
          <cell r="B1271" t="str">
            <v>29414 E</v>
          </cell>
          <cell r="C1271" t="str">
            <v>F3 F6 G18 I11 K21</v>
          </cell>
          <cell r="D1271">
            <v>22</v>
          </cell>
        </row>
        <row r="1272">
          <cell r="A1272">
            <v>1000021400</v>
          </cell>
          <cell r="B1272" t="str">
            <v>6232 M</v>
          </cell>
          <cell r="C1272" t="str">
            <v>G10</v>
          </cell>
          <cell r="D1272">
            <v>3</v>
          </cell>
        </row>
        <row r="1273">
          <cell r="A1273">
            <v>1000021405</v>
          </cell>
          <cell r="B1273" t="str">
            <v>81216 TN</v>
          </cell>
          <cell r="C1273" t="str">
            <v>B13</v>
          </cell>
          <cell r="D1273">
            <v>2</v>
          </cell>
        </row>
        <row r="1274">
          <cell r="A1274">
            <v>1000021409</v>
          </cell>
          <cell r="B1274" t="str">
            <v>6308 NR/C3</v>
          </cell>
          <cell r="C1274" t="str">
            <v>A7</v>
          </cell>
          <cell r="D1274">
            <v>10</v>
          </cell>
        </row>
        <row r="1275">
          <cell r="A1275">
            <v>1000021415</v>
          </cell>
          <cell r="B1275" t="str">
            <v xml:space="preserve"> 6316/C4 (D)</v>
          </cell>
          <cell r="C1275" t="str">
            <v>A15 J22 M12</v>
          </cell>
          <cell r="D1275">
            <v>1</v>
          </cell>
        </row>
        <row r="1276">
          <cell r="A1276">
            <v>1000021417</v>
          </cell>
          <cell r="B1276" t="str">
            <v>6207 Z</v>
          </cell>
          <cell r="C1276" t="str">
            <v>E2</v>
          </cell>
          <cell r="D1276">
            <v>15</v>
          </cell>
        </row>
        <row r="1277">
          <cell r="A1277">
            <v>1000021433</v>
          </cell>
          <cell r="B1277" t="str">
            <v>KM 17</v>
          </cell>
          <cell r="C1277" t="str">
            <v>L11</v>
          </cell>
          <cell r="D1277">
            <v>1</v>
          </cell>
        </row>
        <row r="1278">
          <cell r="A1278">
            <v>1000021434</v>
          </cell>
          <cell r="B1278" t="str">
            <v>MB 17</v>
          </cell>
          <cell r="C1278" t="str">
            <v>C5 N2</v>
          </cell>
          <cell r="D1278">
            <v>40</v>
          </cell>
        </row>
        <row r="1279">
          <cell r="A1279">
            <v>1000021435</v>
          </cell>
          <cell r="B1279" t="str">
            <v>MB 16</v>
          </cell>
          <cell r="C1279" t="str">
            <v>G20</v>
          </cell>
          <cell r="D1279">
            <v>5</v>
          </cell>
        </row>
        <row r="1280">
          <cell r="A1280">
            <v>1000021438</v>
          </cell>
          <cell r="B1280" t="str">
            <v>22322 EK</v>
          </cell>
          <cell r="C1280" t="str">
            <v>G15 G17</v>
          </cell>
          <cell r="D1280">
            <v>5</v>
          </cell>
        </row>
        <row r="1281">
          <cell r="A1281">
            <v>1000021439</v>
          </cell>
          <cell r="B1281" t="str">
            <v>22317 EK/C3</v>
          </cell>
          <cell r="C1281" t="str">
            <v>A2</v>
          </cell>
          <cell r="D1281">
            <v>2</v>
          </cell>
        </row>
        <row r="1282">
          <cell r="A1282">
            <v>1000021443</v>
          </cell>
          <cell r="B1282" t="str">
            <v>21310 E</v>
          </cell>
          <cell r="C1282" t="str">
            <v>G5 I17</v>
          </cell>
          <cell r="D1282">
            <v>2</v>
          </cell>
        </row>
        <row r="1283">
          <cell r="A1283">
            <v>1000021457</v>
          </cell>
          <cell r="B1283" t="str">
            <v>3208 A</v>
          </cell>
          <cell r="C1283" t="str">
            <v>J20 J14 M27</v>
          </cell>
          <cell r="D1283">
            <v>10</v>
          </cell>
        </row>
        <row r="1284">
          <cell r="A1284">
            <v>1000021458</v>
          </cell>
          <cell r="B1284" t="str">
            <v>3306 A-2ZTN9/C3VT113</v>
          </cell>
          <cell r="C1284" t="str">
            <v>F16  69R</v>
          </cell>
          <cell r="D1284">
            <v>7</v>
          </cell>
        </row>
        <row r="1285">
          <cell r="A1285">
            <v>1000021464</v>
          </cell>
          <cell r="B1285" t="str">
            <v>3306 ATN9/C3 (D)</v>
          </cell>
          <cell r="C1285" t="str">
            <v>G12</v>
          </cell>
          <cell r="D1285">
            <v>0</v>
          </cell>
        </row>
        <row r="1286">
          <cell r="A1286">
            <v>1000021467</v>
          </cell>
          <cell r="B1286" t="str">
            <v>7304 BEP</v>
          </cell>
          <cell r="C1286" t="str">
            <v>A14</v>
          </cell>
          <cell r="D1286">
            <v>5</v>
          </cell>
        </row>
        <row r="1287">
          <cell r="A1287">
            <v>1000021468</v>
          </cell>
          <cell r="B1287" t="str">
            <v>305704 C-2Z</v>
          </cell>
          <cell r="C1287" t="str">
            <v>A9 9R 48</v>
          </cell>
          <cell r="D1287">
            <v>19</v>
          </cell>
        </row>
        <row r="1288">
          <cell r="A1288">
            <v>1000021469</v>
          </cell>
          <cell r="B1288" t="str">
            <v>305702 C-2Z</v>
          </cell>
          <cell r="C1288" t="str">
            <v>J15 1R 48</v>
          </cell>
          <cell r="D1288">
            <v>14</v>
          </cell>
        </row>
        <row r="1289">
          <cell r="A1289">
            <v>1000021470</v>
          </cell>
          <cell r="B1289" t="str">
            <v>6038 M/C3</v>
          </cell>
          <cell r="C1289" t="str">
            <v>J17</v>
          </cell>
          <cell r="D1289">
            <v>1</v>
          </cell>
        </row>
        <row r="1290">
          <cell r="A1290">
            <v>1000021477</v>
          </cell>
          <cell r="B1290" t="str">
            <v>N 318 ECP</v>
          </cell>
          <cell r="C1290" t="str">
            <v>A3</v>
          </cell>
          <cell r="D1290">
            <v>1</v>
          </cell>
        </row>
        <row r="1291">
          <cell r="A1291">
            <v>1000021478</v>
          </cell>
          <cell r="B1291" t="str">
            <v>2316 M/C3</v>
          </cell>
          <cell r="C1291" t="str">
            <v>B11</v>
          </cell>
          <cell r="D1291">
            <v>3</v>
          </cell>
        </row>
        <row r="1292">
          <cell r="A1292">
            <v>1000021479</v>
          </cell>
          <cell r="B1292" t="str">
            <v>NU 226 ECJ</v>
          </cell>
          <cell r="C1292" t="str">
            <v>J15</v>
          </cell>
          <cell r="D1292">
            <v>2</v>
          </cell>
        </row>
        <row r="1293">
          <cell r="A1293">
            <v>1000021480</v>
          </cell>
          <cell r="B1293" t="str">
            <v>2312 K/C3</v>
          </cell>
          <cell r="C1293" t="str">
            <v>K14 M13</v>
          </cell>
          <cell r="D1293">
            <v>4</v>
          </cell>
        </row>
        <row r="1294">
          <cell r="A1294">
            <v>1000021486</v>
          </cell>
          <cell r="B1294" t="str">
            <v>GE 35 ES-2RS</v>
          </cell>
          <cell r="C1294" t="str">
            <v>B5</v>
          </cell>
          <cell r="D1294">
            <v>5</v>
          </cell>
        </row>
        <row r="1295">
          <cell r="A1295">
            <v>1000021490</v>
          </cell>
          <cell r="B1295" t="str">
            <v>3307 ATN9/C3</v>
          </cell>
          <cell r="C1295" t="str">
            <v>J11</v>
          </cell>
          <cell r="D1295">
            <v>19</v>
          </cell>
        </row>
        <row r="1296">
          <cell r="A1296">
            <v>1000021494</v>
          </cell>
          <cell r="B1296" t="str">
            <v>23130 CC/W33</v>
          </cell>
          <cell r="C1296" t="str">
            <v>G10 I16</v>
          </cell>
          <cell r="D1296">
            <v>3</v>
          </cell>
        </row>
        <row r="1297">
          <cell r="A1297">
            <v>1000021498</v>
          </cell>
          <cell r="B1297" t="str">
            <v>7414 BCBM</v>
          </cell>
          <cell r="C1297" t="str">
            <v>J19</v>
          </cell>
          <cell r="D1297">
            <v>0</v>
          </cell>
        </row>
        <row r="1298">
          <cell r="A1298">
            <v>1000021499</v>
          </cell>
          <cell r="B1298" t="str">
            <v>29320 E</v>
          </cell>
          <cell r="C1298" t="str">
            <v>I6</v>
          </cell>
          <cell r="D1298">
            <v>1</v>
          </cell>
        </row>
        <row r="1299">
          <cell r="A1299">
            <v>1000021504</v>
          </cell>
          <cell r="B1299" t="str">
            <v>NU 206 ECP</v>
          </cell>
          <cell r="C1299" t="str">
            <v>B13</v>
          </cell>
          <cell r="D1299">
            <v>3</v>
          </cell>
        </row>
        <row r="1300">
          <cell r="A1300">
            <v>1000092377</v>
          </cell>
          <cell r="B1300" t="str">
            <v xml:space="preserve">SHEAVE, DRIVING, 148X103X34T,DWG#PL310  PHP 32-14M-85TB </v>
          </cell>
          <cell r="C1300" t="str">
            <v>_</v>
          </cell>
          <cell r="D1300">
            <v>2</v>
          </cell>
        </row>
        <row r="1301">
          <cell r="A1301">
            <v>1000092378</v>
          </cell>
          <cell r="B1301" t="str">
            <v xml:space="preserve">PHF TB2517X2.125  PHP TB2517X2.125 </v>
          </cell>
          <cell r="C1301" t="str">
            <v>E3</v>
          </cell>
          <cell r="D1301">
            <v>2</v>
          </cell>
        </row>
        <row r="1302">
          <cell r="A1302">
            <v>1000092379</v>
          </cell>
          <cell r="B1302" t="str">
            <v xml:space="preserve">PHG B40 </v>
          </cell>
          <cell r="C1302" t="str">
            <v>BOX23</v>
          </cell>
          <cell r="D1302">
            <v>3</v>
          </cell>
        </row>
        <row r="1303">
          <cell r="A1303">
            <v>1000092380</v>
          </cell>
          <cell r="B1303" t="str">
            <v xml:space="preserve">PHG B83 </v>
          </cell>
          <cell r="C1303" t="str">
            <v>BOX9</v>
          </cell>
          <cell r="D1303">
            <v>11</v>
          </cell>
        </row>
        <row r="1304">
          <cell r="A1304">
            <v>1000092381</v>
          </cell>
          <cell r="B1304" t="str">
            <v xml:space="preserve">UCP207  SY 35 TF </v>
          </cell>
          <cell r="C1304" t="str">
            <v>E2</v>
          </cell>
          <cell r="D1304">
            <v>2</v>
          </cell>
        </row>
        <row r="1305">
          <cell r="A1305">
            <v>1000092611</v>
          </cell>
          <cell r="B1305" t="str">
            <v xml:space="preserve"> 30222 J2 </v>
          </cell>
          <cell r="C1305" t="str">
            <v>E3</v>
          </cell>
          <cell r="D1305">
            <v>2</v>
          </cell>
        </row>
        <row r="1306">
          <cell r="A1306">
            <v>1000092612</v>
          </cell>
          <cell r="B1306" t="str">
            <v xml:space="preserve"> NCF 2984 V </v>
          </cell>
          <cell r="C1306" t="str">
            <v>SKF5</v>
          </cell>
          <cell r="D1306">
            <v>1</v>
          </cell>
        </row>
        <row r="1307">
          <cell r="A1307">
            <v>1000092620</v>
          </cell>
          <cell r="B1307" t="str">
            <v xml:space="preserve"> 3207 A </v>
          </cell>
          <cell r="C1307" t="str">
            <v>B17</v>
          </cell>
          <cell r="D1307">
            <v>0</v>
          </cell>
        </row>
        <row r="1308">
          <cell r="A1308">
            <v>1000093026</v>
          </cell>
          <cell r="B1308" t="str">
            <v xml:space="preserve">V-RING  32 VA R </v>
          </cell>
          <cell r="C1308" t="str">
            <v>E1</v>
          </cell>
          <cell r="D1308">
            <v>25</v>
          </cell>
        </row>
        <row r="1309">
          <cell r="A1309">
            <v>1000093027</v>
          </cell>
          <cell r="B1309" t="str">
            <v xml:space="preserve">V-RING  32 VA V </v>
          </cell>
          <cell r="C1309" t="str">
            <v>E1</v>
          </cell>
          <cell r="D1309">
            <v>2</v>
          </cell>
        </row>
        <row r="1310">
          <cell r="A1310">
            <v>1000093330</v>
          </cell>
          <cell r="B1310" t="str">
            <v xml:space="preserve">FRB 13.5/200 </v>
          </cell>
          <cell r="C1310" t="str">
            <v>C5</v>
          </cell>
          <cell r="D1310">
            <v>0</v>
          </cell>
        </row>
        <row r="1311">
          <cell r="A1311">
            <v>1000093332</v>
          </cell>
          <cell r="B1311" t="str">
            <v xml:space="preserve">PCM 404430 M </v>
          </cell>
          <cell r="C1311" t="str">
            <v>E3</v>
          </cell>
          <cell r="D1311">
            <v>7</v>
          </cell>
        </row>
        <row r="1312">
          <cell r="A1312">
            <v>1000093347</v>
          </cell>
          <cell r="B1312" t="str">
            <v xml:space="preserve">TKBA 40 </v>
          </cell>
          <cell r="C1312" t="str">
            <v>_</v>
          </cell>
          <cell r="D1312">
            <v>0</v>
          </cell>
        </row>
        <row r="1313">
          <cell r="A1313">
            <v>1000093384</v>
          </cell>
          <cell r="B1313">
            <v>7414</v>
          </cell>
          <cell r="C1313" t="str">
            <v>E1</v>
          </cell>
          <cell r="D1313">
            <v>2</v>
          </cell>
        </row>
        <row r="1314">
          <cell r="A1314">
            <v>1000093392</v>
          </cell>
          <cell r="B1314">
            <v>32315</v>
          </cell>
          <cell r="C1314" t="str">
            <v>G18</v>
          </cell>
          <cell r="D1314">
            <v>3</v>
          </cell>
        </row>
        <row r="1315">
          <cell r="A1315">
            <v>1000093393</v>
          </cell>
          <cell r="B1315">
            <v>32312</v>
          </cell>
          <cell r="C1315" t="str">
            <v>H5</v>
          </cell>
          <cell r="D1315">
            <v>4</v>
          </cell>
        </row>
        <row r="1316">
          <cell r="A1316">
            <v>1000093395</v>
          </cell>
          <cell r="B1316" t="str">
            <v xml:space="preserve">NU 312 ECM/C3 </v>
          </cell>
          <cell r="C1316" t="str">
            <v>I9</v>
          </cell>
          <cell r="D1316">
            <v>6</v>
          </cell>
        </row>
        <row r="1317">
          <cell r="A1317">
            <v>1000093493</v>
          </cell>
          <cell r="B1317" t="str">
            <v>PCM 808560 E</v>
          </cell>
          <cell r="C1317">
            <v>57</v>
          </cell>
          <cell r="D1317">
            <v>1</v>
          </cell>
        </row>
        <row r="1318">
          <cell r="A1318">
            <v>1000093780</v>
          </cell>
          <cell r="B1318" t="str">
            <v xml:space="preserve">KM 6 </v>
          </cell>
          <cell r="C1318" t="str">
            <v>K6 K35 20 K40 N1 66 74</v>
          </cell>
          <cell r="D1318">
            <v>425</v>
          </cell>
        </row>
        <row r="1319">
          <cell r="A1319">
            <v>1000093781</v>
          </cell>
          <cell r="B1319" t="str">
            <v xml:space="preserve">KM 9 </v>
          </cell>
          <cell r="C1319" t="str">
            <v>J10 45 61R</v>
          </cell>
          <cell r="D1319">
            <v>150</v>
          </cell>
        </row>
        <row r="1320">
          <cell r="A1320">
            <v>1000093782</v>
          </cell>
          <cell r="B1320" t="str">
            <v xml:space="preserve">KM 13 </v>
          </cell>
          <cell r="C1320" t="str">
            <v>M24</v>
          </cell>
          <cell r="D1320">
            <v>3</v>
          </cell>
        </row>
        <row r="1321">
          <cell r="A1321">
            <v>1000093783</v>
          </cell>
          <cell r="B1321" t="str">
            <v xml:space="preserve">3306 ATN9 </v>
          </cell>
          <cell r="C1321" t="str">
            <v>E1</v>
          </cell>
          <cell r="D1321">
            <v>8</v>
          </cell>
        </row>
        <row r="1322">
          <cell r="A1322">
            <v>1000093784</v>
          </cell>
          <cell r="B1322" t="str">
            <v xml:space="preserve">KM 10 </v>
          </cell>
          <cell r="C1322" t="str">
            <v>G5 N1 78 2R</v>
          </cell>
          <cell r="D1322">
            <v>106</v>
          </cell>
        </row>
        <row r="1323">
          <cell r="A1323">
            <v>1000093785</v>
          </cell>
          <cell r="B1323" t="str">
            <v xml:space="preserve">MB 6 </v>
          </cell>
          <cell r="C1323" t="str">
            <v>K40 E13 9R 35</v>
          </cell>
          <cell r="D1323">
            <v>379</v>
          </cell>
        </row>
        <row r="1324">
          <cell r="A1324">
            <v>1000093786</v>
          </cell>
          <cell r="B1324" t="str">
            <v xml:space="preserve">MB 9 </v>
          </cell>
          <cell r="C1324" t="str">
            <v>G12 I8 78 2R 72</v>
          </cell>
          <cell r="D1324">
            <v>277</v>
          </cell>
        </row>
        <row r="1325">
          <cell r="A1325">
            <v>1000093787</v>
          </cell>
          <cell r="B1325" t="str">
            <v xml:space="preserve">MB 13 </v>
          </cell>
          <cell r="C1325" t="str">
            <v>E3 K24 K28</v>
          </cell>
          <cell r="D1325">
            <v>281</v>
          </cell>
        </row>
        <row r="1326">
          <cell r="A1326">
            <v>1000093933</v>
          </cell>
          <cell r="B1326" t="str">
            <v xml:space="preserve">7234 BCBM </v>
          </cell>
          <cell r="C1326" t="str">
            <v>M25</v>
          </cell>
          <cell r="D1326">
            <v>1</v>
          </cell>
        </row>
        <row r="1327">
          <cell r="A1327">
            <v>1000093946</v>
          </cell>
          <cell r="B1327" t="str">
            <v xml:space="preserve">6322 M/C3 </v>
          </cell>
          <cell r="C1327" t="str">
            <v>F14 M16</v>
          </cell>
          <cell r="D1327">
            <v>15</v>
          </cell>
        </row>
        <row r="1328">
          <cell r="A1328">
            <v>1000093947</v>
          </cell>
          <cell r="B1328" t="str">
            <v>6322 M/C3VL0241</v>
          </cell>
          <cell r="C1328" t="str">
            <v xml:space="preserve">  39 17 N4 3</v>
          </cell>
          <cell r="D1328">
            <v>2</v>
          </cell>
        </row>
        <row r="1329">
          <cell r="A1329">
            <v>1000093949</v>
          </cell>
          <cell r="B1329" t="str">
            <v xml:space="preserve">NU 1028 M </v>
          </cell>
          <cell r="C1329" t="str">
            <v>K18</v>
          </cell>
          <cell r="D1329">
            <v>3</v>
          </cell>
        </row>
        <row r="1330">
          <cell r="A1330">
            <v>1000093952</v>
          </cell>
          <cell r="B1330" t="str">
            <v xml:space="preserve">6232/C3 </v>
          </cell>
          <cell r="C1330" t="str">
            <v>A9</v>
          </cell>
          <cell r="D1330">
            <v>0</v>
          </cell>
        </row>
        <row r="1331">
          <cell r="A1331">
            <v>1000093953</v>
          </cell>
          <cell r="B1331" t="str">
            <v xml:space="preserve">6218/C3VL0241 </v>
          </cell>
          <cell r="C1331" t="str">
            <v>79  45 22R  62R</v>
          </cell>
          <cell r="D1331">
            <v>6</v>
          </cell>
        </row>
        <row r="1332">
          <cell r="A1332">
            <v>1000093954</v>
          </cell>
          <cell r="B1332" t="str">
            <v xml:space="preserve">6201-2Z </v>
          </cell>
          <cell r="C1332" t="str">
            <v>J14 K37</v>
          </cell>
          <cell r="D1332">
            <v>19</v>
          </cell>
        </row>
        <row r="1333">
          <cell r="A1333">
            <v>1000093977</v>
          </cell>
          <cell r="B1333" t="str">
            <v xml:space="preserve">TSN 509 L </v>
          </cell>
          <cell r="C1333" t="str">
            <v>C5</v>
          </cell>
          <cell r="D1333">
            <v>4</v>
          </cell>
        </row>
        <row r="1334">
          <cell r="A1334">
            <v>1000093979</v>
          </cell>
          <cell r="B1334" t="str">
            <v xml:space="preserve">29322 E </v>
          </cell>
          <cell r="C1334" t="str">
            <v>K24 M12 72</v>
          </cell>
          <cell r="D1334">
            <v>16</v>
          </cell>
        </row>
        <row r="1335">
          <cell r="A1335">
            <v>1000093982</v>
          </cell>
          <cell r="B1335" t="str">
            <v xml:space="preserve">6218-2RS1 </v>
          </cell>
          <cell r="C1335" t="str">
            <v>B15</v>
          </cell>
          <cell r="D1335">
            <v>2</v>
          </cell>
        </row>
        <row r="1336">
          <cell r="A1336">
            <v>1000093983</v>
          </cell>
          <cell r="B1336" t="str">
            <v xml:space="preserve">6208-2RS1 </v>
          </cell>
          <cell r="C1336" t="str">
            <v>A14</v>
          </cell>
          <cell r="D1336">
            <v>3</v>
          </cell>
        </row>
        <row r="1337">
          <cell r="A1337">
            <v>1000093999</v>
          </cell>
          <cell r="B1337" t="str">
            <v xml:space="preserve">SKF NUT, LOCK - Model No. KMT 26 </v>
          </cell>
          <cell r="C1337" t="str">
            <v>B3</v>
          </cell>
          <cell r="D1337">
            <v>3</v>
          </cell>
        </row>
        <row r="1338">
          <cell r="A1338">
            <v>1000094021</v>
          </cell>
          <cell r="B1338" t="str">
            <v xml:space="preserve">NU 309 ECM </v>
          </cell>
          <cell r="C1338" t="str">
            <v>B3 K15 K14</v>
          </cell>
          <cell r="D1338">
            <v>4</v>
          </cell>
        </row>
        <row r="1339">
          <cell r="A1339">
            <v>1000094024</v>
          </cell>
          <cell r="B1339" t="str">
            <v xml:space="preserve">NU 2320 ECJ/C3 </v>
          </cell>
          <cell r="C1339" t="str">
            <v>A9</v>
          </cell>
          <cell r="D1339">
            <v>2</v>
          </cell>
        </row>
        <row r="1340">
          <cell r="A1340">
            <v>1000094031</v>
          </cell>
          <cell r="B1340" t="str">
            <v>SNL 520-617 (D)</v>
          </cell>
          <cell r="C1340" t="str">
            <v>O5</v>
          </cell>
          <cell r="D1340">
            <v>1</v>
          </cell>
        </row>
        <row r="1341">
          <cell r="A1341">
            <v>1000094032</v>
          </cell>
          <cell r="B1341" t="str">
            <v xml:space="preserve">TSN 220 S </v>
          </cell>
          <cell r="C1341" t="str">
            <v>E1</v>
          </cell>
          <cell r="D1341">
            <v>2</v>
          </cell>
        </row>
        <row r="1342">
          <cell r="A1342">
            <v>1000094033</v>
          </cell>
          <cell r="B1342" t="str">
            <v>FRB 12/180 (D1)</v>
          </cell>
          <cell r="C1342" t="str">
            <v>E3</v>
          </cell>
          <cell r="D1342">
            <v>2</v>
          </cell>
        </row>
        <row r="1343">
          <cell r="A1343">
            <v>1000094123</v>
          </cell>
          <cell r="B1343" t="str">
            <v xml:space="preserve">6212-2RS1 </v>
          </cell>
          <cell r="C1343" t="str">
            <v>G7</v>
          </cell>
          <cell r="D1343">
            <v>2</v>
          </cell>
        </row>
        <row r="1344">
          <cell r="A1344">
            <v>1000094134</v>
          </cell>
          <cell r="B1344" t="str">
            <v xml:space="preserve">C 2218 </v>
          </cell>
          <cell r="C1344" t="str">
            <v>H2</v>
          </cell>
          <cell r="D1344">
            <v>5</v>
          </cell>
        </row>
        <row r="1345">
          <cell r="A1345">
            <v>1000094724</v>
          </cell>
          <cell r="B1345" t="str">
            <v>N 10</v>
          </cell>
          <cell r="C1345" t="str">
            <v>H4</v>
          </cell>
          <cell r="D1345">
            <v>4</v>
          </cell>
        </row>
        <row r="1346">
          <cell r="A1346">
            <v>1000094725</v>
          </cell>
          <cell r="B1346" t="str">
            <v xml:space="preserve">FY 35 TF Matl#:203429865 </v>
          </cell>
          <cell r="C1346" t="str">
            <v>I7 K4 J20</v>
          </cell>
          <cell r="D1346">
            <v>80</v>
          </cell>
        </row>
        <row r="1347">
          <cell r="A1347">
            <v>1000094741</v>
          </cell>
          <cell r="B1347" t="str">
            <v>3220 A Matl:4001016047</v>
          </cell>
          <cell r="C1347" t="str">
            <v>F14 K32</v>
          </cell>
          <cell r="D1347">
            <v>14</v>
          </cell>
        </row>
        <row r="1348">
          <cell r="A1348">
            <v>1000094873</v>
          </cell>
          <cell r="B1348" t="str">
            <v xml:space="preserve">6316/C3VL0241 </v>
          </cell>
          <cell r="C1348" t="str">
            <v>M17 M27 90 45  62R</v>
          </cell>
          <cell r="D1348">
            <v>6</v>
          </cell>
        </row>
        <row r="1349">
          <cell r="A1349">
            <v>1000094926</v>
          </cell>
          <cell r="B1349" t="str">
            <v xml:space="preserve">2312/C3 </v>
          </cell>
          <cell r="C1349" t="str">
            <v>B6</v>
          </cell>
          <cell r="D1349">
            <v>0</v>
          </cell>
        </row>
        <row r="1350">
          <cell r="A1350">
            <v>1000094939</v>
          </cell>
          <cell r="B1350" t="str">
            <v xml:space="preserve">7310 BECBY </v>
          </cell>
          <cell r="C1350" t="str">
            <v>A4</v>
          </cell>
          <cell r="D1350">
            <v>2</v>
          </cell>
        </row>
        <row r="1351">
          <cell r="A1351">
            <v>1000094950</v>
          </cell>
          <cell r="B1351" t="str">
            <v xml:space="preserve">29417 E </v>
          </cell>
          <cell r="C1351" t="str">
            <v>K6</v>
          </cell>
          <cell r="D1351">
            <v>7</v>
          </cell>
        </row>
        <row r="1352">
          <cell r="A1352">
            <v>1000095011</v>
          </cell>
          <cell r="B1352">
            <v>31314</v>
          </cell>
          <cell r="C1352" t="str">
            <v>D12</v>
          </cell>
          <cell r="D1352">
            <v>3</v>
          </cell>
        </row>
        <row r="1353">
          <cell r="A1353">
            <v>1000095058</v>
          </cell>
          <cell r="B1353" t="str">
            <v xml:space="preserve">7311 BEGAM </v>
          </cell>
          <cell r="C1353" t="str">
            <v>M13 M25 60R 72</v>
          </cell>
          <cell r="D1353">
            <v>32</v>
          </cell>
        </row>
        <row r="1354">
          <cell r="A1354">
            <v>1000095107</v>
          </cell>
          <cell r="B1354" t="str">
            <v xml:space="preserve">NU 315 ECM </v>
          </cell>
          <cell r="C1354" t="str">
            <v>J19</v>
          </cell>
          <cell r="D1354">
            <v>3</v>
          </cell>
        </row>
        <row r="1355">
          <cell r="A1355">
            <v>1000095153</v>
          </cell>
          <cell r="B1355">
            <v>6226</v>
          </cell>
          <cell r="C1355" t="str">
            <v>A9</v>
          </cell>
          <cell r="D1355">
            <v>2</v>
          </cell>
        </row>
        <row r="1356">
          <cell r="A1356">
            <v>1000095158</v>
          </cell>
          <cell r="B1356" t="str">
            <v>KM 14 (D1)</v>
          </cell>
          <cell r="C1356" t="str">
            <v>J20 29 61 57</v>
          </cell>
          <cell r="D1356">
            <v>0</v>
          </cell>
        </row>
        <row r="1357">
          <cell r="A1357">
            <v>1000095178</v>
          </cell>
          <cell r="B1357" t="str">
            <v xml:space="preserve">3172 1S REPLACEMENT FILTERS/RITTAL </v>
          </cell>
          <cell r="C1357" t="str">
            <v>_</v>
          </cell>
          <cell r="D1357">
            <v>0</v>
          </cell>
        </row>
        <row r="1358">
          <cell r="A1358">
            <v>1000095195</v>
          </cell>
          <cell r="B1358" t="str">
            <v xml:space="preserve">7213 BECBY </v>
          </cell>
          <cell r="C1358" t="str">
            <v>H2</v>
          </cell>
          <cell r="D1358">
            <v>3</v>
          </cell>
        </row>
        <row r="1359">
          <cell r="A1359">
            <v>1000095217</v>
          </cell>
          <cell r="B1359" t="str">
            <v xml:space="preserve">TSN 513 C </v>
          </cell>
          <cell r="C1359" t="str">
            <v>H3</v>
          </cell>
          <cell r="D1359">
            <v>20</v>
          </cell>
        </row>
        <row r="1360">
          <cell r="A1360">
            <v>1000095245</v>
          </cell>
          <cell r="B1360" t="str">
            <v xml:space="preserve">7212 BEGAM </v>
          </cell>
          <cell r="C1360" t="str">
            <v>A2</v>
          </cell>
          <cell r="D1360">
            <v>2</v>
          </cell>
        </row>
        <row r="1361">
          <cell r="A1361">
            <v>1000095256</v>
          </cell>
          <cell r="B1361" t="str">
            <v xml:space="preserve">6322/C4 </v>
          </cell>
          <cell r="C1361" t="str">
            <v>F17 I5 K25 L6</v>
          </cell>
          <cell r="D1361">
            <v>8</v>
          </cell>
        </row>
        <row r="1362">
          <cell r="A1362">
            <v>1000095262</v>
          </cell>
          <cell r="B1362" t="str">
            <v xml:space="preserve">3209 A </v>
          </cell>
          <cell r="C1362" t="str">
            <v>A9</v>
          </cell>
          <cell r="D1362">
            <v>3</v>
          </cell>
        </row>
        <row r="1363">
          <cell r="A1363">
            <v>1000095267</v>
          </cell>
          <cell r="B1363" t="str">
            <v>NNF 5013 ADB-2LSV</v>
          </cell>
          <cell r="C1363" t="str">
            <v>A3</v>
          </cell>
          <cell r="D1363">
            <v>2</v>
          </cell>
        </row>
        <row r="1364">
          <cell r="A1364">
            <v>1000095270</v>
          </cell>
          <cell r="B1364" t="str">
            <v xml:space="preserve">6330/C3 </v>
          </cell>
          <cell r="C1364" t="str">
            <v>A4/A5 M17</v>
          </cell>
          <cell r="D1364">
            <v>11</v>
          </cell>
        </row>
        <row r="1365">
          <cell r="A1365">
            <v>1000095356</v>
          </cell>
          <cell r="B1365" t="str">
            <v xml:space="preserve">7312 BECBP </v>
          </cell>
          <cell r="C1365" t="str">
            <v>K6</v>
          </cell>
          <cell r="D1365">
            <v>3</v>
          </cell>
        </row>
        <row r="1366">
          <cell r="A1366">
            <v>1000095394</v>
          </cell>
          <cell r="B1366" t="str">
            <v xml:space="preserve">NU 2214 ECJ </v>
          </cell>
          <cell r="C1366" t="str">
            <v>A16</v>
          </cell>
          <cell r="D1366">
            <v>3</v>
          </cell>
        </row>
        <row r="1367">
          <cell r="A1367">
            <v>1000095398</v>
          </cell>
          <cell r="B1367" t="str">
            <v xml:space="preserve">NU 2209 ECP </v>
          </cell>
          <cell r="C1367" t="str">
            <v>B3</v>
          </cell>
          <cell r="D1367">
            <v>5</v>
          </cell>
        </row>
        <row r="1368">
          <cell r="A1368">
            <v>1000095429</v>
          </cell>
          <cell r="B1368" t="str">
            <v>NU 324 ECJ</v>
          </cell>
          <cell r="C1368" t="str">
            <v>87 3</v>
          </cell>
          <cell r="D1368">
            <v>4</v>
          </cell>
        </row>
        <row r="1369">
          <cell r="A1369">
            <v>1000095431</v>
          </cell>
          <cell r="B1369" t="str">
            <v xml:space="preserve">7218 BEP </v>
          </cell>
          <cell r="C1369" t="str">
            <v>A7</v>
          </cell>
          <cell r="D1369">
            <v>1</v>
          </cell>
        </row>
        <row r="1370">
          <cell r="A1370">
            <v>1000095433</v>
          </cell>
          <cell r="B1370" t="str">
            <v xml:space="preserve">1209 EKTN9/C3 </v>
          </cell>
          <cell r="C1370" t="str">
            <v>K35</v>
          </cell>
          <cell r="D1370">
            <v>10</v>
          </cell>
        </row>
        <row r="1371">
          <cell r="A1371">
            <v>1000095439</v>
          </cell>
          <cell r="B1371" t="str">
            <v>SKF BEARING-7222 ACD/P4A</v>
          </cell>
          <cell r="C1371" t="str">
            <v>D19</v>
          </cell>
          <cell r="D1371">
            <v>1</v>
          </cell>
        </row>
        <row r="1372">
          <cell r="A1372">
            <v>1000095440</v>
          </cell>
          <cell r="B1372" t="str">
            <v xml:space="preserve">H 309 </v>
          </cell>
          <cell r="C1372" t="str">
            <v>I17 K25 L12</v>
          </cell>
          <cell r="D1372">
            <v>23</v>
          </cell>
        </row>
        <row r="1373">
          <cell r="A1373">
            <v>1000095493</v>
          </cell>
          <cell r="B1373" t="str">
            <v xml:space="preserve">PHG SPB1900,DRAWING L-83;(6 PER SET) </v>
          </cell>
          <cell r="C1373" t="str">
            <v>B0X1 BOX2</v>
          </cell>
          <cell r="D1373">
            <v>54</v>
          </cell>
        </row>
        <row r="1374">
          <cell r="A1374">
            <v>1000095496</v>
          </cell>
          <cell r="B1374" t="str">
            <v xml:space="preserve">IR 140X160X50;MATL#393246 </v>
          </cell>
          <cell r="C1374" t="str">
            <v>I8 I13 K7 L4 L16</v>
          </cell>
          <cell r="D1374">
            <v>30</v>
          </cell>
        </row>
        <row r="1375">
          <cell r="A1375">
            <v>1000095498</v>
          </cell>
          <cell r="B1375" t="str">
            <v xml:space="preserve">29328 E </v>
          </cell>
          <cell r="C1375" t="str">
            <v>F14 G19 K24 K30 L15</v>
          </cell>
          <cell r="D1375">
            <v>22</v>
          </cell>
        </row>
        <row r="1376">
          <cell r="A1376">
            <v>1000095531</v>
          </cell>
          <cell r="B1376">
            <v>30232</v>
          </cell>
          <cell r="C1376" t="str">
            <v>I15</v>
          </cell>
          <cell r="D1376">
            <v>0</v>
          </cell>
        </row>
        <row r="1377">
          <cell r="A1377">
            <v>1000095548</v>
          </cell>
          <cell r="B1377" t="str">
            <v xml:space="preserve">TSN 518 L;Matl#69771 </v>
          </cell>
          <cell r="C1377" t="str">
            <v>F16 G4 62 6R 23</v>
          </cell>
          <cell r="D1377">
            <v>6</v>
          </cell>
        </row>
        <row r="1378">
          <cell r="A1378">
            <v>1000095549</v>
          </cell>
          <cell r="B1378" t="str">
            <v xml:space="preserve">22310 EK </v>
          </cell>
          <cell r="C1378" t="str">
            <v>L8</v>
          </cell>
          <cell r="D1378">
            <v>1</v>
          </cell>
        </row>
        <row r="1379">
          <cell r="A1379">
            <v>1000095581</v>
          </cell>
          <cell r="B1379" t="str">
            <v xml:space="preserve">W 619/5-2Z </v>
          </cell>
          <cell r="C1379" t="str">
            <v>E1</v>
          </cell>
          <cell r="D1379">
            <v>4</v>
          </cell>
        </row>
        <row r="1380">
          <cell r="A1380">
            <v>1000095607</v>
          </cell>
          <cell r="B1380" t="str">
            <v xml:space="preserve">NU 326 ECJ/C3 </v>
          </cell>
          <cell r="C1380" t="str">
            <v>J1 I12 K10 M5</v>
          </cell>
          <cell r="D1380">
            <v>9</v>
          </cell>
        </row>
        <row r="1381">
          <cell r="A1381">
            <v>1000095677</v>
          </cell>
          <cell r="B1381" t="str">
            <v>NJ 2309 ECP/C4</v>
          </cell>
          <cell r="C1381" t="str">
            <v>H4</v>
          </cell>
          <cell r="D1381">
            <v>2</v>
          </cell>
        </row>
        <row r="1382">
          <cell r="A1382">
            <v>1000095688</v>
          </cell>
          <cell r="B1382" t="str">
            <v>W 11</v>
          </cell>
          <cell r="C1382" t="str">
            <v>K35</v>
          </cell>
          <cell r="D1382">
            <v>0</v>
          </cell>
        </row>
        <row r="1383">
          <cell r="A1383">
            <v>1000095689</v>
          </cell>
          <cell r="B1383" t="str">
            <v>SKF BEARING SNL 511-609</v>
          </cell>
          <cell r="C1383" t="str">
            <v>O3</v>
          </cell>
          <cell r="D1383">
            <v>9</v>
          </cell>
        </row>
        <row r="1384">
          <cell r="A1384">
            <v>1000095694</v>
          </cell>
          <cell r="B1384" t="str">
            <v>TSN 511 L</v>
          </cell>
          <cell r="C1384" t="str">
            <v>H1</v>
          </cell>
          <cell r="D1384">
            <v>3</v>
          </cell>
        </row>
        <row r="1385">
          <cell r="A1385">
            <v>1000095695</v>
          </cell>
          <cell r="B1385" t="str">
            <v>TSN 612 L</v>
          </cell>
          <cell r="C1385" t="str">
            <v>H1</v>
          </cell>
          <cell r="D1385">
            <v>6</v>
          </cell>
        </row>
        <row r="1386">
          <cell r="A1386">
            <v>1000095751</v>
          </cell>
          <cell r="B1386" t="str">
            <v>TSN 517L</v>
          </cell>
          <cell r="C1386" t="str">
            <v>H1</v>
          </cell>
          <cell r="D1386">
            <v>4</v>
          </cell>
        </row>
        <row r="1387">
          <cell r="A1387">
            <v>1000095752</v>
          </cell>
          <cell r="B1387" t="str">
            <v xml:space="preserve">FY 60 TF </v>
          </cell>
          <cell r="C1387" t="str">
            <v>B18</v>
          </cell>
          <cell r="D1387">
            <v>0</v>
          </cell>
        </row>
        <row r="1388">
          <cell r="A1388">
            <v>1000095900</v>
          </cell>
          <cell r="B1388" t="str">
            <v>H 216</v>
          </cell>
          <cell r="C1388" t="str">
            <v>B19</v>
          </cell>
          <cell r="D1388">
            <v>1</v>
          </cell>
        </row>
        <row r="1389">
          <cell r="A1389">
            <v>1000096006</v>
          </cell>
          <cell r="B1389" t="str">
            <v xml:space="preserve">6320 M/C3 </v>
          </cell>
          <cell r="C1389" t="str">
            <v>B14 G10 K20 K25</v>
          </cell>
          <cell r="D1389">
            <v>11</v>
          </cell>
        </row>
        <row r="1390">
          <cell r="A1390">
            <v>1000096171</v>
          </cell>
          <cell r="B1390" t="str">
            <v xml:space="preserve">FYTJ 506 </v>
          </cell>
          <cell r="C1390" t="str">
            <v>H4</v>
          </cell>
          <cell r="D1390">
            <v>4</v>
          </cell>
        </row>
        <row r="1391">
          <cell r="A1391">
            <v>1000096182</v>
          </cell>
          <cell r="B1391" t="str">
            <v xml:space="preserve">INDUCTION HEATER-TIH 030M/230V;Matl#909302706 </v>
          </cell>
          <cell r="C1391" t="str">
            <v>_</v>
          </cell>
          <cell r="D1391">
            <v>0</v>
          </cell>
        </row>
        <row r="1392">
          <cell r="A1392">
            <v>1000096209</v>
          </cell>
          <cell r="B1392" t="str">
            <v xml:space="preserve">FYJ 80 TF </v>
          </cell>
          <cell r="C1392" t="str">
            <v>A16</v>
          </cell>
          <cell r="D1392">
            <v>2</v>
          </cell>
        </row>
        <row r="1393">
          <cell r="A1393">
            <v>1000096238</v>
          </cell>
          <cell r="B1393" t="str">
            <v xml:space="preserve"> 7211 BECBJ</v>
          </cell>
          <cell r="C1393" t="str">
            <v>K33 L16 75 41R 57</v>
          </cell>
          <cell r="D1393">
            <v>38</v>
          </cell>
        </row>
        <row r="1394">
          <cell r="A1394">
            <v>1000096240</v>
          </cell>
          <cell r="B1394" t="str">
            <v xml:space="preserve">6314/C4 </v>
          </cell>
          <cell r="C1394" t="str">
            <v>G7 I17 J17 M26</v>
          </cell>
          <cell r="D1394">
            <v>2</v>
          </cell>
        </row>
        <row r="1395">
          <cell r="A1395">
            <v>1000096242</v>
          </cell>
          <cell r="B1395" t="str">
            <v xml:space="preserve">QJ 312 MA </v>
          </cell>
          <cell r="C1395" t="str">
            <v>A15</v>
          </cell>
          <cell r="D1395">
            <v>2</v>
          </cell>
        </row>
        <row r="1396">
          <cell r="A1396">
            <v>1000096245</v>
          </cell>
          <cell r="B1396" t="str">
            <v xml:space="preserve">KM 5 </v>
          </cell>
          <cell r="C1396" t="str">
            <v>C5</v>
          </cell>
          <cell r="D1396">
            <v>13</v>
          </cell>
        </row>
        <row r="1397">
          <cell r="A1397">
            <v>1000096246</v>
          </cell>
          <cell r="B1397" t="str">
            <v xml:space="preserve">NU 319 ECP </v>
          </cell>
          <cell r="C1397" t="str">
            <v>H6 K1</v>
          </cell>
          <cell r="D1397">
            <v>2</v>
          </cell>
        </row>
        <row r="1398">
          <cell r="A1398">
            <v>1000096308</v>
          </cell>
          <cell r="B1398" t="str">
            <v xml:space="preserve">ASNH 522-619 </v>
          </cell>
          <cell r="C1398" t="str">
            <v>H2</v>
          </cell>
          <cell r="D1398">
            <v>7</v>
          </cell>
        </row>
        <row r="1399">
          <cell r="A1399">
            <v>1000096457</v>
          </cell>
          <cell r="B1399" t="str">
            <v xml:space="preserve">7214 BECBP </v>
          </cell>
          <cell r="C1399" t="str">
            <v>J9 L8 L11</v>
          </cell>
          <cell r="D1399">
            <v>47</v>
          </cell>
        </row>
        <row r="1400">
          <cell r="A1400">
            <v>1000096577</v>
          </cell>
          <cell r="B1400" t="str">
            <v xml:space="preserve">3214 A; Matl:196706 </v>
          </cell>
          <cell r="C1400" t="str">
            <v>A15</v>
          </cell>
          <cell r="D1400">
            <v>1</v>
          </cell>
        </row>
        <row r="1401">
          <cell r="A1401">
            <v>1000096604</v>
          </cell>
          <cell r="B1401" t="str">
            <v>23960 CC/W33 (D)</v>
          </cell>
          <cell r="C1401" t="str">
            <v>SKF3 SKF5</v>
          </cell>
          <cell r="D1401">
            <v>2</v>
          </cell>
        </row>
        <row r="1402">
          <cell r="A1402">
            <v>1000096642</v>
          </cell>
          <cell r="B1402">
            <v>6407</v>
          </cell>
          <cell r="C1402" t="str">
            <v>B10</v>
          </cell>
          <cell r="D1402">
            <v>6</v>
          </cell>
        </row>
        <row r="1403">
          <cell r="A1403">
            <v>1000096643</v>
          </cell>
          <cell r="B1403" t="str">
            <v xml:space="preserve">6316 M/C4VL0241 </v>
          </cell>
          <cell r="C1403" t="str">
            <v>A8</v>
          </cell>
          <cell r="D1403">
            <v>1</v>
          </cell>
        </row>
        <row r="1404">
          <cell r="A1404">
            <v>1000096711</v>
          </cell>
          <cell r="B1404" t="str">
            <v xml:space="preserve">308 TN9/C3 </v>
          </cell>
          <cell r="C1404" t="str">
            <v>G12 I16 J14 K20</v>
          </cell>
          <cell r="D1404">
            <v>21</v>
          </cell>
        </row>
        <row r="1405">
          <cell r="A1405">
            <v>1000096754</v>
          </cell>
          <cell r="B1405">
            <v>6230</v>
          </cell>
          <cell r="C1405" t="str">
            <v>H6 L5</v>
          </cell>
          <cell r="D1405">
            <v>4</v>
          </cell>
        </row>
        <row r="1406">
          <cell r="A1406">
            <v>1000096756</v>
          </cell>
          <cell r="B1406" t="str">
            <v xml:space="preserve">6213-RS1/C3 </v>
          </cell>
          <cell r="C1406" t="str">
            <v>G3</v>
          </cell>
          <cell r="D1406">
            <v>5</v>
          </cell>
        </row>
        <row r="1407">
          <cell r="A1407">
            <v>1000096784</v>
          </cell>
          <cell r="B1407" t="str">
            <v>SKF BEARING -7216 BECCM</v>
          </cell>
          <cell r="C1407" t="str">
            <v>H5</v>
          </cell>
          <cell r="D1407">
            <v>0</v>
          </cell>
        </row>
        <row r="1408">
          <cell r="A1408">
            <v>1000096788</v>
          </cell>
          <cell r="B1408" t="str">
            <v xml:space="preserve">NU 2210 ECP/C3 </v>
          </cell>
          <cell r="C1408" t="str">
            <v>B13 I14 J16 K22</v>
          </cell>
          <cell r="D1408">
            <v>36</v>
          </cell>
        </row>
        <row r="1409">
          <cell r="A1409">
            <v>1000096789</v>
          </cell>
          <cell r="B1409" t="str">
            <v xml:space="preserve">TSN 512 A </v>
          </cell>
          <cell r="C1409" t="str">
            <v>H1</v>
          </cell>
          <cell r="D1409">
            <v>22</v>
          </cell>
        </row>
        <row r="1410">
          <cell r="A1410">
            <v>1000096796</v>
          </cell>
          <cell r="B1410" t="str">
            <v>6317 M/C3VL0241</v>
          </cell>
          <cell r="C1410" t="str">
            <v>D08 35R 74</v>
          </cell>
          <cell r="D1410">
            <v>8</v>
          </cell>
        </row>
        <row r="1411">
          <cell r="A1411"/>
          <cell r="B1411"/>
          <cell r="C1411"/>
          <cell r="D1411"/>
        </row>
        <row r="1412">
          <cell r="A1412">
            <v>1000096856</v>
          </cell>
          <cell r="B1412" t="str">
            <v xml:space="preserve">NU 1030 M/C3 </v>
          </cell>
          <cell r="C1412" t="str">
            <v>F1 32R</v>
          </cell>
          <cell r="D1412">
            <v>3</v>
          </cell>
        </row>
        <row r="1413">
          <cell r="A1413">
            <v>1000096857</v>
          </cell>
          <cell r="B1413" t="str">
            <v xml:space="preserve">6030 M/C3 </v>
          </cell>
          <cell r="C1413" t="str">
            <v>B8</v>
          </cell>
          <cell r="D1413">
            <v>3</v>
          </cell>
        </row>
        <row r="1414">
          <cell r="A1414">
            <v>1000097022</v>
          </cell>
          <cell r="B1414" t="str">
            <v xml:space="preserve">FY 50 TF </v>
          </cell>
          <cell r="C1414" t="str">
            <v>F9</v>
          </cell>
          <cell r="D1414">
            <v>1</v>
          </cell>
        </row>
        <row r="1415">
          <cell r="A1415">
            <v>1000097023</v>
          </cell>
          <cell r="B1415" t="str">
            <v xml:space="preserve">3215 A </v>
          </cell>
          <cell r="C1415" t="str">
            <v>B4</v>
          </cell>
          <cell r="D1415">
            <v>2</v>
          </cell>
        </row>
        <row r="1416">
          <cell r="A1416">
            <v>1000097146</v>
          </cell>
          <cell r="B1416" t="str">
            <v xml:space="preserve">YAR 208-108-2F </v>
          </cell>
          <cell r="C1416" t="str">
            <v>G4</v>
          </cell>
          <cell r="D1416">
            <v>5</v>
          </cell>
        </row>
        <row r="1417">
          <cell r="A1417">
            <v>1000097186</v>
          </cell>
          <cell r="B1417" t="str">
            <v xml:space="preserve">BC1-0312 </v>
          </cell>
          <cell r="C1417" t="str">
            <v>H5</v>
          </cell>
          <cell r="D1417">
            <v>2</v>
          </cell>
        </row>
        <row r="1418">
          <cell r="A1418">
            <v>1000097239</v>
          </cell>
          <cell r="B1418" t="str">
            <v xml:space="preserve">C 2218/C3 </v>
          </cell>
          <cell r="C1418" t="str">
            <v>A14</v>
          </cell>
          <cell r="D1418">
            <v>3</v>
          </cell>
        </row>
        <row r="1419">
          <cell r="A1419">
            <v>1000097305</v>
          </cell>
          <cell r="B1419" t="str">
            <v xml:space="preserve">NU 217 ECM/C3 </v>
          </cell>
          <cell r="C1419" t="str">
            <v>F16</v>
          </cell>
          <cell r="D1419">
            <v>0</v>
          </cell>
        </row>
        <row r="1420">
          <cell r="A1420">
            <v>1000097306</v>
          </cell>
          <cell r="B1420" t="str">
            <v>7204 BEP</v>
          </cell>
          <cell r="C1420" t="str">
            <v>G3</v>
          </cell>
          <cell r="D1420">
            <v>8</v>
          </cell>
        </row>
        <row r="1421">
          <cell r="A1421">
            <v>1000097355</v>
          </cell>
          <cell r="B1421" t="str">
            <v>6001-RSH</v>
          </cell>
          <cell r="C1421" t="str">
            <v>B18</v>
          </cell>
          <cell r="D1421">
            <v>14</v>
          </cell>
        </row>
        <row r="1422">
          <cell r="A1422">
            <v>1000097389</v>
          </cell>
          <cell r="B1422" t="str">
            <v xml:space="preserve">W 6001-2RS1 </v>
          </cell>
          <cell r="C1422" t="str">
            <v>H5</v>
          </cell>
          <cell r="D1422">
            <v>0</v>
          </cell>
        </row>
        <row r="1423">
          <cell r="A1423">
            <v>1000097433</v>
          </cell>
          <cell r="B1423" t="str">
            <v xml:space="preserve">7313 BEGAF </v>
          </cell>
          <cell r="C1423" t="str">
            <v>A10</v>
          </cell>
          <cell r="D1423">
            <v>2</v>
          </cell>
        </row>
        <row r="1424">
          <cell r="A1424">
            <v>1000097583</v>
          </cell>
          <cell r="B1424" t="str">
            <v>6234/C3</v>
          </cell>
          <cell r="C1424" t="str">
            <v>G1 G19 L6 KDOWN</v>
          </cell>
          <cell r="D1424">
            <v>7</v>
          </cell>
        </row>
        <row r="1425">
          <cell r="A1425">
            <v>1000097612</v>
          </cell>
          <cell r="B1425" t="str">
            <v xml:space="preserve">6306 NR </v>
          </cell>
          <cell r="C1425" t="str">
            <v>H2</v>
          </cell>
          <cell r="D1425">
            <v>4</v>
          </cell>
        </row>
        <row r="1426">
          <cell r="A1426">
            <v>1000097613</v>
          </cell>
          <cell r="B1426" t="str">
            <v>NU 214 ECJ</v>
          </cell>
          <cell r="C1426" t="str">
            <v>B4 9R</v>
          </cell>
          <cell r="D1426">
            <v>1</v>
          </cell>
        </row>
        <row r="1427">
          <cell r="A1427">
            <v>1000097644</v>
          </cell>
          <cell r="B1427" t="str">
            <v xml:space="preserve">3308 DMA </v>
          </cell>
          <cell r="C1427">
            <v>9</v>
          </cell>
          <cell r="D1427">
            <v>5</v>
          </cell>
        </row>
        <row r="1428">
          <cell r="A1428">
            <v>1000097738</v>
          </cell>
          <cell r="B1428" t="str">
            <v xml:space="preserve">NU 220 ECP </v>
          </cell>
          <cell r="C1428" t="str">
            <v>K4</v>
          </cell>
          <cell r="D1428">
            <v>0</v>
          </cell>
        </row>
        <row r="1429">
          <cell r="A1429">
            <v>1000097740</v>
          </cell>
          <cell r="B1429" t="str">
            <v>7320 BEP</v>
          </cell>
          <cell r="C1429" t="str">
            <v>F1 J6 K10 K8 K25 L4</v>
          </cell>
          <cell r="D1429">
            <v>11</v>
          </cell>
        </row>
        <row r="1430">
          <cell r="A1430">
            <v>1000097815</v>
          </cell>
          <cell r="B1430" t="str">
            <v xml:space="preserve">6213/C4 </v>
          </cell>
          <cell r="C1430" t="str">
            <v xml:space="preserve">78 N3  70R </v>
          </cell>
          <cell r="D1430">
            <v>17</v>
          </cell>
        </row>
        <row r="1431">
          <cell r="A1431">
            <v>1000097856</v>
          </cell>
          <cell r="B1431" t="str">
            <v xml:space="preserve">NJ 211 ECJ </v>
          </cell>
          <cell r="C1431" t="str">
            <v>H5</v>
          </cell>
          <cell r="D1431">
            <v>3</v>
          </cell>
        </row>
        <row r="1432">
          <cell r="A1432">
            <v>1000097919</v>
          </cell>
          <cell r="B1432" t="str">
            <v xml:space="preserve">HE 322 </v>
          </cell>
          <cell r="C1432" t="str">
            <v>B14</v>
          </cell>
          <cell r="D1432">
            <v>2</v>
          </cell>
        </row>
        <row r="1433">
          <cell r="A1433">
            <v>1000097934</v>
          </cell>
          <cell r="B1433">
            <v>58716</v>
          </cell>
          <cell r="C1433" t="str">
            <v>D8</v>
          </cell>
          <cell r="D1433">
            <v>10</v>
          </cell>
        </row>
        <row r="1434">
          <cell r="A1434">
            <v>1000097935</v>
          </cell>
          <cell r="B1434" t="str">
            <v>SKF LOCKNUT - KM 11</v>
          </cell>
          <cell r="C1434" t="str">
            <v>H4</v>
          </cell>
          <cell r="D1434">
            <v>61</v>
          </cell>
        </row>
        <row r="1435">
          <cell r="A1435">
            <v>1000098074</v>
          </cell>
          <cell r="B1435" t="str">
            <v xml:space="preserve">NU 220 ECML/P54S1 </v>
          </cell>
          <cell r="C1435" t="str">
            <v>F18 56 24</v>
          </cell>
          <cell r="D1435">
            <v>19</v>
          </cell>
        </row>
        <row r="1436">
          <cell r="A1436">
            <v>1000098075</v>
          </cell>
          <cell r="B1436" t="str">
            <v xml:space="preserve">QJ 214 N2MA </v>
          </cell>
          <cell r="C1436" t="str">
            <v>I5 J19 K33 L11</v>
          </cell>
          <cell r="D1436">
            <v>4</v>
          </cell>
        </row>
        <row r="1437">
          <cell r="A1437">
            <v>1000098076</v>
          </cell>
          <cell r="B1437" t="str">
            <v xml:space="preserve">NA 4911/C3 </v>
          </cell>
          <cell r="C1437" t="str">
            <v>H3</v>
          </cell>
          <cell r="D1437">
            <v>3</v>
          </cell>
        </row>
        <row r="1438">
          <cell r="A1438">
            <v>1000098082</v>
          </cell>
          <cell r="B1438" t="str">
            <v xml:space="preserve">LOCKNUT -KM 7 </v>
          </cell>
          <cell r="C1438" t="str">
            <v>H4</v>
          </cell>
          <cell r="D1438">
            <v>4</v>
          </cell>
        </row>
        <row r="1439">
          <cell r="A1439">
            <v>1000098083</v>
          </cell>
          <cell r="B1439" t="str">
            <v xml:space="preserve">6205-2RSL </v>
          </cell>
          <cell r="C1439" t="str">
            <v>H4</v>
          </cell>
          <cell r="D1439">
            <v>2</v>
          </cell>
        </row>
        <row r="1440">
          <cell r="A1440">
            <v>1000098085</v>
          </cell>
          <cell r="B1440" t="str">
            <v xml:space="preserve">NU 212 ECML/P54S1 </v>
          </cell>
          <cell r="C1440" t="str">
            <v>J14</v>
          </cell>
          <cell r="D1440">
            <v>0</v>
          </cell>
        </row>
        <row r="1441">
          <cell r="A1441">
            <v>1000098118</v>
          </cell>
          <cell r="B1441" t="str">
            <v xml:space="preserve">NUP 215 ECM/C3 </v>
          </cell>
          <cell r="C1441" t="str">
            <v>D12</v>
          </cell>
          <cell r="D1441">
            <v>1</v>
          </cell>
        </row>
        <row r="1442">
          <cell r="A1442">
            <v>1000098202</v>
          </cell>
          <cell r="B1442" t="str">
            <v>3205 A</v>
          </cell>
          <cell r="C1442" t="str">
            <v>B5</v>
          </cell>
          <cell r="D1442">
            <v>5</v>
          </cell>
        </row>
        <row r="1443">
          <cell r="A1443">
            <v>1000098219</v>
          </cell>
          <cell r="B1443" t="str">
            <v xml:space="preserve">KM 8 </v>
          </cell>
          <cell r="C1443" t="str">
            <v>I3 56R</v>
          </cell>
          <cell r="D1443">
            <v>160</v>
          </cell>
        </row>
        <row r="1444">
          <cell r="A1444">
            <v>1000098301</v>
          </cell>
          <cell r="B1444" t="str">
            <v xml:space="preserve">MB 3 </v>
          </cell>
          <cell r="C1444" t="str">
            <v>H5</v>
          </cell>
          <cell r="D1444">
            <v>53</v>
          </cell>
        </row>
        <row r="1445">
          <cell r="A1445">
            <v>1000098308</v>
          </cell>
          <cell r="B1445" t="str">
            <v xml:space="preserve">heater -induction heater;TIH 100M/230V </v>
          </cell>
          <cell r="C1445" t="str">
            <v>_</v>
          </cell>
          <cell r="D1445">
            <v>0</v>
          </cell>
        </row>
        <row r="1446">
          <cell r="A1446">
            <v>1000098326</v>
          </cell>
          <cell r="B1446" t="str">
            <v xml:space="preserve">NU 217 ECM </v>
          </cell>
          <cell r="C1446" t="str">
            <v>H3</v>
          </cell>
          <cell r="D1446">
            <v>2</v>
          </cell>
        </row>
        <row r="1447">
          <cell r="A1447">
            <v>1000098425</v>
          </cell>
          <cell r="B1447" t="str">
            <v xml:space="preserve">N 314 ECM/C3 </v>
          </cell>
          <cell r="C1447" t="str">
            <v>J19</v>
          </cell>
          <cell r="D1447">
            <v>7</v>
          </cell>
        </row>
        <row r="1448">
          <cell r="A1448">
            <v>1000098433</v>
          </cell>
          <cell r="B1448" t="str">
            <v xml:space="preserve">29336 E </v>
          </cell>
          <cell r="C1448" t="str">
            <v>K16 J23</v>
          </cell>
          <cell r="D1448">
            <v>7</v>
          </cell>
        </row>
        <row r="1449">
          <cell r="A1449">
            <v>1000098434</v>
          </cell>
          <cell r="B1449">
            <v>2218</v>
          </cell>
          <cell r="C1449" t="str">
            <v>B15</v>
          </cell>
          <cell r="D1449">
            <v>3</v>
          </cell>
        </row>
        <row r="1450">
          <cell r="A1450">
            <v>1000098435</v>
          </cell>
          <cell r="B1450">
            <v>2312</v>
          </cell>
          <cell r="C1450" t="str">
            <v>B18</v>
          </cell>
          <cell r="D1450">
            <v>3</v>
          </cell>
        </row>
        <row r="1451">
          <cell r="A1451">
            <v>1000098436</v>
          </cell>
          <cell r="B1451">
            <v>6217</v>
          </cell>
          <cell r="C1451" t="str">
            <v>I9 K7 K21 K22 M21</v>
          </cell>
          <cell r="D1451">
            <v>72</v>
          </cell>
        </row>
        <row r="1452">
          <cell r="A1452">
            <v>1000098437</v>
          </cell>
          <cell r="B1452">
            <v>30209</v>
          </cell>
          <cell r="C1452" t="str">
            <v>B10</v>
          </cell>
          <cell r="D1452">
            <v>5</v>
          </cell>
        </row>
        <row r="1453">
          <cell r="A1453">
            <v>1000098438</v>
          </cell>
          <cell r="B1453">
            <v>30210</v>
          </cell>
          <cell r="C1453" t="str">
            <v>B19</v>
          </cell>
          <cell r="D1453">
            <v>8</v>
          </cell>
        </row>
        <row r="1454">
          <cell r="A1454">
            <v>1000098439</v>
          </cell>
          <cell r="B1454" t="str">
            <v>30220 J2</v>
          </cell>
          <cell r="C1454" t="str">
            <v>G6</v>
          </cell>
          <cell r="D1454">
            <v>5</v>
          </cell>
        </row>
        <row r="1455">
          <cell r="A1455">
            <v>1000098440</v>
          </cell>
          <cell r="B1455">
            <v>30226</v>
          </cell>
          <cell r="C1455" t="str">
            <v>A5</v>
          </cell>
          <cell r="D1455">
            <v>5</v>
          </cell>
        </row>
        <row r="1456">
          <cell r="A1456">
            <v>1000098441</v>
          </cell>
          <cell r="B1456">
            <v>30304</v>
          </cell>
          <cell r="C1456" t="str">
            <v>B17</v>
          </cell>
          <cell r="D1456">
            <v>16</v>
          </cell>
        </row>
        <row r="1457">
          <cell r="A1457">
            <v>1000098442</v>
          </cell>
          <cell r="B1457">
            <v>30306</v>
          </cell>
          <cell r="C1457" t="str">
            <v>J19 L8 M14</v>
          </cell>
          <cell r="D1457">
            <v>33</v>
          </cell>
        </row>
        <row r="1458">
          <cell r="A1458">
            <v>1000098443</v>
          </cell>
          <cell r="B1458">
            <v>30308</v>
          </cell>
          <cell r="C1458" t="str">
            <v>G5</v>
          </cell>
          <cell r="D1458">
            <v>2</v>
          </cell>
        </row>
        <row r="1459">
          <cell r="A1459">
            <v>1000098444</v>
          </cell>
          <cell r="B1459">
            <v>31307</v>
          </cell>
          <cell r="C1459" t="str">
            <v>I11 K4 J16</v>
          </cell>
          <cell r="D1459">
            <v>15</v>
          </cell>
        </row>
        <row r="1460">
          <cell r="A1460">
            <v>1000098445</v>
          </cell>
          <cell r="B1460">
            <v>32207</v>
          </cell>
          <cell r="C1460" t="str">
            <v>B17</v>
          </cell>
          <cell r="D1460">
            <v>10</v>
          </cell>
        </row>
        <row r="1461">
          <cell r="A1461">
            <v>1000098446</v>
          </cell>
          <cell r="B1461">
            <v>32208</v>
          </cell>
          <cell r="C1461" t="str">
            <v>B9</v>
          </cell>
          <cell r="D1461">
            <v>0</v>
          </cell>
        </row>
        <row r="1462">
          <cell r="A1462">
            <v>1000098447</v>
          </cell>
          <cell r="B1462">
            <v>32226</v>
          </cell>
          <cell r="C1462" t="str">
            <v>H6</v>
          </cell>
          <cell r="D1462">
            <v>1</v>
          </cell>
        </row>
        <row r="1463">
          <cell r="A1463">
            <v>1000098448</v>
          </cell>
          <cell r="B1463">
            <v>32314</v>
          </cell>
          <cell r="C1463" t="str">
            <v>G7</v>
          </cell>
          <cell r="D1463">
            <v>0</v>
          </cell>
        </row>
        <row r="1464">
          <cell r="A1464">
            <v>1000098449</v>
          </cell>
          <cell r="B1464">
            <v>32320</v>
          </cell>
          <cell r="C1464" t="str">
            <v>A11</v>
          </cell>
          <cell r="D1464">
            <v>2</v>
          </cell>
        </row>
        <row r="1465">
          <cell r="A1465">
            <v>1000098450</v>
          </cell>
          <cell r="B1465">
            <v>32924</v>
          </cell>
          <cell r="C1465" t="str">
            <v>A14</v>
          </cell>
          <cell r="D1465">
            <v>3</v>
          </cell>
        </row>
        <row r="1466">
          <cell r="A1466">
            <v>1000098451</v>
          </cell>
          <cell r="B1466">
            <v>32936</v>
          </cell>
          <cell r="C1466" t="str">
            <v>_</v>
          </cell>
          <cell r="D1466">
            <v>0</v>
          </cell>
        </row>
        <row r="1467">
          <cell r="A1467">
            <v>1000098452</v>
          </cell>
          <cell r="B1467">
            <v>33207</v>
          </cell>
          <cell r="C1467" t="str">
            <v>G8</v>
          </cell>
          <cell r="D1467">
            <v>3</v>
          </cell>
        </row>
        <row r="1468">
          <cell r="A1468">
            <v>1000098453</v>
          </cell>
          <cell r="B1468">
            <v>33210</v>
          </cell>
          <cell r="C1468" t="str">
            <v>B17</v>
          </cell>
          <cell r="D1468">
            <v>3</v>
          </cell>
        </row>
        <row r="1469">
          <cell r="A1469">
            <v>1000098454</v>
          </cell>
          <cell r="B1469">
            <v>34282</v>
          </cell>
          <cell r="C1469" t="str">
            <v>D8</v>
          </cell>
          <cell r="D1469">
            <v>10</v>
          </cell>
        </row>
        <row r="1470">
          <cell r="A1470">
            <v>1000098455</v>
          </cell>
          <cell r="B1470">
            <v>51214</v>
          </cell>
          <cell r="C1470" t="str">
            <v>B19</v>
          </cell>
          <cell r="D1470">
            <v>2</v>
          </cell>
        </row>
        <row r="1471">
          <cell r="A1471">
            <v>1000098456</v>
          </cell>
          <cell r="B1471">
            <v>61844</v>
          </cell>
          <cell r="C1471" t="str">
            <v>B15</v>
          </cell>
          <cell r="D1471">
            <v>3</v>
          </cell>
        </row>
        <row r="1472">
          <cell r="A1472">
            <v>1000098457</v>
          </cell>
          <cell r="B1472" t="str">
            <v xml:space="preserve">1222 K/C3 </v>
          </cell>
          <cell r="C1472" t="str">
            <v>H6</v>
          </cell>
          <cell r="D1472">
            <v>1</v>
          </cell>
        </row>
        <row r="1473">
          <cell r="A1473">
            <v>1000098458</v>
          </cell>
          <cell r="B1473" t="str">
            <v>SKF BEARING-1314/C3</v>
          </cell>
          <cell r="C1473" t="str">
            <v>A10</v>
          </cell>
          <cell r="D1473">
            <v>4</v>
          </cell>
        </row>
        <row r="1474">
          <cell r="A1474">
            <v>1000098459</v>
          </cell>
          <cell r="B1474" t="str">
            <v>21314 E</v>
          </cell>
          <cell r="C1474" t="str">
            <v>B15</v>
          </cell>
          <cell r="D1474">
            <v>1</v>
          </cell>
        </row>
        <row r="1475">
          <cell r="A1475">
            <v>1000098460</v>
          </cell>
          <cell r="B1475" t="str">
            <v>21318 E</v>
          </cell>
          <cell r="C1475" t="str">
            <v>G6</v>
          </cell>
          <cell r="D1475">
            <v>1</v>
          </cell>
        </row>
        <row r="1476">
          <cell r="A1476">
            <v>1000098461</v>
          </cell>
          <cell r="B1476" t="str">
            <v>2207 EKTN9</v>
          </cell>
          <cell r="C1476" t="str">
            <v>B19</v>
          </cell>
          <cell r="D1476">
            <v>5</v>
          </cell>
        </row>
        <row r="1477">
          <cell r="A1477">
            <v>1000098462</v>
          </cell>
          <cell r="B1477" t="str">
            <v>2212 EKTN9/C3</v>
          </cell>
          <cell r="C1477" t="str">
            <v>B7</v>
          </cell>
          <cell r="D1477">
            <v>2</v>
          </cell>
        </row>
        <row r="1478">
          <cell r="A1478">
            <v>1000098463</v>
          </cell>
          <cell r="B1478" t="str">
            <v>22209 EK/C3</v>
          </cell>
          <cell r="C1478" t="str">
            <v>B9</v>
          </cell>
          <cell r="D1478">
            <v>1</v>
          </cell>
        </row>
        <row r="1479">
          <cell r="A1479">
            <v>1000098464</v>
          </cell>
          <cell r="B1479" t="str">
            <v>22213 E/C3</v>
          </cell>
          <cell r="C1479" t="str">
            <v>B18 I10 I14 L9</v>
          </cell>
          <cell r="D1479">
            <v>52</v>
          </cell>
        </row>
        <row r="1480">
          <cell r="A1480">
            <v>1000098465</v>
          </cell>
          <cell r="B1480" t="str">
            <v>22218 E/C4</v>
          </cell>
          <cell r="C1480" t="str">
            <v>B4</v>
          </cell>
          <cell r="D1480">
            <v>5</v>
          </cell>
        </row>
        <row r="1481">
          <cell r="A1481">
            <v>1000098466</v>
          </cell>
          <cell r="B1481" t="str">
            <v>22308 E</v>
          </cell>
          <cell r="C1481" t="str">
            <v>E8 74 34  66R</v>
          </cell>
          <cell r="D1481">
            <v>27</v>
          </cell>
        </row>
        <row r="1482">
          <cell r="A1482">
            <v>1000098467</v>
          </cell>
          <cell r="B1482" t="str">
            <v>22309 E/C3</v>
          </cell>
          <cell r="C1482" t="str">
            <v>G5</v>
          </cell>
          <cell r="D1482">
            <v>10</v>
          </cell>
        </row>
        <row r="1483">
          <cell r="A1483">
            <v>1000098468</v>
          </cell>
          <cell r="B1483" t="str">
            <v>23022 CC/W33</v>
          </cell>
          <cell r="C1483" t="str">
            <v>B11</v>
          </cell>
          <cell r="D1483">
            <v>1</v>
          </cell>
        </row>
        <row r="1484">
          <cell r="A1484">
            <v>1000098469</v>
          </cell>
          <cell r="B1484" t="str">
            <v>SKF BEARING-23024 CC/W33</v>
          </cell>
          <cell r="C1484" t="str">
            <v>A14</v>
          </cell>
          <cell r="D1484">
            <v>8</v>
          </cell>
        </row>
        <row r="1485">
          <cell r="A1485">
            <v>1000098470</v>
          </cell>
          <cell r="B1485" t="str">
            <v>23024 CCK/W33</v>
          </cell>
          <cell r="C1485" t="str">
            <v>A16</v>
          </cell>
          <cell r="D1485">
            <v>2</v>
          </cell>
        </row>
        <row r="1486">
          <cell r="A1486">
            <v>1000098471</v>
          </cell>
          <cell r="B1486" t="str">
            <v>2308 EKTN9</v>
          </cell>
          <cell r="C1486" t="str">
            <v>A14</v>
          </cell>
          <cell r="D1486">
            <v>2</v>
          </cell>
        </row>
        <row r="1487">
          <cell r="A1487">
            <v>1000098472</v>
          </cell>
          <cell r="B1487" t="str">
            <v>2308 ETN9/C3</v>
          </cell>
          <cell r="C1487" t="str">
            <v>G8</v>
          </cell>
          <cell r="D1487">
            <v>2</v>
          </cell>
        </row>
        <row r="1488">
          <cell r="A1488">
            <v>1000098473</v>
          </cell>
          <cell r="B1488" t="str">
            <v>2310 E-2RS1TN9</v>
          </cell>
          <cell r="C1488" t="str">
            <v>B15 G8</v>
          </cell>
          <cell r="D1488">
            <v>2</v>
          </cell>
        </row>
        <row r="1489">
          <cell r="A1489">
            <v>1000098510</v>
          </cell>
          <cell r="B1489" t="str">
            <v>23124 CC/W33</v>
          </cell>
          <cell r="C1489" t="str">
            <v>A16</v>
          </cell>
          <cell r="D1489">
            <v>4</v>
          </cell>
        </row>
        <row r="1490">
          <cell r="A1490">
            <v>1000098511</v>
          </cell>
          <cell r="B1490" t="str">
            <v>23126 CC/C3W33</v>
          </cell>
          <cell r="C1490" t="str">
            <v>B11</v>
          </cell>
          <cell r="D1490">
            <v>5</v>
          </cell>
        </row>
        <row r="1491">
          <cell r="A1491">
            <v>1000098513</v>
          </cell>
          <cell r="B1491" t="str">
            <v>2316/C3</v>
          </cell>
          <cell r="C1491" t="str">
            <v>A4</v>
          </cell>
          <cell r="D1491">
            <v>0</v>
          </cell>
        </row>
        <row r="1492">
          <cell r="A1492">
            <v>1000098514</v>
          </cell>
          <cell r="B1492" t="str">
            <v>23222 CC/C4W33</v>
          </cell>
          <cell r="C1492" t="str">
            <v>B14 G10</v>
          </cell>
          <cell r="D1492">
            <v>3</v>
          </cell>
        </row>
        <row r="1493">
          <cell r="A1493">
            <v>1000098515</v>
          </cell>
          <cell r="B1493" t="str">
            <v>23224 CC/C3W33</v>
          </cell>
          <cell r="C1493" t="str">
            <v>B19</v>
          </cell>
          <cell r="D1493">
            <v>1</v>
          </cell>
        </row>
        <row r="1494">
          <cell r="A1494">
            <v>1000098516</v>
          </cell>
          <cell r="B1494" t="str">
            <v>23224 CC/W33</v>
          </cell>
          <cell r="C1494" t="str">
            <v>G16</v>
          </cell>
          <cell r="D1494">
            <v>1</v>
          </cell>
        </row>
        <row r="1495">
          <cell r="A1495">
            <v>1000098517</v>
          </cell>
          <cell r="B1495" t="str">
            <v>23226 CC/C3W33</v>
          </cell>
          <cell r="C1495" t="str">
            <v>F10</v>
          </cell>
          <cell r="D1495">
            <v>1</v>
          </cell>
        </row>
        <row r="1496">
          <cell r="A1496">
            <v>1000098518</v>
          </cell>
          <cell r="B1496" t="str">
            <v>23228 CC/C3 W33</v>
          </cell>
          <cell r="C1496" t="str">
            <v>G10</v>
          </cell>
          <cell r="D1496">
            <v>0</v>
          </cell>
        </row>
        <row r="1497">
          <cell r="A1497">
            <v>1000098519</v>
          </cell>
          <cell r="B1497" t="str">
            <v>23228 CCK/W33</v>
          </cell>
          <cell r="C1497" t="str">
            <v>A9</v>
          </cell>
          <cell r="D1497">
            <v>2</v>
          </cell>
        </row>
        <row r="1498">
          <cell r="A1498">
            <v>1000098520</v>
          </cell>
          <cell r="B1498" t="str">
            <v>24024 CC/W33</v>
          </cell>
          <cell r="C1498" t="str">
            <v>F6 K7 K9 K20 L10</v>
          </cell>
          <cell r="D1498">
            <v>20</v>
          </cell>
        </row>
        <row r="1499">
          <cell r="A1499">
            <v>1000098521</v>
          </cell>
          <cell r="B1499" t="str">
            <v>29324 E</v>
          </cell>
          <cell r="C1499" t="str">
            <v>B3</v>
          </cell>
          <cell r="D1499">
            <v>1</v>
          </cell>
        </row>
        <row r="1500">
          <cell r="A1500">
            <v>1000098522</v>
          </cell>
          <cell r="B1500" t="str">
            <v>29420 E</v>
          </cell>
          <cell r="C1500" t="str">
            <v>_</v>
          </cell>
          <cell r="D1500">
            <v>0</v>
          </cell>
        </row>
        <row r="1501">
          <cell r="A1501">
            <v>1000098523</v>
          </cell>
          <cell r="B1501" t="str">
            <v>308/C3</v>
          </cell>
          <cell r="C1501" t="str">
            <v>H5</v>
          </cell>
          <cell r="D1501">
            <v>5</v>
          </cell>
        </row>
        <row r="1502">
          <cell r="A1502">
            <v>1000098524</v>
          </cell>
          <cell r="B1502" t="str">
            <v>3208 A-2RS1TN9/C3MT33</v>
          </cell>
          <cell r="C1502" t="str">
            <v>H5</v>
          </cell>
          <cell r="D1502">
            <v>3</v>
          </cell>
        </row>
        <row r="1503">
          <cell r="A1503">
            <v>1000098525</v>
          </cell>
          <cell r="B1503" t="str">
            <v>3210 A</v>
          </cell>
          <cell r="C1503" t="str">
            <v>B7</v>
          </cell>
          <cell r="D1503">
            <v>3</v>
          </cell>
        </row>
        <row r="1504">
          <cell r="A1504">
            <v>1000098526</v>
          </cell>
          <cell r="B1504" t="str">
            <v>3212 A</v>
          </cell>
          <cell r="C1504" t="str">
            <v>A15</v>
          </cell>
          <cell r="D1504">
            <v>2</v>
          </cell>
        </row>
        <row r="1505">
          <cell r="A1505">
            <v>1000098527</v>
          </cell>
          <cell r="B1505" t="str">
            <v>3212 A/C3</v>
          </cell>
          <cell r="C1505" t="str">
            <v>A15 M21</v>
          </cell>
          <cell r="D1505">
            <v>39</v>
          </cell>
        </row>
        <row r="1506">
          <cell r="A1506">
            <v>1000098528</v>
          </cell>
          <cell r="B1506" t="str">
            <v>3213 A</v>
          </cell>
          <cell r="C1506" t="str">
            <v>B3</v>
          </cell>
          <cell r="D1506">
            <v>2</v>
          </cell>
        </row>
        <row r="1507">
          <cell r="A1507">
            <v>1000098529</v>
          </cell>
          <cell r="B1507" t="str">
            <v>3219 A/C3</v>
          </cell>
          <cell r="C1507" t="str">
            <v>A10</v>
          </cell>
          <cell r="D1507">
            <v>2</v>
          </cell>
        </row>
        <row r="1508">
          <cell r="A1508">
            <v>1000098530</v>
          </cell>
          <cell r="B1508" t="str">
            <v>32312 BJ2/QCL7C</v>
          </cell>
          <cell r="C1508" t="str">
            <v>A11</v>
          </cell>
          <cell r="D1508">
            <v>2</v>
          </cell>
        </row>
        <row r="1509">
          <cell r="A1509">
            <v>1000098531</v>
          </cell>
          <cell r="B1509" t="str">
            <v>3305 ATN9/C3</v>
          </cell>
          <cell r="C1509" t="str">
            <v>B13</v>
          </cell>
          <cell r="D1509">
            <v>10</v>
          </cell>
        </row>
        <row r="1510">
          <cell r="A1510">
            <v>1000098532</v>
          </cell>
          <cell r="B1510" t="str">
            <v>3308 ATN9</v>
          </cell>
          <cell r="C1510" t="str">
            <v>B5</v>
          </cell>
          <cell r="D1510">
            <v>2</v>
          </cell>
        </row>
        <row r="1511">
          <cell r="A1511">
            <v>1000098533</v>
          </cell>
          <cell r="B1511" t="str">
            <v>3314 ANR</v>
          </cell>
          <cell r="C1511" t="str">
            <v>A8</v>
          </cell>
          <cell r="D1511">
            <v>2</v>
          </cell>
        </row>
        <row r="1512">
          <cell r="A1512">
            <v>1000098534</v>
          </cell>
          <cell r="B1512" t="str">
            <v>SKF BEARING-3314 ANR/C3</v>
          </cell>
          <cell r="C1512" t="str">
            <v>A14</v>
          </cell>
          <cell r="D1512">
            <v>2</v>
          </cell>
        </row>
        <row r="1513">
          <cell r="A1513">
            <v>1000098536</v>
          </cell>
          <cell r="B1513" t="str">
            <v>6006-2Z/VA208</v>
          </cell>
          <cell r="C1513" t="str">
            <v>_</v>
          </cell>
          <cell r="D1513">
            <v>0</v>
          </cell>
        </row>
        <row r="1514">
          <cell r="A1514">
            <v>1000098537</v>
          </cell>
          <cell r="B1514" t="str">
            <v>6007-RS1</v>
          </cell>
          <cell r="C1514" t="str">
            <v>B13</v>
          </cell>
          <cell r="D1514">
            <v>10</v>
          </cell>
        </row>
        <row r="1515">
          <cell r="A1515">
            <v>1000098538</v>
          </cell>
          <cell r="B1515" t="str">
            <v>6009-Z</v>
          </cell>
          <cell r="C1515" t="str">
            <v>G8</v>
          </cell>
          <cell r="D1515">
            <v>10</v>
          </cell>
        </row>
        <row r="1516">
          <cell r="A1516">
            <v>1000098539</v>
          </cell>
          <cell r="B1516" t="str">
            <v>6010-Z</v>
          </cell>
          <cell r="C1516" t="str">
            <v>B17</v>
          </cell>
          <cell r="D1516">
            <v>5</v>
          </cell>
        </row>
        <row r="1517">
          <cell r="A1517">
            <v>1000098540</v>
          </cell>
          <cell r="B1517" t="str">
            <v>6014 M</v>
          </cell>
          <cell r="C1517" t="str">
            <v>G4 H2</v>
          </cell>
          <cell r="D1517">
            <v>5</v>
          </cell>
        </row>
        <row r="1518">
          <cell r="A1518">
            <v>1000098541</v>
          </cell>
          <cell r="B1518" t="str">
            <v>6014-RS1</v>
          </cell>
          <cell r="C1518" t="str">
            <v>H5 K5</v>
          </cell>
          <cell r="D1518">
            <v>19</v>
          </cell>
        </row>
        <row r="1519">
          <cell r="A1519">
            <v>1000098542</v>
          </cell>
          <cell r="B1519" t="str">
            <v>6018-Z</v>
          </cell>
          <cell r="C1519" t="str">
            <v>B10</v>
          </cell>
          <cell r="D1519">
            <v>2</v>
          </cell>
        </row>
        <row r="1520">
          <cell r="A1520">
            <v>1000098543</v>
          </cell>
          <cell r="B1520" t="str">
            <v>6019/C3</v>
          </cell>
          <cell r="C1520" t="str">
            <v>B10 I8</v>
          </cell>
          <cell r="D1520">
            <v>3</v>
          </cell>
        </row>
        <row r="1521">
          <cell r="A1521">
            <v>1000098544</v>
          </cell>
          <cell r="B1521" t="str">
            <v>6021/C3</v>
          </cell>
          <cell r="C1521" t="str">
            <v>A11</v>
          </cell>
          <cell r="D1521">
            <v>2</v>
          </cell>
        </row>
        <row r="1522">
          <cell r="A1522">
            <v>1000098545</v>
          </cell>
          <cell r="B1522" t="str">
            <v>6022-Z</v>
          </cell>
          <cell r="C1522" t="str">
            <v>A10</v>
          </cell>
          <cell r="D1522">
            <v>2</v>
          </cell>
        </row>
        <row r="1523">
          <cell r="A1523">
            <v>1000098546</v>
          </cell>
          <cell r="B1523" t="str">
            <v>6024-2Z</v>
          </cell>
          <cell r="C1523" t="str">
            <v>A14</v>
          </cell>
          <cell r="D1523">
            <v>3</v>
          </cell>
        </row>
        <row r="1524">
          <cell r="A1524">
            <v>1000098547</v>
          </cell>
          <cell r="B1524" t="str">
            <v>6032 M</v>
          </cell>
          <cell r="C1524" t="str">
            <v>A18</v>
          </cell>
          <cell r="D1524">
            <v>5</v>
          </cell>
        </row>
        <row r="1525">
          <cell r="A1525">
            <v>1000098548</v>
          </cell>
          <cell r="B1525" t="str">
            <v>SKF BEARING-6034 M/C3</v>
          </cell>
          <cell r="C1525" t="str">
            <v>B8 F16 I5 K32</v>
          </cell>
          <cell r="D1525">
            <v>12</v>
          </cell>
        </row>
        <row r="1526">
          <cell r="A1526">
            <v>1000098549</v>
          </cell>
          <cell r="B1526" t="str">
            <v>61844/C3</v>
          </cell>
          <cell r="C1526" t="str">
            <v>B18</v>
          </cell>
          <cell r="D1526">
            <v>3</v>
          </cell>
        </row>
        <row r="1527">
          <cell r="A1527">
            <v>1000098550</v>
          </cell>
          <cell r="B1527" t="str">
            <v>W 21</v>
          </cell>
          <cell r="C1527" t="str">
            <v>M15</v>
          </cell>
          <cell r="D1527">
            <v>25</v>
          </cell>
        </row>
        <row r="1528">
          <cell r="A1528">
            <v>1000098555</v>
          </cell>
          <cell r="B1528" t="str">
            <v xml:space="preserve">24132 CC/C4W33 </v>
          </cell>
          <cell r="C1528" t="str">
            <v>FDOWN</v>
          </cell>
          <cell r="D1528">
            <v>1</v>
          </cell>
        </row>
        <row r="1529">
          <cell r="A1529">
            <v>1000098571</v>
          </cell>
          <cell r="B1529" t="str">
            <v>6202-ZTN9</v>
          </cell>
          <cell r="C1529" t="str">
            <v>H5</v>
          </cell>
          <cell r="D1529">
            <v>50</v>
          </cell>
        </row>
        <row r="1530">
          <cell r="A1530">
            <v>1000098572</v>
          </cell>
          <cell r="B1530" t="str">
            <v>6202-ZTN9/VT808</v>
          </cell>
          <cell r="C1530" t="str">
            <v>B17</v>
          </cell>
          <cell r="D1530">
            <v>50</v>
          </cell>
        </row>
        <row r="1531">
          <cell r="A1531">
            <v>1000098573</v>
          </cell>
          <cell r="B1531" t="str">
            <v>6204-RSH/C3</v>
          </cell>
          <cell r="C1531" t="str">
            <v>B17 J21 K40</v>
          </cell>
          <cell r="D1531">
            <v>61</v>
          </cell>
        </row>
        <row r="1532">
          <cell r="A1532">
            <v>1000098574</v>
          </cell>
          <cell r="B1532" t="str">
            <v>6207-RS1</v>
          </cell>
          <cell r="C1532" t="str">
            <v>B13</v>
          </cell>
          <cell r="D1532">
            <v>25</v>
          </cell>
        </row>
        <row r="1533">
          <cell r="A1533">
            <v>1000098575</v>
          </cell>
          <cell r="B1533" t="str">
            <v>6210-2RS1</v>
          </cell>
          <cell r="C1533" t="str">
            <v>B2</v>
          </cell>
          <cell r="D1533">
            <v>47</v>
          </cell>
        </row>
        <row r="1534">
          <cell r="A1534">
            <v>1000098576</v>
          </cell>
          <cell r="B1534" t="str">
            <v>6211-RS1</v>
          </cell>
          <cell r="C1534" t="str">
            <v>A10</v>
          </cell>
          <cell r="D1534">
            <v>3</v>
          </cell>
        </row>
        <row r="1535">
          <cell r="A1535">
            <v>1000098577</v>
          </cell>
          <cell r="B1535" t="str">
            <v>6217-2Z</v>
          </cell>
          <cell r="C1535" t="str">
            <v>B10</v>
          </cell>
          <cell r="D1535">
            <v>4</v>
          </cell>
        </row>
        <row r="1536">
          <cell r="A1536">
            <v>1000098578</v>
          </cell>
          <cell r="B1536" t="str">
            <v>6226/C3</v>
          </cell>
          <cell r="C1536" t="str">
            <v>F12 I8 K1</v>
          </cell>
          <cell r="D1536">
            <v>15</v>
          </cell>
        </row>
        <row r="1537">
          <cell r="A1537">
            <v>1000098579</v>
          </cell>
          <cell r="B1537" t="str">
            <v>6228/C3</v>
          </cell>
          <cell r="C1537" t="str">
            <v>I11 G13 K8 L5 M28</v>
          </cell>
          <cell r="D1537">
            <v>13</v>
          </cell>
        </row>
        <row r="1538">
          <cell r="A1538">
            <v>1000098580</v>
          </cell>
          <cell r="B1538" t="str">
            <v>629-2RSL</v>
          </cell>
          <cell r="C1538" t="str">
            <v>B5</v>
          </cell>
          <cell r="D1538">
            <v>25</v>
          </cell>
        </row>
        <row r="1539">
          <cell r="A1539">
            <v>1000098581</v>
          </cell>
          <cell r="B1539" t="str">
            <v>6305-Z/C3</v>
          </cell>
          <cell r="C1539" t="str">
            <v>B13 72</v>
          </cell>
          <cell r="D1539">
            <v>72</v>
          </cell>
        </row>
        <row r="1540">
          <cell r="A1540">
            <v>1000098582</v>
          </cell>
          <cell r="B1540" t="str">
            <v>6306 NR/C3</v>
          </cell>
          <cell r="C1540" t="str">
            <v>B13</v>
          </cell>
          <cell r="D1540">
            <v>0</v>
          </cell>
        </row>
        <row r="1541">
          <cell r="A1541">
            <v>1000098583</v>
          </cell>
          <cell r="B1541" t="str">
            <v>6306-2Z/C4WT</v>
          </cell>
          <cell r="C1541" t="str">
            <v>H3</v>
          </cell>
          <cell r="D1541">
            <v>2</v>
          </cell>
        </row>
        <row r="1542">
          <cell r="A1542">
            <v>1000098584</v>
          </cell>
          <cell r="B1542" t="str">
            <v>SKF BEARING -6307-2RS1/C3GJN</v>
          </cell>
          <cell r="C1542" t="str">
            <v>B18</v>
          </cell>
          <cell r="D1542">
            <v>2</v>
          </cell>
        </row>
        <row r="1543">
          <cell r="A1543">
            <v>1000098585</v>
          </cell>
          <cell r="B1543" t="str">
            <v>6307-Z/C3</v>
          </cell>
          <cell r="C1543" t="str">
            <v>A14</v>
          </cell>
          <cell r="D1543">
            <v>1</v>
          </cell>
        </row>
        <row r="1544">
          <cell r="A1544">
            <v>1000098586</v>
          </cell>
          <cell r="B1544" t="str">
            <v>6310-2Z/GJN</v>
          </cell>
          <cell r="C1544" t="str">
            <v>H2</v>
          </cell>
          <cell r="D1544">
            <v>2</v>
          </cell>
        </row>
        <row r="1545">
          <cell r="A1545">
            <v>1000098587</v>
          </cell>
          <cell r="B1545" t="str">
            <v>6310-2Z/VA228</v>
          </cell>
          <cell r="C1545" t="str">
            <v>G4</v>
          </cell>
          <cell r="D1545">
            <v>10</v>
          </cell>
        </row>
        <row r="1546">
          <cell r="A1546">
            <v>1000098588</v>
          </cell>
          <cell r="B1546" t="str">
            <v>6312-2Z/C3GJN</v>
          </cell>
          <cell r="C1546" t="str">
            <v>G7</v>
          </cell>
          <cell r="D1546">
            <v>2</v>
          </cell>
        </row>
        <row r="1547">
          <cell r="A1547">
            <v>1000098589</v>
          </cell>
          <cell r="B1547" t="str">
            <v>6312-RS1/C3</v>
          </cell>
          <cell r="C1547" t="str">
            <v>H5</v>
          </cell>
          <cell r="D1547">
            <v>1</v>
          </cell>
        </row>
        <row r="1548">
          <cell r="A1548">
            <v>1000098590</v>
          </cell>
          <cell r="B1548" t="str">
            <v>6314/C3VL0241</v>
          </cell>
          <cell r="C1548" t="str">
            <v>A15</v>
          </cell>
          <cell r="D1548">
            <v>2</v>
          </cell>
        </row>
        <row r="1549">
          <cell r="A1549">
            <v>1000098591</v>
          </cell>
          <cell r="B1549" t="str">
            <v>6314-2Z/C3GJN</v>
          </cell>
          <cell r="C1549" t="str">
            <v>A15</v>
          </cell>
          <cell r="D1549">
            <v>0</v>
          </cell>
        </row>
        <row r="1550">
          <cell r="A1550">
            <v>1000098592</v>
          </cell>
          <cell r="B1550" t="str">
            <v>6315/C4</v>
          </cell>
          <cell r="C1550" t="str">
            <v>B4</v>
          </cell>
          <cell r="D1550">
            <v>2</v>
          </cell>
        </row>
        <row r="1551">
          <cell r="A1551">
            <v>1000098593</v>
          </cell>
          <cell r="B1551" t="str">
            <v>6316/C4 (D1)</v>
          </cell>
          <cell r="C1551" t="str">
            <v>A15 J22 M12</v>
          </cell>
          <cell r="D1551">
            <v>1</v>
          </cell>
        </row>
        <row r="1552">
          <cell r="A1552">
            <v>1000098594</v>
          </cell>
          <cell r="B1552" t="str">
            <v>6318-2Z</v>
          </cell>
          <cell r="C1552" t="str">
            <v>A4</v>
          </cell>
          <cell r="D1552">
            <v>2</v>
          </cell>
        </row>
        <row r="1553">
          <cell r="A1553">
            <v>1000098596</v>
          </cell>
          <cell r="B1553" t="str">
            <v>6321/C3</v>
          </cell>
          <cell r="C1553" t="str">
            <v>A8</v>
          </cell>
          <cell r="D1553">
            <v>5</v>
          </cell>
        </row>
        <row r="1554">
          <cell r="A1554">
            <v>1000098597</v>
          </cell>
          <cell r="B1554" t="str">
            <v>7222 BECBP</v>
          </cell>
          <cell r="C1554" t="str">
            <v>B4 46 30R</v>
          </cell>
          <cell r="D1554">
            <v>14</v>
          </cell>
        </row>
        <row r="1555">
          <cell r="A1555">
            <v>1000098598</v>
          </cell>
          <cell r="B1555" t="str">
            <v>7224 BM</v>
          </cell>
          <cell r="C1555" t="str">
            <v>B14</v>
          </cell>
          <cell r="D1555">
            <v>1</v>
          </cell>
        </row>
        <row r="1556">
          <cell r="A1556">
            <v>1000098599</v>
          </cell>
          <cell r="B1556" t="str">
            <v>7306 BECBM (D)</v>
          </cell>
          <cell r="C1556" t="str">
            <v>B13 G16 I11 J10 K21</v>
          </cell>
          <cell r="D1556">
            <v>15</v>
          </cell>
        </row>
        <row r="1557">
          <cell r="A1557">
            <v>1000098600</v>
          </cell>
          <cell r="B1557" t="str">
            <v>SKF BEARING -7306 BECBY</v>
          </cell>
          <cell r="C1557" t="str">
            <v>E9</v>
          </cell>
          <cell r="D1557">
            <v>1</v>
          </cell>
        </row>
        <row r="1558">
          <cell r="A1558">
            <v>1000098601</v>
          </cell>
          <cell r="B1558" t="str">
            <v>7306 BEP</v>
          </cell>
          <cell r="C1558" t="str">
            <v>A14</v>
          </cell>
          <cell r="D1558">
            <v>2</v>
          </cell>
        </row>
        <row r="1559">
          <cell r="A1559">
            <v>1000098602</v>
          </cell>
          <cell r="B1559" t="str">
            <v>7309 BEGBY</v>
          </cell>
          <cell r="C1559" t="str">
            <v>H2</v>
          </cell>
          <cell r="D1559">
            <v>7</v>
          </cell>
        </row>
        <row r="1560">
          <cell r="A1560">
            <v>1000098603</v>
          </cell>
          <cell r="B1560" t="str">
            <v>7311 BEGAP</v>
          </cell>
          <cell r="C1560" t="str">
            <v>B2</v>
          </cell>
          <cell r="D1560">
            <v>2</v>
          </cell>
        </row>
        <row r="1561">
          <cell r="A1561">
            <v>1000098604</v>
          </cell>
          <cell r="B1561" t="str">
            <v>7311 BEP</v>
          </cell>
          <cell r="C1561" t="str">
            <v>M31 N2 13</v>
          </cell>
          <cell r="D1561">
            <v>29</v>
          </cell>
        </row>
        <row r="1562">
          <cell r="A1562">
            <v>1000098605</v>
          </cell>
          <cell r="B1562" t="str">
            <v>7314 BEP</v>
          </cell>
          <cell r="C1562" t="str">
            <v>G7</v>
          </cell>
          <cell r="D1562">
            <v>0</v>
          </cell>
        </row>
        <row r="1563">
          <cell r="A1563">
            <v>1000098606</v>
          </cell>
          <cell r="B1563" t="str">
            <v>7316 BEGAM</v>
          </cell>
          <cell r="C1563" t="str">
            <v>A8</v>
          </cell>
          <cell r="D1563">
            <v>2</v>
          </cell>
        </row>
        <row r="1564">
          <cell r="A1564">
            <v>1000098607</v>
          </cell>
          <cell r="B1564" t="str">
            <v>7317 BECBJ</v>
          </cell>
          <cell r="C1564" t="str">
            <v>A8</v>
          </cell>
          <cell r="D1564">
            <v>3</v>
          </cell>
        </row>
        <row r="1565">
          <cell r="A1565">
            <v>1000098608</v>
          </cell>
          <cell r="B1565" t="str">
            <v>AS 90120</v>
          </cell>
          <cell r="C1565" t="str">
            <v>A4</v>
          </cell>
          <cell r="D1565">
            <v>0</v>
          </cell>
        </row>
        <row r="1566">
          <cell r="A1566">
            <v>1000098609</v>
          </cell>
          <cell r="B1566" t="str">
            <v>AXK 1528</v>
          </cell>
          <cell r="C1566" t="str">
            <v>C5</v>
          </cell>
          <cell r="D1566">
            <v>10</v>
          </cell>
        </row>
        <row r="1567">
          <cell r="A1567">
            <v>1000098610</v>
          </cell>
          <cell r="B1567" t="str">
            <v>AXK 80105</v>
          </cell>
          <cell r="C1567" t="str">
            <v>A4</v>
          </cell>
          <cell r="D1567">
            <v>30</v>
          </cell>
        </row>
        <row r="1568">
          <cell r="A1568">
            <v>1000098612</v>
          </cell>
          <cell r="B1568" t="str">
            <v xml:space="preserve">3211 A </v>
          </cell>
          <cell r="C1568" t="str">
            <v>I4 L3 L16</v>
          </cell>
          <cell r="D1568">
            <v>8</v>
          </cell>
        </row>
        <row r="1569">
          <cell r="A1569">
            <v>1000098614</v>
          </cell>
          <cell r="B1569" t="str">
            <v>FY 1.3/4 TF</v>
          </cell>
          <cell r="C1569" t="str">
            <v>N2</v>
          </cell>
          <cell r="D1569">
            <v>1</v>
          </cell>
        </row>
        <row r="1570">
          <cell r="A1570">
            <v>1000098633</v>
          </cell>
          <cell r="B1570" t="str">
            <v>AXK 90120</v>
          </cell>
          <cell r="C1570" t="str">
            <v>A4</v>
          </cell>
          <cell r="D1570">
            <v>0</v>
          </cell>
        </row>
        <row r="1571">
          <cell r="A1571">
            <v>1000098634</v>
          </cell>
          <cell r="B1571" t="str">
            <v>BS2-2218-2RS/VT143</v>
          </cell>
          <cell r="C1571" t="str">
            <v>_</v>
          </cell>
          <cell r="D1571">
            <v>0</v>
          </cell>
        </row>
        <row r="1572">
          <cell r="A1572">
            <v>1000098636</v>
          </cell>
          <cell r="B1572" t="str">
            <v>C 2220</v>
          </cell>
          <cell r="C1572" t="str">
            <v>A13</v>
          </cell>
          <cell r="D1572">
            <v>3</v>
          </cell>
        </row>
        <row r="1573">
          <cell r="A1573">
            <v>1000098637</v>
          </cell>
          <cell r="B1573" t="str">
            <v>C 2222 K/C3</v>
          </cell>
          <cell r="C1573" t="str">
            <v>A15</v>
          </cell>
          <cell r="D1573">
            <v>1</v>
          </cell>
        </row>
        <row r="1574">
          <cell r="A1574">
            <v>1000098638</v>
          </cell>
          <cell r="B1574" t="str">
            <v>GE 110 ES</v>
          </cell>
          <cell r="C1574" t="str">
            <v>B7</v>
          </cell>
          <cell r="D1574">
            <v>2</v>
          </cell>
        </row>
        <row r="1575">
          <cell r="A1575">
            <v>1000098639</v>
          </cell>
          <cell r="B1575" t="str">
            <v>GE 120 ES-2RS</v>
          </cell>
          <cell r="C1575" t="str">
            <v>A11</v>
          </cell>
          <cell r="D1575">
            <v>2</v>
          </cell>
        </row>
        <row r="1576">
          <cell r="A1576">
            <v>1000098640</v>
          </cell>
          <cell r="B1576" t="str">
            <v>GE 45 ES</v>
          </cell>
          <cell r="C1576" t="str">
            <v>B5</v>
          </cell>
          <cell r="D1576">
            <v>6</v>
          </cell>
        </row>
        <row r="1577">
          <cell r="A1577">
            <v>1000098641</v>
          </cell>
          <cell r="B1577" t="str">
            <v>GEG 40 ES</v>
          </cell>
          <cell r="C1577" t="str">
            <v>B5</v>
          </cell>
          <cell r="D1577">
            <v>5</v>
          </cell>
        </row>
        <row r="1578">
          <cell r="A1578">
            <v>1000098642</v>
          </cell>
          <cell r="B1578" t="str">
            <v>GEH 60 ES-2RS</v>
          </cell>
          <cell r="C1578" t="str">
            <v>A10</v>
          </cell>
          <cell r="D1578">
            <v>3</v>
          </cell>
        </row>
        <row r="1579">
          <cell r="A1579">
            <v>1000098644</v>
          </cell>
          <cell r="B1579" t="str">
            <v>H 2307</v>
          </cell>
          <cell r="C1579" t="str">
            <v>J7 72</v>
          </cell>
          <cell r="D1579">
            <v>40</v>
          </cell>
        </row>
        <row r="1580">
          <cell r="A1580">
            <v>1000098645</v>
          </cell>
          <cell r="B1580" t="str">
            <v>H 2322</v>
          </cell>
          <cell r="C1580" t="str">
            <v>B14 G8</v>
          </cell>
          <cell r="D1580">
            <v>5</v>
          </cell>
        </row>
        <row r="1581">
          <cell r="A1581">
            <v>1000098646</v>
          </cell>
          <cell r="B1581" t="str">
            <v>H 3140</v>
          </cell>
          <cell r="C1581" t="str">
            <v>A18</v>
          </cell>
          <cell r="D1581">
            <v>2</v>
          </cell>
        </row>
        <row r="1582">
          <cell r="A1582">
            <v>1000098647</v>
          </cell>
          <cell r="B1582" t="str">
            <v>H 322 E</v>
          </cell>
          <cell r="C1582" t="str">
            <v>B14</v>
          </cell>
          <cell r="D1582">
            <v>2</v>
          </cell>
        </row>
        <row r="1583">
          <cell r="A1583">
            <v>1000098648</v>
          </cell>
          <cell r="B1583" t="str">
            <v>IR 90X105X35</v>
          </cell>
          <cell r="C1583" t="str">
            <v>B14 I13</v>
          </cell>
          <cell r="D1583">
            <v>167</v>
          </cell>
        </row>
        <row r="1584">
          <cell r="A1584">
            <v>1000098649</v>
          </cell>
          <cell r="B1584" t="str">
            <v>K 81106 TN</v>
          </cell>
          <cell r="C1584" t="str">
            <v>C5</v>
          </cell>
          <cell r="D1584">
            <v>2</v>
          </cell>
        </row>
        <row r="1585">
          <cell r="A1585">
            <v>1000098650</v>
          </cell>
          <cell r="B1585" t="str">
            <v>KM 15</v>
          </cell>
          <cell r="C1585" t="str">
            <v>K6 M15 57</v>
          </cell>
          <cell r="D1585">
            <v>15</v>
          </cell>
        </row>
        <row r="1586">
          <cell r="A1586">
            <v>1000098651</v>
          </cell>
          <cell r="B1586" t="str">
            <v>KM 20</v>
          </cell>
          <cell r="C1586" t="str">
            <v>B7</v>
          </cell>
          <cell r="D1586">
            <v>8</v>
          </cell>
        </row>
        <row r="1587">
          <cell r="A1587">
            <v>1000098652</v>
          </cell>
          <cell r="B1587" t="str">
            <v>KM 25</v>
          </cell>
          <cell r="C1587" t="str">
            <v>B10</v>
          </cell>
          <cell r="D1587">
            <v>0</v>
          </cell>
        </row>
        <row r="1588">
          <cell r="A1588">
            <v>1000098668</v>
          </cell>
          <cell r="B1588" t="str">
            <v xml:space="preserve">KM 30 </v>
          </cell>
          <cell r="C1588" t="str">
            <v>B7</v>
          </cell>
          <cell r="D1588">
            <v>1</v>
          </cell>
        </row>
        <row r="1589">
          <cell r="A1589">
            <v>1000098669</v>
          </cell>
          <cell r="B1589" t="str">
            <v>KM 32</v>
          </cell>
          <cell r="C1589" t="str">
            <v>B14</v>
          </cell>
          <cell r="D1589">
            <v>2</v>
          </cell>
        </row>
        <row r="1590">
          <cell r="A1590">
            <v>1000098670</v>
          </cell>
          <cell r="B1590" t="str">
            <v>KM 36</v>
          </cell>
          <cell r="C1590" t="str">
            <v>A1</v>
          </cell>
          <cell r="D1590">
            <v>79</v>
          </cell>
        </row>
        <row r="1591">
          <cell r="A1591">
            <v>1000098671</v>
          </cell>
          <cell r="B1591" t="str">
            <v>KMT 12</v>
          </cell>
          <cell r="C1591" t="str">
            <v>B18</v>
          </cell>
          <cell r="D1591">
            <v>5</v>
          </cell>
        </row>
        <row r="1592">
          <cell r="A1592">
            <v>1000098672</v>
          </cell>
          <cell r="B1592" t="str">
            <v>MB 30</v>
          </cell>
          <cell r="C1592" t="str">
            <v>C5 N2 13</v>
          </cell>
          <cell r="D1592">
            <v>67</v>
          </cell>
        </row>
        <row r="1593">
          <cell r="A1593">
            <v>1000098672</v>
          </cell>
          <cell r="B1593" t="str">
            <v xml:space="preserve"> MB 30</v>
          </cell>
          <cell r="C1593" t="str">
            <v>C5</v>
          </cell>
          <cell r="D1593">
            <v>0</v>
          </cell>
        </row>
        <row r="1594">
          <cell r="A1594">
            <v>1000098673</v>
          </cell>
          <cell r="B1594" t="str">
            <v>MB 44</v>
          </cell>
          <cell r="C1594" t="str">
            <v>C5</v>
          </cell>
          <cell r="D1594">
            <v>10</v>
          </cell>
        </row>
        <row r="1595">
          <cell r="A1595">
            <v>1000098675</v>
          </cell>
          <cell r="B1595" t="str">
            <v>N 13</v>
          </cell>
          <cell r="C1595" t="str">
            <v>78 40 2R J6</v>
          </cell>
          <cell r="D1595">
            <v>20</v>
          </cell>
        </row>
        <row r="1596">
          <cell r="A1596">
            <v>1000098676</v>
          </cell>
          <cell r="B1596" t="str">
            <v>N 218 ECP</v>
          </cell>
          <cell r="C1596" t="str">
            <v>A8</v>
          </cell>
          <cell r="D1596">
            <v>1</v>
          </cell>
        </row>
        <row r="1597">
          <cell r="A1597">
            <v>1000098677</v>
          </cell>
          <cell r="B1597" t="str">
            <v>N 316 ECM</v>
          </cell>
          <cell r="C1597" t="str">
            <v>H2</v>
          </cell>
          <cell r="D1597">
            <v>2</v>
          </cell>
        </row>
        <row r="1598">
          <cell r="A1598">
            <v>1000098684</v>
          </cell>
          <cell r="B1598" t="str">
            <v>N 316 ECM/C3</v>
          </cell>
          <cell r="C1598" t="str">
            <v>B4</v>
          </cell>
          <cell r="D1598">
            <v>2</v>
          </cell>
        </row>
        <row r="1599">
          <cell r="A1599">
            <v>1000098685</v>
          </cell>
          <cell r="B1599" t="str">
            <v>N 318 ECM</v>
          </cell>
          <cell r="C1599" t="str">
            <v>B7</v>
          </cell>
          <cell r="D1599">
            <v>1</v>
          </cell>
        </row>
        <row r="1600">
          <cell r="A1600">
            <v>1000098686</v>
          </cell>
          <cell r="B1600" t="str">
            <v>NATR 10 PPA</v>
          </cell>
          <cell r="C1600" t="str">
            <v>B7</v>
          </cell>
          <cell r="D1600">
            <v>2</v>
          </cell>
        </row>
        <row r="1601">
          <cell r="A1601">
            <v>1000098687</v>
          </cell>
          <cell r="B1601" t="str">
            <v>NATR 50 PPA</v>
          </cell>
          <cell r="C1601" t="str">
            <v>B13</v>
          </cell>
          <cell r="D1601">
            <v>2</v>
          </cell>
        </row>
        <row r="1602">
          <cell r="A1602">
            <v>1000098688</v>
          </cell>
          <cell r="B1602" t="str">
            <v>NCF 3008 CV</v>
          </cell>
          <cell r="C1602" t="str">
            <v>A14</v>
          </cell>
          <cell r="D1602">
            <v>5</v>
          </cell>
        </row>
        <row r="1603">
          <cell r="A1603">
            <v>1000098689</v>
          </cell>
          <cell r="B1603" t="str">
            <v>NCF 3020 CV/C3</v>
          </cell>
          <cell r="C1603" t="str">
            <v>H3</v>
          </cell>
          <cell r="D1603">
            <v>2</v>
          </cell>
        </row>
        <row r="1604">
          <cell r="A1604">
            <v>1000098690</v>
          </cell>
          <cell r="B1604" t="str">
            <v>NJ 208 ECJ</v>
          </cell>
          <cell r="C1604" t="str">
            <v>B13 I15 K4 J21 L16</v>
          </cell>
          <cell r="D1604">
            <v>16</v>
          </cell>
        </row>
        <row r="1605">
          <cell r="A1605">
            <v>1000098691</v>
          </cell>
          <cell r="B1605" t="str">
            <v xml:space="preserve">NJ 211 ECP/C3 </v>
          </cell>
          <cell r="C1605" t="str">
            <v>B7</v>
          </cell>
          <cell r="D1605">
            <v>2</v>
          </cell>
        </row>
        <row r="1606">
          <cell r="A1606">
            <v>1000098692</v>
          </cell>
          <cell r="B1606" t="str">
            <v>NJ 309 ECJ</v>
          </cell>
          <cell r="C1606" t="str">
            <v>B7</v>
          </cell>
          <cell r="D1606">
            <v>1</v>
          </cell>
        </row>
        <row r="1607">
          <cell r="A1607">
            <v>1000098693</v>
          </cell>
          <cell r="B1607" t="str">
            <v>NJ 313 ECP/C3</v>
          </cell>
          <cell r="C1607" t="str">
            <v>A15</v>
          </cell>
          <cell r="D1607">
            <v>2</v>
          </cell>
        </row>
        <row r="1608">
          <cell r="A1608">
            <v>1000098694</v>
          </cell>
          <cell r="B1608" t="str">
            <v>NJ 316 ECM/C4VA301</v>
          </cell>
          <cell r="C1608" t="str">
            <v>A8</v>
          </cell>
          <cell r="D1608">
            <v>2</v>
          </cell>
        </row>
        <row r="1609">
          <cell r="A1609">
            <v>1000098695</v>
          </cell>
          <cell r="B1609" t="str">
            <v>NNF 5008 ADB-2LSV</v>
          </cell>
          <cell r="C1609" t="str">
            <v>H5</v>
          </cell>
          <cell r="D1609">
            <v>5</v>
          </cell>
        </row>
        <row r="1610">
          <cell r="A1610">
            <v>1000098696</v>
          </cell>
          <cell r="B1610" t="str">
            <v>NU 207 ECP</v>
          </cell>
          <cell r="C1610" t="str">
            <v>K4</v>
          </cell>
          <cell r="D1610">
            <v>17</v>
          </cell>
        </row>
        <row r="1611">
          <cell r="A1611">
            <v>1000098697</v>
          </cell>
          <cell r="B1611" t="str">
            <v>NU 210 ECJ/C3</v>
          </cell>
          <cell r="C1611" t="str">
            <v>K32</v>
          </cell>
          <cell r="D1611">
            <v>0</v>
          </cell>
        </row>
        <row r="1612">
          <cell r="A1612">
            <v>1000098698</v>
          </cell>
          <cell r="B1612" t="str">
            <v>NU 212 ECM/C4</v>
          </cell>
          <cell r="C1612" t="str">
            <v>G4</v>
          </cell>
          <cell r="D1612">
            <v>2</v>
          </cell>
        </row>
        <row r="1613">
          <cell r="A1613">
            <v>1000098699</v>
          </cell>
          <cell r="B1613" t="str">
            <v>NU 214 ECP</v>
          </cell>
          <cell r="C1613" t="str">
            <v>A7</v>
          </cell>
          <cell r="D1613">
            <v>3</v>
          </cell>
        </row>
        <row r="1614">
          <cell r="A1614">
            <v>1000098700</v>
          </cell>
          <cell r="B1614" t="str">
            <v>NU 214 ECP/C3</v>
          </cell>
          <cell r="C1614" t="str">
            <v>G8 K5 K7 J20 M26</v>
          </cell>
          <cell r="D1614">
            <v>12</v>
          </cell>
        </row>
        <row r="1615">
          <cell r="A1615">
            <v>1000098702</v>
          </cell>
          <cell r="B1615" t="str">
            <v>NU 2206 ECP</v>
          </cell>
          <cell r="C1615" t="str">
            <v>B9 M30</v>
          </cell>
          <cell r="D1615">
            <v>10</v>
          </cell>
        </row>
        <row r="1616">
          <cell r="A1616">
            <v>1000098703</v>
          </cell>
          <cell r="B1616" t="str">
            <v>NU 2212 ECJ/C3</v>
          </cell>
          <cell r="C1616" t="str">
            <v>H3</v>
          </cell>
          <cell r="D1616">
            <v>2</v>
          </cell>
        </row>
        <row r="1617">
          <cell r="A1617">
            <v>1000098705</v>
          </cell>
          <cell r="B1617" t="str">
            <v>NU 2212 ECP</v>
          </cell>
          <cell r="C1617" t="str">
            <v>K37</v>
          </cell>
          <cell r="D1617">
            <v>10</v>
          </cell>
        </row>
        <row r="1618">
          <cell r="A1618">
            <v>1000098706</v>
          </cell>
          <cell r="B1618" t="str">
            <v>SKF BEARING -NU 2218 ECJ/C3</v>
          </cell>
          <cell r="C1618" t="str">
            <v>H6</v>
          </cell>
          <cell r="D1618">
            <v>4</v>
          </cell>
        </row>
        <row r="1619">
          <cell r="A1619">
            <v>1000098707</v>
          </cell>
          <cell r="B1619" t="str">
            <v>NU 222 ECM/C3</v>
          </cell>
          <cell r="C1619" t="str">
            <v>N2 13 M15</v>
          </cell>
          <cell r="D1619">
            <v>1</v>
          </cell>
        </row>
        <row r="1620">
          <cell r="A1620">
            <v>1000098708</v>
          </cell>
          <cell r="B1620" t="str">
            <v>NU 222 ECP</v>
          </cell>
          <cell r="C1620" t="str">
            <v>A16</v>
          </cell>
          <cell r="D1620">
            <v>2</v>
          </cell>
        </row>
        <row r="1621">
          <cell r="A1621">
            <v>1000098709</v>
          </cell>
          <cell r="B1621" t="str">
            <v>NU 2220 ECML</v>
          </cell>
          <cell r="C1621" t="str">
            <v>A13</v>
          </cell>
          <cell r="D1621">
            <v>2</v>
          </cell>
        </row>
        <row r="1622">
          <cell r="A1622">
            <v>1000098710</v>
          </cell>
          <cell r="B1622" t="str">
            <v>NU 317 ECJ</v>
          </cell>
          <cell r="C1622" t="str">
            <v>B12 F1 I17 K7 L10 M12</v>
          </cell>
          <cell r="D1622">
            <v>14</v>
          </cell>
        </row>
        <row r="1623">
          <cell r="A1623">
            <v>1000098711</v>
          </cell>
          <cell r="B1623" t="str">
            <v>NU 317 ECM</v>
          </cell>
          <cell r="C1623" t="str">
            <v>B12</v>
          </cell>
          <cell r="D1623">
            <v>2</v>
          </cell>
        </row>
        <row r="1624">
          <cell r="A1624">
            <v>1000098712</v>
          </cell>
          <cell r="B1624" t="str">
            <v>NU 317 ECM/C3</v>
          </cell>
          <cell r="C1624" t="str">
            <v>A13</v>
          </cell>
          <cell r="D1624">
            <v>0</v>
          </cell>
        </row>
        <row r="1625">
          <cell r="A1625">
            <v>1000098713</v>
          </cell>
          <cell r="B1625" t="str">
            <v>NU 321 ECJ/C3</v>
          </cell>
          <cell r="C1625" t="str">
            <v>B8</v>
          </cell>
          <cell r="D1625">
            <v>2</v>
          </cell>
        </row>
        <row r="1626">
          <cell r="A1626">
            <v>1000098714</v>
          </cell>
          <cell r="B1626" t="str">
            <v>NU 322 ECJ/C3</v>
          </cell>
          <cell r="C1626" t="str">
            <v>M6</v>
          </cell>
          <cell r="D1626">
            <v>1</v>
          </cell>
        </row>
        <row r="1627">
          <cell r="A1627">
            <v>1000098715</v>
          </cell>
          <cell r="B1627" t="str">
            <v>NU 322 ECML/C3B20</v>
          </cell>
          <cell r="C1627" t="str">
            <v>A18 K4</v>
          </cell>
          <cell r="D1627">
            <v>3</v>
          </cell>
        </row>
        <row r="1628">
          <cell r="A1628">
            <v>1000098716</v>
          </cell>
          <cell r="B1628" t="str">
            <v>NU 324 ECM</v>
          </cell>
          <cell r="C1628" t="str">
            <v>N4 46 30R 11</v>
          </cell>
          <cell r="D1628">
            <v>5</v>
          </cell>
        </row>
        <row r="1629">
          <cell r="A1629">
            <v>1000098717</v>
          </cell>
          <cell r="B1629" t="str">
            <v>NUP 2212 ECJ</v>
          </cell>
          <cell r="C1629" t="str">
            <v>B2</v>
          </cell>
          <cell r="D1629">
            <v>2</v>
          </cell>
        </row>
        <row r="1630">
          <cell r="A1630">
            <v>1000098718</v>
          </cell>
          <cell r="B1630" t="str">
            <v>NUP 2212 ECP</v>
          </cell>
          <cell r="C1630" t="str">
            <v>G4</v>
          </cell>
          <cell r="D1630">
            <v>2</v>
          </cell>
        </row>
        <row r="1631">
          <cell r="A1631">
            <v>1000098720</v>
          </cell>
          <cell r="B1631" t="str">
            <v>NUP 224 ECJ</v>
          </cell>
          <cell r="C1631" t="str">
            <v>G10</v>
          </cell>
          <cell r="D1631">
            <v>0</v>
          </cell>
        </row>
        <row r="1632">
          <cell r="A1632">
            <v>1000098722</v>
          </cell>
          <cell r="B1632" t="str">
            <v>NUTR 50110 X</v>
          </cell>
          <cell r="C1632" t="str">
            <v>B8</v>
          </cell>
          <cell r="D1632">
            <v>3</v>
          </cell>
        </row>
        <row r="1633">
          <cell r="A1633">
            <v>1000098723</v>
          </cell>
          <cell r="B1633" t="str">
            <v>QJ 211 MA</v>
          </cell>
          <cell r="C1633" t="str">
            <v>_</v>
          </cell>
          <cell r="D1633">
            <v>0</v>
          </cell>
        </row>
        <row r="1634">
          <cell r="A1634">
            <v>1000098724</v>
          </cell>
          <cell r="B1634" t="str">
            <v>QJ 217 N2MA/C3</v>
          </cell>
          <cell r="C1634" t="str">
            <v>H2</v>
          </cell>
          <cell r="D1634">
            <v>1</v>
          </cell>
        </row>
        <row r="1635">
          <cell r="A1635">
            <v>1000098725</v>
          </cell>
          <cell r="B1635" t="str">
            <v>QJ 306 MA</v>
          </cell>
          <cell r="C1635" t="str">
            <v>B13</v>
          </cell>
          <cell r="D1635">
            <v>1</v>
          </cell>
        </row>
        <row r="1636">
          <cell r="A1636">
            <v>1000098726</v>
          </cell>
          <cell r="B1636" t="str">
            <v>QJ 311 MA</v>
          </cell>
          <cell r="C1636" t="str">
            <v>A14</v>
          </cell>
          <cell r="D1636">
            <v>18</v>
          </cell>
        </row>
        <row r="1637">
          <cell r="A1637">
            <v>1000098727</v>
          </cell>
          <cell r="B1637" t="str">
            <v>SNL 513-611</v>
          </cell>
          <cell r="C1637" t="str">
            <v>O2 8 53</v>
          </cell>
          <cell r="D1637">
            <v>26</v>
          </cell>
        </row>
        <row r="1638">
          <cell r="A1638">
            <v>1000098728</v>
          </cell>
          <cell r="B1638" t="str">
            <v>SY 40 FM</v>
          </cell>
          <cell r="C1638" t="str">
            <v>G5</v>
          </cell>
          <cell r="D1638">
            <v>2</v>
          </cell>
        </row>
        <row r="1639">
          <cell r="A1639">
            <v>1000098729</v>
          </cell>
          <cell r="B1639" t="str">
            <v>SY 45 TF</v>
          </cell>
          <cell r="C1639" t="str">
            <v>G8 J13</v>
          </cell>
          <cell r="D1639">
            <v>23</v>
          </cell>
        </row>
        <row r="1640">
          <cell r="A1640">
            <v>1000098730</v>
          </cell>
          <cell r="B1640" t="str">
            <v>SY 50 FM</v>
          </cell>
          <cell r="C1640" t="str">
            <v>A3</v>
          </cell>
          <cell r="D1640">
            <v>6</v>
          </cell>
        </row>
        <row r="1641">
          <cell r="A1641">
            <v>1000098731</v>
          </cell>
          <cell r="B1641" t="str">
            <v>W 14</v>
          </cell>
          <cell r="C1641" t="str">
            <v>B18 K35</v>
          </cell>
          <cell r="D1641">
            <v>32</v>
          </cell>
        </row>
        <row r="1642">
          <cell r="A1642">
            <v>1000098732</v>
          </cell>
          <cell r="B1642" t="str">
            <v xml:space="preserve">W 22 </v>
          </cell>
          <cell r="C1642" t="str">
            <v>A6</v>
          </cell>
          <cell r="D1642">
            <v>7</v>
          </cell>
        </row>
        <row r="1643">
          <cell r="A1643">
            <v>1000098734</v>
          </cell>
          <cell r="B1643" t="str">
            <v>YAR 204-2F</v>
          </cell>
          <cell r="C1643" t="str">
            <v>G4</v>
          </cell>
          <cell r="D1643">
            <v>3</v>
          </cell>
        </row>
        <row r="1644">
          <cell r="A1644">
            <v>1000098735</v>
          </cell>
          <cell r="B1644" t="str">
            <v>YAR 212-2F</v>
          </cell>
          <cell r="C1644" t="str">
            <v>G4</v>
          </cell>
          <cell r="D1644">
            <v>2</v>
          </cell>
        </row>
        <row r="1645">
          <cell r="A1645">
            <v>1000098736</v>
          </cell>
          <cell r="B1645" t="str">
            <v>YEL 205-2F</v>
          </cell>
          <cell r="C1645" t="str">
            <v>B13</v>
          </cell>
          <cell r="D1645">
            <v>2</v>
          </cell>
        </row>
        <row r="1646">
          <cell r="A1646">
            <v>1000098737</v>
          </cell>
          <cell r="B1646" t="str">
            <v>YET 210</v>
          </cell>
          <cell r="C1646" t="str">
            <v>A7</v>
          </cell>
          <cell r="D1646">
            <v>2</v>
          </cell>
        </row>
        <row r="1647">
          <cell r="A1647">
            <v>1000098738</v>
          </cell>
          <cell r="B1647" t="str">
            <v>YSA 207-2FK</v>
          </cell>
          <cell r="C1647" t="str">
            <v>B5</v>
          </cell>
          <cell r="D1647">
            <v>20</v>
          </cell>
        </row>
        <row r="1648">
          <cell r="A1648">
            <v>1000098739</v>
          </cell>
          <cell r="B1648" t="str">
            <v>23052 CC/C3W33</v>
          </cell>
          <cell r="C1648" t="str">
            <v>MECDOWN</v>
          </cell>
          <cell r="D1648">
            <v>1</v>
          </cell>
        </row>
        <row r="1649">
          <cell r="A1649">
            <v>1000098740</v>
          </cell>
          <cell r="B1649" t="str">
            <v>23136 CC/W33</v>
          </cell>
          <cell r="C1649">
            <v>38</v>
          </cell>
          <cell r="D1649">
            <v>1</v>
          </cell>
        </row>
        <row r="1650">
          <cell r="A1650">
            <v>1000098741</v>
          </cell>
          <cell r="B1650" t="str">
            <v>23138 CC/W33</v>
          </cell>
          <cell r="C1650" t="str">
            <v>MDOWN FDOWN HDOWN</v>
          </cell>
          <cell r="D1650">
            <v>5</v>
          </cell>
        </row>
        <row r="1651">
          <cell r="A1651">
            <v>1000098742</v>
          </cell>
          <cell r="B1651" t="str">
            <v>24052 CC/W33</v>
          </cell>
          <cell r="C1651" t="str">
            <v>SKF3</v>
          </cell>
          <cell r="D1651">
            <v>3</v>
          </cell>
        </row>
        <row r="1652">
          <cell r="A1652">
            <v>1000098743</v>
          </cell>
          <cell r="B1652" t="str">
            <v>32044 X</v>
          </cell>
          <cell r="C1652" t="str">
            <v>G1</v>
          </cell>
          <cell r="D1652">
            <v>1</v>
          </cell>
        </row>
        <row r="1653">
          <cell r="A1653">
            <v>1000098744</v>
          </cell>
          <cell r="B1653" t="str">
            <v>NU 1044 ML</v>
          </cell>
          <cell r="C1653" t="str">
            <v>B10 H6</v>
          </cell>
          <cell r="D1653">
            <v>2</v>
          </cell>
        </row>
        <row r="1654">
          <cell r="A1654">
            <v>1000098745</v>
          </cell>
          <cell r="B1654">
            <v>32230</v>
          </cell>
          <cell r="C1654" t="str">
            <v>F10 K23</v>
          </cell>
          <cell r="D1654">
            <v>17</v>
          </cell>
        </row>
        <row r="1655">
          <cell r="A1655">
            <v>1000098746</v>
          </cell>
          <cell r="B1655" t="str">
            <v>23960 CC/W33 (D1)</v>
          </cell>
          <cell r="C1655" t="str">
            <v>SKF3 SKF5</v>
          </cell>
          <cell r="D1655">
            <v>21</v>
          </cell>
        </row>
        <row r="1656">
          <cell r="A1656">
            <v>1000098747</v>
          </cell>
          <cell r="B1656" t="str">
            <v>6226/C3VL0241</v>
          </cell>
          <cell r="C1656" t="str">
            <v xml:space="preserve">H4 I18 M24 </v>
          </cell>
          <cell r="D1656">
            <v>7</v>
          </cell>
        </row>
        <row r="1657">
          <cell r="A1657">
            <v>1000098753</v>
          </cell>
          <cell r="B1657" t="str">
            <v xml:space="preserve">22313 EK </v>
          </cell>
          <cell r="C1657" t="str">
            <v>I6 J10 L3 M9 72</v>
          </cell>
          <cell r="D1657">
            <v>27</v>
          </cell>
        </row>
        <row r="1658">
          <cell r="A1658">
            <v>1000098758</v>
          </cell>
          <cell r="B1658" t="str">
            <v>AN 15</v>
          </cell>
          <cell r="C1658" t="str">
            <v>C5</v>
          </cell>
          <cell r="D1658">
            <v>14</v>
          </cell>
        </row>
        <row r="1659">
          <cell r="A1659">
            <v>1000098761</v>
          </cell>
          <cell r="B1659" t="str">
            <v>NU 2215 ECP/C3 (D1)</v>
          </cell>
          <cell r="C1659" t="str">
            <v>B10</v>
          </cell>
          <cell r="D1659">
            <v>0</v>
          </cell>
        </row>
        <row r="1660">
          <cell r="A1660">
            <v>1000098763</v>
          </cell>
          <cell r="B1660" t="str">
            <v>KM 12</v>
          </cell>
          <cell r="C1660" t="str">
            <v>J6 56R</v>
          </cell>
          <cell r="D1660">
            <v>61</v>
          </cell>
        </row>
        <row r="1661">
          <cell r="A1661">
            <v>1000098764</v>
          </cell>
          <cell r="B1661" t="str">
            <v>MB 12</v>
          </cell>
          <cell r="C1661" t="str">
            <v>K35 M26 74  66R</v>
          </cell>
          <cell r="D1661">
            <v>220</v>
          </cell>
        </row>
        <row r="1662">
          <cell r="A1662">
            <v>1000098771</v>
          </cell>
          <cell r="B1662" t="str">
            <v>6024-Z/C3</v>
          </cell>
          <cell r="C1662" t="str">
            <v>H6</v>
          </cell>
          <cell r="D1662">
            <v>3</v>
          </cell>
        </row>
        <row r="1663">
          <cell r="A1663">
            <v>1000098829</v>
          </cell>
          <cell r="B1663" t="str">
            <v xml:space="preserve">AHX 3122 </v>
          </cell>
          <cell r="C1663" t="str">
            <v>K38</v>
          </cell>
          <cell r="D1663">
            <v>1</v>
          </cell>
        </row>
        <row r="1664">
          <cell r="A1664">
            <v>1000098890</v>
          </cell>
          <cell r="B1664" t="str">
            <v xml:space="preserve">6203/C3 </v>
          </cell>
          <cell r="C1664" t="str">
            <v>K38 57</v>
          </cell>
          <cell r="D1664">
            <v>7</v>
          </cell>
        </row>
        <row r="1665">
          <cell r="A1665">
            <v>1000098983</v>
          </cell>
          <cell r="B1665" t="str">
            <v xml:space="preserve">NJ 2311 ECP/C4 </v>
          </cell>
          <cell r="C1665" t="str">
            <v>L9</v>
          </cell>
          <cell r="D1665">
            <v>0</v>
          </cell>
        </row>
        <row r="1666">
          <cell r="A1666">
            <v>1000099024</v>
          </cell>
          <cell r="B1666" t="str">
            <v xml:space="preserve">MB 48 </v>
          </cell>
          <cell r="C1666" t="str">
            <v>H3</v>
          </cell>
          <cell r="D1666">
            <v>1</v>
          </cell>
        </row>
        <row r="1667">
          <cell r="A1667">
            <v>1000099106</v>
          </cell>
          <cell r="B1667" t="str">
            <v xml:space="preserve">6236 M/C3 </v>
          </cell>
          <cell r="C1667" t="str">
            <v>K8</v>
          </cell>
          <cell r="D1667">
            <v>2</v>
          </cell>
        </row>
        <row r="1668">
          <cell r="A1668">
            <v>1000099124</v>
          </cell>
          <cell r="B1668" t="str">
            <v>SKF BEARING:PN:201141644; Model:NU 1040 M</v>
          </cell>
          <cell r="C1668" t="str">
            <v>K36 M DOUN</v>
          </cell>
          <cell r="D1668">
            <v>18</v>
          </cell>
        </row>
        <row r="1669">
          <cell r="A1669">
            <v>1000099126</v>
          </cell>
          <cell r="B1669" t="str">
            <v xml:space="preserve">201034244; Model:22232 CC/W33 </v>
          </cell>
          <cell r="C1669" t="str">
            <v>32 F4</v>
          </cell>
          <cell r="D1669">
            <v>6</v>
          </cell>
        </row>
        <row r="1670">
          <cell r="A1670">
            <v>1000099142</v>
          </cell>
          <cell r="B1670" t="str">
            <v xml:space="preserve">6032/C3 </v>
          </cell>
          <cell r="C1670" t="str">
            <v>L5</v>
          </cell>
          <cell r="D1670">
            <v>2</v>
          </cell>
        </row>
        <row r="1671">
          <cell r="A1671">
            <v>1000099166</v>
          </cell>
          <cell r="B1671" t="str">
            <v xml:space="preserve">SNL 524-620 </v>
          </cell>
          <cell r="C1671" t="str">
            <v>O4</v>
          </cell>
          <cell r="D1671">
            <v>2</v>
          </cell>
        </row>
        <row r="1672">
          <cell r="A1672"/>
          <cell r="B1672"/>
          <cell r="C1672"/>
          <cell r="D1672"/>
        </row>
        <row r="1673">
          <cell r="A1673">
            <v>1000099220</v>
          </cell>
          <cell r="B1673" t="str">
            <v xml:space="preserve">NJ 2318 ECJ </v>
          </cell>
          <cell r="C1673" t="str">
            <v>I6</v>
          </cell>
          <cell r="D1673">
            <v>2</v>
          </cell>
        </row>
        <row r="1674">
          <cell r="A1674">
            <v>1000099258</v>
          </cell>
          <cell r="B1674" t="str">
            <v xml:space="preserve">N 313 ECM/C3 </v>
          </cell>
          <cell r="C1674" t="str">
            <v>71R</v>
          </cell>
          <cell r="D1674">
            <v>2</v>
          </cell>
        </row>
        <row r="1675">
          <cell r="A1675">
            <v>1000099259</v>
          </cell>
          <cell r="B1675" t="str">
            <v xml:space="preserve">TU 50 TF </v>
          </cell>
          <cell r="C1675" t="str">
            <v>I16</v>
          </cell>
          <cell r="D1675">
            <v>13</v>
          </cell>
        </row>
        <row r="1676">
          <cell r="A1676">
            <v>1000099265</v>
          </cell>
          <cell r="B1676" t="str">
            <v xml:space="preserve">29412 E </v>
          </cell>
          <cell r="C1676" t="str">
            <v>I9</v>
          </cell>
          <cell r="D1676">
            <v>6</v>
          </cell>
        </row>
        <row r="1677">
          <cell r="A1677">
            <v>1000099285</v>
          </cell>
          <cell r="B1677" t="str">
            <v xml:space="preserve">NA 4910 </v>
          </cell>
          <cell r="C1677" t="str">
            <v>L16</v>
          </cell>
          <cell r="D1677">
            <v>1</v>
          </cell>
        </row>
        <row r="1678">
          <cell r="A1678">
            <v>1000099286</v>
          </cell>
          <cell r="B1678" t="str">
            <v xml:space="preserve">NUP 217 ECP </v>
          </cell>
          <cell r="C1678" t="str">
            <v>K3</v>
          </cell>
          <cell r="D1678">
            <v>1</v>
          </cell>
        </row>
        <row r="1679">
          <cell r="A1679">
            <v>1000099287</v>
          </cell>
          <cell r="B1679" t="str">
            <v xml:space="preserve">TSN 220 L (X2) </v>
          </cell>
          <cell r="C1679" t="str">
            <v>H1</v>
          </cell>
          <cell r="D1679">
            <v>0</v>
          </cell>
        </row>
        <row r="1680">
          <cell r="A1680">
            <v>1000099336</v>
          </cell>
          <cell r="B1680" t="str">
            <v xml:space="preserve"> 31312/DF </v>
          </cell>
          <cell r="C1680" t="str">
            <v>J20</v>
          </cell>
          <cell r="D1680">
            <v>1</v>
          </cell>
        </row>
        <row r="1681">
          <cell r="A1681">
            <v>1000099379</v>
          </cell>
          <cell r="B1681" t="str">
            <v xml:space="preserve">SYF 45 TF </v>
          </cell>
          <cell r="C1681" t="str">
            <v>J24</v>
          </cell>
          <cell r="D1681">
            <v>1</v>
          </cell>
        </row>
        <row r="1682">
          <cell r="A1682">
            <v>1000099381</v>
          </cell>
          <cell r="B1682" t="str">
            <v xml:space="preserve">W 15 </v>
          </cell>
          <cell r="C1682" t="str">
            <v>B7</v>
          </cell>
          <cell r="D1682">
            <v>7</v>
          </cell>
        </row>
        <row r="1683">
          <cell r="A1683">
            <v>1000099425</v>
          </cell>
          <cell r="B1683" t="str">
            <v xml:space="preserve">7409 BGM </v>
          </cell>
          <cell r="C1683" t="str">
            <v>F9 F15 I9 J20 K20 L15</v>
          </cell>
          <cell r="D1683">
            <v>31</v>
          </cell>
        </row>
        <row r="1684">
          <cell r="A1684">
            <v>1000099431</v>
          </cell>
          <cell r="B1684" t="str">
            <v xml:space="preserve">TSN 517 C </v>
          </cell>
          <cell r="C1684" t="str">
            <v>A2 72</v>
          </cell>
          <cell r="D1684">
            <v>69</v>
          </cell>
        </row>
        <row r="1685">
          <cell r="A1685">
            <v>1000099434</v>
          </cell>
          <cell r="B1685" t="str">
            <v xml:space="preserve">SKF BEARINGS - Model No. 1206 ETN9 </v>
          </cell>
          <cell r="C1685" t="str">
            <v>I3</v>
          </cell>
          <cell r="D1685">
            <v>3</v>
          </cell>
        </row>
        <row r="1686">
          <cell r="A1686">
            <v>1000099436</v>
          </cell>
          <cell r="B1686" t="str">
            <v xml:space="preserve"> TKBA 10 </v>
          </cell>
          <cell r="C1686" t="str">
            <v>_</v>
          </cell>
          <cell r="D1686">
            <v>0</v>
          </cell>
        </row>
        <row r="1687">
          <cell r="A1687">
            <v>1000099470</v>
          </cell>
          <cell r="B1687" t="str">
            <v xml:space="preserve">TMMA 60 </v>
          </cell>
          <cell r="C1687" t="str">
            <v>_</v>
          </cell>
          <cell r="D1687">
            <v>0</v>
          </cell>
        </row>
        <row r="1688">
          <cell r="A1688">
            <v>1000099488</v>
          </cell>
          <cell r="B1688" t="str">
            <v xml:space="preserve">1209 EKTN9 </v>
          </cell>
          <cell r="C1688" t="str">
            <v>N1 7</v>
          </cell>
          <cell r="D1688">
            <v>5</v>
          </cell>
        </row>
        <row r="1689">
          <cell r="A1689">
            <v>1000099493</v>
          </cell>
          <cell r="B1689" t="str">
            <v xml:space="preserve">3306 A </v>
          </cell>
          <cell r="C1689" t="str">
            <v>K22 M10 35R 71R 75</v>
          </cell>
          <cell r="D1689">
            <v>171</v>
          </cell>
        </row>
        <row r="1690">
          <cell r="A1690">
            <v>1000099505</v>
          </cell>
          <cell r="B1690">
            <v>6200</v>
          </cell>
          <cell r="C1690" t="str">
            <v>H9</v>
          </cell>
          <cell r="D1690">
            <v>29</v>
          </cell>
        </row>
        <row r="1691">
          <cell r="A1691">
            <v>1000099506</v>
          </cell>
          <cell r="B1691">
            <v>32304</v>
          </cell>
          <cell r="C1691" t="str">
            <v>I2</v>
          </cell>
          <cell r="D1691">
            <v>7</v>
          </cell>
        </row>
        <row r="1692">
          <cell r="A1692">
            <v>1000099507</v>
          </cell>
          <cell r="B1692" t="str">
            <v xml:space="preserve">6207-2RS1K </v>
          </cell>
          <cell r="C1692" t="str">
            <v>I15</v>
          </cell>
          <cell r="D1692">
            <v>1</v>
          </cell>
        </row>
        <row r="1693">
          <cell r="A1693">
            <v>1000099558</v>
          </cell>
          <cell r="B1693" t="str">
            <v xml:space="preserve">6313-Z </v>
          </cell>
          <cell r="C1693" t="str">
            <v>I5 I17 L16</v>
          </cell>
          <cell r="D1693">
            <v>12</v>
          </cell>
        </row>
        <row r="1694">
          <cell r="A1694">
            <v>1000099586</v>
          </cell>
          <cell r="B1694" t="str">
            <v xml:space="preserve">29434E </v>
          </cell>
          <cell r="C1694" t="str">
            <v>HDOWN</v>
          </cell>
          <cell r="D1694">
            <v>4</v>
          </cell>
        </row>
        <row r="1695">
          <cell r="A1695">
            <v>1000099633</v>
          </cell>
          <cell r="B1695" t="str">
            <v xml:space="preserve">C 2216/C3 </v>
          </cell>
          <cell r="C1695" t="str">
            <v>I3</v>
          </cell>
          <cell r="D1695">
            <v>1</v>
          </cell>
        </row>
        <row r="1696">
          <cell r="A1696">
            <v>1000099634</v>
          </cell>
          <cell r="B1696" t="str">
            <v xml:space="preserve">2307 EKTN9/C3 </v>
          </cell>
          <cell r="C1696" t="str">
            <v>K39 K40 L16</v>
          </cell>
          <cell r="D1696">
            <v>25</v>
          </cell>
        </row>
        <row r="1697">
          <cell r="A1697">
            <v>1000099692</v>
          </cell>
          <cell r="B1697" t="str">
            <v xml:space="preserve">23230 CC/C3W33 </v>
          </cell>
          <cell r="C1697" t="str">
            <v>F8</v>
          </cell>
          <cell r="D1697">
            <v>1</v>
          </cell>
        </row>
        <row r="1698">
          <cell r="A1698">
            <v>1000099723</v>
          </cell>
          <cell r="B1698" t="str">
            <v>AN 22</v>
          </cell>
          <cell r="C1698" t="str">
            <v>N2 13</v>
          </cell>
          <cell r="D1698">
            <v>1</v>
          </cell>
        </row>
        <row r="1699">
          <cell r="A1699">
            <v>1000099724</v>
          </cell>
          <cell r="B1699" t="str">
            <v xml:space="preserve">6210 NR </v>
          </cell>
          <cell r="C1699" t="str">
            <v>L8</v>
          </cell>
          <cell r="D1699">
            <v>5</v>
          </cell>
        </row>
        <row r="1700">
          <cell r="A1700">
            <v>1000099812</v>
          </cell>
          <cell r="B1700" t="str">
            <v xml:space="preserve">HK 1015 </v>
          </cell>
          <cell r="C1700" t="str">
            <v>H3 L16</v>
          </cell>
          <cell r="D1700">
            <v>7</v>
          </cell>
        </row>
        <row r="1701">
          <cell r="A1701">
            <v>1000099842</v>
          </cell>
          <cell r="B1701" t="str">
            <v xml:space="preserve">SEAL:Z010 </v>
          </cell>
          <cell r="C1701" t="str">
            <v>H4</v>
          </cell>
          <cell r="D1701">
            <v>23</v>
          </cell>
        </row>
        <row r="1702">
          <cell r="A1702">
            <v>1000099948</v>
          </cell>
          <cell r="B1702">
            <v>30305</v>
          </cell>
          <cell r="C1702" t="str">
            <v>_</v>
          </cell>
          <cell r="D1702">
            <v>0</v>
          </cell>
        </row>
        <row r="1703">
          <cell r="A1703">
            <v>1000099969</v>
          </cell>
          <cell r="B1703" t="str">
            <v xml:space="preserve">6215/C4 </v>
          </cell>
          <cell r="C1703" t="str">
            <v>G6</v>
          </cell>
          <cell r="D1703">
            <v>0</v>
          </cell>
        </row>
        <row r="1704">
          <cell r="A1704">
            <v>1000100028</v>
          </cell>
          <cell r="B1704" t="str">
            <v xml:space="preserve">6214-2Z </v>
          </cell>
          <cell r="C1704" t="str">
            <v>J3</v>
          </cell>
          <cell r="D1704">
            <v>20</v>
          </cell>
        </row>
        <row r="1705">
          <cell r="A1705">
            <v>1000100153</v>
          </cell>
          <cell r="B1705" t="str">
            <v xml:space="preserve">21308 E </v>
          </cell>
          <cell r="C1705" t="str">
            <v>I15</v>
          </cell>
          <cell r="D1705">
            <v>21</v>
          </cell>
        </row>
        <row r="1706">
          <cell r="A1706">
            <v>1000100201</v>
          </cell>
          <cell r="B1706" t="str">
            <v xml:space="preserve">MB 7 </v>
          </cell>
          <cell r="C1706" t="str">
            <v>E3</v>
          </cell>
          <cell r="D1706">
            <v>127</v>
          </cell>
        </row>
        <row r="1707">
          <cell r="A1707">
            <v>1000100235</v>
          </cell>
          <cell r="B1707" t="str">
            <v>FS 190</v>
          </cell>
          <cell r="C1707" t="str">
            <v>E1</v>
          </cell>
          <cell r="D1707">
            <v>93</v>
          </cell>
        </row>
        <row r="1708">
          <cell r="A1708">
            <v>1000100237</v>
          </cell>
          <cell r="B1708" t="str">
            <v xml:space="preserve">MB 8 </v>
          </cell>
          <cell r="C1708" t="str">
            <v>L12</v>
          </cell>
          <cell r="D1708">
            <v>104</v>
          </cell>
        </row>
        <row r="1709">
          <cell r="A1709">
            <v>1000100241</v>
          </cell>
          <cell r="B1709" t="str">
            <v xml:space="preserve">AXK 100135 </v>
          </cell>
          <cell r="C1709" t="str">
            <v>E3 K11</v>
          </cell>
          <cell r="D1709">
            <v>15</v>
          </cell>
        </row>
        <row r="1710">
          <cell r="A1710">
            <v>1000100242</v>
          </cell>
          <cell r="B1710" t="str">
            <v xml:space="preserve">NU 2311 ECML </v>
          </cell>
          <cell r="C1710" t="str">
            <v>K20</v>
          </cell>
          <cell r="D1710">
            <v>2</v>
          </cell>
        </row>
        <row r="1711">
          <cell r="A1711">
            <v>1000100243</v>
          </cell>
          <cell r="B1711" t="str">
            <v xml:space="preserve">N 312 ECM </v>
          </cell>
          <cell r="C1711" t="str">
            <v>K14</v>
          </cell>
          <cell r="D1711">
            <v>0</v>
          </cell>
        </row>
        <row r="1712">
          <cell r="A1712">
            <v>1000100280</v>
          </cell>
          <cell r="B1712" t="str">
            <v xml:space="preserve">SY 50 WF </v>
          </cell>
          <cell r="C1712" t="str">
            <v>K20</v>
          </cell>
          <cell r="D1712">
            <v>11</v>
          </cell>
        </row>
        <row r="1713">
          <cell r="A1713">
            <v>1000100304</v>
          </cell>
          <cell r="B1713" t="str">
            <v>3309 ATN9</v>
          </cell>
          <cell r="C1713" t="str">
            <v>I1</v>
          </cell>
          <cell r="D1713">
            <v>2</v>
          </cell>
        </row>
        <row r="1714">
          <cell r="A1714">
            <v>1000100305</v>
          </cell>
          <cell r="B1714" t="str">
            <v>NJ 308 ECP</v>
          </cell>
          <cell r="C1714" t="str">
            <v>F9</v>
          </cell>
          <cell r="D1714">
            <v>2</v>
          </cell>
        </row>
        <row r="1715">
          <cell r="A1715">
            <v>1000100306</v>
          </cell>
          <cell r="B1715" t="str">
            <v xml:space="preserve">22318 E/C3 </v>
          </cell>
          <cell r="C1715" t="str">
            <v>K3</v>
          </cell>
          <cell r="D1715">
            <v>0</v>
          </cell>
        </row>
        <row r="1716">
          <cell r="A1716">
            <v>1000100307</v>
          </cell>
          <cell r="B1716" t="str">
            <v>29326 E</v>
          </cell>
          <cell r="C1716" t="str">
            <v>I5 J23</v>
          </cell>
          <cell r="D1716">
            <v>4</v>
          </cell>
        </row>
        <row r="1717">
          <cell r="A1717">
            <v>1000100308</v>
          </cell>
          <cell r="B1717" t="str">
            <v>SY 510 M</v>
          </cell>
          <cell r="C1717" t="str">
            <v>K8</v>
          </cell>
          <cell r="D1717">
            <v>2</v>
          </cell>
        </row>
        <row r="1718">
          <cell r="A1718">
            <v>1000100309</v>
          </cell>
          <cell r="B1718" t="str">
            <v>3214 A/C3</v>
          </cell>
          <cell r="C1718" t="str">
            <v>L4 M12 M23</v>
          </cell>
          <cell r="D1718">
            <v>4</v>
          </cell>
        </row>
        <row r="1719">
          <cell r="A1719">
            <v>1000100310</v>
          </cell>
          <cell r="B1719">
            <v>51122</v>
          </cell>
          <cell r="C1719" t="str">
            <v>F9</v>
          </cell>
          <cell r="D1719">
            <v>2</v>
          </cell>
        </row>
        <row r="1720">
          <cell r="A1720">
            <v>1000100311</v>
          </cell>
          <cell r="B1720" t="str">
            <v xml:space="preserve">FRB 10/110 </v>
          </cell>
          <cell r="C1720" t="str">
            <v>C5</v>
          </cell>
          <cell r="D1720">
            <v>12</v>
          </cell>
        </row>
        <row r="1721">
          <cell r="A1721">
            <v>1000100312</v>
          </cell>
          <cell r="B1721" t="str">
            <v xml:space="preserve">6232 M/C3 </v>
          </cell>
          <cell r="C1721" t="str">
            <v>I18</v>
          </cell>
          <cell r="D1721">
            <v>1</v>
          </cell>
        </row>
        <row r="1722">
          <cell r="A1722">
            <v>1000100313</v>
          </cell>
          <cell r="B1722" t="str">
            <v>6328 M/C3</v>
          </cell>
          <cell r="C1722" t="str">
            <v>J2 K13 K8 J18 K25</v>
          </cell>
          <cell r="D1722">
            <v>7</v>
          </cell>
        </row>
        <row r="1723">
          <cell r="A1723">
            <v>1000100314</v>
          </cell>
          <cell r="B1723" t="str">
            <v xml:space="preserve">NUP 218 ECP </v>
          </cell>
          <cell r="C1723" t="str">
            <v>I9 K2 K26 K37</v>
          </cell>
          <cell r="D1723">
            <v>21</v>
          </cell>
        </row>
        <row r="1724">
          <cell r="A1724">
            <v>1000100315</v>
          </cell>
          <cell r="B1724" t="str">
            <v>6315-Z/C3</v>
          </cell>
          <cell r="C1724" t="str">
            <v>F13</v>
          </cell>
          <cell r="D1724">
            <v>10</v>
          </cell>
        </row>
        <row r="1725">
          <cell r="A1725">
            <v>1000100316</v>
          </cell>
          <cell r="B1725" t="str">
            <v xml:space="preserve">MB 22 </v>
          </cell>
          <cell r="C1725" t="str">
            <v>C5</v>
          </cell>
          <cell r="D1725">
            <v>2</v>
          </cell>
        </row>
        <row r="1726">
          <cell r="A1726">
            <v>1000100317</v>
          </cell>
          <cell r="B1726" t="str">
            <v xml:space="preserve">1319 K </v>
          </cell>
          <cell r="C1726" t="str">
            <v>M17</v>
          </cell>
          <cell r="D1726">
            <v>1</v>
          </cell>
        </row>
        <row r="1727">
          <cell r="A1727">
            <v>1000100318</v>
          </cell>
          <cell r="B1727" t="str">
            <v>NUP 309 ECP</v>
          </cell>
          <cell r="C1727" t="str">
            <v>D4</v>
          </cell>
          <cell r="D1727">
            <v>2</v>
          </cell>
        </row>
        <row r="1728">
          <cell r="A1728">
            <v>1000100319</v>
          </cell>
          <cell r="B1728" t="str">
            <v xml:space="preserve">7215 BEGAM </v>
          </cell>
          <cell r="C1728" t="str">
            <v>L8</v>
          </cell>
          <cell r="D1728">
            <v>4</v>
          </cell>
        </row>
        <row r="1729">
          <cell r="A1729">
            <v>1000100320</v>
          </cell>
          <cell r="B1729" t="str">
            <v xml:space="preserve">7217 BEGAF </v>
          </cell>
          <cell r="C1729" t="str">
            <v>J22</v>
          </cell>
          <cell r="D1729">
            <v>6</v>
          </cell>
        </row>
        <row r="1730">
          <cell r="A1730">
            <v>1000100321</v>
          </cell>
          <cell r="B1730" t="str">
            <v xml:space="preserve">6322 MA/C3B20 </v>
          </cell>
          <cell r="C1730" t="str">
            <v>M28</v>
          </cell>
          <cell r="D1730">
            <v>1</v>
          </cell>
        </row>
        <row r="1731">
          <cell r="A1731">
            <v>1000100322</v>
          </cell>
          <cell r="B1731" t="str">
            <v>SKF Product SY 55 TF</v>
          </cell>
          <cell r="C1731" t="str">
            <v>K5 K3</v>
          </cell>
          <cell r="D1731">
            <v>8</v>
          </cell>
        </row>
        <row r="1732">
          <cell r="A1732">
            <v>1000100323</v>
          </cell>
          <cell r="B1732" t="str">
            <v xml:space="preserve">N 07 </v>
          </cell>
          <cell r="C1732" t="str">
            <v>C5 K35</v>
          </cell>
          <cell r="D1732">
            <v>20</v>
          </cell>
        </row>
        <row r="1733">
          <cell r="A1733">
            <v>1000100324</v>
          </cell>
          <cell r="B1733">
            <v>309</v>
          </cell>
          <cell r="C1733" t="str">
            <v>K40</v>
          </cell>
          <cell r="D1733">
            <v>19</v>
          </cell>
        </row>
        <row r="1734">
          <cell r="A1734">
            <v>1000100325</v>
          </cell>
          <cell r="B1734" t="str">
            <v xml:space="preserve">1308 ETN9 </v>
          </cell>
          <cell r="C1734" t="str">
            <v>K37</v>
          </cell>
          <cell r="D1734">
            <v>1</v>
          </cell>
        </row>
        <row r="1735">
          <cell r="A1735">
            <v>1000100326</v>
          </cell>
          <cell r="B1735" t="str">
            <v xml:space="preserve">6026-2Z/C3 </v>
          </cell>
          <cell r="C1735" t="str">
            <v>I1 I5</v>
          </cell>
          <cell r="D1735">
            <v>8</v>
          </cell>
        </row>
        <row r="1736">
          <cell r="A1736">
            <v>1000100327</v>
          </cell>
          <cell r="B1736" t="str">
            <v xml:space="preserve">6006/C3 </v>
          </cell>
          <cell r="C1736" t="str">
            <v>F9</v>
          </cell>
          <cell r="D1736">
            <v>110</v>
          </cell>
        </row>
        <row r="1737">
          <cell r="A1737">
            <v>1000100328</v>
          </cell>
          <cell r="B1737" t="str">
            <v xml:space="preserve">6304/C3 </v>
          </cell>
          <cell r="C1737" t="str">
            <v>I2 J7</v>
          </cell>
          <cell r="D1737">
            <v>47</v>
          </cell>
        </row>
        <row r="1738">
          <cell r="A1738">
            <v>1000100329</v>
          </cell>
          <cell r="B1738" t="str">
            <v xml:space="preserve">29340 E </v>
          </cell>
          <cell r="C1738" t="str">
            <v>F8 J2 K30</v>
          </cell>
          <cell r="D1738">
            <v>4</v>
          </cell>
        </row>
        <row r="1739">
          <cell r="A1739">
            <v>1000100330</v>
          </cell>
          <cell r="B1739" t="str">
            <v xml:space="preserve">3201 ATN9 </v>
          </cell>
          <cell r="C1739" t="str">
            <v>D3</v>
          </cell>
          <cell r="D1739">
            <v>19</v>
          </cell>
        </row>
        <row r="1740">
          <cell r="A1740">
            <v>1000100331</v>
          </cell>
          <cell r="B1740" t="str">
            <v>2311 K/C3  (D)</v>
          </cell>
          <cell r="C1740" t="str">
            <v>I1 I3</v>
          </cell>
          <cell r="D1740">
            <v>9</v>
          </cell>
        </row>
        <row r="1741">
          <cell r="A1741">
            <v>1000100332</v>
          </cell>
          <cell r="B1741" t="str">
            <v xml:space="preserve">3308 A </v>
          </cell>
          <cell r="C1741" t="str">
            <v>L16</v>
          </cell>
          <cell r="D1741">
            <v>3</v>
          </cell>
        </row>
        <row r="1742">
          <cell r="A1742">
            <v>1000100333</v>
          </cell>
          <cell r="B1742" t="str">
            <v xml:space="preserve">6002/C3 </v>
          </cell>
          <cell r="C1742" t="str">
            <v>I2</v>
          </cell>
          <cell r="D1742">
            <v>4</v>
          </cell>
        </row>
        <row r="1743">
          <cell r="A1743">
            <v>1000100334</v>
          </cell>
          <cell r="B1743" t="str">
            <v xml:space="preserve">QJ 309 MA </v>
          </cell>
          <cell r="C1743" t="str">
            <v>L16</v>
          </cell>
          <cell r="D1743">
            <v>3</v>
          </cell>
        </row>
        <row r="1744">
          <cell r="A1744">
            <v>1000100336</v>
          </cell>
          <cell r="B1744">
            <v>30208</v>
          </cell>
          <cell r="C1744" t="str">
            <v>I10 J20 J10 K27</v>
          </cell>
          <cell r="D1744">
            <v>30</v>
          </cell>
        </row>
        <row r="1745">
          <cell r="A1745">
            <v>1000100337</v>
          </cell>
          <cell r="B1745" t="str">
            <v xml:space="preserve">1200 ETN9 </v>
          </cell>
          <cell r="C1745" t="str">
            <v>F21 I3 J21</v>
          </cell>
          <cell r="D1745">
            <v>25</v>
          </cell>
        </row>
        <row r="1746">
          <cell r="A1746">
            <v>1000100338</v>
          </cell>
          <cell r="B1746" t="str">
            <v xml:space="preserve">1306 EKTN9 </v>
          </cell>
          <cell r="C1746" t="str">
            <v>J21 L14</v>
          </cell>
          <cell r="D1746">
            <v>25</v>
          </cell>
        </row>
        <row r="1747">
          <cell r="A1747">
            <v>1000100339</v>
          </cell>
          <cell r="B1747" t="str">
            <v xml:space="preserve">21306 CC </v>
          </cell>
          <cell r="C1747" t="str">
            <v>J21</v>
          </cell>
          <cell r="D1747">
            <v>21</v>
          </cell>
        </row>
        <row r="1748">
          <cell r="A1748">
            <v>1000100340</v>
          </cell>
          <cell r="B1748" t="str">
            <v xml:space="preserve">21311 E </v>
          </cell>
          <cell r="C1748" t="str">
            <v>I4 K6 K33 L8 L15 M30</v>
          </cell>
          <cell r="D1748">
            <v>25</v>
          </cell>
        </row>
        <row r="1749">
          <cell r="A1749">
            <v>1000100341</v>
          </cell>
          <cell r="B1749" t="str">
            <v xml:space="preserve">2310/C3 </v>
          </cell>
          <cell r="C1749" t="str">
            <v>F1 I11 K10 K21 M21</v>
          </cell>
          <cell r="D1749">
            <v>15</v>
          </cell>
        </row>
        <row r="1750">
          <cell r="A1750">
            <v>1000100342</v>
          </cell>
          <cell r="B1750" t="str">
            <v xml:space="preserve">2311 K </v>
          </cell>
          <cell r="C1750" t="str">
            <v>F16 I5 K15 K3 J19 J12 M15</v>
          </cell>
          <cell r="D1750">
            <v>25</v>
          </cell>
        </row>
        <row r="1751">
          <cell r="A1751">
            <v>1000100343</v>
          </cell>
          <cell r="B1751" t="str">
            <v>2311 K/C3 (D1)</v>
          </cell>
          <cell r="C1751" t="str">
            <v>I1 I3</v>
          </cell>
          <cell r="D1751">
            <v>12</v>
          </cell>
        </row>
        <row r="1752">
          <cell r="A1752">
            <v>1000100344</v>
          </cell>
          <cell r="B1752" t="str">
            <v xml:space="preserve">2313 K </v>
          </cell>
          <cell r="C1752" t="str">
            <v>K6 J23 M15 M26</v>
          </cell>
          <cell r="D1752">
            <v>25</v>
          </cell>
        </row>
        <row r="1753">
          <cell r="A1753">
            <v>1000100345</v>
          </cell>
          <cell r="B1753" t="str">
            <v xml:space="preserve">KR 47 PP </v>
          </cell>
          <cell r="C1753" t="str">
            <v>J22</v>
          </cell>
          <cell r="D1753">
            <v>8</v>
          </cell>
        </row>
        <row r="1754">
          <cell r="A1754">
            <v>1000100346</v>
          </cell>
          <cell r="B1754" t="str">
            <v xml:space="preserve">2316 K </v>
          </cell>
          <cell r="C1754" t="str">
            <v>L7</v>
          </cell>
          <cell r="D1754">
            <v>25</v>
          </cell>
        </row>
        <row r="1755">
          <cell r="A1755">
            <v>1000100347</v>
          </cell>
          <cell r="B1755" t="str">
            <v xml:space="preserve">3209 ATN9 </v>
          </cell>
          <cell r="C1755" t="str">
            <v>J19</v>
          </cell>
          <cell r="D1755">
            <v>24</v>
          </cell>
        </row>
        <row r="1756">
          <cell r="A1756">
            <v>1000100348</v>
          </cell>
          <cell r="B1756">
            <v>32311</v>
          </cell>
          <cell r="C1756" t="str">
            <v>I9 K7</v>
          </cell>
          <cell r="D1756">
            <v>4</v>
          </cell>
        </row>
        <row r="1757">
          <cell r="A1757">
            <v>1000100349</v>
          </cell>
          <cell r="B1757" t="str">
            <v xml:space="preserve">3311 ANR </v>
          </cell>
          <cell r="C1757" t="str">
            <v>D6 I1 K21</v>
          </cell>
          <cell r="D1757">
            <v>3</v>
          </cell>
        </row>
        <row r="1758">
          <cell r="A1758">
            <v>1000100350</v>
          </cell>
          <cell r="B1758" t="str">
            <v>6207-N</v>
          </cell>
          <cell r="C1758">
            <v>72</v>
          </cell>
          <cell r="D1758">
            <v>4</v>
          </cell>
        </row>
        <row r="1759">
          <cell r="A1759">
            <v>1000100351</v>
          </cell>
          <cell r="B1759" t="str">
            <v xml:space="preserve">6228/C4 </v>
          </cell>
          <cell r="C1759" t="str">
            <v>G13 K31 M16 M19</v>
          </cell>
          <cell r="D1759">
            <v>7</v>
          </cell>
        </row>
        <row r="1760">
          <cell r="A1760">
            <v>1000100352</v>
          </cell>
          <cell r="B1760" t="str">
            <v xml:space="preserve">6230/C3 </v>
          </cell>
          <cell r="C1760" t="str">
            <v>F12 I6 L4</v>
          </cell>
          <cell r="D1760">
            <v>14</v>
          </cell>
        </row>
        <row r="1761">
          <cell r="A1761">
            <v>1000100353</v>
          </cell>
          <cell r="B1761" t="str">
            <v xml:space="preserve">6320-2Z </v>
          </cell>
          <cell r="C1761" t="str">
            <v>I4 K1 k37</v>
          </cell>
          <cell r="D1761">
            <v>12</v>
          </cell>
        </row>
        <row r="1762">
          <cell r="A1762">
            <v>1000100354</v>
          </cell>
          <cell r="B1762" t="str">
            <v xml:space="preserve">7308 BECBY </v>
          </cell>
          <cell r="C1762" t="str">
            <v>F18</v>
          </cell>
          <cell r="D1762">
            <v>14</v>
          </cell>
        </row>
        <row r="1763">
          <cell r="A1763">
            <v>1000100355</v>
          </cell>
          <cell r="B1763" t="str">
            <v xml:space="preserve">7322 BECCM </v>
          </cell>
          <cell r="C1763" t="str">
            <v>F13 K17 K1 J23</v>
          </cell>
          <cell r="D1763">
            <v>17</v>
          </cell>
        </row>
        <row r="1764">
          <cell r="A1764">
            <v>1000100356</v>
          </cell>
          <cell r="B1764" t="str">
            <v>AN 19</v>
          </cell>
          <cell r="C1764" t="str">
            <v>K41</v>
          </cell>
          <cell r="D1764">
            <v>29</v>
          </cell>
        </row>
        <row r="1765">
          <cell r="A1765">
            <v>1000100357</v>
          </cell>
          <cell r="B1765" t="str">
            <v xml:space="preserve">FY 1.15/16 FM </v>
          </cell>
          <cell r="C1765" t="str">
            <v>K4</v>
          </cell>
          <cell r="D1765">
            <v>8</v>
          </cell>
        </row>
        <row r="1766">
          <cell r="A1766">
            <v>1000100358</v>
          </cell>
          <cell r="B1766" t="str">
            <v>H 2305</v>
          </cell>
          <cell r="C1766" t="str">
            <v>J22 L8 L16</v>
          </cell>
          <cell r="D1766">
            <v>29</v>
          </cell>
        </row>
        <row r="1767">
          <cell r="A1767">
            <v>1000100359</v>
          </cell>
          <cell r="B1767" t="str">
            <v>H 2308</v>
          </cell>
          <cell r="C1767" t="str">
            <v>G12 J10 K39 L16</v>
          </cell>
          <cell r="D1767">
            <v>26</v>
          </cell>
        </row>
        <row r="1768">
          <cell r="A1768">
            <v>1000100360</v>
          </cell>
          <cell r="B1768" t="str">
            <v>H 2309</v>
          </cell>
          <cell r="C1768" t="str">
            <v>K38 L5 L9</v>
          </cell>
          <cell r="D1768">
            <v>34</v>
          </cell>
        </row>
        <row r="1769">
          <cell r="A1769">
            <v>1000100361</v>
          </cell>
          <cell r="B1769" t="str">
            <v>H 306</v>
          </cell>
          <cell r="C1769" t="str">
            <v>J1 K4 K39 L12</v>
          </cell>
          <cell r="D1769">
            <v>29</v>
          </cell>
        </row>
        <row r="1770">
          <cell r="A1770">
            <v>1000100362</v>
          </cell>
          <cell r="B1770" t="str">
            <v>KM 16</v>
          </cell>
          <cell r="C1770" t="str">
            <v>_</v>
          </cell>
          <cell r="D1770">
            <v>0</v>
          </cell>
        </row>
        <row r="1771">
          <cell r="A1771">
            <v>1000100363</v>
          </cell>
          <cell r="B1771" t="str">
            <v>KM 18</v>
          </cell>
          <cell r="C1771" t="str">
            <v>I10 L2 M14</v>
          </cell>
          <cell r="D1771">
            <v>15</v>
          </cell>
        </row>
        <row r="1772">
          <cell r="A1772">
            <v>1000100364</v>
          </cell>
          <cell r="B1772" t="str">
            <v>KMK 7</v>
          </cell>
          <cell r="C1772" t="str">
            <v>F16 K40</v>
          </cell>
          <cell r="D1772">
            <v>10</v>
          </cell>
        </row>
        <row r="1773">
          <cell r="A1773">
            <v>1000100365</v>
          </cell>
          <cell r="B1773" t="str">
            <v>MB 18</v>
          </cell>
          <cell r="C1773" t="str">
            <v>J4 J5 K41</v>
          </cell>
          <cell r="D1773">
            <v>105</v>
          </cell>
        </row>
        <row r="1774">
          <cell r="A1774">
            <v>1000100366</v>
          </cell>
          <cell r="B1774" t="str">
            <v>N 14</v>
          </cell>
          <cell r="C1774" t="str">
            <v>K41</v>
          </cell>
          <cell r="D1774">
            <v>6</v>
          </cell>
        </row>
        <row r="1775">
          <cell r="A1775">
            <v>1000100367</v>
          </cell>
          <cell r="B1775" t="str">
            <v>NA 4913</v>
          </cell>
          <cell r="C1775" t="str">
            <v>J21</v>
          </cell>
          <cell r="D1775">
            <v>18</v>
          </cell>
        </row>
        <row r="1776">
          <cell r="A1776">
            <v>1000100368</v>
          </cell>
          <cell r="B1776" t="str">
            <v>NU 213 ECP</v>
          </cell>
          <cell r="C1776" t="str">
            <v>K6 J23 L4 M23</v>
          </cell>
          <cell r="D1776">
            <v>12</v>
          </cell>
        </row>
        <row r="1777">
          <cell r="A1777">
            <v>1000100369</v>
          </cell>
          <cell r="B1777" t="str">
            <v>NU 219 ECJ/C3 (D1)</v>
          </cell>
          <cell r="C1777" t="str">
            <v>I11</v>
          </cell>
          <cell r="D1777">
            <v>8</v>
          </cell>
        </row>
        <row r="1778">
          <cell r="A1778">
            <v>1000100370</v>
          </cell>
          <cell r="B1778" t="str">
            <v>NU 2206 ECJ</v>
          </cell>
          <cell r="C1778" t="str">
            <v>F16 I3 J22</v>
          </cell>
          <cell r="D1778">
            <v>14</v>
          </cell>
        </row>
        <row r="1779">
          <cell r="A1779">
            <v>1000100371</v>
          </cell>
          <cell r="B1779" t="str">
            <v>NU 2212 ECJ</v>
          </cell>
          <cell r="C1779" t="str">
            <v>G3</v>
          </cell>
          <cell r="D1779">
            <v>13</v>
          </cell>
        </row>
        <row r="1780">
          <cell r="A1780">
            <v>1000100372</v>
          </cell>
          <cell r="B1780" t="str">
            <v xml:space="preserve">NU 224 ECJ/C3 </v>
          </cell>
          <cell r="C1780" t="str">
            <v>F11 J24</v>
          </cell>
          <cell r="D1780">
            <v>6</v>
          </cell>
        </row>
        <row r="1781">
          <cell r="A1781">
            <v>1000100373</v>
          </cell>
          <cell r="B1781" t="str">
            <v xml:space="preserve">NU 226 ECJ/C3 </v>
          </cell>
          <cell r="C1781" t="str">
            <v>F5 K6 J20 J23 M16</v>
          </cell>
          <cell r="D1781">
            <v>10</v>
          </cell>
        </row>
        <row r="1782">
          <cell r="A1782">
            <v>1000100374</v>
          </cell>
          <cell r="B1782" t="str">
            <v xml:space="preserve">NU 228 ECJ/C3 </v>
          </cell>
          <cell r="C1782" t="str">
            <v>F12 I6 J18</v>
          </cell>
          <cell r="D1782">
            <v>5</v>
          </cell>
        </row>
        <row r="1783">
          <cell r="A1783">
            <v>1000100375</v>
          </cell>
          <cell r="B1783" t="str">
            <v xml:space="preserve">NU 230 ECJ/C3 </v>
          </cell>
          <cell r="C1783" t="str">
            <v>G13 I6 I18 M30</v>
          </cell>
          <cell r="D1783">
            <v>10</v>
          </cell>
        </row>
        <row r="1784">
          <cell r="A1784">
            <v>1000100376</v>
          </cell>
          <cell r="B1784" t="str">
            <v xml:space="preserve">NU 322 ECM/C3 </v>
          </cell>
          <cell r="C1784" t="str">
            <v>F14 G1 M16</v>
          </cell>
          <cell r="D1784">
            <v>1</v>
          </cell>
        </row>
        <row r="1785">
          <cell r="A1785">
            <v>1000100377</v>
          </cell>
          <cell r="B1785" t="str">
            <v xml:space="preserve">NU 324 ECM/C3 </v>
          </cell>
          <cell r="C1785" t="str">
            <v>G18 I6 K30</v>
          </cell>
          <cell r="D1785">
            <v>11</v>
          </cell>
        </row>
        <row r="1786">
          <cell r="A1786">
            <v>1000100378</v>
          </cell>
          <cell r="B1786" t="str">
            <v xml:space="preserve">NU 330 ECM </v>
          </cell>
          <cell r="C1786" t="str">
            <v>F8 K31 M24 MDOWN</v>
          </cell>
          <cell r="D1786">
            <v>9</v>
          </cell>
        </row>
        <row r="1787">
          <cell r="A1787">
            <v>1000100379</v>
          </cell>
          <cell r="B1787" t="str">
            <v xml:space="preserve">NUP 207 ECJ </v>
          </cell>
          <cell r="C1787" t="str">
            <v>E10 K40</v>
          </cell>
          <cell r="D1787">
            <v>12</v>
          </cell>
        </row>
        <row r="1788">
          <cell r="A1788">
            <v>1000100380</v>
          </cell>
          <cell r="B1788" t="str">
            <v xml:space="preserve">NUP 212 ECJ </v>
          </cell>
          <cell r="C1788" t="str">
            <v>F15</v>
          </cell>
          <cell r="D1788">
            <v>10</v>
          </cell>
        </row>
        <row r="1789">
          <cell r="A1789">
            <v>1000100381</v>
          </cell>
          <cell r="B1789" t="str">
            <v>RLS 5-2Z</v>
          </cell>
          <cell r="C1789" t="str">
            <v>F21 K40 L16</v>
          </cell>
          <cell r="D1789">
            <v>10</v>
          </cell>
        </row>
        <row r="1790">
          <cell r="A1790">
            <v>1000100382</v>
          </cell>
          <cell r="B1790" t="str">
            <v>W 05</v>
          </cell>
          <cell r="C1790" t="str">
            <v>F21 K35</v>
          </cell>
          <cell r="D1790">
            <v>28</v>
          </cell>
        </row>
        <row r="1791">
          <cell r="A1791">
            <v>1000100383</v>
          </cell>
          <cell r="B1791" t="str">
            <v>W 07</v>
          </cell>
          <cell r="C1791" t="str">
            <v>K35</v>
          </cell>
          <cell r="D1791">
            <v>29</v>
          </cell>
        </row>
        <row r="1792">
          <cell r="A1792">
            <v>1000100384</v>
          </cell>
          <cell r="B1792" t="str">
            <v>23034 CC/W33</v>
          </cell>
          <cell r="C1792" t="str">
            <v>I4 K1</v>
          </cell>
          <cell r="D1792">
            <v>5</v>
          </cell>
        </row>
        <row r="1793">
          <cell r="A1793">
            <v>1000100385</v>
          </cell>
          <cell r="B1793" t="str">
            <v>220X250X15 HMSA10 V</v>
          </cell>
          <cell r="C1793" t="str">
            <v>K40</v>
          </cell>
          <cell r="D1793">
            <v>1</v>
          </cell>
        </row>
        <row r="1794">
          <cell r="A1794">
            <v>1000100386</v>
          </cell>
          <cell r="B1794" t="str">
            <v>6230 M/C4/R801</v>
          </cell>
          <cell r="C1794" t="str">
            <v>L6</v>
          </cell>
          <cell r="D1794">
            <v>1</v>
          </cell>
        </row>
        <row r="1795">
          <cell r="A1795">
            <v>1000100387</v>
          </cell>
          <cell r="B1795" t="str">
            <v>3307 ATN9</v>
          </cell>
          <cell r="C1795" t="str">
            <v>J19</v>
          </cell>
          <cell r="D1795">
            <v>2</v>
          </cell>
        </row>
        <row r="1796">
          <cell r="A1796">
            <v>1000100388</v>
          </cell>
          <cell r="B1796" t="str">
            <v>MB 14</v>
          </cell>
          <cell r="C1796" t="str">
            <v>C5</v>
          </cell>
          <cell r="D1796">
            <v>6</v>
          </cell>
        </row>
        <row r="1797">
          <cell r="A1797">
            <v>1000100389</v>
          </cell>
          <cell r="B1797" t="str">
            <v>6003-Z</v>
          </cell>
          <cell r="C1797" t="str">
            <v>I3</v>
          </cell>
          <cell r="D1797">
            <v>1</v>
          </cell>
        </row>
        <row r="1798">
          <cell r="A1798">
            <v>1000100390</v>
          </cell>
          <cell r="B1798" t="str">
            <v>QJ 206 MA</v>
          </cell>
          <cell r="C1798" t="str">
            <v>L16</v>
          </cell>
          <cell r="D1798">
            <v>0</v>
          </cell>
        </row>
        <row r="1799">
          <cell r="A1799">
            <v>1000100391</v>
          </cell>
          <cell r="B1799" t="str">
            <v>32024 X</v>
          </cell>
          <cell r="C1799" t="str">
            <v>K3</v>
          </cell>
          <cell r="D1799">
            <v>2</v>
          </cell>
        </row>
        <row r="1800">
          <cell r="A1800">
            <v>1000100392</v>
          </cell>
          <cell r="B1800" t="str">
            <v>GEG 63 ES</v>
          </cell>
          <cell r="C1800" t="str">
            <v>I7</v>
          </cell>
          <cell r="D1800">
            <v>16</v>
          </cell>
        </row>
        <row r="1801">
          <cell r="A1801">
            <v>1000100393</v>
          </cell>
          <cell r="B1801" t="str">
            <v>6316-2Z</v>
          </cell>
          <cell r="C1801" t="str">
            <v>56 24</v>
          </cell>
          <cell r="D1801">
            <v>3</v>
          </cell>
        </row>
        <row r="1802">
          <cell r="A1802">
            <v>1000100394</v>
          </cell>
          <cell r="B1802" t="str">
            <v>TSN 511 S</v>
          </cell>
          <cell r="C1802" t="str">
            <v>C5</v>
          </cell>
          <cell r="D1802">
            <v>2</v>
          </cell>
        </row>
        <row r="1803">
          <cell r="A1803">
            <v>1000100395</v>
          </cell>
          <cell r="B1803" t="str">
            <v>SY 60 TF</v>
          </cell>
          <cell r="C1803" t="str">
            <v>K3</v>
          </cell>
          <cell r="D1803">
            <v>0</v>
          </cell>
        </row>
        <row r="1804">
          <cell r="A1804">
            <v>1000100396</v>
          </cell>
          <cell r="B1804" t="str">
            <v>KM 26</v>
          </cell>
          <cell r="C1804" t="str">
            <v>I4</v>
          </cell>
          <cell r="D1804">
            <v>1</v>
          </cell>
        </row>
        <row r="1805">
          <cell r="A1805">
            <v>1000100397</v>
          </cell>
          <cell r="B1805" t="str">
            <v>NJ 2220 ECP</v>
          </cell>
          <cell r="C1805" t="str">
            <v>I1 K3</v>
          </cell>
          <cell r="D1805">
            <v>4</v>
          </cell>
        </row>
        <row r="1806">
          <cell r="A1806">
            <v>1000100402</v>
          </cell>
          <cell r="B1806" t="str">
            <v xml:space="preserve">IR 130X145X35 </v>
          </cell>
          <cell r="C1806" t="str">
            <v>K16 K18</v>
          </cell>
          <cell r="D1806">
            <v>9</v>
          </cell>
        </row>
        <row r="1807">
          <cell r="A1807">
            <v>1000100403</v>
          </cell>
          <cell r="B1807" t="str">
            <v xml:space="preserve">81160 M </v>
          </cell>
          <cell r="C1807" t="str">
            <v>G15 J3 F2</v>
          </cell>
          <cell r="D1807">
            <v>8</v>
          </cell>
        </row>
        <row r="1808">
          <cell r="A1808">
            <v>1000100404</v>
          </cell>
          <cell r="B1808" t="str">
            <v xml:space="preserve">PCMW 426601.5M </v>
          </cell>
          <cell r="C1808" t="str">
            <v>A2</v>
          </cell>
          <cell r="D1808">
            <v>6</v>
          </cell>
        </row>
        <row r="1809">
          <cell r="A1809">
            <v>1000100412</v>
          </cell>
          <cell r="B1809" t="str">
            <v>NJ 2305 ECP/C3</v>
          </cell>
          <cell r="C1809" t="str">
            <v>I3 K39</v>
          </cell>
          <cell r="D1809">
            <v>4</v>
          </cell>
        </row>
        <row r="1810">
          <cell r="A1810">
            <v>1000100413</v>
          </cell>
          <cell r="B1810" t="str">
            <v>FY 50 FM</v>
          </cell>
          <cell r="C1810" t="str">
            <v>I12</v>
          </cell>
          <cell r="D1810">
            <v>2</v>
          </cell>
        </row>
        <row r="1811">
          <cell r="A1811">
            <v>1000100414</v>
          </cell>
          <cell r="B1811" t="str">
            <v>32036 X</v>
          </cell>
          <cell r="C1811" t="str">
            <v>I16</v>
          </cell>
          <cell r="D1811">
            <v>2</v>
          </cell>
        </row>
        <row r="1812">
          <cell r="A1812">
            <v>1000100415</v>
          </cell>
          <cell r="B1812" t="str">
            <v>1216 K/C3</v>
          </cell>
          <cell r="C1812" t="str">
            <v>M12</v>
          </cell>
          <cell r="D1812">
            <v>1</v>
          </cell>
        </row>
        <row r="1813">
          <cell r="A1813">
            <v>1000100416</v>
          </cell>
          <cell r="B1813" t="str">
            <v>NU 2311 ECML/C3</v>
          </cell>
          <cell r="C1813" t="str">
            <v>I18</v>
          </cell>
          <cell r="D1813">
            <v>3</v>
          </cell>
        </row>
        <row r="1814">
          <cell r="A1814">
            <v>1000100417</v>
          </cell>
          <cell r="B1814" t="str">
            <v>7315 BECBY</v>
          </cell>
          <cell r="C1814" t="str">
            <v>J19</v>
          </cell>
          <cell r="D1814">
            <v>0</v>
          </cell>
        </row>
        <row r="1815">
          <cell r="A1815">
            <v>1000100418</v>
          </cell>
          <cell r="B1815" t="str">
            <v>KM 4</v>
          </cell>
          <cell r="C1815" t="str">
            <v>C5</v>
          </cell>
          <cell r="D1815">
            <v>0</v>
          </cell>
        </row>
        <row r="1816">
          <cell r="A1816">
            <v>1000100419</v>
          </cell>
          <cell r="B1816" t="str">
            <v>6303/C3</v>
          </cell>
          <cell r="C1816" t="str">
            <v>K39</v>
          </cell>
          <cell r="D1816">
            <v>14</v>
          </cell>
        </row>
        <row r="1817">
          <cell r="A1817">
            <v>1000100420</v>
          </cell>
          <cell r="B1817">
            <v>32306</v>
          </cell>
          <cell r="C1817" t="str">
            <v>I15</v>
          </cell>
          <cell r="D1817">
            <v>2</v>
          </cell>
        </row>
        <row r="1818">
          <cell r="A1818">
            <v>1000100421</v>
          </cell>
          <cell r="B1818">
            <v>51224</v>
          </cell>
          <cell r="C1818" t="str">
            <v>I4</v>
          </cell>
          <cell r="D1818">
            <v>1</v>
          </cell>
        </row>
        <row r="1819">
          <cell r="A1819">
            <v>1000100422</v>
          </cell>
          <cell r="B1819" t="str">
            <v>GE 50 ES-2RS/C2</v>
          </cell>
          <cell r="C1819" t="str">
            <v>K6</v>
          </cell>
          <cell r="D1819">
            <v>2</v>
          </cell>
        </row>
        <row r="1820">
          <cell r="A1820">
            <v>1000100423</v>
          </cell>
          <cell r="B1820" t="str">
            <v>KM 21</v>
          </cell>
          <cell r="C1820" t="str">
            <v>_</v>
          </cell>
          <cell r="D1820">
            <v>0</v>
          </cell>
        </row>
        <row r="1821">
          <cell r="A1821">
            <v>1000100424</v>
          </cell>
          <cell r="B1821" t="str">
            <v>23130 CC/C3W33</v>
          </cell>
          <cell r="C1821" t="str">
            <v>J1 I12</v>
          </cell>
          <cell r="D1821">
            <v>9</v>
          </cell>
        </row>
        <row r="1822">
          <cell r="A1822">
            <v>1000100425</v>
          </cell>
          <cell r="B1822" t="str">
            <v>NJ 203 ECP</v>
          </cell>
          <cell r="C1822" t="str">
            <v>J9 L16</v>
          </cell>
          <cell r="D1822">
            <v>2</v>
          </cell>
        </row>
        <row r="1823">
          <cell r="A1823">
            <v>1000100426</v>
          </cell>
          <cell r="B1823" t="str">
            <v>6315-2Z</v>
          </cell>
          <cell r="C1823" t="str">
            <v>L16</v>
          </cell>
          <cell r="D1823">
            <v>3</v>
          </cell>
        </row>
        <row r="1824">
          <cell r="A1824">
            <v>1000100427</v>
          </cell>
          <cell r="B1824" t="str">
            <v>22232 CCK/C3W33</v>
          </cell>
          <cell r="C1824" t="str">
            <v>K8 K13</v>
          </cell>
          <cell r="D1824">
            <v>3</v>
          </cell>
        </row>
        <row r="1825">
          <cell r="A1825">
            <v>1000100428</v>
          </cell>
          <cell r="B1825" t="str">
            <v>23022 CC/C3W33</v>
          </cell>
          <cell r="C1825" t="str">
            <v>K5</v>
          </cell>
          <cell r="D1825">
            <v>2</v>
          </cell>
        </row>
        <row r="1826">
          <cell r="A1826">
            <v>1000100429</v>
          </cell>
          <cell r="B1826" t="str">
            <v>KM 14 (D)</v>
          </cell>
          <cell r="C1826" t="str">
            <v>J20 29 61 57</v>
          </cell>
          <cell r="D1826">
            <v>126</v>
          </cell>
        </row>
        <row r="1827">
          <cell r="A1827">
            <v>1000100430</v>
          </cell>
          <cell r="B1827" t="str">
            <v>3217 A</v>
          </cell>
          <cell r="C1827" t="str">
            <v>I10 66</v>
          </cell>
          <cell r="D1827">
            <v>2</v>
          </cell>
        </row>
        <row r="1828">
          <cell r="A1828">
            <v>1000100431</v>
          </cell>
          <cell r="B1828" t="str">
            <v>6317/C3VL0241</v>
          </cell>
          <cell r="C1828" t="str">
            <v>F8 K4 L6 E15 79 73 49</v>
          </cell>
          <cell r="D1828">
            <v>10</v>
          </cell>
        </row>
        <row r="1829">
          <cell r="A1829">
            <v>1000100432</v>
          </cell>
          <cell r="B1829" t="str">
            <v>23034 CCK/W33</v>
          </cell>
          <cell r="C1829" t="str">
            <v>G11 K12</v>
          </cell>
          <cell r="D1829">
            <v>6</v>
          </cell>
        </row>
        <row r="1830">
          <cell r="A1830">
            <v>1000100433</v>
          </cell>
          <cell r="B1830" t="str">
            <v>KM 19</v>
          </cell>
          <cell r="C1830" t="str">
            <v>I1 I11 J19</v>
          </cell>
          <cell r="D1830">
            <v>12</v>
          </cell>
        </row>
        <row r="1831">
          <cell r="A1831">
            <v>1000100434</v>
          </cell>
          <cell r="B1831" t="str">
            <v>MB 20</v>
          </cell>
          <cell r="C1831" t="str">
            <v>J20</v>
          </cell>
          <cell r="D1831">
            <v>2</v>
          </cell>
        </row>
        <row r="1832">
          <cell r="A1832">
            <v>1000100435</v>
          </cell>
          <cell r="B1832" t="str">
            <v>AHX 2320</v>
          </cell>
          <cell r="C1832" t="str">
            <v>L7</v>
          </cell>
          <cell r="D1832">
            <v>6</v>
          </cell>
        </row>
        <row r="1833">
          <cell r="A1833">
            <v>1000100436</v>
          </cell>
          <cell r="B1833" t="str">
            <v>23038 CC/W33</v>
          </cell>
          <cell r="C1833" t="str">
            <v>K13</v>
          </cell>
          <cell r="D1833">
            <v>10</v>
          </cell>
        </row>
        <row r="1834">
          <cell r="A1834">
            <v>1000100472</v>
          </cell>
          <cell r="B1834" t="str">
            <v>CMDT 391-K-SL</v>
          </cell>
          <cell r="C1834">
            <v>20</v>
          </cell>
          <cell r="D1834">
            <v>4</v>
          </cell>
        </row>
        <row r="1835">
          <cell r="A1835">
            <v>1000100748</v>
          </cell>
          <cell r="B1835" t="str">
            <v>SY 25WF</v>
          </cell>
          <cell r="C1835" t="str">
            <v>K2</v>
          </cell>
          <cell r="D1835">
            <v>20</v>
          </cell>
        </row>
        <row r="1836">
          <cell r="A1836">
            <v>1000100779</v>
          </cell>
          <cell r="B1836" t="str">
            <v>N 11 (D1)</v>
          </cell>
          <cell r="C1836" t="str">
            <v>K41</v>
          </cell>
          <cell r="D1836">
            <v>2</v>
          </cell>
        </row>
        <row r="1837">
          <cell r="A1837">
            <v>1000100871</v>
          </cell>
          <cell r="B1837" t="str">
            <v xml:space="preserve">AXK 2035 </v>
          </cell>
          <cell r="C1837" t="str">
            <v>E10 K35</v>
          </cell>
          <cell r="D1837">
            <v>30</v>
          </cell>
        </row>
        <row r="1838">
          <cell r="A1838">
            <v>1000100889</v>
          </cell>
          <cell r="B1838" t="str">
            <v xml:space="preserve">6007-2Z </v>
          </cell>
          <cell r="C1838" t="str">
            <v>G14 M18</v>
          </cell>
          <cell r="D1838">
            <v>100</v>
          </cell>
        </row>
        <row r="1839">
          <cell r="A1839">
            <v>1000100992</v>
          </cell>
          <cell r="B1839" t="str">
            <v>6213-2Z/C3 (D1)</v>
          </cell>
          <cell r="C1839" t="str">
            <v>M5 56 6R N1 7 56R 72</v>
          </cell>
          <cell r="D1839">
            <v>15</v>
          </cell>
        </row>
        <row r="1840">
          <cell r="A1840">
            <v>1000101064</v>
          </cell>
          <cell r="B1840" t="str">
            <v xml:space="preserve">6003/2Z-VA208 </v>
          </cell>
          <cell r="C1840" t="str">
            <v>D7 57</v>
          </cell>
          <cell r="D1840">
            <v>1</v>
          </cell>
        </row>
        <row r="1841">
          <cell r="A1841">
            <v>1000101105</v>
          </cell>
          <cell r="B1841" t="str">
            <v xml:space="preserve">361204 R </v>
          </cell>
          <cell r="C1841" t="str">
            <v>A2</v>
          </cell>
          <cell r="D1841">
            <v>5</v>
          </cell>
        </row>
        <row r="1842">
          <cell r="A1842">
            <v>1000101175</v>
          </cell>
          <cell r="B1842" t="str">
            <v>65X120X10 HMS5 RG</v>
          </cell>
          <cell r="C1842" t="str">
            <v>A2</v>
          </cell>
          <cell r="D1842">
            <v>1</v>
          </cell>
        </row>
        <row r="1843">
          <cell r="A1843">
            <v>1000101390</v>
          </cell>
          <cell r="B1843" t="str">
            <v>SKF BEARING - NU 214 ECJ/C3</v>
          </cell>
          <cell r="C1843" t="str">
            <v>D18</v>
          </cell>
          <cell r="D1843">
            <v>1</v>
          </cell>
        </row>
        <row r="1844">
          <cell r="A1844">
            <v>1000101411</v>
          </cell>
          <cell r="B1844" t="str">
            <v>N 05</v>
          </cell>
          <cell r="C1844" t="str">
            <v>D13</v>
          </cell>
          <cell r="D1844">
            <v>18</v>
          </cell>
        </row>
        <row r="1845">
          <cell r="A1845">
            <v>1000101570</v>
          </cell>
          <cell r="B1845" t="str">
            <v>PN:HA 210</v>
          </cell>
          <cell r="C1845" t="str">
            <v>D3</v>
          </cell>
          <cell r="D1845">
            <v>1</v>
          </cell>
        </row>
        <row r="1846">
          <cell r="A1846">
            <v>1000101591</v>
          </cell>
          <cell r="B1846" t="str">
            <v xml:space="preserve">PN: 32020 X </v>
          </cell>
          <cell r="C1846" t="str">
            <v>G12</v>
          </cell>
          <cell r="D1846">
            <v>5</v>
          </cell>
        </row>
        <row r="1847">
          <cell r="A1847">
            <v>1000101767</v>
          </cell>
          <cell r="B1847" t="str">
            <v>SKF BEARING - 6064 M</v>
          </cell>
          <cell r="C1847" t="str">
            <v>SKF5</v>
          </cell>
          <cell r="D1847">
            <v>1</v>
          </cell>
        </row>
        <row r="1848">
          <cell r="A1848">
            <v>1000101869</v>
          </cell>
          <cell r="B1848">
            <v>51204</v>
          </cell>
          <cell r="C1848" t="str">
            <v>A2 G6</v>
          </cell>
          <cell r="D1848">
            <v>26</v>
          </cell>
        </row>
        <row r="1849">
          <cell r="A1849">
            <v>1000101872</v>
          </cell>
          <cell r="B1849" t="str">
            <v>2212 ETN9/C3</v>
          </cell>
          <cell r="C1849" t="str">
            <v>K2</v>
          </cell>
          <cell r="D1849">
            <v>11</v>
          </cell>
        </row>
        <row r="1850">
          <cell r="A1850">
            <v>1000101879</v>
          </cell>
          <cell r="B1850" t="str">
            <v>3210 A/C3</v>
          </cell>
          <cell r="C1850" t="str">
            <v>F1 K32 M29 D17 33 28</v>
          </cell>
          <cell r="D1850">
            <v>129</v>
          </cell>
        </row>
        <row r="1851">
          <cell r="A1851">
            <v>1000102089</v>
          </cell>
          <cell r="B1851" t="str">
            <v>607-2Z</v>
          </cell>
          <cell r="C1851" t="str">
            <v>F18</v>
          </cell>
          <cell r="D1851">
            <v>200</v>
          </cell>
        </row>
        <row r="1852">
          <cell r="A1852">
            <v>1000102090</v>
          </cell>
          <cell r="B1852" t="str">
            <v>6014-2Z</v>
          </cell>
          <cell r="C1852" t="str">
            <v>G1</v>
          </cell>
          <cell r="D1852">
            <v>10</v>
          </cell>
        </row>
        <row r="1853">
          <cell r="A1853">
            <v>1000102149</v>
          </cell>
          <cell r="B1853" t="str">
            <v>W 12 (D1)</v>
          </cell>
          <cell r="C1853" t="str">
            <v>G20</v>
          </cell>
          <cell r="D1853">
            <v>4</v>
          </cell>
        </row>
        <row r="1854">
          <cell r="A1854">
            <v>1000102183</v>
          </cell>
          <cell r="B1854" t="str">
            <v>H 222</v>
          </cell>
          <cell r="C1854" t="str">
            <v>F20</v>
          </cell>
          <cell r="D1854">
            <v>17</v>
          </cell>
        </row>
        <row r="1855">
          <cell r="A1855">
            <v>1000102198</v>
          </cell>
          <cell r="B1855" t="str">
            <v>6207 N</v>
          </cell>
          <cell r="C1855" t="str">
            <v>I3 K40</v>
          </cell>
          <cell r="D1855">
            <v>1</v>
          </cell>
        </row>
        <row r="1856">
          <cell r="A1856">
            <v>1000102199</v>
          </cell>
          <cell r="B1856" t="str">
            <v>NU 1007 ECP</v>
          </cell>
          <cell r="C1856" t="str">
            <v>J4 J21 L4</v>
          </cell>
          <cell r="D1856">
            <v>15</v>
          </cell>
        </row>
        <row r="1857">
          <cell r="A1857">
            <v>1000102200</v>
          </cell>
          <cell r="B1857" t="str">
            <v>7308 BEGAP</v>
          </cell>
          <cell r="C1857" t="str">
            <v>J21 K39</v>
          </cell>
          <cell r="D1857">
            <v>12</v>
          </cell>
        </row>
        <row r="1858">
          <cell r="A1858">
            <v>1000102201</v>
          </cell>
          <cell r="B1858" t="str">
            <v>7321 BEP</v>
          </cell>
          <cell r="C1858" t="str">
            <v>F14 K16 K12 K25</v>
          </cell>
          <cell r="D1858">
            <v>15</v>
          </cell>
        </row>
        <row r="1859">
          <cell r="A1859">
            <v>1000102202</v>
          </cell>
          <cell r="B1859" t="str">
            <v>7209 BEP</v>
          </cell>
          <cell r="C1859" t="str">
            <v>K5 M10</v>
          </cell>
          <cell r="D1859">
            <v>20</v>
          </cell>
        </row>
        <row r="1860">
          <cell r="A1860">
            <v>1000102203</v>
          </cell>
          <cell r="B1860" t="str">
            <v>NJ 210 ECJ</v>
          </cell>
          <cell r="C1860" t="str">
            <v>J21</v>
          </cell>
          <cell r="D1860">
            <v>20</v>
          </cell>
        </row>
        <row r="1861">
          <cell r="A1861">
            <v>1000102204</v>
          </cell>
          <cell r="B1861" t="str">
            <v>AXK 110145</v>
          </cell>
          <cell r="C1861" t="str">
            <v>F16 K15</v>
          </cell>
          <cell r="D1861">
            <v>20</v>
          </cell>
        </row>
        <row r="1862">
          <cell r="A1862">
            <v>1000102205</v>
          </cell>
          <cell r="B1862" t="str">
            <v>6238 M</v>
          </cell>
          <cell r="C1862" t="str">
            <v>F17 F23 K9 K33</v>
          </cell>
          <cell r="D1862">
            <v>15</v>
          </cell>
        </row>
        <row r="1863">
          <cell r="A1863">
            <v>1000102206</v>
          </cell>
          <cell r="B1863" t="str">
            <v>7044 BGM</v>
          </cell>
          <cell r="C1863" t="str">
            <v>G15 K9</v>
          </cell>
          <cell r="D1863">
            <v>10</v>
          </cell>
        </row>
        <row r="1864">
          <cell r="A1864">
            <v>1000102207</v>
          </cell>
          <cell r="B1864" t="str">
            <v>SKF BEARINGS - AXK 3047</v>
          </cell>
          <cell r="C1864" t="str">
            <v>G20 K35</v>
          </cell>
          <cell r="D1864">
            <v>30</v>
          </cell>
        </row>
        <row r="1865">
          <cell r="A1865">
            <v>1000102208</v>
          </cell>
          <cell r="B1865" t="str">
            <v>FRB 12.5/170</v>
          </cell>
          <cell r="C1865" t="str">
            <v>F21 K41</v>
          </cell>
          <cell r="D1865">
            <v>25</v>
          </cell>
        </row>
        <row r="1866">
          <cell r="A1866">
            <v>1000102209</v>
          </cell>
          <cell r="B1866" t="str">
            <v>23134 CC/W33</v>
          </cell>
          <cell r="C1866" t="str">
            <v>K25</v>
          </cell>
          <cell r="D1866">
            <v>1</v>
          </cell>
        </row>
        <row r="1867">
          <cell r="A1867">
            <v>1000102210</v>
          </cell>
          <cell r="B1867" t="str">
            <v>TSN 218 A</v>
          </cell>
          <cell r="C1867" t="str">
            <v>K40</v>
          </cell>
          <cell r="D1867">
            <v>0</v>
          </cell>
        </row>
        <row r="1868">
          <cell r="A1868">
            <v>1000102211</v>
          </cell>
          <cell r="B1868" t="str">
            <v>FYJ 45 TF</v>
          </cell>
          <cell r="C1868" t="str">
            <v>K6</v>
          </cell>
          <cell r="D1868">
            <v>1</v>
          </cell>
        </row>
        <row r="1869">
          <cell r="A1869">
            <v>1000102212</v>
          </cell>
          <cell r="B1869" t="str">
            <v>22319 EJA/VA405</v>
          </cell>
          <cell r="C1869" t="str">
            <v>K17 K26</v>
          </cell>
          <cell r="D1869">
            <v>2</v>
          </cell>
        </row>
        <row r="1870">
          <cell r="A1870">
            <v>1000102213</v>
          </cell>
          <cell r="B1870" t="str">
            <v>32038 X/DF</v>
          </cell>
          <cell r="C1870" t="str">
            <v>HDOWN</v>
          </cell>
          <cell r="D1870">
            <v>1</v>
          </cell>
        </row>
        <row r="1871">
          <cell r="A1871">
            <v>1000102214</v>
          </cell>
          <cell r="B1871" t="str">
            <v>22244 CC/W33</v>
          </cell>
          <cell r="C1871" t="str">
            <v>SKF3</v>
          </cell>
          <cell r="D1871">
            <v>1</v>
          </cell>
        </row>
        <row r="1872">
          <cell r="A1872">
            <v>1000102215</v>
          </cell>
          <cell r="B1872" t="str">
            <v>23032 CC/W33</v>
          </cell>
          <cell r="C1872" t="str">
            <v>_</v>
          </cell>
          <cell r="D1872">
            <v>0</v>
          </cell>
        </row>
        <row r="1873">
          <cell r="A1873">
            <v>1000102216</v>
          </cell>
          <cell r="B1873" t="str">
            <v>16032/C3</v>
          </cell>
          <cell r="C1873" t="str">
            <v>K18 K9 K25</v>
          </cell>
          <cell r="D1873">
            <v>21</v>
          </cell>
        </row>
        <row r="1874">
          <cell r="A1874">
            <v>1000102217</v>
          </cell>
          <cell r="B1874" t="str">
            <v>6206-2Z/C3WT</v>
          </cell>
          <cell r="C1874" t="str">
            <v>K40</v>
          </cell>
          <cell r="D1874">
            <v>2</v>
          </cell>
        </row>
        <row r="1875">
          <cell r="A1875">
            <v>1000102218</v>
          </cell>
          <cell r="B1875" t="str">
            <v>23136 CCK/W33</v>
          </cell>
          <cell r="C1875" t="str">
            <v>G10 MDOWN</v>
          </cell>
          <cell r="D1875">
            <v>2</v>
          </cell>
        </row>
        <row r="1876">
          <cell r="A1876">
            <v>1000102219</v>
          </cell>
          <cell r="B1876" t="str">
            <v>NU 228 ECJ</v>
          </cell>
          <cell r="C1876" t="str">
            <v>K11 L4</v>
          </cell>
          <cell r="D1876">
            <v>4</v>
          </cell>
        </row>
        <row r="1877">
          <cell r="A1877">
            <v>1000102220</v>
          </cell>
          <cell r="B1877" t="str">
            <v>NU 328 ECM</v>
          </cell>
          <cell r="C1877" t="str">
            <v>57 68R 33</v>
          </cell>
          <cell r="D1877">
            <v>4</v>
          </cell>
        </row>
        <row r="1878">
          <cell r="A1878">
            <v>1000102221</v>
          </cell>
          <cell r="B1878" t="str">
            <v>MB 10</v>
          </cell>
          <cell r="C1878" t="str">
            <v>I10 74  66R</v>
          </cell>
          <cell r="D1878">
            <v>303</v>
          </cell>
        </row>
        <row r="1879">
          <cell r="A1879">
            <v>1000102223</v>
          </cell>
          <cell r="B1879" t="str">
            <v>32026 X</v>
          </cell>
          <cell r="C1879" t="str">
            <v>K8</v>
          </cell>
          <cell r="D1879">
            <v>1</v>
          </cell>
        </row>
        <row r="1880">
          <cell r="A1880">
            <v>1000102224</v>
          </cell>
          <cell r="B1880" t="str">
            <v>23028 CCK/W33</v>
          </cell>
          <cell r="C1880" t="str">
            <v>K18</v>
          </cell>
          <cell r="D1880">
            <v>5</v>
          </cell>
        </row>
        <row r="1881">
          <cell r="A1881">
            <v>1000102225</v>
          </cell>
          <cell r="B1881" t="str">
            <v>6209-RS1/C3</v>
          </cell>
          <cell r="C1881" t="str">
            <v>J21</v>
          </cell>
          <cell r="D1881">
            <v>2</v>
          </cell>
        </row>
        <row r="1882">
          <cell r="A1882">
            <v>1000102226</v>
          </cell>
          <cell r="B1882" t="str">
            <v>23144 CC/W33</v>
          </cell>
          <cell r="C1882" t="str">
            <v>FDOWN</v>
          </cell>
          <cell r="D1882">
            <v>1</v>
          </cell>
        </row>
        <row r="1883">
          <cell r="A1883">
            <v>1000102227</v>
          </cell>
          <cell r="B1883" t="str">
            <v>H 3028</v>
          </cell>
          <cell r="C1883" t="str">
            <v>K5</v>
          </cell>
          <cell r="D1883">
            <v>3</v>
          </cell>
        </row>
        <row r="1884">
          <cell r="A1884">
            <v>1000102228</v>
          </cell>
          <cell r="B1884" t="str">
            <v>6205-RSH</v>
          </cell>
          <cell r="C1884" t="str">
            <v>D13 K40</v>
          </cell>
          <cell r="D1884">
            <v>6</v>
          </cell>
        </row>
        <row r="1885">
          <cell r="A1885">
            <v>1000102229</v>
          </cell>
          <cell r="B1885" t="str">
            <v>3222 A</v>
          </cell>
          <cell r="C1885" t="str">
            <v>K20</v>
          </cell>
          <cell r="D1885">
            <v>1</v>
          </cell>
        </row>
        <row r="1886">
          <cell r="A1886">
            <v>1000102230</v>
          </cell>
          <cell r="B1886" t="str">
            <v>24126 CC/C3W33</v>
          </cell>
          <cell r="C1886" t="str">
            <v>F7 K1 K20</v>
          </cell>
          <cell r="D1886">
            <v>11</v>
          </cell>
        </row>
        <row r="1887">
          <cell r="A1887">
            <v>1000102231</v>
          </cell>
          <cell r="B1887" t="str">
            <v>NU 211 ECJ</v>
          </cell>
          <cell r="C1887" t="str">
            <v>K7</v>
          </cell>
          <cell r="D1887">
            <v>3</v>
          </cell>
        </row>
        <row r="1888">
          <cell r="A1888">
            <v>1000102232</v>
          </cell>
          <cell r="B1888" t="str">
            <v>6330/C3VL2071</v>
          </cell>
          <cell r="C1888" t="str">
            <v>K30</v>
          </cell>
          <cell r="D1888">
            <v>1</v>
          </cell>
        </row>
        <row r="1889">
          <cell r="A1889">
            <v>1000102233</v>
          </cell>
          <cell r="B1889" t="str">
            <v>23044 CC/C3W33</v>
          </cell>
          <cell r="C1889" t="str">
            <v>SKF5</v>
          </cell>
          <cell r="D1889">
            <v>7</v>
          </cell>
        </row>
        <row r="1890">
          <cell r="A1890">
            <v>1000102234</v>
          </cell>
          <cell r="B1890" t="str">
            <v>2309 EKTN9</v>
          </cell>
          <cell r="C1890" t="str">
            <v>F1 K3</v>
          </cell>
          <cell r="D1890">
            <v>5</v>
          </cell>
        </row>
        <row r="1891">
          <cell r="A1891">
            <v>1000102235</v>
          </cell>
          <cell r="B1891" t="str">
            <v>23040 CC/C3W33</v>
          </cell>
          <cell r="C1891" t="str">
            <v>KDOWN</v>
          </cell>
          <cell r="D1891">
            <v>4</v>
          </cell>
        </row>
        <row r="1892">
          <cell r="A1892">
            <v>1000102236</v>
          </cell>
          <cell r="B1892" t="str">
            <v>IR 70X80X35</v>
          </cell>
          <cell r="C1892" t="str">
            <v>K12</v>
          </cell>
          <cell r="D1892">
            <v>6</v>
          </cell>
        </row>
        <row r="1893">
          <cell r="A1893">
            <v>1000102237</v>
          </cell>
          <cell r="B1893" t="str">
            <v>NJ 2310 ECML/C4</v>
          </cell>
          <cell r="C1893" t="str">
            <v>K21</v>
          </cell>
          <cell r="D1893">
            <v>2</v>
          </cell>
        </row>
        <row r="1894">
          <cell r="A1894">
            <v>1000102238</v>
          </cell>
          <cell r="B1894" t="str">
            <v>24128 CC/C3W33</v>
          </cell>
          <cell r="C1894" t="str">
            <v>K11 K14</v>
          </cell>
          <cell r="D1894">
            <v>6</v>
          </cell>
        </row>
        <row r="1895">
          <cell r="A1895">
            <v>1000102239</v>
          </cell>
          <cell r="B1895" t="str">
            <v>24130 CC/W33</v>
          </cell>
          <cell r="C1895" t="str">
            <v>K10 K21</v>
          </cell>
          <cell r="D1895">
            <v>3</v>
          </cell>
        </row>
        <row r="1896">
          <cell r="A1896">
            <v>1000102272</v>
          </cell>
          <cell r="B1896" t="str">
            <v xml:space="preserve">SYF 506 </v>
          </cell>
          <cell r="C1896" t="str">
            <v>D18</v>
          </cell>
          <cell r="D1896">
            <v>20</v>
          </cell>
        </row>
        <row r="1897">
          <cell r="A1897">
            <v>1000102281</v>
          </cell>
          <cell r="B1897" t="str">
            <v xml:space="preserve"> YAR 211-2F </v>
          </cell>
          <cell r="C1897" t="str">
            <v>G6</v>
          </cell>
          <cell r="D1897">
            <v>10</v>
          </cell>
        </row>
        <row r="1898">
          <cell r="A1898">
            <v>1000102321</v>
          </cell>
          <cell r="B1898" t="str">
            <v>UCP 218</v>
          </cell>
          <cell r="C1898" t="str">
            <v>M19</v>
          </cell>
          <cell r="D1898">
            <v>3</v>
          </cell>
        </row>
        <row r="1899">
          <cell r="A1899">
            <v>1000102337</v>
          </cell>
          <cell r="B1899" t="str">
            <v>NU 213 ECJ/C3</v>
          </cell>
          <cell r="C1899" t="str">
            <v>L13</v>
          </cell>
          <cell r="D1899">
            <v>2</v>
          </cell>
        </row>
        <row r="1900">
          <cell r="A1900">
            <v>1000102351</v>
          </cell>
          <cell r="B1900">
            <v>32218</v>
          </cell>
          <cell r="C1900" t="str">
            <v>G17</v>
          </cell>
          <cell r="D1900">
            <v>5</v>
          </cell>
        </row>
        <row r="1901">
          <cell r="A1901">
            <v>1000102404</v>
          </cell>
          <cell r="B1901" t="str">
            <v xml:space="preserve">PCM 141615 M </v>
          </cell>
          <cell r="C1901" t="str">
            <v>A2</v>
          </cell>
          <cell r="D1901">
            <v>16</v>
          </cell>
        </row>
        <row r="1902">
          <cell r="A1902">
            <v>1000102408</v>
          </cell>
          <cell r="B1902" t="str">
            <v xml:space="preserve">PHG SPA-2582 </v>
          </cell>
          <cell r="C1902" t="str">
            <v>BOX3 BOX21</v>
          </cell>
          <cell r="D1902">
            <v>38</v>
          </cell>
        </row>
        <row r="1903">
          <cell r="A1903">
            <v>1000102409</v>
          </cell>
          <cell r="B1903" t="str">
            <v xml:space="preserve">7201 BEP </v>
          </cell>
          <cell r="C1903" t="str">
            <v>K39 48 74 N3  66R</v>
          </cell>
          <cell r="D1903">
            <v>31</v>
          </cell>
        </row>
        <row r="1904">
          <cell r="A1904">
            <v>1000102418</v>
          </cell>
          <cell r="B1904" t="str">
            <v>C3224</v>
          </cell>
          <cell r="C1904" t="str">
            <v>D4</v>
          </cell>
          <cell r="D1904">
            <v>1</v>
          </cell>
        </row>
        <row r="1905">
          <cell r="A1905">
            <v>1000102433</v>
          </cell>
          <cell r="B1905">
            <v>6413</v>
          </cell>
          <cell r="C1905" t="str">
            <v>K12 K20 M12</v>
          </cell>
          <cell r="D1905">
            <v>15</v>
          </cell>
        </row>
        <row r="1906">
          <cell r="A1906">
            <v>1000102434</v>
          </cell>
          <cell r="B1906" t="str">
            <v>32016 X</v>
          </cell>
          <cell r="C1906" t="str">
            <v>K14</v>
          </cell>
          <cell r="D1906">
            <v>2</v>
          </cell>
        </row>
        <row r="1907">
          <cell r="A1907">
            <v>1000102435</v>
          </cell>
          <cell r="B1907" t="str">
            <v>NU 322 ECJ</v>
          </cell>
          <cell r="C1907" t="str">
            <v>L5</v>
          </cell>
          <cell r="D1907">
            <v>0</v>
          </cell>
        </row>
        <row r="1908">
          <cell r="A1908">
            <v>1000102436</v>
          </cell>
          <cell r="B1908" t="str">
            <v>204-KRR2</v>
          </cell>
          <cell r="C1908" t="str">
            <v>M 14</v>
          </cell>
          <cell r="D1908">
            <v>12</v>
          </cell>
        </row>
        <row r="1909">
          <cell r="A1909">
            <v>1000102442</v>
          </cell>
          <cell r="B1909">
            <v>31311</v>
          </cell>
          <cell r="C1909" t="str">
            <v>G16</v>
          </cell>
          <cell r="D1909">
            <v>12</v>
          </cell>
        </row>
        <row r="1910">
          <cell r="A1910">
            <v>1000102571</v>
          </cell>
          <cell r="B1910" t="str">
            <v>6202-RSH</v>
          </cell>
          <cell r="C1910" t="str">
            <v>N2 13</v>
          </cell>
          <cell r="D1910">
            <v>19</v>
          </cell>
        </row>
        <row r="1911">
          <cell r="A1911">
            <v>1000102581</v>
          </cell>
          <cell r="B1911">
            <v>53210</v>
          </cell>
          <cell r="C1911" t="str">
            <v>D3</v>
          </cell>
          <cell r="D1911">
            <v>1</v>
          </cell>
        </row>
        <row r="1912">
          <cell r="A1912">
            <v>1000102644</v>
          </cell>
          <cell r="B1912" t="str">
            <v>SKF BEARING; UCFL 207/H</v>
          </cell>
          <cell r="C1912" t="str">
            <v>A13</v>
          </cell>
          <cell r="D1912">
            <v>20</v>
          </cell>
        </row>
        <row r="1913">
          <cell r="A1913">
            <v>1000102700</v>
          </cell>
          <cell r="B1913" t="str">
            <v xml:space="preserve">PHG SPA-2500 </v>
          </cell>
          <cell r="C1913" t="str">
            <v>BOX19 BOX23</v>
          </cell>
          <cell r="D1913">
            <v>44</v>
          </cell>
        </row>
        <row r="1914">
          <cell r="A1914">
            <v>1000102701</v>
          </cell>
          <cell r="B1914" t="str">
            <v xml:space="preserve">PHG SPA-2932 </v>
          </cell>
          <cell r="C1914" t="str">
            <v>BOX22 BOX23</v>
          </cell>
          <cell r="D1914">
            <v>38</v>
          </cell>
        </row>
        <row r="1915">
          <cell r="A1915">
            <v>1000102702</v>
          </cell>
          <cell r="B1915" t="str">
            <v xml:space="preserve">PHG SPA-2382 </v>
          </cell>
          <cell r="C1915" t="str">
            <v>BOX25</v>
          </cell>
          <cell r="D1915">
            <v>28</v>
          </cell>
        </row>
        <row r="1916">
          <cell r="A1916">
            <v>1000102724</v>
          </cell>
          <cell r="B1916" t="str">
            <v>SKF BEARING; 2317 M/C3</v>
          </cell>
          <cell r="C1916" t="str">
            <v>D19</v>
          </cell>
          <cell r="D1916">
            <v>1</v>
          </cell>
        </row>
        <row r="1917">
          <cell r="A1917">
            <v>1000102725</v>
          </cell>
          <cell r="B1917" t="str">
            <v xml:space="preserve">NJ 2215 ECJ </v>
          </cell>
          <cell r="C1917" t="str">
            <v>D4</v>
          </cell>
          <cell r="D1917">
            <v>3</v>
          </cell>
        </row>
        <row r="1918">
          <cell r="A1918">
            <v>1000102726</v>
          </cell>
          <cell r="B1918" t="str">
            <v xml:space="preserve">SYJ 35 TF (NP-35) </v>
          </cell>
          <cell r="C1918" t="str">
            <v>F2 G17</v>
          </cell>
          <cell r="D1918">
            <v>20</v>
          </cell>
        </row>
        <row r="1919">
          <cell r="A1919">
            <v>1000102727</v>
          </cell>
          <cell r="B1919">
            <v>32210</v>
          </cell>
          <cell r="C1919" t="str">
            <v>F15</v>
          </cell>
          <cell r="D1919">
            <v>20</v>
          </cell>
        </row>
        <row r="1920">
          <cell r="A1920">
            <v>1000102852</v>
          </cell>
          <cell r="B1920" t="str">
            <v xml:space="preserve">NU 2322 ECML/C3 </v>
          </cell>
          <cell r="C1920" t="str">
            <v>_</v>
          </cell>
          <cell r="D1920">
            <v>0</v>
          </cell>
        </row>
        <row r="1921">
          <cell r="A1921">
            <v>1000102883</v>
          </cell>
          <cell r="B1921" t="str">
            <v xml:space="preserve">TMMR 120F </v>
          </cell>
          <cell r="C1921" t="str">
            <v>A2</v>
          </cell>
          <cell r="D1921">
            <v>1</v>
          </cell>
        </row>
        <row r="1922">
          <cell r="A1922">
            <v>1000102888</v>
          </cell>
          <cell r="B1922" t="str">
            <v xml:space="preserve">NA 4917 </v>
          </cell>
          <cell r="C1922" t="str">
            <v>D3</v>
          </cell>
          <cell r="D1922">
            <v>3</v>
          </cell>
        </row>
        <row r="1923">
          <cell r="A1923">
            <v>1000102899</v>
          </cell>
          <cell r="B1923">
            <v>6015</v>
          </cell>
          <cell r="C1923" t="str">
            <v>G17</v>
          </cell>
          <cell r="D1923">
            <v>5</v>
          </cell>
        </row>
        <row r="1924">
          <cell r="A1924">
            <v>1000102915</v>
          </cell>
          <cell r="B1924" t="str">
            <v>SYF 40 TF</v>
          </cell>
          <cell r="C1924" t="str">
            <v>K2</v>
          </cell>
          <cell r="D1924">
            <v>10</v>
          </cell>
        </row>
        <row r="1925">
          <cell r="A1925">
            <v>1000102955</v>
          </cell>
          <cell r="B1925" t="str">
            <v>81220 TN</v>
          </cell>
          <cell r="C1925" t="str">
            <v>70 40 M 11 68R</v>
          </cell>
          <cell r="D1925">
            <v>12</v>
          </cell>
        </row>
        <row r="1926">
          <cell r="A1926">
            <v>1000102974</v>
          </cell>
          <cell r="B1926" t="str">
            <v xml:space="preserve">7304 BECBP </v>
          </cell>
          <cell r="C1926" t="str">
            <v>E10 1R 48</v>
          </cell>
          <cell r="D1926">
            <v>13</v>
          </cell>
        </row>
        <row r="1927">
          <cell r="A1927">
            <v>1000102975</v>
          </cell>
          <cell r="B1927" t="str">
            <v xml:space="preserve">7010 ACD/P4ADBA </v>
          </cell>
          <cell r="C1927" t="str">
            <v>J21</v>
          </cell>
          <cell r="D1927">
            <v>7</v>
          </cell>
        </row>
        <row r="1928">
          <cell r="A1928">
            <v>1000103008</v>
          </cell>
          <cell r="B1928" t="str">
            <v xml:space="preserve">7212 BEP </v>
          </cell>
          <cell r="C1928" t="str">
            <v>A2 42 1</v>
          </cell>
          <cell r="D1928">
            <v>10</v>
          </cell>
        </row>
        <row r="1929">
          <cell r="A1929">
            <v>1000103009</v>
          </cell>
          <cell r="B1929" t="str">
            <v xml:space="preserve">PHG SPA2182 </v>
          </cell>
          <cell r="C1929" t="str">
            <v>BOX15 BOX22</v>
          </cell>
          <cell r="D1929">
            <v>33</v>
          </cell>
        </row>
        <row r="1930">
          <cell r="A1930">
            <v>1000103010</v>
          </cell>
          <cell r="B1930" t="str">
            <v xml:space="preserve">PHG SPA1657 </v>
          </cell>
          <cell r="C1930" t="str">
            <v>BOX23 BOX25</v>
          </cell>
          <cell r="D1930">
            <v>12</v>
          </cell>
        </row>
        <row r="1931">
          <cell r="A1931">
            <v>1000103011</v>
          </cell>
          <cell r="B1931" t="str">
            <v xml:space="preserve">PHG SPA1432 </v>
          </cell>
          <cell r="C1931" t="str">
            <v>BOX11 BOX25</v>
          </cell>
          <cell r="D1931">
            <v>14</v>
          </cell>
        </row>
        <row r="1932">
          <cell r="A1932">
            <v>1000103012</v>
          </cell>
          <cell r="B1932" t="str">
            <v xml:space="preserve">PHG SPA3750 </v>
          </cell>
          <cell r="C1932" t="str">
            <v xml:space="preserve"> BOX5 BOX26</v>
          </cell>
          <cell r="D1932">
            <v>58</v>
          </cell>
        </row>
        <row r="1933">
          <cell r="A1933">
            <v>1000103013</v>
          </cell>
          <cell r="B1933" t="str">
            <v xml:space="preserve">PHG SPA2732 </v>
          </cell>
          <cell r="C1933" t="str">
            <v>BOX13 BOX25</v>
          </cell>
          <cell r="D1933">
            <v>30</v>
          </cell>
        </row>
        <row r="1934">
          <cell r="A1934">
            <v>1000103023</v>
          </cell>
          <cell r="B1934" t="str">
            <v xml:space="preserve">6312-2Z/C3LHT23 </v>
          </cell>
          <cell r="C1934" t="str">
            <v>D4</v>
          </cell>
          <cell r="D1934">
            <v>1</v>
          </cell>
        </row>
        <row r="1935">
          <cell r="A1935">
            <v>1000103042</v>
          </cell>
          <cell r="B1935" t="str">
            <v xml:space="preserve">23228 CC/W33 </v>
          </cell>
          <cell r="C1935" t="str">
            <v>F20</v>
          </cell>
          <cell r="D1935">
            <v>4</v>
          </cell>
        </row>
        <row r="1936">
          <cell r="A1936">
            <v>1000103043</v>
          </cell>
          <cell r="B1936" t="str">
            <v xml:space="preserve">22226 EK/C3 </v>
          </cell>
          <cell r="C1936" t="str">
            <v>G15 G16</v>
          </cell>
          <cell r="D1936">
            <v>5</v>
          </cell>
        </row>
        <row r="1937">
          <cell r="A1937">
            <v>1000103066</v>
          </cell>
          <cell r="B1937" t="str">
            <v xml:space="preserve">PHG SPA3382 </v>
          </cell>
          <cell r="C1937" t="str">
            <v>BOX12</v>
          </cell>
          <cell r="D1937">
            <v>77</v>
          </cell>
        </row>
        <row r="1938">
          <cell r="A1938">
            <v>1000103067</v>
          </cell>
          <cell r="B1938" t="str">
            <v>PHG BX50EP</v>
          </cell>
          <cell r="C1938" t="str">
            <v>BOX7 BOX47</v>
          </cell>
          <cell r="D1938">
            <v>9</v>
          </cell>
        </row>
        <row r="1939">
          <cell r="A1939">
            <v>1000103068</v>
          </cell>
          <cell r="B1939" t="str">
            <v xml:space="preserve">PHG AX46EP </v>
          </cell>
          <cell r="C1939" t="str">
            <v>BOX17</v>
          </cell>
          <cell r="D1939">
            <v>8</v>
          </cell>
        </row>
        <row r="1940">
          <cell r="A1940">
            <v>1000103069</v>
          </cell>
          <cell r="B1940" t="str">
            <v xml:space="preserve">PHG SPA1557 </v>
          </cell>
          <cell r="C1940" t="str">
            <v>BOX8 BOX23</v>
          </cell>
          <cell r="D1940">
            <v>21</v>
          </cell>
        </row>
        <row r="1941">
          <cell r="A1941">
            <v>1000103070</v>
          </cell>
          <cell r="B1941" t="str">
            <v xml:space="preserve">PHG SPB2180 </v>
          </cell>
          <cell r="C1941" t="str">
            <v>BOX14 BOX21 BOX23</v>
          </cell>
          <cell r="D1941">
            <v>32</v>
          </cell>
        </row>
        <row r="1942">
          <cell r="A1942">
            <v>1000103071</v>
          </cell>
          <cell r="B1942" t="str">
            <v>SKF Products; PHG SPB2725</v>
          </cell>
          <cell r="C1942" t="str">
            <v>BOX18</v>
          </cell>
          <cell r="D1942">
            <v>41</v>
          </cell>
        </row>
        <row r="1943">
          <cell r="A1943">
            <v>1000103072</v>
          </cell>
          <cell r="B1943" t="str">
            <v xml:space="preserve">7313 BEGBM </v>
          </cell>
          <cell r="C1943" t="str">
            <v>G18 N3</v>
          </cell>
          <cell r="D1943">
            <v>3</v>
          </cell>
        </row>
        <row r="1944">
          <cell r="A1944">
            <v>1000103073</v>
          </cell>
          <cell r="B1944" t="str">
            <v>NU 324 ECP/C3</v>
          </cell>
          <cell r="C1944" t="str">
            <v>E8 F4 24 21 38R</v>
          </cell>
          <cell r="D1944">
            <v>13</v>
          </cell>
        </row>
        <row r="1945">
          <cell r="A1945">
            <v>1000103074</v>
          </cell>
          <cell r="B1945" t="str">
            <v xml:space="preserve">QJ 311 N2MA/C3 </v>
          </cell>
          <cell r="C1945" t="str">
            <v>D6  69R</v>
          </cell>
          <cell r="D1945">
            <v>10</v>
          </cell>
        </row>
        <row r="1946">
          <cell r="A1946">
            <v>1000103075</v>
          </cell>
          <cell r="B1946" t="str">
            <v xml:space="preserve">NJ 2204 ECP </v>
          </cell>
          <cell r="C1946" t="str">
            <v>A2 9R 48</v>
          </cell>
          <cell r="D1946">
            <v>12</v>
          </cell>
        </row>
        <row r="1947">
          <cell r="A1947">
            <v>1000103143</v>
          </cell>
          <cell r="B1947" t="str">
            <v xml:space="preserve">MB 25 </v>
          </cell>
          <cell r="C1947" t="str">
            <v>K41 9R 48 J6</v>
          </cell>
          <cell r="D1947">
            <v>27</v>
          </cell>
        </row>
        <row r="1948">
          <cell r="A1948">
            <v>1000103144</v>
          </cell>
          <cell r="B1948" t="str">
            <v xml:space="preserve">81211 TN </v>
          </cell>
          <cell r="C1948" t="str">
            <v>N1 20</v>
          </cell>
          <cell r="D1948">
            <v>8</v>
          </cell>
        </row>
        <row r="1949">
          <cell r="A1949">
            <v>1000103145</v>
          </cell>
          <cell r="B1949">
            <v>2310</v>
          </cell>
          <cell r="C1949" t="str">
            <v>48 M14</v>
          </cell>
          <cell r="D1949">
            <v>3</v>
          </cell>
        </row>
        <row r="1950">
          <cell r="A1950">
            <v>1000103146</v>
          </cell>
          <cell r="B1950">
            <v>16032</v>
          </cell>
          <cell r="C1950" t="str">
            <v>F4</v>
          </cell>
          <cell r="D1950">
            <v>11</v>
          </cell>
        </row>
        <row r="1951">
          <cell r="A1951">
            <v>1000103147</v>
          </cell>
          <cell r="B1951" t="str">
            <v xml:space="preserve">SKF Products; SY 25 TF </v>
          </cell>
          <cell r="C1951" t="str">
            <v>N3</v>
          </cell>
          <cell r="D1951">
            <v>3</v>
          </cell>
        </row>
        <row r="1952">
          <cell r="A1952">
            <v>1000103148</v>
          </cell>
          <cell r="B1952" t="str">
            <v>SNL 518-615</v>
          </cell>
          <cell r="C1952">
            <v>33</v>
          </cell>
          <cell r="D1952">
            <v>1</v>
          </cell>
        </row>
        <row r="1953">
          <cell r="A1953">
            <v>1000103149</v>
          </cell>
          <cell r="B1953" t="str">
            <v xml:space="preserve">7318 BECBP </v>
          </cell>
          <cell r="C1953" t="str">
            <v>F14</v>
          </cell>
          <cell r="D1953">
            <v>1</v>
          </cell>
        </row>
        <row r="1954">
          <cell r="A1954">
            <v>1000103150</v>
          </cell>
          <cell r="B1954" t="str">
            <v>NJ 220 ECP</v>
          </cell>
          <cell r="C1954" t="str">
            <v>N3 11 M29</v>
          </cell>
          <cell r="D1954">
            <v>3</v>
          </cell>
        </row>
        <row r="1955">
          <cell r="A1955">
            <v>1000103151</v>
          </cell>
          <cell r="B1955" t="str">
            <v xml:space="preserve">3203 ATN9 </v>
          </cell>
          <cell r="C1955" t="str">
            <v>D3 74  66R</v>
          </cell>
          <cell r="D1955">
            <v>26</v>
          </cell>
        </row>
        <row r="1956">
          <cell r="A1956">
            <v>1000103152</v>
          </cell>
          <cell r="B1956" t="str">
            <v xml:space="preserve">NU 260 M/C4S1 </v>
          </cell>
          <cell r="C1956" t="str">
            <v>SKF5 SKF4</v>
          </cell>
          <cell r="D1956">
            <v>6</v>
          </cell>
        </row>
        <row r="1957">
          <cell r="A1957">
            <v>1000103153</v>
          </cell>
          <cell r="B1957" t="str">
            <v xml:space="preserve">7205 BEP </v>
          </cell>
          <cell r="C1957" t="str">
            <v>K37 74  66R</v>
          </cell>
          <cell r="D1957">
            <v>12</v>
          </cell>
        </row>
        <row r="1958">
          <cell r="A1958">
            <v>1000103154</v>
          </cell>
          <cell r="B1958" t="str">
            <v xml:space="preserve">7208 BEP </v>
          </cell>
          <cell r="C1958" t="str">
            <v>K28 N1 7</v>
          </cell>
          <cell r="D1958">
            <v>7</v>
          </cell>
        </row>
        <row r="1959">
          <cell r="A1959">
            <v>1000103194</v>
          </cell>
          <cell r="B1959" t="str">
            <v>3305 A-2RS1TN9/MT33</v>
          </cell>
          <cell r="C1959" t="str">
            <v>M24 78 N3</v>
          </cell>
          <cell r="D1959">
            <v>5</v>
          </cell>
        </row>
        <row r="1960">
          <cell r="A1960">
            <v>1000103195</v>
          </cell>
          <cell r="B1960" t="str">
            <v>NJ 214 ECJ</v>
          </cell>
          <cell r="C1960" t="str">
            <v>M27 48</v>
          </cell>
          <cell r="D1960">
            <v>3</v>
          </cell>
        </row>
        <row r="1961">
          <cell r="A1961">
            <v>1000103196</v>
          </cell>
          <cell r="B1961" t="str">
            <v>FY 55 TR</v>
          </cell>
          <cell r="C1961" t="str">
            <v>E14 37</v>
          </cell>
          <cell r="D1961">
            <v>2</v>
          </cell>
        </row>
        <row r="1962">
          <cell r="A1962">
            <v>1000103197</v>
          </cell>
          <cell r="B1962" t="str">
            <v>22230 CC/C3W33</v>
          </cell>
          <cell r="C1962" t="str">
            <v>E20 22</v>
          </cell>
          <cell r="D1962">
            <v>1</v>
          </cell>
        </row>
        <row r="1963">
          <cell r="A1963">
            <v>1000103198</v>
          </cell>
          <cell r="B1963" t="str">
            <v>6205-2RS2/WT</v>
          </cell>
          <cell r="C1963" t="str">
            <v>F5 N3</v>
          </cell>
          <cell r="D1963">
            <v>86</v>
          </cell>
        </row>
        <row r="1964">
          <cell r="A1964">
            <v>1000103199</v>
          </cell>
          <cell r="B1964" t="str">
            <v>3307 ANR</v>
          </cell>
          <cell r="C1964" t="str">
            <v>F16</v>
          </cell>
          <cell r="D1964">
            <v>3</v>
          </cell>
        </row>
        <row r="1965">
          <cell r="A1965">
            <v>1000103200</v>
          </cell>
          <cell r="B1965" t="str">
            <v>NJ 2317 ECML/C4VQ015</v>
          </cell>
          <cell r="C1965">
            <v>70</v>
          </cell>
          <cell r="D1965">
            <v>0</v>
          </cell>
        </row>
        <row r="1966">
          <cell r="A1966">
            <v>1000103201</v>
          </cell>
          <cell r="B1966" t="str">
            <v>3311 A-2ZTN9/C3VT113</v>
          </cell>
          <cell r="C1966" t="str">
            <v>M27 69R</v>
          </cell>
          <cell r="D1966">
            <v>3</v>
          </cell>
        </row>
        <row r="1967">
          <cell r="A1967">
            <v>1000103202</v>
          </cell>
          <cell r="B1967" t="str">
            <v>AXK 130170</v>
          </cell>
          <cell r="C1967" t="str">
            <v>E13</v>
          </cell>
          <cell r="D1967">
            <v>15</v>
          </cell>
        </row>
        <row r="1968">
          <cell r="A1968">
            <v>1000103203</v>
          </cell>
          <cell r="B1968" t="str">
            <v>PHG SPB2120</v>
          </cell>
          <cell r="C1968" t="str">
            <v>BOX22</v>
          </cell>
          <cell r="D1968">
            <v>29</v>
          </cell>
        </row>
        <row r="1969">
          <cell r="A1969">
            <v>1000103204</v>
          </cell>
          <cell r="B1969" t="str">
            <v>PHG SPB 1700</v>
          </cell>
          <cell r="C1969" t="str">
            <v>BOX25</v>
          </cell>
          <cell r="D1969">
            <v>19</v>
          </cell>
        </row>
        <row r="1970">
          <cell r="A1970">
            <v>1000103205</v>
          </cell>
          <cell r="B1970" t="str">
            <v>PHG SPB1600</v>
          </cell>
          <cell r="C1970" t="str">
            <v>BOX6 BOX21</v>
          </cell>
          <cell r="D1970">
            <v>35</v>
          </cell>
        </row>
        <row r="1971">
          <cell r="A1971">
            <v>1000103206</v>
          </cell>
          <cell r="B1971" t="str">
            <v>PHG SPB1500</v>
          </cell>
          <cell r="C1971" t="str">
            <v>BOX17 BOX23</v>
          </cell>
          <cell r="D1971">
            <v>20</v>
          </cell>
        </row>
        <row r="1972">
          <cell r="A1972">
            <v>1000103207</v>
          </cell>
          <cell r="B1972" t="str">
            <v>140 VA R</v>
          </cell>
          <cell r="C1972" t="str">
            <v>F20 N2 13</v>
          </cell>
          <cell r="D1972">
            <v>10</v>
          </cell>
        </row>
        <row r="1973">
          <cell r="A1973">
            <v>1000103208</v>
          </cell>
          <cell r="B1973" t="str">
            <v>NU 216 ECJ (D)</v>
          </cell>
          <cell r="C1973" t="str">
            <v>D2 M13</v>
          </cell>
          <cell r="D1973">
            <v>28</v>
          </cell>
        </row>
        <row r="1974">
          <cell r="A1974">
            <v>1000103209</v>
          </cell>
          <cell r="B1974" t="str">
            <v>SKF Product; 6324-2RS1</v>
          </cell>
          <cell r="C1974" t="str">
            <v>L14</v>
          </cell>
          <cell r="D1974">
            <v>3</v>
          </cell>
        </row>
        <row r="1975">
          <cell r="A1975">
            <v>1000103210</v>
          </cell>
          <cell r="B1975" t="str">
            <v>NU 2220 ECP</v>
          </cell>
          <cell r="C1975" t="str">
            <v>M23 48</v>
          </cell>
          <cell r="D1975">
            <v>2</v>
          </cell>
        </row>
        <row r="1976">
          <cell r="A1976">
            <v>1000103211</v>
          </cell>
          <cell r="B1976" t="str">
            <v>BMB-6204/048S2/UA002A</v>
          </cell>
          <cell r="C1976" t="str">
            <v>G18 1R</v>
          </cell>
          <cell r="D1976">
            <v>19</v>
          </cell>
        </row>
        <row r="1977">
          <cell r="A1977">
            <v>1000103212</v>
          </cell>
          <cell r="B1977" t="str">
            <v>6002-2RSL</v>
          </cell>
          <cell r="C1977" t="str">
            <v>A2 N1 20</v>
          </cell>
          <cell r="D1977">
            <v>5</v>
          </cell>
        </row>
        <row r="1978">
          <cell r="A1978">
            <v>1000103213</v>
          </cell>
          <cell r="B1978" t="str">
            <v>6303 JEM</v>
          </cell>
          <cell r="C1978" t="str">
            <v>E10</v>
          </cell>
          <cell r="D1978">
            <v>5</v>
          </cell>
        </row>
        <row r="1979">
          <cell r="A1979">
            <v>1000103214</v>
          </cell>
          <cell r="B1979" t="str">
            <v>6202 2Z JEM</v>
          </cell>
          <cell r="C1979" t="str">
            <v>D8</v>
          </cell>
          <cell r="D1979">
            <v>5</v>
          </cell>
        </row>
        <row r="1980">
          <cell r="A1980">
            <v>1000103215</v>
          </cell>
          <cell r="B1980">
            <v>6219</v>
          </cell>
          <cell r="C1980" t="str">
            <v>G6</v>
          </cell>
          <cell r="D1980">
            <v>5</v>
          </cell>
        </row>
        <row r="1981">
          <cell r="A1981">
            <v>1000103217</v>
          </cell>
          <cell r="B1981" t="str">
            <v xml:space="preserve">7317 BECBY </v>
          </cell>
          <cell r="C1981" t="str">
            <v>D4</v>
          </cell>
          <cell r="D1981">
            <v>1</v>
          </cell>
        </row>
        <row r="1982">
          <cell r="A1982">
            <v>1000103289</v>
          </cell>
          <cell r="B1982" t="str">
            <v>MRC.5316-MG</v>
          </cell>
          <cell r="C1982" t="str">
            <v>_</v>
          </cell>
          <cell r="D1982">
            <v>0</v>
          </cell>
        </row>
        <row r="1983">
          <cell r="A1983">
            <v>1000103335</v>
          </cell>
          <cell r="B1983" t="str">
            <v>P2BSS 35M-TPSS</v>
          </cell>
          <cell r="C1983" t="str">
            <v>_</v>
          </cell>
          <cell r="D1983">
            <v>0</v>
          </cell>
        </row>
        <row r="1984">
          <cell r="A1984">
            <v>1000103429</v>
          </cell>
          <cell r="B1984" t="str">
            <v xml:space="preserve">63/22/C3 </v>
          </cell>
          <cell r="C1984" t="str">
            <v>E10</v>
          </cell>
          <cell r="D1984">
            <v>5</v>
          </cell>
        </row>
        <row r="1985">
          <cell r="A1985">
            <v>1000103521</v>
          </cell>
          <cell r="B1985" t="str">
            <v>32038 X</v>
          </cell>
          <cell r="C1985" t="str">
            <v>M25</v>
          </cell>
          <cell r="D1985">
            <v>1</v>
          </cell>
        </row>
        <row r="1986">
          <cell r="A1986">
            <v>1000103522</v>
          </cell>
          <cell r="B1986" t="str">
            <v>GEH 45 ES-2RS</v>
          </cell>
          <cell r="C1986" t="str">
            <v>D12</v>
          </cell>
          <cell r="D1986">
            <v>10</v>
          </cell>
        </row>
        <row r="1987">
          <cell r="A1987">
            <v>1000103523</v>
          </cell>
          <cell r="B1987" t="str">
            <v>GE 35 TXE-2LS</v>
          </cell>
          <cell r="C1987" t="str">
            <v>D12</v>
          </cell>
          <cell r="D1987">
            <v>5</v>
          </cell>
        </row>
        <row r="1988">
          <cell r="A1988">
            <v>1000103524</v>
          </cell>
          <cell r="B1988" t="str">
            <v>SY 3/4 TF/VA228</v>
          </cell>
          <cell r="C1988" t="str">
            <v>D3</v>
          </cell>
          <cell r="D1988">
            <v>5</v>
          </cell>
        </row>
        <row r="1989">
          <cell r="A1989">
            <v>1000103525</v>
          </cell>
          <cell r="B1989" t="str">
            <v>AH 313 G</v>
          </cell>
          <cell r="C1989" t="str">
            <v>D3</v>
          </cell>
          <cell r="D1989">
            <v>5</v>
          </cell>
        </row>
        <row r="1990">
          <cell r="A1990">
            <v>1000103526</v>
          </cell>
          <cell r="B1990" t="str">
            <v>NU 203 ECP/C3</v>
          </cell>
          <cell r="C1990" t="str">
            <v>D3</v>
          </cell>
          <cell r="D1990">
            <v>5</v>
          </cell>
        </row>
        <row r="1991">
          <cell r="A1991">
            <v>1000103527</v>
          </cell>
          <cell r="B1991">
            <v>30311</v>
          </cell>
          <cell r="C1991" t="str">
            <v>F11</v>
          </cell>
          <cell r="D1991">
            <v>3</v>
          </cell>
        </row>
        <row r="1992">
          <cell r="A1992">
            <v>1000103528</v>
          </cell>
          <cell r="B1992" t="str">
            <v>6204-2Z/VA201</v>
          </cell>
          <cell r="C1992" t="str">
            <v>D13</v>
          </cell>
          <cell r="D1992">
            <v>4</v>
          </cell>
        </row>
        <row r="1993">
          <cell r="A1993">
            <v>1000103529</v>
          </cell>
          <cell r="B1993" t="str">
            <v>2210 E-2RS1TN9</v>
          </cell>
          <cell r="C1993" t="str">
            <v>D3</v>
          </cell>
          <cell r="D1993">
            <v>5</v>
          </cell>
        </row>
        <row r="1994">
          <cell r="A1994">
            <v>1000103681</v>
          </cell>
          <cell r="B1994" t="str">
            <v>3207 ATN9 /C3</v>
          </cell>
          <cell r="C1994" t="str">
            <v>69R</v>
          </cell>
          <cell r="D1994">
            <v>10</v>
          </cell>
        </row>
        <row r="1995">
          <cell r="A1995">
            <v>1000103703</v>
          </cell>
          <cell r="B1995" t="str">
            <v xml:space="preserve">W 8 </v>
          </cell>
          <cell r="C1995" t="str">
            <v>G20</v>
          </cell>
          <cell r="D1995">
            <v>3</v>
          </cell>
        </row>
        <row r="1996">
          <cell r="A1996">
            <v>1000104133</v>
          </cell>
          <cell r="B1996" t="str">
            <v>FY 40  TF</v>
          </cell>
          <cell r="C1996" t="str">
            <v>74 N3</v>
          </cell>
          <cell r="D1996">
            <v>0</v>
          </cell>
        </row>
        <row r="1997">
          <cell r="A1997">
            <v>1000104134</v>
          </cell>
          <cell r="B1997" t="str">
            <v>ECY 208</v>
          </cell>
          <cell r="C1997" t="str">
            <v>N3</v>
          </cell>
          <cell r="D1997">
            <v>0</v>
          </cell>
        </row>
        <row r="1998">
          <cell r="A1998">
            <v>1000104227</v>
          </cell>
          <cell r="B1998" t="str">
            <v>LAGD 125/HQ2 (D)</v>
          </cell>
          <cell r="C1998" t="str">
            <v>G15</v>
          </cell>
          <cell r="D1998">
            <v>3</v>
          </cell>
        </row>
        <row r="1999">
          <cell r="A1999">
            <v>1000104237</v>
          </cell>
          <cell r="B1999" t="str">
            <v>NU 216 ECM</v>
          </cell>
          <cell r="C1999">
            <v>57</v>
          </cell>
          <cell r="D1999">
            <v>1</v>
          </cell>
        </row>
        <row r="2000">
          <cell r="A2000">
            <v>1000104339</v>
          </cell>
          <cell r="B2000" t="str">
            <v xml:space="preserve"> 52X68X8 HMSA10 RG </v>
          </cell>
          <cell r="C2000" t="str">
            <v>_</v>
          </cell>
          <cell r="D2000">
            <v>0</v>
          </cell>
        </row>
        <row r="2001">
          <cell r="A2001">
            <v>1000104360</v>
          </cell>
          <cell r="B2001" t="str">
            <v xml:space="preserve">NIL.6205 AV </v>
          </cell>
          <cell r="C2001" t="str">
            <v>J6</v>
          </cell>
          <cell r="D2001">
            <v>8</v>
          </cell>
        </row>
        <row r="2002">
          <cell r="A2002">
            <v>1000104438</v>
          </cell>
          <cell r="B2002" t="str">
            <v xml:space="preserve">AXK 1024 </v>
          </cell>
          <cell r="C2002" t="str">
            <v>J6</v>
          </cell>
          <cell r="D2002">
            <v>2</v>
          </cell>
        </row>
        <row r="2003">
          <cell r="A2003">
            <v>1000104797</v>
          </cell>
          <cell r="B2003" t="str">
            <v xml:space="preserve">UCF 316 </v>
          </cell>
          <cell r="C2003" t="str">
            <v>K11 K28</v>
          </cell>
          <cell r="D2003">
            <v>11</v>
          </cell>
        </row>
        <row r="2004">
          <cell r="A2004"/>
          <cell r="B2004"/>
          <cell r="C2004"/>
          <cell r="D2004"/>
        </row>
        <row r="2005">
          <cell r="A2005">
            <v>1000105285</v>
          </cell>
          <cell r="B2005">
            <v>99235</v>
          </cell>
          <cell r="C2005" t="str">
            <v>70 29R</v>
          </cell>
          <cell r="D2005">
            <v>30</v>
          </cell>
        </row>
        <row r="2006">
          <cell r="A2006">
            <v>1000105399</v>
          </cell>
          <cell r="B2006" t="str">
            <v xml:space="preserve">GE 90 ES </v>
          </cell>
          <cell r="C2006" t="str">
            <v>N3 E15 11 29R</v>
          </cell>
          <cell r="D2006">
            <v>28</v>
          </cell>
        </row>
        <row r="2007">
          <cell r="A2007">
            <v>1000105504</v>
          </cell>
          <cell r="B2007" t="str">
            <v xml:space="preserve">LAGD 60/HQ2 ( 1 LOT /BOX = 10 PCS) </v>
          </cell>
          <cell r="C2007" t="str">
            <v>_</v>
          </cell>
          <cell r="D2007">
            <v>0</v>
          </cell>
        </row>
        <row r="2008">
          <cell r="A2008">
            <v>1000106135</v>
          </cell>
          <cell r="B2008" t="str">
            <v>SNL 517</v>
          </cell>
          <cell r="C2008" t="str">
            <v>O4</v>
          </cell>
          <cell r="D2008">
            <v>1</v>
          </cell>
        </row>
        <row r="2009">
          <cell r="A2009">
            <v>1000106150</v>
          </cell>
          <cell r="B2009" t="str">
            <v xml:space="preserve"> NU 1044 M/C3</v>
          </cell>
          <cell r="C2009" t="str">
            <v>57 61 73R 26</v>
          </cell>
          <cell r="D2009">
            <v>5</v>
          </cell>
        </row>
        <row r="2010">
          <cell r="A2010">
            <v>1000106151</v>
          </cell>
          <cell r="B2010" t="str">
            <v xml:space="preserve"> 6044 M/C3</v>
          </cell>
          <cell r="C2010" t="str">
            <v>N4 60 56 11 73R 26</v>
          </cell>
          <cell r="D2010">
            <v>5</v>
          </cell>
        </row>
        <row r="2011">
          <cell r="A2011">
            <v>1000106153</v>
          </cell>
          <cell r="B2011" t="str">
            <v xml:space="preserve"> 6036 M/C3</v>
          </cell>
          <cell r="C2011" t="str">
            <v>46  E 15</v>
          </cell>
          <cell r="D2011">
            <v>5</v>
          </cell>
        </row>
        <row r="2012">
          <cell r="A2012">
            <v>1000106171</v>
          </cell>
          <cell r="B2012" t="str">
            <v>NU 210 ECJ</v>
          </cell>
          <cell r="C2012" t="str">
            <v>1R 48  69R</v>
          </cell>
          <cell r="D2012">
            <v>5</v>
          </cell>
        </row>
        <row r="2013">
          <cell r="A2013">
            <v>1000106376</v>
          </cell>
          <cell r="B2013" t="str">
            <v xml:space="preserve">Ball; YET 206-102 </v>
          </cell>
          <cell r="C2013" t="str">
            <v>_</v>
          </cell>
          <cell r="D2013">
            <v>0</v>
          </cell>
        </row>
        <row r="2014">
          <cell r="A2014">
            <v>1000106804</v>
          </cell>
          <cell r="B2014" t="str">
            <v>6322/C3VL0241</v>
          </cell>
          <cell r="C2014" t="str">
            <v>N3  53  32R 11</v>
          </cell>
          <cell r="D2014">
            <v>2</v>
          </cell>
        </row>
        <row r="2015">
          <cell r="A2015">
            <v>1000107156</v>
          </cell>
          <cell r="B2015" t="str">
            <v>45X60X10 HMSA10 RG</v>
          </cell>
          <cell r="C2015" t="str">
            <v>D9</v>
          </cell>
          <cell r="D2015">
            <v>20</v>
          </cell>
        </row>
        <row r="2016">
          <cell r="A2016">
            <v>1000107758</v>
          </cell>
          <cell r="B2016" t="str">
            <v>NUP 2218 ECP/C3</v>
          </cell>
          <cell r="C2016" t="str">
            <v>M9</v>
          </cell>
          <cell r="D2016">
            <v>5</v>
          </cell>
        </row>
        <row r="2017">
          <cell r="A2017">
            <v>1000108321</v>
          </cell>
          <cell r="B2017" t="str">
            <v>32317 J2 (D1)</v>
          </cell>
          <cell r="C2017" t="str">
            <v>G13 M16 M20 86 33</v>
          </cell>
          <cell r="D2017">
            <v>8</v>
          </cell>
        </row>
        <row r="2018">
          <cell r="A2018">
            <v>1000108322</v>
          </cell>
          <cell r="B2018" t="str">
            <v>32316 J2</v>
          </cell>
          <cell r="C2018" t="str">
            <v xml:space="preserve">E20 78 3R  67R </v>
          </cell>
          <cell r="D2018">
            <v>18</v>
          </cell>
        </row>
        <row r="2019">
          <cell r="A2019">
            <v>1000108323</v>
          </cell>
          <cell r="B2019" t="str">
            <v>NU 1036 ML/C3</v>
          </cell>
          <cell r="C2019">
            <v>30</v>
          </cell>
          <cell r="D2019">
            <v>8</v>
          </cell>
        </row>
        <row r="2020">
          <cell r="A2020">
            <v>1000108324</v>
          </cell>
          <cell r="B2020">
            <v>30318</v>
          </cell>
          <cell r="C2020">
            <v>25</v>
          </cell>
          <cell r="D2020">
            <v>5</v>
          </cell>
        </row>
        <row r="2021">
          <cell r="A2021">
            <v>1000108801</v>
          </cell>
          <cell r="B2021" t="str">
            <v>LAGD 125/HQ2 (D1)</v>
          </cell>
          <cell r="C2021">
            <v>41</v>
          </cell>
          <cell r="D2021">
            <v>0</v>
          </cell>
        </row>
        <row r="2022">
          <cell r="A2022">
            <v>1000109177</v>
          </cell>
          <cell r="B2022">
            <v>608</v>
          </cell>
          <cell r="C2022" t="str">
            <v>N2</v>
          </cell>
          <cell r="D2022">
            <v>9</v>
          </cell>
        </row>
        <row r="2023">
          <cell r="A2023">
            <v>1000109688</v>
          </cell>
          <cell r="B2023" t="str">
            <v>PCMF 202321.5 E</v>
          </cell>
          <cell r="C2023" t="str">
            <v>N2</v>
          </cell>
          <cell r="D2023">
            <v>0</v>
          </cell>
        </row>
        <row r="2024">
          <cell r="A2024">
            <v>1000021397</v>
          </cell>
          <cell r="B2024" t="str">
            <v>6215-2Z</v>
          </cell>
          <cell r="C2024" t="str">
            <v>E2</v>
          </cell>
          <cell r="D2024">
            <v>6</v>
          </cell>
        </row>
        <row r="2025">
          <cell r="A2025">
            <v>1000100741</v>
          </cell>
          <cell r="B2025" t="str">
            <v>3206 ATN9</v>
          </cell>
          <cell r="C2025" t="str">
            <v>K38</v>
          </cell>
          <cell r="D2025">
            <v>3</v>
          </cell>
        </row>
        <row r="2026">
          <cell r="A2026">
            <v>1000110808</v>
          </cell>
          <cell r="B2026" t="str">
            <v>3306 ATN9/C3 (D1)</v>
          </cell>
          <cell r="C2026" t="str">
            <v>N4</v>
          </cell>
          <cell r="D2026">
            <v>6</v>
          </cell>
        </row>
        <row r="2027">
          <cell r="A2027">
            <v>1000108595</v>
          </cell>
          <cell r="B2027" t="str">
            <v>7313 BEP</v>
          </cell>
          <cell r="C2027" t="str">
            <v>M17</v>
          </cell>
          <cell r="D2027">
            <v>1</v>
          </cell>
        </row>
        <row r="2028">
          <cell r="A2028">
            <v>1000110799</v>
          </cell>
          <cell r="B2028" t="str">
            <v>7316 BEP</v>
          </cell>
          <cell r="C2028" t="str">
            <v>I15</v>
          </cell>
          <cell r="D2028">
            <v>2</v>
          </cell>
        </row>
        <row r="2029">
          <cell r="A2029">
            <v>1000110631</v>
          </cell>
          <cell r="B2029" t="str">
            <v>NORGREN PRODUCT 10KA02828</v>
          </cell>
          <cell r="C2029" t="str">
            <v>J6</v>
          </cell>
          <cell r="D2029">
            <v>6</v>
          </cell>
        </row>
        <row r="2030">
          <cell r="A2030"/>
          <cell r="B2030"/>
          <cell r="C2030"/>
          <cell r="D2030"/>
        </row>
        <row r="2031">
          <cell r="A2031"/>
          <cell r="B2031"/>
          <cell r="C2031"/>
          <cell r="D2031"/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Anwar Ali" refreshedDate="46207.523239120368" createdVersion="8" refreshedVersion="8" minRefreshableVersion="3" recordCount="3004" xr:uid="{78771CC4-B9EE-4C97-84B3-6E34516C956C}">
  <cacheSource type="worksheet">
    <worksheetSource ref="A1:J3005" sheet="COUNT"/>
  </cacheSource>
  <cacheFields count="10">
    <cacheField name="Item" numFmtId="1">
      <sharedItems containsSemiMixedTypes="0" containsString="0" containsNumber="1" containsInteger="1" minValue="1000001222" maxValue="2900000011"/>
    </cacheField>
    <cacheField name="Description" numFmtId="165">
      <sharedItems/>
    </cacheField>
    <cacheField name="Org" numFmtId="165">
      <sharedItems count="13">
        <s v="MET"/>
        <s v="MJT"/>
        <s v="MDR"/>
        <s v="INS"/>
        <s v="MEL"/>
        <s v="IAR"/>
        <s v="FSD"/>
        <s v="IPR"/>
        <s v="ISA"/>
        <s v="PMT"/>
        <s v="ISR"/>
        <s v="IWS"/>
        <s v="MYA"/>
      </sharedItems>
    </cacheField>
    <cacheField name="Supplier" numFmtId="165">
      <sharedItems/>
    </cacheField>
    <cacheField name="Total Value (SAR)" numFmtId="165">
      <sharedItems containsSemiMixedTypes="0" containsString="0" containsNumber="1" minValue="0" maxValue="431418.75"/>
    </cacheField>
    <cacheField name="System on hand " numFmtId="165">
      <sharedItems containsSemiMixedTypes="0" containsString="0" containsNumber="1" containsInteger="1" minValue="1" maxValue="90298"/>
    </cacheField>
    <cacheField name="PHYSICAL  COUNT" numFmtId="165">
      <sharedItems containsSemiMixedTypes="0" containsString="0" containsNumber="1" containsInteger="1" minValue="0" maxValue="90298"/>
    </cacheField>
    <cacheField name="Variation " numFmtId="165">
      <sharedItems containsSemiMixedTypes="0" containsString="0" containsNumber="1" containsInteger="1" minValue="-2000" maxValue="15000"/>
    </cacheField>
    <cacheField name="Remaks" numFmtId="165">
      <sharedItems count="10">
        <s v="Matching"/>
        <s v="CHECKING"/>
        <s v="PENDING TO CLOSE"/>
        <s v="RESAVED"/>
        <s v="CLOSED"/>
        <s v="CASH SALES"/>
        <s v="FOC"/>
        <s v="Retun Suppiler"/>
        <s v="HEAD OFFICE"/>
        <s v="CREDIT SALES "/>
      </sharedItems>
    </cacheField>
    <cacheField name="Reported" numFmtId="165">
      <sharedItems count="8">
        <s v="ESHA"/>
        <s v="FAROOK"/>
        <s v="ALA"/>
        <s v="FAHAD"/>
        <s v="SHAMRY"/>
        <s v="FATTAH"/>
        <s v="MOSTHAFA"/>
        <s v="NUS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4">
  <r>
    <n v="2500008072"/>
    <s v="Diesel Portable compressor 400 cfm PN PG400-1"/>
    <x v="0"/>
    <s v="ELGI Gulf FZE"/>
    <n v="431418.75"/>
    <n v="6"/>
    <n v="6"/>
    <n v="0"/>
    <x v="0"/>
    <x v="0"/>
  </r>
  <r>
    <n v="2100005760"/>
    <s v="1000426106 BLADE, AGITATOR; TYPE: AXIAL FLOW("/>
    <x v="1"/>
    <s v="SPX MIDDLE EAST FZE"/>
    <n v="396434.25"/>
    <n v="2"/>
    <n v="2"/>
    <n v="0"/>
    <x v="0"/>
    <x v="1"/>
  </r>
  <r>
    <n v="2500008046"/>
    <s v="Screw Air compressor ,55KW/75HP,283CFM,10BAR,"/>
    <x v="0"/>
    <s v="ELGI Gulf FZE"/>
    <n v="293671.25"/>
    <n v="5"/>
    <n v="5"/>
    <n v="0"/>
    <x v="0"/>
    <x v="0"/>
  </r>
  <r>
    <n v="2500009006"/>
    <s v="&quot;Screw Air compressorÂ  EG 132P-125 VFD S01454"/>
    <x v="0"/>
    <s v="ELGI Gulf FZE"/>
    <n v="287250"/>
    <n v="2"/>
    <n v="2"/>
    <n v="0"/>
    <x v="0"/>
    <x v="0"/>
  </r>
  <r>
    <n v="2200003135"/>
    <s v="PUMP CASE, SERIAL NO: A-1356530-04/05, PN- PC"/>
    <x v="1"/>
    <s v="Sundyne International S.A."/>
    <n v="280676.66200000001"/>
    <n v="1"/>
    <n v="1"/>
    <n v="0"/>
    <x v="0"/>
    <x v="1"/>
  </r>
  <r>
    <n v="2200002811"/>
    <s v="&quot;Nikkiso Conversion Gearbox,SN-E37-0015A-1,2,"/>
    <x v="2"/>
    <s v="Sundyne International S.A."/>
    <n v="223935.01"/>
    <n v="2"/>
    <n v="2"/>
    <n v="0"/>
    <x v="0"/>
    <x v="2"/>
  </r>
  <r>
    <n v="2500008043"/>
    <s v="Screw Air compressor ,30KW/40HP,157CFM,10BAR,"/>
    <x v="0"/>
    <s v="ELGI Gulf FZE"/>
    <n v="218803.31632653001"/>
    <n v="6"/>
    <n v="6"/>
    <n v="0"/>
    <x v="0"/>
    <x v="0"/>
  </r>
  <r>
    <n v="2200003150"/>
    <s v="Gearbox,LMV 311, PN-EXCGBOXD870452-1,SN-D-D87"/>
    <x v="2"/>
    <s v="Sundyne International S.A."/>
    <n v="207199.04"/>
    <n v="1"/>
    <n v="1"/>
    <n v="0"/>
    <x v="0"/>
    <x v="1"/>
  </r>
  <r>
    <n v="1000093681"/>
    <s v="Weidmuller; Accessories Cross Connector; P/N:"/>
    <x v="3"/>
    <s v="Weidmuller Middle East (FZE)"/>
    <n v="203159.01828058201"/>
    <n v="7322"/>
    <n v="7322"/>
    <n v="0"/>
    <x v="0"/>
    <x v="3"/>
  </r>
  <r>
    <n v="2500008070"/>
    <s v="Diesel Portable compressor 185 cfm PN PG185-1"/>
    <x v="0"/>
    <s v="ELGI Gulf FZE"/>
    <n v="196687.5"/>
    <n v="5"/>
    <n v="5"/>
    <n v="0"/>
    <x v="0"/>
    <x v="0"/>
  </r>
  <r>
    <n v="2500008042"/>
    <s v="Screw Air compressor ,22KW/30HP,105CFM,10BAR,"/>
    <x v="0"/>
    <s v="ELGI Gulf FZE"/>
    <n v="194820"/>
    <n v="8"/>
    <n v="8"/>
    <n v="0"/>
    <x v="0"/>
    <x v="0"/>
  </r>
  <r>
    <n v="2200003134"/>
    <s v="DIFFUSER, SERIAL NO : 1356530-04/05, PN- DJA1"/>
    <x v="1"/>
    <s v="Sundyne International S.A."/>
    <n v="186758.88"/>
    <n v="1"/>
    <n v="1"/>
    <n v="0"/>
    <x v="0"/>
    <x v="1"/>
  </r>
  <r>
    <n v="2300000004"/>
    <s v="A/A1 THRUST BEARING . PN # P1562G9350"/>
    <x v="4"/>
    <s v="FS-Elliott Co., LLC"/>
    <n v="177561.60000000001"/>
    <n v="8"/>
    <n v="8"/>
    <n v="0"/>
    <x v="0"/>
    <x v="2"/>
  </r>
  <r>
    <n v="1000105721"/>
    <s v="Weidmuller Product; W2C 4 FS 10-36V BK; P/N: "/>
    <x v="3"/>
    <s v="Weidmuller Middle East (FZE)"/>
    <n v="174468.56165798099"/>
    <n v="28795"/>
    <n v="28795"/>
    <n v="0"/>
    <x v="0"/>
    <x v="3"/>
  </r>
  <r>
    <n v="2200003072"/>
    <s v="Insurance Kit  PN- 840119-IK"/>
    <x v="2"/>
    <s v="HMD Seal/Less Pumps Ltd."/>
    <n v="169622.42"/>
    <n v="1"/>
    <n v="1"/>
    <n v="0"/>
    <x v="0"/>
    <x v="2"/>
  </r>
  <r>
    <n v="2000013008"/>
    <s v="MATL: 1017881 O-RING,COUPLING GUARD ADAPTOR,5"/>
    <x v="4"/>
    <s v="Elliott Turbomachinery Limited"/>
    <n v="156466.53333333301"/>
    <n v="8"/>
    <n v="8"/>
    <n v="0"/>
    <x v="0"/>
    <x v="1"/>
  </r>
  <r>
    <n v="2500008365"/>
    <s v="Screw Air compressor,75KW/100HP,415CFM,10BAR,"/>
    <x v="0"/>
    <s v="ELGI Gulf FZE"/>
    <n v="134250"/>
    <n v="2"/>
    <n v="2"/>
    <n v="0"/>
    <x v="0"/>
    <x v="0"/>
  </r>
  <r>
    <n v="2500008958"/>
    <s v="ELGI screw air compressor EG 160-150 380V/60H"/>
    <x v="0"/>
    <s v="ELGI Gulf FZE"/>
    <n v="133886.25000199801"/>
    <n v="1"/>
    <n v="1"/>
    <n v="0"/>
    <x v="0"/>
    <x v="0"/>
  </r>
  <r>
    <n v="1000103940"/>
    <s v="Weidmuller Product;WTL 4/2 STB; PN:1881650000"/>
    <x v="3"/>
    <s v="Weidmuller Middle East (FZE)"/>
    <n v="132000"/>
    <n v="30000"/>
    <n v="30000"/>
    <n v="0"/>
    <x v="0"/>
    <x v="3"/>
  </r>
  <r>
    <n v="1000103152"/>
    <s v="SKF Products; NU 260 M/C4S1"/>
    <x v="3"/>
    <s v="SKF Eurotrade AB"/>
    <n v="121794.53"/>
    <n v="6"/>
    <n v="6"/>
    <n v="0"/>
    <x v="0"/>
    <x v="4"/>
  </r>
  <r>
    <n v="2500008044"/>
    <s v="Screw Air compressor ,37KW/50HP,203CFM,10BAR,"/>
    <x v="0"/>
    <s v="ELGI Gulf FZE"/>
    <n v="121751.71875"/>
    <n v="3"/>
    <n v="3"/>
    <n v="0"/>
    <x v="0"/>
    <x v="0"/>
  </r>
  <r>
    <n v="2500000779"/>
    <s v="OIL AIR LUBE XD-20L (BPCL) PN 998053"/>
    <x v="0"/>
    <s v="ELGI Gulf FZE"/>
    <n v="119937.72817677"/>
    <n v="172"/>
    <n v="2"/>
    <n v="170"/>
    <x v="1"/>
    <x v="0"/>
  </r>
  <r>
    <n v="2200002698"/>
    <s v="SHAFT ASSY IDLER, PN- SH01AA05E"/>
    <x v="2"/>
    <s v="Sundyne International S.A."/>
    <n v="118534.63"/>
    <n v="4"/>
    <n v="4"/>
    <n v="0"/>
    <x v="0"/>
    <x v="1"/>
  </r>
  <r>
    <n v="1000109604"/>
    <s v="SKF BEARING  6080 M/C3"/>
    <x v="3"/>
    <s v="SKF Eurotrade AB"/>
    <n v="116226"/>
    <n v="6"/>
    <n v="0"/>
    <n v="6"/>
    <x v="2"/>
    <x v="4"/>
  </r>
  <r>
    <n v="2200001586"/>
    <s v="COVER; TYPE: DIFFUSER,SN-A-1356530-04/05,PN-C"/>
    <x v="1"/>
    <s v="Sundyne International S.A."/>
    <n v="115732.67"/>
    <n v="1"/>
    <n v="1"/>
    <n v="0"/>
    <x v="0"/>
    <x v="1"/>
  </r>
  <r>
    <n v="1000098746"/>
    <s v="SKF BEARING -23960 CC/W33"/>
    <x v="3"/>
    <s v="SKF Eurotrade AB"/>
    <n v="109318.6575"/>
    <n v="21"/>
    <n v="21"/>
    <n v="0"/>
    <x v="0"/>
    <x v="4"/>
  </r>
  <r>
    <n v="1000105720"/>
    <s v="Weidmuller Product; W2C 4 DT; P/N: 2892740000"/>
    <x v="3"/>
    <s v="Weidmuller Middle East (FZE)"/>
    <n v="108673.255193573"/>
    <n v="48014"/>
    <n v="48014"/>
    <n v="0"/>
    <x v="0"/>
    <x v="3"/>
  </r>
  <r>
    <n v="2700000002"/>
    <s v="GEARBOX OUTPUT SEAL KIT (LOW RPM) KT01SE98A0"/>
    <x v="2"/>
    <s v="Sundyne International S.A."/>
    <n v="102050.65874879999"/>
    <n v="11"/>
    <n v="11"/>
    <n v="0"/>
    <x v="0"/>
    <x v="1"/>
  </r>
  <r>
    <n v="2100005590"/>
    <s v="MATL:1001144741  TRAP STEAM; INTELLIGENT TYPE"/>
    <x v="2"/>
    <s v="Armstrong International SA"/>
    <n v="99635.25"/>
    <n v="13"/>
    <n v="13"/>
    <n v="0"/>
    <x v="0"/>
    <x v="1"/>
  </r>
  <r>
    <n v="2200003011"/>
    <s v="HSS Journal bearing, Lower   PN- BT20AG0875B"/>
    <x v="2"/>
    <s v="Sundyne International S.A."/>
    <n v="96474.92"/>
    <n v="2"/>
    <n v="2"/>
    <n v="0"/>
    <x v="0"/>
    <x v="2"/>
  </r>
  <r>
    <n v="2500008040"/>
    <s v="Screw Air compressor, 11KW/15HP,51CFM ,10BAR,"/>
    <x v="0"/>
    <s v="ELGI Gulf FZE"/>
    <n v="90604.5"/>
    <n v="6"/>
    <n v="6"/>
    <n v="0"/>
    <x v="0"/>
    <x v="0"/>
  </r>
  <r>
    <n v="1000020853"/>
    <s v="SKF BEARING - 7312 BECBM"/>
    <x v="3"/>
    <s v="SKF Eurotrade AB"/>
    <n v="89581.393870607993"/>
    <n v="212"/>
    <n v="212"/>
    <n v="0"/>
    <x v="0"/>
    <x v="4"/>
  </r>
  <r>
    <n v="1000020857"/>
    <s v="SKF BEARING - 7313 BECBM"/>
    <x v="3"/>
    <s v="SKF Eurotrade AB"/>
    <n v="83361.709411386502"/>
    <n v="189"/>
    <n v="189"/>
    <n v="0"/>
    <x v="0"/>
    <x v="4"/>
  </r>
  <r>
    <n v="1000093662"/>
    <s v="Weidmuller; TERMINAL BLOCK; P/N: 1020200000 M"/>
    <x v="3"/>
    <s v="Weidmuller Middle East (FZE)"/>
    <n v="79744.796637912499"/>
    <n v="64572"/>
    <n v="64572"/>
    <n v="0"/>
    <x v="0"/>
    <x v="3"/>
  </r>
  <r>
    <n v="1000093437"/>
    <s v="Weidmuller; TERMINAL BLOCK WEIDMULLER P/N: 10"/>
    <x v="3"/>
    <s v="Weidmuller Middle East (FZE)"/>
    <n v="77373.834400220803"/>
    <n v="22510"/>
    <n v="22510"/>
    <n v="0"/>
    <x v="0"/>
    <x v="3"/>
  </r>
  <r>
    <n v="1000020862"/>
    <s v="SKF BEARING - 7314 BECBM"/>
    <x v="3"/>
    <s v="SKF Eurotrade AB"/>
    <n v="75843.695489576305"/>
    <n v="171"/>
    <n v="175"/>
    <n v="-4"/>
    <x v="2"/>
    <x v="4"/>
  </r>
  <r>
    <n v="1000020842"/>
    <s v="SKF BEARING - 7309 BECBM"/>
    <x v="3"/>
    <s v="SKF Eurotrade AB"/>
    <n v="74149.761875371507"/>
    <n v="299"/>
    <n v="299"/>
    <n v="0"/>
    <x v="0"/>
    <x v="4"/>
  </r>
  <r>
    <n v="1000100403"/>
    <s v="SKF BEARING - 81160 M"/>
    <x v="3"/>
    <s v="SKF Eurotrade AB"/>
    <n v="69677.024999999994"/>
    <n v="8"/>
    <n v="8"/>
    <n v="0"/>
    <x v="0"/>
    <x v="4"/>
  </r>
  <r>
    <n v="1000094655"/>
    <s v="Weidmuller; P/N:1020080000 WDU 2.5 BL"/>
    <x v="3"/>
    <s v="Weidmuller Middle East (FZE)"/>
    <n v="67481.363994155807"/>
    <n v="66046"/>
    <n v="66046"/>
    <n v="0"/>
    <x v="0"/>
    <x v="3"/>
  </r>
  <r>
    <n v="1000095814"/>
    <s v="Weidmueller,Product :236500000,Part No: TS 35"/>
    <x v="3"/>
    <s v="Weidmuller Middle East (FZE)"/>
    <n v="66673.3315281916"/>
    <n v="4480"/>
    <n v="4480"/>
    <n v="0"/>
    <x v="0"/>
    <x v="3"/>
  </r>
  <r>
    <n v="2500008052"/>
    <s v="Refrigerent air dryer ,400CFM,14BAR,230V/60HZ"/>
    <x v="0"/>
    <s v="ELGI Gulf FZE"/>
    <n v="64927.5"/>
    <n v="6"/>
    <n v="6"/>
    <n v="0"/>
    <x v="0"/>
    <x v="0"/>
  </r>
  <r>
    <n v="1000107342"/>
    <s v="P&amp;F Product; R2-SP-IC12; P/N: 235825 (S/P) &quot;"/>
    <x v="3"/>
    <s v="Pepperl+Fuchs (ME) FZE"/>
    <n v="62746.262882856601"/>
    <n v="38"/>
    <n v="38"/>
    <n v="0"/>
    <x v="0"/>
    <x v="5"/>
  </r>
  <r>
    <n v="2300000021"/>
    <s v="SEAL ASSEMBLY,BH. PN # 254398-8"/>
    <x v="4"/>
    <s v="FS-Elliott Co., LLC"/>
    <n v="61923.533333333296"/>
    <n v="5"/>
    <n v="5"/>
    <n v="0"/>
    <x v="0"/>
    <x v="2"/>
  </r>
  <r>
    <n v="1000102206"/>
    <s v="SKF BEARINGS - 7044 BGM"/>
    <x v="3"/>
    <s v="SKF Eurotrade AB"/>
    <n v="61725.85"/>
    <n v="10"/>
    <n v="10"/>
    <n v="0"/>
    <x v="0"/>
    <x v="4"/>
  </r>
  <r>
    <n v="1000020708"/>
    <s v="SKF BEARING - 6313-2Z/C3"/>
    <x v="3"/>
    <s v="SKF Eurotrade AB"/>
    <n v="61292.815581524599"/>
    <n v="475"/>
    <n v="475"/>
    <n v="0"/>
    <x v="3"/>
    <x v="4"/>
  </r>
  <r>
    <n v="2500008274"/>
    <s v="Screw air compressor 7KW,10HP ,34 cfm,380V,3P"/>
    <x v="0"/>
    <s v="ELGI Gulf FZE"/>
    <n v="59794.464285714203"/>
    <n v="5"/>
    <n v="5"/>
    <n v="0"/>
    <x v="0"/>
    <x v="0"/>
  </r>
  <r>
    <n v="2500008041"/>
    <s v="Screw Air compressor ,15KW/20HP,61.5CFM,10BAR"/>
    <x v="0"/>
    <s v="ELGI Gulf FZE"/>
    <n v="59485.9788359788"/>
    <n v="4"/>
    <n v="4"/>
    <n v="0"/>
    <x v="0"/>
    <x v="0"/>
  </r>
  <r>
    <n v="1000093601"/>
    <s v="Weidmuller; TERMINAL BLOCK; P/N: 1010400000; "/>
    <x v="3"/>
    <s v="Weidmuller Middle East (FZE)"/>
    <n v="58945.468503429802"/>
    <n v="6412"/>
    <n v="6412"/>
    <n v="0"/>
    <x v="0"/>
    <x v="3"/>
  </r>
  <r>
    <n v="2500008054"/>
    <s v="Refrigerent air dryer ,500CFM,14BAR,230V/60HZ"/>
    <x v="0"/>
    <s v="ELGI Gulf FZE"/>
    <n v="58200"/>
    <n v="4"/>
    <n v="4"/>
    <n v="0"/>
    <x v="0"/>
    <x v="0"/>
  </r>
  <r>
    <n v="1000093666"/>
    <s v="Weidmuller; Terminal Blocks &amp; Accessories; P/"/>
    <x v="3"/>
    <s v="Weidmuller Middle East (FZE)"/>
    <n v="56717.252202845397"/>
    <n v="5215"/>
    <n v="5215"/>
    <n v="0"/>
    <x v="0"/>
    <x v="3"/>
  </r>
  <r>
    <n v="1000102431"/>
    <s v="Weidmuller Product; Model:ZQV 2.5N/50; PN:152"/>
    <x v="3"/>
    <s v="Weidmuller Middle East (FZE)"/>
    <n v="55591.730858585797"/>
    <n v="1735"/>
    <n v="1735"/>
    <n v="0"/>
    <x v="0"/>
    <x v="3"/>
  </r>
  <r>
    <n v="2100006464"/>
    <s v="SCREW: CROSS HD, TYPE P121| P/N-BL000882"/>
    <x v="2"/>
    <s v="SPX MIDDLE EAST FZE"/>
    <n v="54620.146000000001"/>
    <n v="85"/>
    <n v="85"/>
    <n v="0"/>
    <x v="0"/>
    <x v="1"/>
  </r>
  <r>
    <n v="1000095498"/>
    <s v="SKF BEARING-SKF 29328 E"/>
    <x v="3"/>
    <s v="SKF Eurotrade AB"/>
    <n v="52058.480833333299"/>
    <n v="22"/>
    <n v="22"/>
    <n v="0"/>
    <x v="0"/>
    <x v="4"/>
  </r>
  <r>
    <n v="2500008057"/>
    <s v="Vertical Air receiver tank 2000 LTRS  Max Pr "/>
    <x v="0"/>
    <s v="ELGI Gulf FZE"/>
    <n v="49784.375"/>
    <n v="5"/>
    <n v="5"/>
    <n v="0"/>
    <x v="0"/>
    <x v="0"/>
  </r>
  <r>
    <n v="2100006465"/>
    <s v="VALVE: PUMP HEAD, 6 MM, ASTM A182-F51| P/N-BL"/>
    <x v="2"/>
    <s v="SPX MIDDLE EAST FZE"/>
    <n v="49364.5964705882"/>
    <n v="22"/>
    <n v="22"/>
    <n v="0"/>
    <x v="0"/>
    <x v="1"/>
  </r>
  <r>
    <n v="2200000276"/>
    <s v="Lube Pump PN-PU01AB07"/>
    <x v="2"/>
    <s v="Sundyne International S.A."/>
    <n v="49125.927996101098"/>
    <n v="11"/>
    <n v="11"/>
    <n v="0"/>
    <x v="0"/>
    <x v="2"/>
  </r>
  <r>
    <n v="1000104689"/>
    <s v="Module Processor;SCP461-E1"/>
    <x v="5"/>
    <s v="Yokogawa Middle East &amp; Africa B.S.C. Â©"/>
    <n v="48996"/>
    <n v="2"/>
    <n v="2"/>
    <n v="0"/>
    <x v="0"/>
    <x v="6"/>
  </r>
  <r>
    <n v="1000096820"/>
    <s v="Weidmueller,Product:1059000000;WEW 35/1"/>
    <x v="3"/>
    <s v="Weidmuller Middle East (FZE)"/>
    <n v="48872.918814302298"/>
    <n v="17122"/>
    <n v="17122"/>
    <n v="0"/>
    <x v="0"/>
    <x v="3"/>
  </r>
  <r>
    <n v="1000099124"/>
    <s v="SKF BEARING:PN:201141644; Model:NU 1040 M"/>
    <x v="3"/>
    <s v="SKF Eurotrade AB"/>
    <n v="48651.46"/>
    <n v="18"/>
    <n v="18"/>
    <n v="0"/>
    <x v="0"/>
    <x v="4"/>
  </r>
  <r>
    <n v="1000102205"/>
    <s v="SKF BEARINGS - 6238 M"/>
    <x v="3"/>
    <s v="SKF Eurotrade AB"/>
    <n v="47943"/>
    <n v="15"/>
    <n v="15"/>
    <n v="0"/>
    <x v="0"/>
    <x v="4"/>
  </r>
  <r>
    <n v="1000107760"/>
    <s v="Module Foundation FieldBus Communication Type"/>
    <x v="5"/>
    <s v="Yokogawa Middle East &amp; Africa B.S.C. Â©"/>
    <n v="47755.31"/>
    <n v="5"/>
    <n v="5"/>
    <n v="0"/>
    <x v="0"/>
    <x v="6"/>
  </r>
  <r>
    <n v="1000093575"/>
    <s v="Weidmuller; Terminal Block; P/N: 0697160000; "/>
    <x v="3"/>
    <s v="Weidmuller Middle East (FZE)"/>
    <n v="46451.334190871203"/>
    <n v="22350"/>
    <n v="22350"/>
    <n v="0"/>
    <x v="0"/>
    <x v="3"/>
  </r>
  <r>
    <n v="1000105768"/>
    <s v="P&amp;F Segment Protector; R2-SP-IC10"/>
    <x v="3"/>
    <s v="Pepperl+Fuchs (ME) FZE"/>
    <n v="45512"/>
    <n v="25"/>
    <n v="25"/>
    <n v="0"/>
    <x v="0"/>
    <x v="5"/>
  </r>
  <r>
    <n v="2300000027"/>
    <s v="b &amp; C frame SEAL ASSEMBLY. PN # P7963A3012"/>
    <x v="4"/>
    <s v="FS-Elliott Co., LLC"/>
    <n v="44996.572500000002"/>
    <n v="4"/>
    <n v="0"/>
    <n v="4"/>
    <x v="4"/>
    <x v="2"/>
  </r>
  <r>
    <n v="2500008408"/>
    <s v="AIR FILTER ASSY 530 CFM P N B004700770039"/>
    <x v="0"/>
    <s v="ELGI Gulf FZE"/>
    <n v="44935.431818181802"/>
    <n v="116"/>
    <n v="116"/>
    <n v="0"/>
    <x v="0"/>
    <x v="0"/>
  </r>
  <r>
    <n v="1000101894"/>
    <s v="Weidmueller Product; Model:WFS 4 10-36V;  PN:"/>
    <x v="3"/>
    <s v="Weidmuller Middle East (FZE)"/>
    <n v="43919.128117447901"/>
    <n v="5270"/>
    <n v="5270"/>
    <n v="0"/>
    <x v="0"/>
    <x v="3"/>
  </r>
  <r>
    <n v="2500004424"/>
    <s v="SEPARATOR ELEMENT TWO STAGE PN 22032259B"/>
    <x v="0"/>
    <s v="ELGI Gulf FZE"/>
    <n v="43486.205463339997"/>
    <n v="15"/>
    <n v="15"/>
    <n v="0"/>
    <x v="0"/>
    <x v="0"/>
  </r>
  <r>
    <n v="1000100355"/>
    <s v="SKF Product 7322 BECCM"/>
    <x v="3"/>
    <s v="SKF Eurotrade AB"/>
    <n v="42975.9714285714"/>
    <n v="17"/>
    <n v="17"/>
    <n v="0"/>
    <x v="0"/>
    <x v="4"/>
  </r>
  <r>
    <n v="1000106107"/>
    <s v="P&amp;F TEMPERATURE MULTI INPUT DEVICE; RDO-TI-EX"/>
    <x v="3"/>
    <s v="Pepperl+Fuchs (ME) FZE"/>
    <n v="42522.29"/>
    <n v="5"/>
    <n v="5"/>
    <n v="0"/>
    <x v="0"/>
    <x v="5"/>
  </r>
  <r>
    <n v="1000020104"/>
    <s v="SKF BEARING - 3309 A-2Z/C3"/>
    <x v="3"/>
    <s v="Universal Bearings Company"/>
    <n v="41084.0888888888"/>
    <n v="144"/>
    <n v="144"/>
    <n v="0"/>
    <x v="0"/>
    <x v="4"/>
  </r>
  <r>
    <n v="1000095943"/>
    <s v="Pepperl+Fuchs Inductive Sensor;NJ8-18-GK-SN; "/>
    <x v="3"/>
    <s v="Pepperl+Fuchs (ME) FZE"/>
    <n v="40136.25"/>
    <n v="125"/>
    <n v="125"/>
    <n v="0"/>
    <x v="0"/>
    <x v="5"/>
  </r>
  <r>
    <n v="1000020885"/>
    <s v="SKF BEARING - 7328 BCBM"/>
    <x v="3"/>
    <s v="SKF Eurotrade AB"/>
    <n v="39911.398933333301"/>
    <n v="12"/>
    <n v="12"/>
    <n v="0"/>
    <x v="0"/>
    <x v="4"/>
  </r>
  <r>
    <n v="2100004721"/>
    <s v="MATL:1000954861 HEAD; PUMP TYPE,6X20 MT12 Mod"/>
    <x v="2"/>
    <s v="SPX MIDDLE EAST FZE"/>
    <n v="39474.49"/>
    <n v="2"/>
    <n v="2"/>
    <n v="0"/>
    <x v="0"/>
    <x v="1"/>
  </r>
  <r>
    <n v="1000093682"/>
    <s v="Weidmuller; Accessories Cross Connector; P/N:"/>
    <x v="3"/>
    <s v="Weidmuller Middle East (FZE)"/>
    <n v="38753.229637746997"/>
    <n v="1295"/>
    <n v="1295"/>
    <n v="0"/>
    <x v="0"/>
    <x v="3"/>
  </r>
  <r>
    <n v="2100004707"/>
    <s v="MATL: 1000569709 VALVE; PLUNGER PUMP TYPE,MAT"/>
    <x v="2"/>
    <s v="SPX MIDDLE EAST FZE"/>
    <n v="38674.379999999997"/>
    <n v="7"/>
    <n v="7"/>
    <n v="0"/>
    <x v="0"/>
    <x v="1"/>
  </r>
  <r>
    <n v="1000010206"/>
    <s v="P+F, Switch Amplifier  Model No. KFD2-SH-Ex1"/>
    <x v="3"/>
    <s v="Ralph Messring GmbH"/>
    <n v="37866.658333333296"/>
    <n v="25"/>
    <n v="25"/>
    <n v="0"/>
    <x v="0"/>
    <x v="5"/>
  </r>
  <r>
    <n v="1000098838"/>
    <s v="Fuse Terminal-WSI 6/LD 30-70V DC/AC, 10122000"/>
    <x v="3"/>
    <s v="Weidmuller Middle East (FZE)"/>
    <n v="37792.221091754502"/>
    <n v="2131"/>
    <n v="2131"/>
    <n v="0"/>
    <x v="0"/>
    <x v="3"/>
  </r>
  <r>
    <n v="1000093665"/>
    <s v="Weidmuller; Terminal Blocks &amp; Accessories; P/"/>
    <x v="3"/>
    <s v="Weidmuller Middle East (FZE)"/>
    <n v="37075.129793600398"/>
    <n v="6772"/>
    <n v="6772"/>
    <n v="0"/>
    <x v="0"/>
    <x v="3"/>
  </r>
  <r>
    <n v="2500005907"/>
    <s v="600CFM Air Oil Seprator  PN B006700770009"/>
    <x v="0"/>
    <s v="ELGI Gulf FZE"/>
    <n v="36881.307379049496"/>
    <n v="20"/>
    <n v="20"/>
    <n v="0"/>
    <x v="0"/>
    <x v="0"/>
  </r>
  <r>
    <n v="2100004638"/>
    <s v="MATL:20004122 TRAPSTEAM OEM P/N:E-SS1NH-00AEF"/>
    <x v="1"/>
    <s v="Armstrong International SA"/>
    <n v="36382.5"/>
    <n v="33"/>
    <n v="33"/>
    <n v="0"/>
    <x v="0"/>
    <x v="1"/>
  </r>
  <r>
    <n v="1000098745"/>
    <s v="SKF BEARING -32230"/>
    <x v="3"/>
    <s v="SKF Eurotrade AB"/>
    <n v="34867.718500000003"/>
    <n v="17"/>
    <n v="17"/>
    <n v="0"/>
    <x v="0"/>
    <x v="4"/>
  </r>
  <r>
    <n v="1000100925"/>
    <s v="Weidmuller; P/N: ZQV 2.5/2"/>
    <x v="3"/>
    <s v="Weidmuller Middle East (FZE)"/>
    <n v="33810.142650520698"/>
    <n v="60335"/>
    <n v="60335"/>
    <n v="0"/>
    <x v="0"/>
    <x v="3"/>
  </r>
  <r>
    <n v="1000094197"/>
    <s v="Weidmuller; Terminal Blocks;   P/N: 791018000"/>
    <x v="3"/>
    <s v="Weidmuller Middle East (FZE)"/>
    <n v="33737.046164872801"/>
    <n v="10784"/>
    <n v="10784"/>
    <n v="0"/>
    <x v="0"/>
    <x v="3"/>
  </r>
  <r>
    <n v="1000020880"/>
    <s v="SKF BEARING - 7322 BECBM"/>
    <x v="3"/>
    <s v="SKF Eurotrade AB"/>
    <n v="33697.035000000003"/>
    <n v="21"/>
    <n v="21"/>
    <n v="0"/>
    <x v="0"/>
    <x v="4"/>
  </r>
  <r>
    <n v="1000020849"/>
    <s v="SKF BEARING - 7311 BECBM"/>
    <x v="3"/>
    <s v="Universal Bearings Company"/>
    <n v="33672.701828165496"/>
    <n v="107"/>
    <n v="107"/>
    <n v="0"/>
    <x v="0"/>
    <x v="4"/>
  </r>
  <r>
    <n v="1000091163"/>
    <s v="Bartec Feam Cable Gland; PAP-04 NIX"/>
    <x v="3"/>
    <s v="Bartec Middle East LLC"/>
    <n v="32461.162980485002"/>
    <n v="177"/>
    <n v="177"/>
    <n v="0"/>
    <x v="0"/>
    <x v="7"/>
  </r>
  <r>
    <n v="1000010160"/>
    <s v="P+F, Field Barrier Model No.: RD0-FB-Ex4.COM"/>
    <x v="3"/>
    <s v="Ralph Messring GmbH"/>
    <n v="32353.200000000001"/>
    <n v="11"/>
    <n v="11"/>
    <n v="0"/>
    <x v="0"/>
    <x v="5"/>
  </r>
  <r>
    <n v="1000106742"/>
    <s v="Gauge Pressure Transmitter   EJX530A-JCS4N-02"/>
    <x v="5"/>
    <s v="Yokogawa Saudi Arabia Company"/>
    <n v="31837.5"/>
    <n v="6"/>
    <n v="6"/>
    <n v="0"/>
    <x v="0"/>
    <x v="6"/>
  </r>
  <r>
    <n v="2200000301"/>
    <s v="Seal Rotating Face Lower  PN-RJ09AK12DDUC"/>
    <x v="2"/>
    <s v="Sundyne International S.A."/>
    <n v="31413.16"/>
    <n v="4"/>
    <n v="4"/>
    <n v="0"/>
    <x v="0"/>
    <x v="2"/>
  </r>
  <r>
    <n v="1000020837"/>
    <s v="SKF BEARING - 7308 BECBJ"/>
    <x v="3"/>
    <s v="SKF Eurotrade AB"/>
    <n v="31166.079000000002"/>
    <n v="232"/>
    <n v="232"/>
    <n v="0"/>
    <x v="0"/>
    <x v="4"/>
  </r>
  <r>
    <n v="1000093765"/>
    <s v="Weidmuller; LED Fuse Terminal Blocks 24VDC;P/"/>
    <x v="3"/>
    <s v="Weidmuller Middle East (FZE)"/>
    <n v="30938.826083333301"/>
    <n v="2855"/>
    <n v="2855"/>
    <n v="0"/>
    <x v="0"/>
    <x v="3"/>
  </r>
  <r>
    <n v="1000096772"/>
    <s v="Weidmueller,Product:1303360000; AKE 2.5"/>
    <x v="3"/>
    <s v="Weidmuller Middle East (FZE)"/>
    <n v="30525.8465410758"/>
    <n v="5367"/>
    <n v="5367"/>
    <n v="0"/>
    <x v="0"/>
    <x v="3"/>
  </r>
  <r>
    <n v="1000020734"/>
    <s v="SKF BEARING - 6317 M/C3"/>
    <x v="3"/>
    <s v="SKF Eurotrade AB"/>
    <n v="30230.548578947299"/>
    <n v="36"/>
    <n v="36"/>
    <n v="0"/>
    <x v="0"/>
    <x v="4"/>
  </r>
  <r>
    <n v="2500008056"/>
    <s v="Vertical Air receiver tank 1000 LTRS  Max Pr "/>
    <x v="0"/>
    <s v="ELGI Gulf FZE"/>
    <n v="29883.75"/>
    <n v="7"/>
    <n v="7"/>
    <n v="0"/>
    <x v="0"/>
    <x v="0"/>
  </r>
  <r>
    <n v="2500008565"/>
    <s v="MATL : ELIX Summits PLATRONIKA Fully Automati"/>
    <x v="0"/>
    <s v="Summits Hygronics Private Limited"/>
    <n v="29700"/>
    <n v="4"/>
    <n v="4"/>
    <n v="0"/>
    <x v="0"/>
    <x v="0"/>
  </r>
  <r>
    <n v="1000020875"/>
    <s v="SKF BEARING - 7318 BECBM"/>
    <x v="3"/>
    <s v="SKF Eurotrade AB"/>
    <n v="29325.549668689"/>
    <n v="35"/>
    <n v="35"/>
    <n v="0"/>
    <x v="3"/>
    <x v="4"/>
  </r>
  <r>
    <n v="1000100378"/>
    <s v="SKF Product NU 330 ECM"/>
    <x v="3"/>
    <s v="SKF Eurotrade AB"/>
    <n v="29147.962500000001"/>
    <n v="9"/>
    <n v="9"/>
    <n v="0"/>
    <x v="0"/>
    <x v="4"/>
  </r>
  <r>
    <n v="1000093678"/>
    <s v="Weidmuller; Terminal Block &amp; Accessories; P/N"/>
    <x v="3"/>
    <s v="Weidmuller Middle East (FZE)"/>
    <n v="29036.4183258954"/>
    <n v="141"/>
    <n v="141"/>
    <n v="0"/>
    <x v="0"/>
    <x v="3"/>
  </r>
  <r>
    <n v="1000099814"/>
    <s v="WFS 4 PN: 2561900000"/>
    <x v="3"/>
    <s v="Weidmuller Middle East (FZE)"/>
    <n v="28715.5197368421"/>
    <n v="5250"/>
    <n v="5250"/>
    <n v="0"/>
    <x v="0"/>
    <x v="3"/>
  </r>
  <r>
    <n v="1000097381"/>
    <s v="Analog I/O Module(FIO);AAI835-H50/K4A00"/>
    <x v="5"/>
    <s v="Yokogawa Middle East &amp; Africa B.S.C. Â©"/>
    <n v="28320.75"/>
    <n v="3"/>
    <n v="3"/>
    <n v="0"/>
    <x v="0"/>
    <x v="6"/>
  </r>
  <r>
    <n v="1000020100"/>
    <s v="SKF BEARING - 3309 A"/>
    <x v="3"/>
    <s v="SKF Eurotrade AB"/>
    <n v="27653.811608669101"/>
    <n v="121"/>
    <n v="121"/>
    <n v="0"/>
    <x v="0"/>
    <x v="4"/>
  </r>
  <r>
    <n v="1000106125"/>
    <s v="P&amp;F FIELDBUS DIAGNOSTIC HANDHELD; FDH-1; P/N:"/>
    <x v="3"/>
    <s v="Pepperl+Fuchs (ME) FZE"/>
    <n v="27613.47"/>
    <n v="5"/>
    <n v="5"/>
    <n v="0"/>
    <x v="0"/>
    <x v="5"/>
  </r>
  <r>
    <n v="2100006468"/>
    <s v="PLUNGER, PUMP: 6 MM, 20 HUB, SS| P/N-BL079306"/>
    <x v="2"/>
    <s v="SPX MIDDLE EAST FZE"/>
    <n v="27550.83"/>
    <n v="9"/>
    <n v="9"/>
    <n v="0"/>
    <x v="0"/>
    <x v="1"/>
  </r>
  <r>
    <n v="1000093602"/>
    <s v="Weidmuller; TERMINAL BLOCK; P/N: 1010500000; "/>
    <x v="3"/>
    <s v="Weidmuller Middle East (FZE)"/>
    <n v="26653.929213237501"/>
    <n v="2700"/>
    <n v="2700"/>
    <n v="0"/>
    <x v="0"/>
    <x v="3"/>
  </r>
  <r>
    <n v="2500008854"/>
    <s v="ELIX 006 DA, 60cfm"/>
    <x v="0"/>
    <s v="Summits Hygronics Private Limited"/>
    <n v="26568.75"/>
    <n v="13"/>
    <n v="13"/>
    <n v="0"/>
    <x v="0"/>
    <x v="0"/>
  </r>
  <r>
    <n v="1000096196"/>
    <s v="Weidmueller,Product:1028700000,  Part No: WFF"/>
    <x v="3"/>
    <s v="Weidmuller Middle East (FZE)"/>
    <n v="26487.305551042798"/>
    <n v="515"/>
    <n v="515"/>
    <n v="0"/>
    <x v="0"/>
    <x v="3"/>
  </r>
  <r>
    <n v="2500008055"/>
    <s v="Refrigerent air dryer ,750CFM,14BAR,380V/60HZ"/>
    <x v="0"/>
    <s v="ELGI Gulf FZE"/>
    <n v="26250"/>
    <n v="1"/>
    <n v="1"/>
    <n v="0"/>
    <x v="0"/>
    <x v="0"/>
  </r>
  <r>
    <n v="1000021000"/>
    <s v="SKF BEARING - NU 212 ECJ/C3"/>
    <x v="3"/>
    <s v="Universal Bearings Company"/>
    <n v="26047.211538461499"/>
    <n v="158"/>
    <n v="158"/>
    <n v="0"/>
    <x v="0"/>
    <x v="4"/>
  </r>
  <r>
    <n v="2500008568"/>
    <s v="MATL : ELIX Summits PLATRONIKA Fully Automati"/>
    <x v="0"/>
    <s v="Summits Hygronics Private Limited"/>
    <n v="25956.4285714285"/>
    <n v="2"/>
    <n v="2"/>
    <n v="0"/>
    <x v="0"/>
    <x v="0"/>
  </r>
  <r>
    <n v="1000020688"/>
    <s v="SKF BEARING - 6311/C3"/>
    <x v="3"/>
    <s v="SKF Eurotrade AB"/>
    <n v="25279.4345716717"/>
    <n v="382"/>
    <n v="382"/>
    <n v="0"/>
    <x v="0"/>
    <x v="4"/>
  </r>
  <r>
    <n v="1000021396"/>
    <s v="SKF BEARING - 29414 E"/>
    <x v="3"/>
    <s v="SKF Eurotrade AB"/>
    <n v="25109.164347826001"/>
    <n v="22"/>
    <n v="22"/>
    <n v="0"/>
    <x v="0"/>
    <x v="4"/>
  </r>
  <r>
    <n v="1000097445"/>
    <s v="Weidmueller; Model No:PRO RM 40;  PN:24861100"/>
    <x v="3"/>
    <s v="Weidmuller Middle East (FZE)"/>
    <n v="25064.999400000001"/>
    <n v="49"/>
    <n v="49"/>
    <n v="0"/>
    <x v="0"/>
    <x v="3"/>
  </r>
  <r>
    <n v="1000103939"/>
    <s v="Analog input module;NFAI143-H50/A4S10"/>
    <x v="5"/>
    <s v="Yokogawa Middle East &amp; Africa B.S.C. Â©"/>
    <n v="24858.9"/>
    <n v="3"/>
    <n v="3"/>
    <n v="0"/>
    <x v="0"/>
    <x v="6"/>
  </r>
  <r>
    <n v="1000098433"/>
    <s v="SKF BEARING - 29336 E"/>
    <x v="3"/>
    <s v="SKF Eurotrade AB"/>
    <n v="24857.920249999999"/>
    <n v="7"/>
    <n v="7"/>
    <n v="0"/>
    <x v="0"/>
    <x v="4"/>
  </r>
  <r>
    <n v="1000109019"/>
    <s v="Differential Pressure Transmitter;EJA530E-JDH"/>
    <x v="5"/>
    <s v="Yokogawa Saudi Arabia Company"/>
    <n v="24828.75"/>
    <n v="10"/>
    <n v="10"/>
    <n v="0"/>
    <x v="0"/>
    <x v="6"/>
  </r>
  <r>
    <n v="1000095836"/>
    <s v="Weidmueller,Product:1028600000,Part No: WFF 1"/>
    <x v="3"/>
    <s v="Weidmuller Middle East (FZE)"/>
    <n v="24772.964799786801"/>
    <n v="576"/>
    <n v="576"/>
    <n v="0"/>
    <x v="0"/>
    <x v="3"/>
  </r>
  <r>
    <n v="2500008050"/>
    <s v="Refrigerent air dryer ,200CFM,14BAR,230V/60HZ"/>
    <x v="0"/>
    <s v="ELGI Gulf FZE"/>
    <n v="24767.666467114199"/>
    <n v="4"/>
    <n v="4"/>
    <n v="0"/>
    <x v="0"/>
    <x v="0"/>
  </r>
  <r>
    <n v="1000101879"/>
    <s v="SKF BEARING - 3210 A/C3"/>
    <x v="3"/>
    <s v="Universal Bearings Company"/>
    <n v="24680.351899387799"/>
    <n v="129"/>
    <n v="129"/>
    <n v="0"/>
    <x v="0"/>
    <x v="4"/>
  </r>
  <r>
    <n v="1000099493"/>
    <s v="SKF BEARING - 3306 A"/>
    <x v="3"/>
    <s v="Universal Bearings Company"/>
    <n v="24491.4474044659"/>
    <n v="171"/>
    <n v="171"/>
    <n v="0"/>
    <x v="0"/>
    <x v="4"/>
  </r>
  <r>
    <n v="1000093979"/>
    <s v="SKF BEARINGS - Model No. 29322 E"/>
    <x v="3"/>
    <s v="SKF Eurotrade AB"/>
    <n v="23931.39"/>
    <n v="16"/>
    <n v="16"/>
    <n v="0"/>
    <x v="0"/>
    <x v="4"/>
  </r>
  <r>
    <n v="1000096015"/>
    <s v="1747350000;TS 35X7.5 2M/CRN"/>
    <x v="3"/>
    <s v="Weidmuller Middle East (FZE)"/>
    <n v="23862.0870404698"/>
    <n v="468"/>
    <n v="468"/>
    <n v="0"/>
    <x v="0"/>
    <x v="3"/>
  </r>
  <r>
    <n v="1000105778"/>
    <s v="Pepperl &amp; Fuch, Power Hub; HD2-DM-A; P/N: 131"/>
    <x v="3"/>
    <s v="Pepperl+Fuchs (ME) FZE"/>
    <n v="23683.83"/>
    <n v="5"/>
    <n v="5"/>
    <n v="0"/>
    <x v="0"/>
    <x v="5"/>
  </r>
  <r>
    <n v="1000020755"/>
    <s v="SKF BEARING - 6326 M/C3"/>
    <x v="3"/>
    <s v="SKF Eurotrade AB"/>
    <n v="22661.516145833299"/>
    <n v="10"/>
    <n v="10"/>
    <n v="0"/>
    <x v="0"/>
    <x v="4"/>
  </r>
  <r>
    <n v="1000021259"/>
    <s v="SKF BEARING - 22224 EK/C3"/>
    <x v="3"/>
    <s v="SKF Eurotrade AB"/>
    <n v="22573.3641601731"/>
    <n v="28"/>
    <n v="28"/>
    <n v="0"/>
    <x v="0"/>
    <x v="4"/>
  </r>
  <r>
    <n v="1000100472"/>
    <s v="SKF Vibration Meter, CMDT 391-K-SL"/>
    <x v="3"/>
    <s v="SKF Eurotrade AB"/>
    <n v="22338.903999999999"/>
    <n v="4"/>
    <n v="4"/>
    <n v="0"/>
    <x v="0"/>
    <x v="4"/>
  </r>
  <r>
    <n v="1000102233"/>
    <s v="SKF BEARINGS - 23044 CC/C3W33"/>
    <x v="3"/>
    <s v="SKF Eurotrade AB"/>
    <n v="22307.51"/>
    <n v="7"/>
    <n v="7"/>
    <n v="0"/>
    <x v="0"/>
    <x v="4"/>
  </r>
  <r>
    <n v="1000098747"/>
    <s v="SKF BEARING -6226/C3VL0241"/>
    <x v="3"/>
    <s v="SKF Eurotrade AB"/>
    <n v="22206.255312500001"/>
    <n v="7"/>
    <n v="7"/>
    <n v="0"/>
    <x v="0"/>
    <x v="4"/>
  </r>
  <r>
    <n v="2100006467"/>
    <s v="RING: COMPRESSION, 6 X 18, WAUKESHA| P/N-BL07"/>
    <x v="2"/>
    <s v="SPX MIDDLE EAST FZE"/>
    <n v="22148.71"/>
    <n v="9"/>
    <n v="9"/>
    <n v="0"/>
    <x v="0"/>
    <x v="1"/>
  </r>
  <r>
    <n v="1000093946"/>
    <s v="SKF BEARING - 6322 M/C3"/>
    <x v="3"/>
    <s v="SKF Eurotrade AB"/>
    <n v="22066.583999999999"/>
    <n v="15"/>
    <n v="15"/>
    <n v="0"/>
    <x v="0"/>
    <x v="4"/>
  </r>
  <r>
    <n v="1000100377"/>
    <s v="SKF Product NU 324 ECM/C3"/>
    <x v="3"/>
    <s v="SKF Eurotrade AB"/>
    <n v="21931.506666666599"/>
    <n v="11"/>
    <n v="11"/>
    <n v="0"/>
    <x v="0"/>
    <x v="4"/>
  </r>
  <r>
    <n v="1000093670"/>
    <s v="Weidmuller; Power Supply; P/N: 1478150000   M"/>
    <x v="3"/>
    <s v="Weidmuller Middle East (FZE)"/>
    <n v="21809.099570300001"/>
    <n v="26"/>
    <n v="26"/>
    <n v="0"/>
    <x v="0"/>
    <x v="3"/>
  </r>
  <r>
    <n v="1000021309"/>
    <s v="SKF BEARING - 22322 E"/>
    <x v="3"/>
    <s v="SKF Eurotrade AB"/>
    <n v="21478.232727272702"/>
    <n v="16"/>
    <n v="16"/>
    <n v="0"/>
    <x v="0"/>
    <x v="4"/>
  </r>
  <r>
    <n v="2500009037"/>
    <s v="DRILL BIT_5 1/2&quot;_RC HAMMER ASSEMBLY, ITEM COD"/>
    <x v="0"/>
    <s v="PARANTHAMAN EXPORTERS"/>
    <n v="21468.75"/>
    <n v="7"/>
    <n v="7"/>
    <n v="0"/>
    <x v="0"/>
    <x v="0"/>
  </r>
  <r>
    <n v="2500005714"/>
    <s v="AIR FILTER ELEMENT-F4-75KW PN B004700770031"/>
    <x v="0"/>
    <s v="ELGI Gulf FZE"/>
    <n v="21357.634195263599"/>
    <n v="29"/>
    <n v="29"/>
    <n v="0"/>
    <x v="0"/>
    <x v="0"/>
  </r>
  <r>
    <n v="1000098811"/>
    <s v="Nafion Gas Dryer, Permapure MD-110-144F-4"/>
    <x v="5"/>
    <s v="Yokogawa Middle East &amp; Africa B.S.C. Â©"/>
    <n v="21060"/>
    <n v="4"/>
    <n v="4"/>
    <n v="0"/>
    <x v="0"/>
    <x v="6"/>
  </r>
  <r>
    <n v="1000010159"/>
    <s v="P+F, Segment Protector for Cabinet Installati"/>
    <x v="3"/>
    <s v="Ralph Messring GmbH"/>
    <n v="21029.309123996201"/>
    <n v="9"/>
    <n v="9"/>
    <n v="0"/>
    <x v="0"/>
    <x v="5"/>
  </r>
  <r>
    <n v="2500008048"/>
    <s v="Refrigerent air dryer ,80CFM,14BAR,230V/60HZ "/>
    <x v="0"/>
    <s v="ELGI Gulf FZE"/>
    <n v="20812.5"/>
    <n v="6"/>
    <n v="6"/>
    <n v="0"/>
    <x v="0"/>
    <x v="0"/>
  </r>
  <r>
    <n v="1000100436"/>
    <s v="SKF Product 23038 CC/W33"/>
    <x v="3"/>
    <s v="SKF Eurotrade AB"/>
    <n v="20710.5"/>
    <n v="10"/>
    <n v="10"/>
    <n v="0"/>
    <x v="0"/>
    <x v="4"/>
  </r>
  <r>
    <n v="1000102201"/>
    <s v="SKF BEARINGS - 7321 BEP"/>
    <x v="3"/>
    <s v="SKF Eurotrade AB"/>
    <n v="20618.439999999999"/>
    <n v="15"/>
    <n v="15"/>
    <n v="0"/>
    <x v="0"/>
    <x v="4"/>
  </r>
  <r>
    <n v="1000099586"/>
    <s v="SKF BEARING - 29434E"/>
    <x v="3"/>
    <s v="SKF Eurotrade AB"/>
    <n v="20350.276666666599"/>
    <n v="4"/>
    <n v="4"/>
    <n v="0"/>
    <x v="0"/>
    <x v="4"/>
  </r>
  <r>
    <n v="1000093766"/>
    <s v="Weidmuller; ASK 1 Solid Bar Fused Terminal Bl"/>
    <x v="3"/>
    <s v="Weidmuller Middle East (FZE)"/>
    <n v="20010.9303533333"/>
    <n v="4334"/>
    <n v="4334"/>
    <n v="0"/>
    <x v="0"/>
    <x v="3"/>
  </r>
  <r>
    <n v="1000095270"/>
    <s v="SKF BEARING - 6330/C3"/>
    <x v="3"/>
    <s v="SKF Eurotrade AB"/>
    <n v="19936.211138461498"/>
    <n v="11"/>
    <n v="11"/>
    <n v="0"/>
    <x v="0"/>
    <x v="4"/>
  </r>
  <r>
    <n v="1000020872"/>
    <s v="SKF BEARING - 7317 BECBP"/>
    <x v="3"/>
    <s v="SKF Eurotrade AB"/>
    <n v="19905.52"/>
    <n v="32"/>
    <n v="32"/>
    <n v="0"/>
    <x v="0"/>
    <x v="4"/>
  </r>
  <r>
    <n v="1000100431"/>
    <s v="SKF Product 6317/C3VL0241"/>
    <x v="3"/>
    <s v="SKF Eurotrade AB"/>
    <n v="19792.66"/>
    <n v="10"/>
    <n v="10"/>
    <n v="0"/>
    <x v="0"/>
    <x v="4"/>
  </r>
  <r>
    <n v="1000098520"/>
    <s v="SKF BEARING-24024 CC/W33"/>
    <x v="3"/>
    <s v="Universal Bearings Company"/>
    <n v="19677.507692307601"/>
    <n v="20"/>
    <n v="20"/>
    <n v="0"/>
    <x v="0"/>
    <x v="4"/>
  </r>
  <r>
    <n v="1000021250"/>
    <s v="SKF BEARING - 22222 E"/>
    <x v="3"/>
    <s v="SKF Eurotrade AB"/>
    <n v="19577.2228"/>
    <n v="32"/>
    <n v="32"/>
    <n v="0"/>
    <x v="0"/>
    <x v="4"/>
  </r>
  <r>
    <n v="1000021307"/>
    <s v="SKF BEARING - 22320 EK/C3"/>
    <x v="3"/>
    <s v="Universal Bearings Company"/>
    <n v="19564.662"/>
    <n v="21"/>
    <n v="21"/>
    <n v="0"/>
    <x v="0"/>
    <x v="4"/>
  </r>
  <r>
    <n v="1000099425"/>
    <s v="SKF Bearing:7409 BGM"/>
    <x v="3"/>
    <s v="SKF Eurotrade AB"/>
    <n v="19542.765641025599"/>
    <n v="31"/>
    <n v="31"/>
    <n v="0"/>
    <x v="0"/>
    <x v="4"/>
  </r>
  <r>
    <n v="1000017142"/>
    <s v="Weidmuller; Terminal Blocks &amp; Accessories; P/"/>
    <x v="3"/>
    <s v="Weidmuller Middle East (FZE)"/>
    <n v="19520.544871951901"/>
    <n v="29211"/>
    <n v="29211"/>
    <n v="0"/>
    <x v="0"/>
    <x v="3"/>
  </r>
  <r>
    <n v="2500008074"/>
    <s v="Horizontal Air receiver tank 500 LTRS"/>
    <x v="0"/>
    <s v="ELGI Gulf FZE"/>
    <n v="19272.968401263199"/>
    <n v="7"/>
    <n v="7"/>
    <n v="0"/>
    <x v="0"/>
    <x v="0"/>
  </r>
  <r>
    <n v="1000093952"/>
    <s v="SKF BEARING - 6232/C3"/>
    <x v="3"/>
    <s v="SKF Eurotrade AB"/>
    <n v="19211.400000000001"/>
    <n v="12"/>
    <n v="0"/>
    <n v="12"/>
    <x v="2"/>
    <x v="4"/>
  </r>
  <r>
    <n v="1000096798"/>
    <s v="1122770000;TRS 24VDC 1CO, Relay"/>
    <x v="3"/>
    <s v="Weidmuller Middle East (FZE)"/>
    <n v="19143.677871312098"/>
    <n v="1393"/>
    <n v="1393"/>
    <n v="0"/>
    <x v="0"/>
    <x v="3"/>
  </r>
  <r>
    <n v="1000108323"/>
    <s v="SKF Product; NU 1036 ML/C3"/>
    <x v="3"/>
    <s v="SKF Eurotrade AB"/>
    <n v="19143.3"/>
    <n v="8"/>
    <n v="8"/>
    <n v="0"/>
    <x v="0"/>
    <x v="4"/>
  </r>
  <r>
    <n v="1000098670"/>
    <s v="SKF BEARING -KM 36"/>
    <x v="3"/>
    <s v="SKF Eurotrade AB"/>
    <n v="19032.714756097499"/>
    <n v="79"/>
    <n v="79"/>
    <n v="0"/>
    <x v="0"/>
    <x v="4"/>
  </r>
  <r>
    <n v="2500008193"/>
    <s v="Refrigerent air dryer ,150CFM,14BAR,230V/60HZ"/>
    <x v="0"/>
    <s v="ELGI Gulf FZE"/>
    <n v="18918.882734126899"/>
    <n v="4"/>
    <n v="4"/>
    <n v="0"/>
    <x v="0"/>
    <x v="0"/>
  </r>
  <r>
    <n v="1000020075"/>
    <s v="SKF BEARING - 7330 BCBM"/>
    <x v="3"/>
    <s v="SKF Eurotrade AB"/>
    <n v="18878.583999999999"/>
    <n v="5"/>
    <n v="5"/>
    <n v="0"/>
    <x v="0"/>
    <x v="4"/>
  </r>
  <r>
    <n v="1000103073"/>
    <s v="SKF Products; NU 324 ECP/C3"/>
    <x v="3"/>
    <s v="SKF Eurotrade AB"/>
    <n v="18617.688437500001"/>
    <n v="13"/>
    <n v="13"/>
    <n v="0"/>
    <x v="0"/>
    <x v="4"/>
  </r>
  <r>
    <n v="1000100329"/>
    <s v="SKF Product 29340 E"/>
    <x v="3"/>
    <s v="SKF Eurotrade AB"/>
    <n v="18557.29"/>
    <n v="4"/>
    <n v="4"/>
    <n v="0"/>
    <x v="0"/>
    <x v="4"/>
  </r>
  <r>
    <n v="1000101340"/>
    <s v="Weidmueller,Product:1608570000;   PN:ZDU 2.5/"/>
    <x v="3"/>
    <s v="Weidmuller Middle East (FZE)"/>
    <n v="18371.87"/>
    <n v="7000"/>
    <n v="7000"/>
    <n v="0"/>
    <x v="0"/>
    <x v="3"/>
  </r>
  <r>
    <n v="1000021247"/>
    <s v="SKF BEARING - 22220 E/C3"/>
    <x v="3"/>
    <s v="SKF Eurotrade AB"/>
    <n v="18235.753742857101"/>
    <n v="38"/>
    <n v="38"/>
    <n v="0"/>
    <x v="0"/>
    <x v="4"/>
  </r>
  <r>
    <n v="1000021246"/>
    <s v="SKF BEARING - 22220 E"/>
    <x v="3"/>
    <s v="SKF Eurotrade AB"/>
    <n v="18139.93"/>
    <n v="39"/>
    <n v="39"/>
    <n v="0"/>
    <x v="0"/>
    <x v="4"/>
  </r>
  <r>
    <n v="1000099833"/>
    <s v="TRS 24VUC 2CO PN: 1123500000"/>
    <x v="3"/>
    <s v="Weidmuller Middle East (FZE)"/>
    <n v="18133.1730673239"/>
    <n v="1050"/>
    <n v="1050"/>
    <n v="0"/>
    <x v="0"/>
    <x v="3"/>
  </r>
  <r>
    <n v="1000102822"/>
    <s v="Weidmuller Item; PBAG ME TOOLS KIT P/N 774002"/>
    <x v="3"/>
    <s v="Weidmuller Middle East (FZE)"/>
    <n v="18125.099999999999"/>
    <n v="21"/>
    <n v="21"/>
    <n v="0"/>
    <x v="0"/>
    <x v="3"/>
  </r>
  <r>
    <n v="1000010249"/>
    <s v="P+F, Background Suppression Sensor  Model No."/>
    <x v="3"/>
    <s v="Pepperl+Fuchs (ME) FZE"/>
    <n v="17976"/>
    <n v="18"/>
    <n v="18"/>
    <n v="0"/>
    <x v="0"/>
    <x v="5"/>
  </r>
  <r>
    <n v="2300000026"/>
    <s v="COUPLING. PN # P2320J292"/>
    <x v="4"/>
    <s v="FS-Elliott Co., LLC"/>
    <n v="17955.830000000002"/>
    <n v="7"/>
    <n v="7"/>
    <n v="0"/>
    <x v="0"/>
    <x v="2"/>
  </r>
  <r>
    <n v="1000096343"/>
    <s v="Weidmuller; Tools; P/N: 9203610000;Model No. "/>
    <x v="3"/>
    <s v="Weidmuller Middle East (FZE)"/>
    <n v="17912.680684922601"/>
    <n v="1741"/>
    <n v="1741"/>
    <n v="0"/>
    <x v="0"/>
    <x v="3"/>
  </r>
  <r>
    <n v="2200003117"/>
    <s v="O RING REPAIR KIT, PN- RKORP311UT13DB6"/>
    <x v="2"/>
    <s v="Sundyne International S.A."/>
    <n v="17845.52"/>
    <n v="1"/>
    <n v="1"/>
    <n v="0"/>
    <x v="0"/>
    <x v="1"/>
  </r>
  <r>
    <n v="1000105957"/>
    <s v="P&amp;F Product; LVL-M4-C-DG41500-AIAANA-CDSL..50"/>
    <x v="3"/>
    <s v="Pepperl+Fuchs (ME) FZE"/>
    <n v="17776.25"/>
    <n v="3"/>
    <n v="3"/>
    <n v="0"/>
    <x v="0"/>
    <x v="5"/>
  </r>
  <r>
    <n v="2500008567"/>
    <s v="MATL : ELIX Summits PLATRONIKA Fully Automati"/>
    <x v="0"/>
    <s v="Summits Hygronics Private Limited"/>
    <n v="17662.5"/>
    <n v="2"/>
    <n v="2"/>
    <n v="0"/>
    <x v="0"/>
    <x v="0"/>
  </r>
  <r>
    <n v="1000098074"/>
    <s v="SKF BEARING - NU 220 ECML/P54S1"/>
    <x v="3"/>
    <s v="SKF Eurotrade AB"/>
    <n v="17563.706127946101"/>
    <n v="19"/>
    <n v="19"/>
    <n v="0"/>
    <x v="0"/>
    <x v="4"/>
  </r>
  <r>
    <n v="1000100313"/>
    <s v="SKF Product 6328 M/C3"/>
    <x v="3"/>
    <s v="SKF Eurotrade AB"/>
    <n v="17446.495208333301"/>
    <n v="7"/>
    <n v="7"/>
    <n v="0"/>
    <x v="0"/>
    <x v="4"/>
  </r>
  <r>
    <n v="1000020806"/>
    <s v="SKF BEARING - 7213 BECBM"/>
    <x v="3"/>
    <s v="SKF Saudi Arabia Ltd."/>
    <n v="17408.876949404701"/>
    <n v="80"/>
    <n v="80"/>
    <n v="0"/>
    <x v="0"/>
    <x v="4"/>
  </r>
  <r>
    <n v="2500008563"/>
    <s v="MATL : ELIX Summits PLATRONIKA Fully Automati"/>
    <x v="0"/>
    <s v="Summits Hygronics Private Limited"/>
    <n v="17372.045454545401"/>
    <n v="6"/>
    <n v="6"/>
    <n v="0"/>
    <x v="0"/>
    <x v="0"/>
  </r>
  <r>
    <n v="1000096796"/>
    <s v="SKF BEARING - 6317 M/C3VL0241"/>
    <x v="3"/>
    <s v="SKF Eurotrade AB"/>
    <n v="17308.509999999998"/>
    <n v="8"/>
    <n v="8"/>
    <n v="0"/>
    <x v="0"/>
    <x v="7"/>
  </r>
  <r>
    <n v="1000020525"/>
    <s v="SKF BEARING - 6216/C3"/>
    <x v="3"/>
    <s v="Universal Bearings Company"/>
    <n v="17125.125"/>
    <n v="122"/>
    <n v="122"/>
    <n v="0"/>
    <x v="0"/>
    <x v="4"/>
  </r>
  <r>
    <n v="1000100728"/>
    <s v="Weidmuller P/N: 2466980000, PRO TOP1 120W 24V"/>
    <x v="3"/>
    <s v="Weidmuller Saudi Arabia Factory LLC"/>
    <n v="16987.164807692301"/>
    <n v="50"/>
    <n v="50"/>
    <n v="0"/>
    <x v="0"/>
    <x v="3"/>
  </r>
  <r>
    <n v="1000020712"/>
    <s v="SKF BEARING - 6314/C3"/>
    <x v="3"/>
    <s v="Universal Bearings Company"/>
    <n v="16851.835324675299"/>
    <n v="136"/>
    <n v="125"/>
    <n v="11"/>
    <x v="2"/>
    <x v="4"/>
  </r>
  <r>
    <n v="1000108392"/>
    <s v="Emergency stop button P/N: 05-0003-000804"/>
    <x v="3"/>
    <s v="Bartec Middle East LLC"/>
    <n v="16773.240000000002"/>
    <n v="262"/>
    <n v="0"/>
    <n v="262"/>
    <x v="2"/>
    <x v="7"/>
  </r>
  <r>
    <n v="1000100346"/>
    <s v="SKF Product 2316 K"/>
    <x v="3"/>
    <s v="SKF Eurotrade AB"/>
    <n v="16352.489374999999"/>
    <n v="25"/>
    <n v="25"/>
    <n v="0"/>
    <x v="0"/>
    <x v="4"/>
  </r>
  <r>
    <n v="1000102230"/>
    <s v="SKF BEARINGS - 24126 CC/C3W33"/>
    <x v="3"/>
    <s v="SKF Eurotrade AB"/>
    <n v="16298.7"/>
    <n v="11"/>
    <n v="11"/>
    <n v="0"/>
    <x v="0"/>
    <x v="4"/>
  </r>
  <r>
    <n v="1000098648"/>
    <s v="SKF BEARING -IR 90X105X35"/>
    <x v="3"/>
    <s v="SKF Eurotrade AB"/>
    <n v="16178.31"/>
    <n v="167"/>
    <n v="167"/>
    <n v="0"/>
    <x v="0"/>
    <x v="4"/>
  </r>
  <r>
    <n v="2200002825"/>
    <s v="Impeller,Part No: JM05KD30DB527K0 Replaced by"/>
    <x v="2"/>
    <s v="Sundyne International S.A."/>
    <n v="16132.12"/>
    <n v="1"/>
    <n v="1"/>
    <n v="0"/>
    <x v="0"/>
    <x v="2"/>
  </r>
  <r>
    <n v="1000021051"/>
    <s v="SKF BEARING - NU 2216 ECJ/C3"/>
    <x v="3"/>
    <s v="SKF Eurotrade AB"/>
    <n v="16111.308571428501"/>
    <n v="40"/>
    <n v="40"/>
    <n v="0"/>
    <x v="5"/>
    <x v="4"/>
  </r>
  <r>
    <n v="2200012249"/>
    <s v="MECHANICAL SEAL                         - PN:"/>
    <x v="2"/>
    <s v="Sundyne International S.A."/>
    <n v="16039.294"/>
    <n v="3"/>
    <n v="3"/>
    <n v="0"/>
    <x v="0"/>
    <x v="1"/>
  </r>
  <r>
    <n v="1000020881"/>
    <s v="SKF BEARING - 7322 BECBP"/>
    <x v="3"/>
    <s v="SKF Eurotrade AB"/>
    <n v="16037.4878571428"/>
    <n v="12"/>
    <n v="12"/>
    <n v="0"/>
    <x v="0"/>
    <x v="4"/>
  </r>
  <r>
    <n v="1000102216"/>
    <s v="SKF BEARINGS -  16032/C3"/>
    <x v="3"/>
    <s v="SKF Eurotrade AB"/>
    <n v="15969.71"/>
    <n v="21"/>
    <n v="21"/>
    <n v="0"/>
    <x v="0"/>
    <x v="4"/>
  </r>
  <r>
    <n v="1000097052"/>
    <s v="P+F;RELAY MODULE:KFD0-RSH-14S.PS2"/>
    <x v="3"/>
    <s v="Pepperl+Fuchs (ME) FZE"/>
    <n v="15892.3944217466"/>
    <n v="30"/>
    <n v="30"/>
    <n v="0"/>
    <x v="0"/>
    <x v="5"/>
  </r>
  <r>
    <n v="1000020122"/>
    <s v="SKF BEARING - 3313 A/C3"/>
    <x v="3"/>
    <s v="SKF Eurotrade AB"/>
    <n v="15839.7426543209"/>
    <n v="34"/>
    <n v="34"/>
    <n v="0"/>
    <x v="0"/>
    <x v="4"/>
  </r>
  <r>
    <n v="1000020828"/>
    <s v="SKF BEARING - 7226 BCBM"/>
    <x v="3"/>
    <s v="SKF Eurotrade AB"/>
    <n v="15631.3193877551"/>
    <n v="12"/>
    <n v="12"/>
    <n v="0"/>
    <x v="0"/>
    <x v="4"/>
  </r>
  <r>
    <n v="1000017140"/>
    <s v="Weidmuller; P/N:1020000000 WDU 2.5"/>
    <x v="3"/>
    <s v="Weidmuller Middle East (FZE)"/>
    <n v="15578.877460744699"/>
    <n v="20487"/>
    <n v="20487"/>
    <n v="0"/>
    <x v="0"/>
    <x v="3"/>
  </r>
  <r>
    <n v="1000100352"/>
    <s v="SKF Product 6230/C3"/>
    <x v="3"/>
    <s v="SKF Eurotrade AB"/>
    <n v="15498.351428571401"/>
    <n v="14"/>
    <n v="14"/>
    <n v="0"/>
    <x v="0"/>
    <x v="4"/>
  </r>
  <r>
    <n v="2700000044"/>
    <s v="ROTATING FACE RJ09AA05RE SERIAL NO. :E47-0029"/>
    <x v="2"/>
    <s v="Sundyne International S.A."/>
    <n v="15497.769"/>
    <n v="3"/>
    <n v="3"/>
    <n v="0"/>
    <x v="0"/>
    <x v="1"/>
  </r>
  <r>
    <n v="2500005718"/>
    <s v="AIR FILTER ASSY F6 OPEN TYPE PN B004700770036"/>
    <x v="0"/>
    <s v="ELGI Gulf FZE"/>
    <n v="15323.3877777777"/>
    <n v="13"/>
    <n v="13"/>
    <n v="0"/>
    <x v="0"/>
    <x v="0"/>
  </r>
  <r>
    <n v="1000098742"/>
    <s v="SKF BEARING -24052 CC/W33"/>
    <x v="3"/>
    <s v="SKF Eurotrade AB"/>
    <n v="15297.53"/>
    <n v="3"/>
    <n v="3"/>
    <n v="0"/>
    <x v="0"/>
    <x v="4"/>
  </r>
  <r>
    <n v="2500005728"/>
    <s v="OIL FILTER ELEMENT-75 LPM PN B004800770001"/>
    <x v="0"/>
    <s v="The Machinery Group LLC"/>
    <n v="15273.0096345205"/>
    <n v="249"/>
    <n v="249"/>
    <n v="0"/>
    <x v="0"/>
    <x v="0"/>
  </r>
  <r>
    <n v="1000095837"/>
    <s v="Weidmueller,Product:1028500000,Part No: WFF 1"/>
    <x v="3"/>
    <s v="Weidmuller Middle East (FZE)"/>
    <n v="15240.0140085601"/>
    <n v="484"/>
    <n v="484"/>
    <n v="0"/>
    <x v="0"/>
    <x v="3"/>
  </r>
  <r>
    <n v="1000010148"/>
    <s v="P+F, Segment  Protector for Cabinet Installat"/>
    <x v="3"/>
    <s v="Ralph Messring GmbH"/>
    <n v="15233.0181236559"/>
    <n v="8"/>
    <n v="8"/>
    <n v="0"/>
    <x v="5"/>
    <x v="5"/>
  </r>
  <r>
    <n v="2100006473"/>
    <s v="GEAR: WORM WHEEL, RATIO 28/2| P/N-BL250914"/>
    <x v="2"/>
    <s v="SPX MIDDLE EAST FZE"/>
    <n v="15185.22"/>
    <n v="9"/>
    <n v="9"/>
    <n v="0"/>
    <x v="0"/>
    <x v="1"/>
  </r>
  <r>
    <n v="1000021223"/>
    <s v="SKF BEARING - 22215 E"/>
    <x v="3"/>
    <s v="SKF Eurotrade AB"/>
    <n v="15163.4534707125"/>
    <n v="66"/>
    <n v="66"/>
    <n v="0"/>
    <x v="0"/>
    <x v="4"/>
  </r>
  <r>
    <n v="1000092931"/>
    <s v="Yokogawa make Power supply module;  Model:SPW"/>
    <x v="5"/>
    <s v="Yokogawa Middle East &amp; Africa B.S.C. Â©"/>
    <n v="15096"/>
    <n v="4"/>
    <n v="4"/>
    <n v="0"/>
    <x v="0"/>
    <x v="6"/>
  </r>
  <r>
    <n v="1000106150"/>
    <s v="SKF FD Fan Motor Bearing Drive side; NU 1044 "/>
    <x v="3"/>
    <s v="SKF Eurotrade AB"/>
    <n v="15064.31"/>
    <n v="5"/>
    <n v="5"/>
    <n v="0"/>
    <x v="0"/>
    <x v="4"/>
  </r>
  <r>
    <n v="1000021286"/>
    <s v="SKF BEARING - 22315 E"/>
    <x v="3"/>
    <s v="SKF Eurotrade AB"/>
    <n v="14828.827499999999"/>
    <n v="33"/>
    <n v="33"/>
    <n v="0"/>
    <x v="0"/>
    <x v="4"/>
  </r>
  <r>
    <n v="1000103742"/>
    <s v="Weidmuller Product;SAK 10;PN:110060000"/>
    <x v="3"/>
    <s v="Weidmuller Middle East (FZE)"/>
    <n v="14763.006719999999"/>
    <n v="2848"/>
    <n v="2848"/>
    <n v="0"/>
    <x v="0"/>
    <x v="3"/>
  </r>
  <r>
    <n v="1000100375"/>
    <s v="SKF Product NU 230 ECJ/C3"/>
    <x v="3"/>
    <s v="SKF Eurotrade AB"/>
    <n v="14672.7225"/>
    <n v="10"/>
    <n v="10"/>
    <n v="0"/>
    <x v="0"/>
    <x v="4"/>
  </r>
  <r>
    <n v="2500008564"/>
    <s v="MATL : ELIX Summits PLATRONIKA Fully Automati"/>
    <x v="0"/>
    <s v="Summits Hygronics Private Limited"/>
    <n v="14625"/>
    <n v="3"/>
    <n v="3"/>
    <n v="0"/>
    <x v="0"/>
    <x v="0"/>
  </r>
  <r>
    <n v="1000103752"/>
    <s v="Weidmuller Product;TRS 230VUC 1CO;PN:11228200"/>
    <x v="3"/>
    <s v="Weidmuller Middle East (FZE)"/>
    <n v="14602.3525839416"/>
    <n v="528"/>
    <n v="528"/>
    <n v="0"/>
    <x v="0"/>
    <x v="3"/>
  </r>
  <r>
    <n v="2500005916"/>
    <s v="Air-Oil Separator-F4-55KW PN B006700770026"/>
    <x v="0"/>
    <s v="ELGI Gulf FZE"/>
    <n v="14541.4769090343"/>
    <n v="10"/>
    <n v="10"/>
    <n v="0"/>
    <x v="0"/>
    <x v="0"/>
  </r>
  <r>
    <n v="1000098741"/>
    <s v="SKF BEARING -23138 CC/W33"/>
    <x v="3"/>
    <s v="SKF Eurotrade AB"/>
    <n v="14486.69"/>
    <n v="5"/>
    <n v="5"/>
    <n v="0"/>
    <x v="0"/>
    <x v="4"/>
  </r>
  <r>
    <n v="1000020772"/>
    <s v="SKF BEARING - 6416"/>
    <x v="3"/>
    <s v="SKF Eurotrade AB"/>
    <n v="14405.9294117647"/>
    <n v="16"/>
    <n v="16"/>
    <n v="0"/>
    <x v="0"/>
    <x v="4"/>
  </r>
  <r>
    <n v="2500008361"/>
    <s v="Air Receiver tank 3000 ltrs Model VA080"/>
    <x v="0"/>
    <s v="ELGI Gulf FZE"/>
    <n v="14250"/>
    <n v="1"/>
    <n v="1"/>
    <n v="0"/>
    <x v="0"/>
    <x v="0"/>
  </r>
  <r>
    <n v="1000093667"/>
    <s v="Weidmuller; Terminal Blocks &amp; Accessories; P/"/>
    <x v="3"/>
    <s v="Weidmuller Middle East (FZE)"/>
    <n v="14133.6241279724"/>
    <n v="12204"/>
    <n v="12204"/>
    <n v="0"/>
    <x v="0"/>
    <x v="3"/>
  </r>
  <r>
    <n v="2700000092"/>
    <s v="THRUST WASHER WA05AA13C"/>
    <x v="2"/>
    <s v="Sundyne International S.A."/>
    <n v="14087.451538461501"/>
    <n v="10"/>
    <n v="10"/>
    <n v="0"/>
    <x v="0"/>
    <x v="2"/>
  </r>
  <r>
    <n v="1000095607"/>
    <s v="SKF BEARING - NU 326 ECJ/C3"/>
    <x v="3"/>
    <s v="SKF Eurotrade AB"/>
    <n v="13825.807500000001"/>
    <n v="9"/>
    <n v="9"/>
    <n v="0"/>
    <x v="3"/>
    <x v="4"/>
  </r>
  <r>
    <n v="1000099101"/>
    <s v="Analog Input (4-20mA, 8ch, Isolated);NFAI135-"/>
    <x v="5"/>
    <s v="Yokogawa Middle East &amp; Africa B.S.C. Â©"/>
    <n v="13814.63"/>
    <n v="2"/>
    <n v="2"/>
    <n v="0"/>
    <x v="0"/>
    <x v="6"/>
  </r>
  <r>
    <n v="1000021254"/>
    <s v="SKF BEARING - 22222 EK/C3"/>
    <x v="3"/>
    <s v="SKF Eurotrade AB"/>
    <n v="13779.782047325099"/>
    <n v="22"/>
    <n v="22"/>
    <n v="0"/>
    <x v="0"/>
    <x v="4"/>
  </r>
  <r>
    <n v="1000106084"/>
    <s v="2 Way Parker Manifold, HDS2HLHFRCMLME12-4B"/>
    <x v="5"/>
    <s v="Addamegh for Industrial Solutions Est."/>
    <n v="13770"/>
    <n v="17"/>
    <n v="17"/>
    <n v="0"/>
    <x v="0"/>
    <x v="6"/>
  </r>
  <r>
    <n v="1000021002"/>
    <s v="SKF BEARING - NU 212 ECM/C3"/>
    <x v="3"/>
    <s v="Universal Bearings Company"/>
    <n v="13653.190117194001"/>
    <n v="31"/>
    <n v="31"/>
    <n v="0"/>
    <x v="0"/>
    <x v="4"/>
  </r>
  <r>
    <n v="1000100424"/>
    <s v="SKF Product 23130 CC/C3W33"/>
    <x v="3"/>
    <s v="SKF Eurotrade AB"/>
    <n v="13478.4"/>
    <n v="9"/>
    <n v="9"/>
    <n v="0"/>
    <x v="0"/>
    <x v="4"/>
  </r>
  <r>
    <n v="1000108784"/>
    <s v="Orifice Plate Mod.FLC-OP PIPE SIZE: 20&quot;  ( de"/>
    <x v="5"/>
    <s v="WIKA  Middle East FZE"/>
    <n v="13321.16"/>
    <n v="2"/>
    <n v="2"/>
    <n v="0"/>
    <x v="0"/>
    <x v="6"/>
  </r>
  <r>
    <n v="1000099110"/>
    <s v="P+F;CURRENT REPEATER; Model:KFD2-STC5-EX1, PN"/>
    <x v="3"/>
    <s v="Pepperl+Fuchs (ME) FZE"/>
    <n v="13225.74"/>
    <n v="15"/>
    <n v="15"/>
    <n v="0"/>
    <x v="0"/>
    <x v="5"/>
  </r>
  <r>
    <n v="1000096006"/>
    <s v="SKF BEARING - 6320 M/C3"/>
    <x v="3"/>
    <s v="SKF Eurotrade AB"/>
    <n v="13215.3703846153"/>
    <n v="11"/>
    <n v="11"/>
    <n v="0"/>
    <x v="0"/>
    <x v="4"/>
  </r>
  <r>
    <n v="2500001300"/>
    <s v="ELEMENT SEPARATOR 317 CFM1 PN 10451050"/>
    <x v="0"/>
    <s v="ELGI Gulf FZE"/>
    <n v="13176.5847775517"/>
    <n v="11"/>
    <n v="11"/>
    <n v="0"/>
    <x v="0"/>
    <x v="0"/>
  </r>
  <r>
    <n v="1000104688"/>
    <s v="Yokogawa, Ethernet Communication Module for ("/>
    <x v="5"/>
    <s v="Yokogawa Middle East &amp; Africa B.S.C. Â©"/>
    <n v="13128.75"/>
    <n v="1"/>
    <n v="1"/>
    <n v="0"/>
    <x v="0"/>
    <x v="6"/>
  </r>
  <r>
    <n v="1000020884"/>
    <s v="SKF BEARING - 7326 BCBM"/>
    <x v="3"/>
    <s v="SKF Eurotrade AB"/>
    <n v="13011.9258333333"/>
    <n v="5"/>
    <n v="5"/>
    <n v="0"/>
    <x v="0"/>
    <x v="4"/>
  </r>
  <r>
    <n v="1000110222"/>
    <s v="Temperature Transmitter;YTA610-JA1C2DJ/SU2/C3"/>
    <x v="5"/>
    <s v="Yokogawa Saudi Arabia Company"/>
    <n v="13008.95"/>
    <n v="3"/>
    <n v="3"/>
    <n v="0"/>
    <x v="0"/>
    <x v="6"/>
  </r>
  <r>
    <n v="1000021137"/>
    <s v="SKF BEARING - NU 318 ECM"/>
    <x v="3"/>
    <s v="SKF Eurotrade AB"/>
    <n v="12841.12"/>
    <n v="14"/>
    <n v="14"/>
    <n v="0"/>
    <x v="0"/>
    <x v="4"/>
  </r>
  <r>
    <n v="1000109460"/>
    <s v="SKF :SE.E.0-125.RUB.B9"/>
    <x v="3"/>
    <s v="SKF Sealing Solutions Austria GmbH"/>
    <n v="12633.3812"/>
    <n v="76"/>
    <n v="0"/>
    <n v="76"/>
    <x v="3"/>
    <x v="4"/>
  </r>
  <r>
    <n v="1000106117"/>
    <s v="P&amp;F Universal Temperature Converter; KCD2-UT2"/>
    <x v="3"/>
    <s v="Pepperl+Fuchs (ME) FZE"/>
    <n v="12601.975669297301"/>
    <n v="13"/>
    <n v="13"/>
    <n v="0"/>
    <x v="0"/>
    <x v="5"/>
  </r>
  <r>
    <n v="1000020534"/>
    <s v="SKF BEARING - 6218/C3"/>
    <x v="3"/>
    <s v="SKF Eurotrade AB"/>
    <n v="12547.397683494701"/>
    <n v="59"/>
    <n v="59"/>
    <n v="0"/>
    <x v="0"/>
    <x v="4"/>
  </r>
  <r>
    <n v="1000098548"/>
    <s v="SKF BEARING-6034 M/C3"/>
    <x v="3"/>
    <s v="SKF Eurotrade AB"/>
    <n v="12535.4063492063"/>
    <n v="12"/>
    <n v="12"/>
    <n v="0"/>
    <x v="0"/>
    <x v="4"/>
  </r>
  <r>
    <n v="1000094741"/>
    <s v="SKF BEARING - 3220 A  Matl:4001016047"/>
    <x v="3"/>
    <s v="SKF Eurotrade AB"/>
    <n v="12530.7096666666"/>
    <n v="14"/>
    <n v="14"/>
    <n v="0"/>
    <x v="0"/>
    <x v="4"/>
  </r>
  <r>
    <n v="2500009145"/>
    <s v="AIR FILTER ELEMENT SET 1765CFM  P/N-B00570077"/>
    <x v="0"/>
    <s v="ELGI Gulf FZE"/>
    <n v="12506.25"/>
    <n v="5"/>
    <n v="5"/>
    <n v="0"/>
    <x v="0"/>
    <x v="0"/>
  </r>
  <r>
    <n v="1000020495"/>
    <s v="SKF BEARING - 6212/C3"/>
    <x v="3"/>
    <s v="Universal Bearings Company"/>
    <n v="12314.237288287"/>
    <n v="271"/>
    <n v="271"/>
    <n v="0"/>
    <x v="3"/>
    <x v="4"/>
  </r>
  <r>
    <n v="1000094198"/>
    <s v="Weidmuller; Terminal Blocks;  P/N: 7910270000"/>
    <x v="3"/>
    <s v="Weidmuller Middle East (FZE)"/>
    <n v="12212"/>
    <n v="3550"/>
    <n v="3550"/>
    <n v="0"/>
    <x v="0"/>
    <x v="3"/>
  </r>
  <r>
    <n v="1000020812"/>
    <s v="SKF BEARING - 7216 BECBM"/>
    <x v="3"/>
    <s v="SKF Eurotrade AB"/>
    <n v="12206.74"/>
    <n v="33"/>
    <n v="33"/>
    <n v="0"/>
    <x v="0"/>
    <x v="4"/>
  </r>
  <r>
    <n v="1000106151"/>
    <s v="SKF FD Fan Motor Bearing Non Drive Side; 6044"/>
    <x v="3"/>
    <s v="SKF Eurotrade AB"/>
    <n v="12076.5"/>
    <n v="5"/>
    <n v="5"/>
    <n v="0"/>
    <x v="0"/>
    <x v="4"/>
  </r>
  <r>
    <n v="1000102220"/>
    <s v="SKF BEARINGS -  NU 328 ECM"/>
    <x v="3"/>
    <s v="SKF Eurotrade AB"/>
    <n v="12045"/>
    <n v="4"/>
    <n v="4"/>
    <n v="0"/>
    <x v="0"/>
    <x v="4"/>
  </r>
  <r>
    <n v="2100006470"/>
    <s v="VALVE, DOUBLE VALVE, 4571/3.1| P/N-BL080838"/>
    <x v="2"/>
    <s v="SPX MIDDLE EAST FZE"/>
    <n v="11999.15"/>
    <n v="7"/>
    <n v="7"/>
    <n v="0"/>
    <x v="0"/>
    <x v="1"/>
  </r>
  <r>
    <n v="1000106116"/>
    <s v="P&amp;F Temperature Converter with Trip; KFU8â€GUT"/>
    <x v="3"/>
    <s v="Pepperl+Fuchs (ME) FZE"/>
    <n v="11965.03"/>
    <n v="7"/>
    <n v="7"/>
    <n v="0"/>
    <x v="0"/>
    <x v="5"/>
  </r>
  <r>
    <n v="1000091395"/>
    <s v="Yokogawa, ESB Bus Coupler Module, Model No.: "/>
    <x v="5"/>
    <s v="Yokogawa Middle East &amp; Africa B.S.C. Â©"/>
    <n v="11880"/>
    <n v="1"/>
    <n v="1"/>
    <n v="0"/>
    <x v="0"/>
    <x v="6"/>
  </r>
  <r>
    <n v="1000093592"/>
    <s v="Weidmuller; TERMINAL BLOCK; P/N: 1010100000; "/>
    <x v="3"/>
    <s v="Weidmuller Middle East (FZE)"/>
    <n v="11879.293769076599"/>
    <n v="4211"/>
    <n v="6211"/>
    <n v="-2000"/>
    <x v="5"/>
    <x v="3"/>
  </r>
  <r>
    <n v="1000106115"/>
    <s v="P&amp;F SMART CURRENT DRIVER; KCD2â€SCDâ€EX1; P/N: "/>
    <x v="3"/>
    <s v="Pepperl+Fuchs (ME) FZE"/>
    <n v="11761.12"/>
    <n v="15"/>
    <n v="15"/>
    <n v="0"/>
    <x v="0"/>
    <x v="5"/>
  </r>
  <r>
    <n v="1000099354"/>
    <s v="P+F;Transmitter power supply:Model:KFD2-STC5-"/>
    <x v="3"/>
    <s v="Pepperl+Fuchs (ME) FZE"/>
    <n v="11736.007374000001"/>
    <n v="21"/>
    <n v="21"/>
    <n v="0"/>
    <x v="0"/>
    <x v="5"/>
  </r>
  <r>
    <n v="1000093739"/>
    <s v="Diaphargm seal;Model:990.27;"/>
    <x v="5"/>
    <s v="WIKA Saudi Arabia LLC"/>
    <n v="11603.8507015575"/>
    <n v="2"/>
    <n v="2"/>
    <n v="0"/>
    <x v="0"/>
    <x v="6"/>
  </r>
  <r>
    <n v="1000097740"/>
    <s v="SKF BEARING - 7320 BEP"/>
    <x v="3"/>
    <s v="SKF Eurotrade AB"/>
    <n v="11524.8283333333"/>
    <n v="11"/>
    <n v="11"/>
    <n v="0"/>
    <x v="0"/>
    <x v="4"/>
  </r>
  <r>
    <n v="1000020752"/>
    <s v="SKF BEARING - 6322"/>
    <x v="3"/>
    <s v="SKF Eurotrade AB"/>
    <n v="11458.33"/>
    <n v="13"/>
    <n v="13"/>
    <n v="0"/>
    <x v="0"/>
    <x v="4"/>
  </r>
  <r>
    <n v="1000110159"/>
    <s v="GUAT37 1 x PULLING BOX 3X1&quot;NPT THREAD ALUMINI"/>
    <x v="3"/>
    <s v="Bartec Middle East LLC"/>
    <n v="11424"/>
    <n v="34"/>
    <n v="34"/>
    <n v="0"/>
    <x v="2"/>
    <x v="7"/>
  </r>
  <r>
    <n v="1000109465"/>
    <s v="Field Installation on Trunk Model No.  TCP-LB"/>
    <x v="3"/>
    <s v="Pepperl+Fuchs (ME) FZE"/>
    <n v="11271"/>
    <n v="15"/>
    <n v="15"/>
    <n v="0"/>
    <x v="0"/>
    <x v="5"/>
  </r>
  <r>
    <n v="1000101767"/>
    <s v="SKF BEARING - 6064 M"/>
    <x v="3"/>
    <s v="SKF Eurotrade AB"/>
    <n v="11254"/>
    <n v="1"/>
    <n v="1"/>
    <n v="0"/>
    <x v="0"/>
    <x v="4"/>
  </r>
  <r>
    <n v="1000093672"/>
    <s v="Weidmuller; Power Supply; P/N: 2486080000   M"/>
    <x v="3"/>
    <s v="Weidmuller Middle East (FZE)"/>
    <n v="11216.418723139701"/>
    <n v="86"/>
    <n v="86"/>
    <n v="0"/>
    <x v="0"/>
    <x v="3"/>
  </r>
  <r>
    <n v="1000105183"/>
    <s v="Weidmuller Product; KDKS 1/35 DB,P/N: 9532440"/>
    <x v="3"/>
    <s v="Weidmuller Middle East (FZE)"/>
    <n v="11169.608000939799"/>
    <n v="1250"/>
    <n v="1250"/>
    <n v="0"/>
    <x v="0"/>
    <x v="3"/>
  </r>
  <r>
    <n v="1000100016"/>
    <s v="Stud Terminal WFF 185/AH Part No: 1029600000"/>
    <x v="3"/>
    <s v="Weidmuller Middle East (FZE)"/>
    <n v="11169.0112109004"/>
    <n v="205"/>
    <n v="205"/>
    <n v="0"/>
    <x v="0"/>
    <x v="3"/>
  </r>
  <r>
    <n v="1000020726"/>
    <s v="SKF BEARING - 6316 M/C3"/>
    <x v="3"/>
    <s v="SKF Eurotrade AB"/>
    <n v="11130.73"/>
    <n v="19"/>
    <n v="19"/>
    <n v="0"/>
    <x v="0"/>
    <x v="4"/>
  </r>
  <r>
    <n v="1000020814"/>
    <s v="SKF BEARING - 7217 BECBJ"/>
    <x v="3"/>
    <s v="SKF Eurotrade AB"/>
    <n v="11119.01"/>
    <n v="24"/>
    <n v="24"/>
    <n v="0"/>
    <x v="0"/>
    <x v="4"/>
  </r>
  <r>
    <n v="2200012249"/>
    <s v="MECHANICAL SEAL                         - PN:"/>
    <x v="1"/>
    <s v="Sundyne International S.A."/>
    <n v="11073.9533333333"/>
    <n v="2"/>
    <n v="2"/>
    <n v="0"/>
    <x v="0"/>
    <x v="1"/>
  </r>
  <r>
    <n v="1000021229"/>
    <s v="SKF BEARING - 22216 E/C3"/>
    <x v="3"/>
    <s v="SKF Eurotrade AB"/>
    <n v="11001.3851666666"/>
    <n v="43"/>
    <n v="43"/>
    <n v="0"/>
    <x v="0"/>
    <x v="4"/>
  </r>
  <r>
    <n v="1000102238"/>
    <s v="SKF BEARINGS - 24128 CC/C3W33"/>
    <x v="3"/>
    <s v="SKF Eurotrade AB"/>
    <n v="10983.6"/>
    <n v="6"/>
    <n v="6"/>
    <n v="0"/>
    <x v="0"/>
    <x v="4"/>
  </r>
  <r>
    <n v="1000020120"/>
    <s v="SKF BEARING - 3312 A-2Z/C3"/>
    <x v="3"/>
    <s v="SKF Eurotrade AB"/>
    <n v="10982.417647058801"/>
    <n v="15"/>
    <n v="15"/>
    <n v="0"/>
    <x v="0"/>
    <x v="4"/>
  </r>
  <r>
    <n v="1000098716"/>
    <s v="SKF BEARING -NU 324 ECM"/>
    <x v="3"/>
    <s v="SKF Eurotrade AB"/>
    <n v="10908.56"/>
    <n v="5"/>
    <n v="5"/>
    <n v="0"/>
    <x v="0"/>
    <x v="4"/>
  </r>
  <r>
    <n v="1000021252"/>
    <s v="SKF BEARING - 22222 EK"/>
    <x v="3"/>
    <s v="SKF Eurotrade AB"/>
    <n v="10902.456923076899"/>
    <n v="21"/>
    <n v="21"/>
    <n v="0"/>
    <x v="5"/>
    <x v="4"/>
  </r>
  <r>
    <n v="1000097583"/>
    <s v="SKF BEARING - 6234/C3"/>
    <x v="3"/>
    <s v="SKF Eurotrade AB"/>
    <n v="10901.7671875"/>
    <n v="7"/>
    <n v="7"/>
    <n v="0"/>
    <x v="0"/>
    <x v="4"/>
  </r>
  <r>
    <n v="1000093687"/>
    <s v="Weidmuller; P/N: 1324380000 Model No. PRINTJE"/>
    <x v="3"/>
    <s v="Weidmuller Middle East (FZE)"/>
    <n v="10890"/>
    <n v="3"/>
    <n v="3"/>
    <n v="0"/>
    <x v="0"/>
    <x v="3"/>
  </r>
  <r>
    <n v="1000093589"/>
    <s v="Weidmuller; TERMINAL BLOCK; P/N:1020400000; M"/>
    <x v="3"/>
    <s v="Weidmuller Middle East (FZE)"/>
    <n v="10878.648893375201"/>
    <n v="4558"/>
    <n v="0"/>
    <n v="4558"/>
    <x v="5"/>
    <x v="3"/>
  </r>
  <r>
    <n v="1000098436"/>
    <s v="SKF BEARING-6217"/>
    <x v="3"/>
    <s v="SKF Eurotrade AB"/>
    <n v="10806.0411235955"/>
    <n v="72"/>
    <n v="72"/>
    <n v="0"/>
    <x v="0"/>
    <x v="4"/>
  </r>
  <r>
    <n v="1000095839"/>
    <s v="Weidmueller ,THM Printer (part # 2599430000)"/>
    <x v="3"/>
    <s v="Weidmuller Middle East (FZE)"/>
    <n v="10771.3399002267"/>
    <n v="8"/>
    <n v="8"/>
    <n v="0"/>
    <x v="0"/>
    <x v="3"/>
  </r>
  <r>
    <n v="1000095976"/>
    <s v="1001066561;P+F,HiC Fieldbus motherboard;Model"/>
    <x v="3"/>
    <s v="Pepperl+Fuchs (ME) FZE"/>
    <n v="10743.1033333333"/>
    <n v="2"/>
    <n v="2"/>
    <n v="0"/>
    <x v="0"/>
    <x v="5"/>
  </r>
  <r>
    <n v="1000096604"/>
    <s v="SKF BEARING - 23960CC/W33"/>
    <x v="3"/>
    <s v="SKF Eurotrade AB"/>
    <n v="10715.924000000001"/>
    <n v="2"/>
    <n v="2"/>
    <n v="0"/>
    <x v="0"/>
    <x v="4"/>
  </r>
  <r>
    <n v="1000101986"/>
    <s v="Weidmueller; Model:WFF 300/AH;  Part No:10297"/>
    <x v="3"/>
    <s v="Weidmuller Middle East (FZE)"/>
    <n v="10710.467674081599"/>
    <n v="169"/>
    <n v="169"/>
    <n v="0"/>
    <x v="0"/>
    <x v="3"/>
  </r>
  <r>
    <n v="1000108485"/>
    <s v="Temperature Transmitter:YTA610-FA1C4DK/SU25"/>
    <x v="5"/>
    <s v="Yokogawa Saudi Arabia Company"/>
    <n v="10627.5"/>
    <n v="2"/>
    <n v="2"/>
    <n v="0"/>
    <x v="0"/>
    <x v="6"/>
  </r>
  <r>
    <n v="1000098597"/>
    <s v="SKF BEARING -7222 BECBP"/>
    <x v="3"/>
    <s v="Universal Bearings Company"/>
    <n v="10589.6175"/>
    <n v="14"/>
    <n v="14"/>
    <n v="0"/>
    <x v="0"/>
    <x v="4"/>
  </r>
  <r>
    <n v="1000099126"/>
    <s v="SKF Product, Part No: 201034244; Model:22232 "/>
    <x v="3"/>
    <s v="SKF Eurotrade AB"/>
    <n v="10533.6"/>
    <n v="6"/>
    <n v="6"/>
    <n v="0"/>
    <x v="0"/>
    <x v="4"/>
  </r>
  <r>
    <n v="1000102863"/>
    <s v="PEPPERL+FUCHS; FDH-SW-P; Software"/>
    <x v="3"/>
    <s v="Pepperl+Fuchs (ME) FZE"/>
    <n v="10461.14"/>
    <n v="5"/>
    <n v="5"/>
    <n v="0"/>
    <x v="0"/>
    <x v="5"/>
  </r>
  <r>
    <n v="1000094950"/>
    <s v="SKF BEARING - 29417 E"/>
    <x v="3"/>
    <s v="SKF Eurotrade AB"/>
    <n v="10407.5554545454"/>
    <n v="7"/>
    <n v="7"/>
    <n v="0"/>
    <x v="0"/>
    <x v="4"/>
  </r>
  <r>
    <n v="1000020753"/>
    <s v="SKF BEARING - 6322/C3"/>
    <x v="3"/>
    <s v="SKF Eurotrade AB"/>
    <n v="10361.383306878301"/>
    <n v="12"/>
    <n v="12"/>
    <n v="0"/>
    <x v="0"/>
    <x v="4"/>
  </r>
  <r>
    <n v="2500009464"/>
    <s v="DESCRIPTION : HQ CORE BARREL ASSY, 3MTR LONG,"/>
    <x v="0"/>
    <s v="PARANTHAMAN EXPORTERS"/>
    <n v="10361.25"/>
    <n v="3"/>
    <n v="3"/>
    <n v="0"/>
    <x v="0"/>
    <x v="0"/>
  </r>
  <r>
    <n v="1000021232"/>
    <s v="SKF BEARING - 22216 EK/C3"/>
    <x v="3"/>
    <s v="SKF Eurotrade AB"/>
    <n v="10254.08"/>
    <n v="37"/>
    <n v="37"/>
    <n v="0"/>
    <x v="0"/>
    <x v="4"/>
  </r>
  <r>
    <n v="1000020728"/>
    <s v="SKF BEARING - 6316/C3"/>
    <x v="3"/>
    <s v="Universal Bearings Company"/>
    <n v="10239.8360065291"/>
    <n v="53"/>
    <n v="53"/>
    <n v="0"/>
    <x v="0"/>
    <x v="4"/>
  </r>
  <r>
    <n v="1000102955"/>
    <s v="SKF BEARING; 81220 TN"/>
    <x v="3"/>
    <s v="SKF Eurotrade AB"/>
    <n v="10201.049999999999"/>
    <n v="12"/>
    <n v="12"/>
    <n v="0"/>
    <x v="0"/>
    <x v="4"/>
  </r>
  <r>
    <n v="1000102166"/>
    <s v="Gauge Pressure Transmitter;   EJA530E-JCS4N-0"/>
    <x v="5"/>
    <s v="Yokogawa Middle East &amp; Africa B.S.C. Â©"/>
    <n v="10129.37535"/>
    <n v="3"/>
    <n v="3"/>
    <n v="0"/>
    <x v="0"/>
    <x v="6"/>
  </r>
  <r>
    <n v="1000100373"/>
    <s v="SKF Product NU 226 ECJ/C3"/>
    <x v="3"/>
    <s v="SKF Eurotrade AB"/>
    <n v="9998.5550000000003"/>
    <n v="10"/>
    <n v="10"/>
    <n v="0"/>
    <x v="0"/>
    <x v="4"/>
  </r>
  <r>
    <n v="1000100314"/>
    <s v="SKF Product NUP 218 ECP"/>
    <x v="3"/>
    <s v="SKF Eurotrade AB"/>
    <n v="9993.3422222222198"/>
    <n v="21"/>
    <n v="21"/>
    <n v="0"/>
    <x v="0"/>
    <x v="4"/>
  </r>
  <r>
    <n v="1000020114"/>
    <s v="SKF BEARING - 3311 A/C3"/>
    <x v="3"/>
    <s v="SKF Eurotrade AB"/>
    <n v="9955.8802757735994"/>
    <n v="31"/>
    <n v="31"/>
    <n v="0"/>
    <x v="0"/>
    <x v="4"/>
  </r>
  <r>
    <n v="1000102079"/>
    <s v="Differential Pressure Transmitter;   EJA130E-"/>
    <x v="5"/>
    <s v="Yokogawa Middle East &amp; Africa B.S.C. Â©"/>
    <n v="9926.6299999999992"/>
    <n v="2"/>
    <n v="2"/>
    <n v="0"/>
    <x v="0"/>
    <x v="6"/>
  </r>
  <r>
    <n v="2500006442"/>
    <s v="3814312_ELEMENT AIR CLEANER OUTER PN B0136035"/>
    <x v="0"/>
    <s v="ELGI Gulf FZE"/>
    <n v="9696.0684210526306"/>
    <n v="28"/>
    <n v="28"/>
    <n v="0"/>
    <x v="0"/>
    <x v="0"/>
  </r>
  <r>
    <n v="1000096457"/>
    <s v="SKF BEARING -7214 BECBP"/>
    <x v="3"/>
    <s v="SKF Eurotrade AB"/>
    <n v="9625.0125000000007"/>
    <n v="47"/>
    <n v="47"/>
    <n v="0"/>
    <x v="0"/>
    <x v="4"/>
  </r>
  <r>
    <n v="2500008051"/>
    <s v="Refrigerent air dryer ,300CFM,14BAR,230V/60HZ"/>
    <x v="0"/>
    <s v="ELGI Gulf FZE"/>
    <n v="9588.75"/>
    <n v="1"/>
    <n v="1"/>
    <n v="0"/>
    <x v="0"/>
    <x v="0"/>
  </r>
  <r>
    <n v="1000106110"/>
    <s v="P&amp;F SMART Transmitter Power Supply, KFD2-STC4"/>
    <x v="3"/>
    <s v="Pepperl+Fuchs (ME) FZE"/>
    <n v="9573.4"/>
    <n v="7"/>
    <n v="7"/>
    <n v="0"/>
    <x v="0"/>
    <x v="5"/>
  </r>
  <r>
    <n v="1000021261"/>
    <s v="SKF BEARING - 22226 E/C3"/>
    <x v="3"/>
    <s v="SKF Eurotrade AB"/>
    <n v="9570.2000000000007"/>
    <n v="10"/>
    <n v="10"/>
    <n v="0"/>
    <x v="0"/>
    <x v="4"/>
  </r>
  <r>
    <n v="1000094873"/>
    <s v="SKF BEARING - 6316/C3VL0241"/>
    <x v="3"/>
    <s v="SKF Eurotrade AB"/>
    <n v="9564.2032666666601"/>
    <n v="6"/>
    <n v="6"/>
    <n v="0"/>
    <x v="0"/>
    <x v="4"/>
  </r>
  <r>
    <n v="2500009189"/>
    <s v="600cfm, Model SI 060 DA"/>
    <x v="0"/>
    <s v="Summits Hygronics Private Limited"/>
    <n v="9562.5"/>
    <n v="1"/>
    <n v="1"/>
    <n v="0"/>
    <x v="0"/>
    <x v="0"/>
  </r>
  <r>
    <n v="1000095058"/>
    <s v="SKF BEARING - 7311 BEGAM"/>
    <x v="3"/>
    <s v="SKF Eurotrade AB"/>
    <n v="9531.3316129032191"/>
    <n v="32"/>
    <n v="32"/>
    <n v="0"/>
    <x v="0"/>
    <x v="4"/>
  </r>
  <r>
    <n v="1000092612"/>
    <s v="SKF BEARING - Model No. NCF 2984 V"/>
    <x v="3"/>
    <s v="SKF Eurotrade AB"/>
    <n v="9522.0499999999993"/>
    <n v="1"/>
    <n v="1"/>
    <n v="0"/>
    <x v="0"/>
    <x v="4"/>
  </r>
  <r>
    <n v="1000020740"/>
    <s v="SKF BEARING - 6318/C3"/>
    <x v="3"/>
    <s v="Universal Bearings Company"/>
    <n v="9515.3262962962908"/>
    <n v="34"/>
    <n v="34"/>
    <n v="0"/>
    <x v="0"/>
    <x v="4"/>
  </r>
  <r>
    <n v="1000102235"/>
    <s v="SKF BEARINGS - 23040 CC/C3W33"/>
    <x v="3"/>
    <s v="SKF Eurotrade AB"/>
    <n v="9502.7999999999993"/>
    <n v="4"/>
    <n v="4"/>
    <n v="0"/>
    <x v="0"/>
    <x v="4"/>
  </r>
  <r>
    <n v="1000093494"/>
    <s v="WEIDMULLER, SURGE ARRESTER  P/N: 1352900000; "/>
    <x v="3"/>
    <s v="Weidmuller Middle East (FZE)"/>
    <n v="9481.5"/>
    <n v="49"/>
    <n v="49"/>
    <n v="0"/>
    <x v="0"/>
    <x v="3"/>
  </r>
  <r>
    <n v="1000098753"/>
    <s v="SKF BEARING - 22313 EK"/>
    <x v="3"/>
    <s v="SKF Eurotrade AB"/>
    <n v="9357.2347499999996"/>
    <n v="27"/>
    <n v="27"/>
    <n v="0"/>
    <x v="0"/>
    <x v="4"/>
  </r>
  <r>
    <n v="1000093953"/>
    <s v="SKF BEARING - 6218/C3VL0241"/>
    <x v="3"/>
    <s v="SKF Eurotrade AB"/>
    <n v="9348.2999999999993"/>
    <n v="6"/>
    <n v="6"/>
    <n v="0"/>
    <x v="0"/>
    <x v="4"/>
  </r>
  <r>
    <n v="1000096238"/>
    <s v="SKF BEARING - 7211 BECBJ"/>
    <x v="3"/>
    <s v="SKF Eurotrade AB"/>
    <n v="9272.9647023809503"/>
    <n v="38"/>
    <n v="38"/>
    <n v="0"/>
    <x v="0"/>
    <x v="4"/>
  </r>
  <r>
    <n v="1000099588"/>
    <s v="Weidmueller,PN:1054760000, Model:WQV 6/3"/>
    <x v="3"/>
    <s v="Weidmuller Middle East (FZE)"/>
    <n v="9259.3712017559592"/>
    <n v="3808"/>
    <n v="3808"/>
    <n v="0"/>
    <x v="0"/>
    <x v="3"/>
  </r>
  <r>
    <n v="2500005917"/>
    <s v="Air-Oil Separator-F4-75KW PN B006700770027"/>
    <x v="0"/>
    <s v="ELGI Gulf FZE"/>
    <n v="9230.0471022635193"/>
    <n v="6"/>
    <n v="6"/>
    <n v="0"/>
    <x v="0"/>
    <x v="0"/>
  </r>
  <r>
    <n v="1000020871"/>
    <s v="SKF BEARING - 7317 BECBM"/>
    <x v="3"/>
    <s v="SKF Eurotrade AB"/>
    <n v="9199.5611688311692"/>
    <n v="12"/>
    <n v="10"/>
    <n v="2"/>
    <x v="3"/>
    <x v="4"/>
  </r>
  <r>
    <n v="2200002467"/>
    <s v="MAT-1000047348,SHAFTSUPPORT K436,PN:P2915A(1Q"/>
    <x v="1"/>
    <s v="Sundyne LLC"/>
    <n v="9128.44"/>
    <n v="1"/>
    <n v="1"/>
    <n v="0"/>
    <x v="0"/>
    <x v="1"/>
  </r>
  <r>
    <n v="1000020818"/>
    <s v="SKF BEARING - 7218 BECBM"/>
    <x v="3"/>
    <s v="SKF Eurotrade AB"/>
    <n v="9125.5105263157893"/>
    <n v="15"/>
    <n v="15"/>
    <n v="0"/>
    <x v="0"/>
    <x v="4"/>
  </r>
  <r>
    <n v="1000111177"/>
    <s v="316L Stainless Steel enclosure type KEBx HS 6"/>
    <x v="3"/>
    <s v="Weidmuller Saudi Arabia Factory LLC"/>
    <n v="9080"/>
    <n v="2"/>
    <n v="2"/>
    <n v="0"/>
    <x v="0"/>
    <x v="3"/>
  </r>
  <r>
    <n v="1000101642"/>
    <s v="Differential pressure transmitter;  EJA130E-J"/>
    <x v="5"/>
    <s v="Yokogawa Middle East &amp; Africa B.S.C. Â©"/>
    <n v="9072.98"/>
    <n v="2"/>
    <n v="2"/>
    <n v="0"/>
    <x v="0"/>
    <x v="6"/>
  </r>
  <r>
    <n v="1000021315"/>
    <s v="SKF BEARING - 22328 CC/W33"/>
    <x v="3"/>
    <s v="SKF Eurotrade AB"/>
    <n v="8990.36"/>
    <n v="4"/>
    <n v="4"/>
    <n v="0"/>
    <x v="0"/>
    <x v="4"/>
  </r>
  <r>
    <n v="1000100344"/>
    <s v="SKF Product 2313 K"/>
    <x v="3"/>
    <s v="SKF Eurotrade AB"/>
    <n v="8968.2749999999996"/>
    <n v="25"/>
    <n v="25"/>
    <n v="0"/>
    <x v="0"/>
    <x v="4"/>
  </r>
  <r>
    <n v="1000100353"/>
    <s v="SKF Product 6320-2Z"/>
    <x v="3"/>
    <s v="SKF Eurotrade AB"/>
    <n v="8957.52"/>
    <n v="12"/>
    <n v="12"/>
    <n v="0"/>
    <x v="0"/>
    <x v="4"/>
  </r>
  <r>
    <n v="1000105399"/>
    <s v="SKF BEARINGS:GE 90 ES"/>
    <x v="3"/>
    <s v="SKF Eurotrade AB"/>
    <n v="8943.9"/>
    <n v="28"/>
    <n v="28"/>
    <n v="0"/>
    <x v="2"/>
    <x v="4"/>
  </r>
  <r>
    <n v="1000103042"/>
    <s v="SKF BEARING; 23228 CC/W33"/>
    <x v="3"/>
    <s v="SKF Eurotrade AB"/>
    <n v="8903.0959999999995"/>
    <n v="4"/>
    <n v="4"/>
    <n v="0"/>
    <x v="0"/>
    <x v="4"/>
  </r>
  <r>
    <n v="1000100432"/>
    <s v="SKF Product 23034 CCK/W33"/>
    <x v="3"/>
    <s v="SKF Eurotrade AB"/>
    <n v="8869.5400000000009"/>
    <n v="6"/>
    <n v="6"/>
    <n v="0"/>
    <x v="0"/>
    <x v="4"/>
  </r>
  <r>
    <n v="1000098393"/>
    <s v="P+F, Segment Protector for Cabinet Installati"/>
    <x v="3"/>
    <s v="Pepperl+Fuchs (ME) FZE"/>
    <n v="8863.2284331714109"/>
    <n v="8"/>
    <n v="8"/>
    <n v="0"/>
    <x v="0"/>
    <x v="5"/>
  </r>
  <r>
    <n v="1000094576"/>
    <s v="P+F,Inductive Sensor; Model: NCN40-FP-W-T-P1;"/>
    <x v="3"/>
    <s v="Pepperl+Fuchs (ME) FZE"/>
    <n v="8819.2000000000007"/>
    <n v="8"/>
    <n v="8"/>
    <n v="0"/>
    <x v="0"/>
    <x v="5"/>
  </r>
  <r>
    <n v="2700000002"/>
    <s v="Mechanical Seal GEARBOX OUTPUT SEAL KIT (LOW "/>
    <x v="6"/>
    <s v="Sundyne International S.A."/>
    <n v="8791.0405561449697"/>
    <n v="1"/>
    <n v="1"/>
    <n v="0"/>
    <x v="0"/>
    <x v="1"/>
  </r>
  <r>
    <n v="2500009463"/>
    <s v="DESCRIPTION : HQ DRILL RODS, 3MTR LONG  | Par"/>
    <x v="0"/>
    <s v="PARANTHAMAN EXPORTERS"/>
    <n v="8775"/>
    <n v="20"/>
    <n v="20"/>
    <n v="0"/>
    <x v="0"/>
    <x v="0"/>
  </r>
  <r>
    <n v="1000097580"/>
    <s v="Weidmuller,Model:WSI 4"/>
    <x v="3"/>
    <s v="Weidmuller Middle East (FZE)"/>
    <n v="8710.0479193121992"/>
    <n v="1656"/>
    <n v="1656"/>
    <n v="0"/>
    <x v="0"/>
    <x v="3"/>
  </r>
  <r>
    <n v="2500009332"/>
    <s v="DESCRIPTION : ROTATION LINDE MOTOR| Part no. "/>
    <x v="0"/>
    <s v="PARANTHAMAN EXPORTERS"/>
    <n v="8692.5"/>
    <n v="1"/>
    <n v="1"/>
    <n v="0"/>
    <x v="0"/>
    <x v="0"/>
  </r>
  <r>
    <n v="1000020036"/>
    <s v="SKF BEARING - 6310-2RS1"/>
    <x v="3"/>
    <s v="SKF Eurotrade AB"/>
    <n v="8653.3138489208595"/>
    <n v="135"/>
    <n v="135"/>
    <n v="0"/>
    <x v="0"/>
    <x v="4"/>
  </r>
  <r>
    <n v="1000105766"/>
    <s v="P&amp;F Segment Protector;R2-SP-IC6"/>
    <x v="3"/>
    <s v="Pepperl+Fuchs (ME) FZE"/>
    <n v="8640.3713229166606"/>
    <n v="11"/>
    <n v="11"/>
    <n v="0"/>
    <x v="0"/>
    <x v="5"/>
  </r>
  <r>
    <n v="1000020749"/>
    <s v="SKF BEARING - 6320/C3"/>
    <x v="3"/>
    <s v="SKF Eurotrade AB"/>
    <n v="8594.4750000000004"/>
    <n v="20"/>
    <n v="20"/>
    <n v="0"/>
    <x v="0"/>
    <x v="4"/>
  </r>
  <r>
    <n v="1000098579"/>
    <s v="SKF BEARING -6228/C3"/>
    <x v="3"/>
    <s v="SKF Eurotrade AB"/>
    <n v="8556.0467105263106"/>
    <n v="13"/>
    <n v="13"/>
    <n v="0"/>
    <x v="0"/>
    <x v="4"/>
  </r>
  <r>
    <n v="1000094201"/>
    <s v="Weidmuller; Feed Through Terminal Block; P/N:"/>
    <x v="3"/>
    <s v="Weidmuller Middle East (FZE)"/>
    <n v="8525.5791791110296"/>
    <n v="231"/>
    <n v="231"/>
    <n v="0"/>
    <x v="0"/>
    <x v="3"/>
  </r>
  <r>
    <n v="1000103743"/>
    <s v="Weidmuller Product;SAK 35;PN:303560000"/>
    <x v="3"/>
    <s v="Weidmuller Middle East (FZE)"/>
    <n v="8440.1"/>
    <n v="580"/>
    <n v="580"/>
    <n v="0"/>
    <x v="0"/>
    <x v="3"/>
  </r>
  <r>
    <n v="1000108322"/>
    <s v="SKF Product; 32316 J2"/>
    <x v="3"/>
    <s v="SKF Eurotrade AB"/>
    <n v="8424.68"/>
    <n v="18"/>
    <n v="18"/>
    <n v="0"/>
    <x v="0"/>
    <x v="4"/>
  </r>
  <r>
    <n v="1000093223"/>
    <s v="Digital output module (16-channel, 24 V DC, m"/>
    <x v="5"/>
    <s v="Yokogawa Middle East &amp; Africa B.S.C. Â©"/>
    <n v="8410.7999999999993"/>
    <n v="1"/>
    <n v="1"/>
    <n v="0"/>
    <x v="0"/>
    <x v="6"/>
  </r>
  <r>
    <n v="2500005906"/>
    <s v="E75 AIR OIL SEPARATOR PN B006700770007"/>
    <x v="0"/>
    <s v="ELGI Gulf FZE"/>
    <n v="8405.80040978125"/>
    <n v="4"/>
    <n v="3"/>
    <n v="1"/>
    <x v="6"/>
    <x v="0"/>
  </r>
  <r>
    <n v="1000093768"/>
    <s v="Weidmuller; LED Fuse Terminal Blocks 230VDC; "/>
    <x v="3"/>
    <s v="Weidmuller Middle East (FZE)"/>
    <n v="8370.0210000000006"/>
    <n v="550"/>
    <n v="550"/>
    <n v="0"/>
    <x v="0"/>
    <x v="3"/>
  </r>
  <r>
    <n v="1000098464"/>
    <s v="SKF BEARING-22213 E/C3"/>
    <x v="3"/>
    <s v="SKF Eurotrade AB"/>
    <n v="8364"/>
    <n v="52"/>
    <n v="52"/>
    <n v="0"/>
    <x v="0"/>
    <x v="4"/>
  </r>
  <r>
    <n v="1000020756"/>
    <s v="SKF BEARING - 6326/C3"/>
    <x v="3"/>
    <s v="SKF Eurotrade AB"/>
    <n v="8342.5582122448905"/>
    <n v="6"/>
    <n v="6"/>
    <n v="0"/>
    <x v="0"/>
    <x v="4"/>
  </r>
  <r>
    <n v="2700000010"/>
    <s v="THRUST WASHER WA05AA13A"/>
    <x v="2"/>
    <s v="Sundyne International S.A."/>
    <n v="8326.4286703950402"/>
    <n v="6"/>
    <n v="6"/>
    <n v="0"/>
    <x v="0"/>
    <x v="2"/>
  </r>
  <r>
    <n v="1000020739"/>
    <s v="SKF BEARING - 6318"/>
    <x v="3"/>
    <s v="SKF Eurotrade AB"/>
    <n v="8286.6437499999993"/>
    <n v="33"/>
    <n v="33"/>
    <n v="0"/>
    <x v="0"/>
    <x v="4"/>
  </r>
  <r>
    <n v="2700000011"/>
    <s v="ROTATING FACE RJ09AD13RE"/>
    <x v="2"/>
    <s v="Sundyne International S.A."/>
    <n v="8272.8799999999992"/>
    <n v="2"/>
    <n v="2"/>
    <n v="0"/>
    <x v="0"/>
    <x v="2"/>
  </r>
  <r>
    <n v="1000106684"/>
    <s v="P+F Compact Fieldbus Power Hub Motherboard wi"/>
    <x v="3"/>
    <s v="Pepperl+Fuchs (ME) FZE"/>
    <n v="8266.41"/>
    <n v="2"/>
    <n v="2"/>
    <n v="0"/>
    <x v="0"/>
    <x v="5"/>
  </r>
  <r>
    <n v="1000104204"/>
    <s v="P&amp;F HiC Fieldbus Motherboard; Model No.:MBHC-"/>
    <x v="3"/>
    <s v="Pepperl+Fuchs (ME) FZE"/>
    <n v="8266.41"/>
    <n v="2"/>
    <n v="2"/>
    <n v="0"/>
    <x v="0"/>
    <x v="5"/>
  </r>
  <r>
    <n v="1000098527"/>
    <s v="SKF BEARING-3212 A/C3"/>
    <x v="3"/>
    <s v="SKF Eurotrade AB"/>
    <n v="8254.3574285714294"/>
    <n v="39"/>
    <n v="39"/>
    <n v="0"/>
    <x v="0"/>
    <x v="4"/>
  </r>
  <r>
    <n v="1000093686"/>
    <s v="Weidmuller; Blank Terminal Markers; P/N: 1609"/>
    <x v="3"/>
    <s v="Weidmuller Middle East (FZE)"/>
    <n v="8246.0906875628898"/>
    <n v="90298"/>
    <n v="90298"/>
    <n v="0"/>
    <x v="0"/>
    <x v="3"/>
  </r>
  <r>
    <n v="2500005912"/>
    <s v="AIR OIL SEPARATOR PN B006700770018"/>
    <x v="0"/>
    <s v="ELGI Gulf FZE"/>
    <n v="8238.6132300000008"/>
    <n v="3"/>
    <n v="3"/>
    <n v="0"/>
    <x v="0"/>
    <x v="0"/>
  </r>
  <r>
    <n v="2500008409"/>
    <s v="Oil Filter Kit P N X017503"/>
    <x v="0"/>
    <s v="ELGI Gulf FZE"/>
    <n v="8218.6812453510192"/>
    <n v="88"/>
    <n v="88"/>
    <n v="0"/>
    <x v="0"/>
    <x v="0"/>
  </r>
  <r>
    <n v="1000098425"/>
    <s v="SKF BEARING - N 314 ECM/C3"/>
    <x v="3"/>
    <s v="SKF Eurotrade AB"/>
    <n v="8182.4568888888798"/>
    <n v="7"/>
    <n v="7"/>
    <n v="0"/>
    <x v="0"/>
    <x v="4"/>
  </r>
  <r>
    <n v="1000020865"/>
    <s v="SKF BEARING - 7315 BECBJ"/>
    <x v="3"/>
    <s v="Universal Bearings Company"/>
    <n v="8132.1750641025601"/>
    <n v="14"/>
    <n v="14"/>
    <n v="0"/>
    <x v="0"/>
    <x v="4"/>
  </r>
  <r>
    <n v="1000095813"/>
    <s v="Weidmueller,Product :1608940000,Part No: ZQV "/>
    <x v="3"/>
    <s v="Weidmuller Middle East (FZE)"/>
    <n v="8117.80319339165"/>
    <n v="1621"/>
    <n v="1621"/>
    <n v="0"/>
    <x v="0"/>
    <x v="3"/>
  </r>
  <r>
    <n v="2500008418"/>
    <s v="ELEMENT FINE FILTER PN B004000040018"/>
    <x v="0"/>
    <s v="ELGI Gulf FZE"/>
    <n v="8083.2937499999998"/>
    <n v="3"/>
    <n v="3"/>
    <n v="0"/>
    <x v="0"/>
    <x v="0"/>
  </r>
  <r>
    <n v="1000021438"/>
    <s v="SKF BEARING - 22322 EK"/>
    <x v="3"/>
    <s v="SKF Eurotrade AB"/>
    <n v="8067.94"/>
    <n v="5"/>
    <n v="5"/>
    <n v="0"/>
    <x v="0"/>
    <x v="4"/>
  </r>
  <r>
    <n v="1000093565"/>
    <s v="Weidmuller; Model No. VGM32-SS68 15-25 BG; De"/>
    <x v="3"/>
    <s v="Weidmuller Middle East (FZE)"/>
    <n v="8045.4160000000002"/>
    <n v="65"/>
    <n v="65"/>
    <n v="0"/>
    <x v="0"/>
    <x v="3"/>
  </r>
  <r>
    <n v="1000104192"/>
    <s v="P&amp;F Product; 3003-LPS-CI-YZ-HPM;   Mat'l No:1"/>
    <x v="3"/>
    <s v="Pepperl+Fuchs (ME) FZE"/>
    <n v="8042.0866666666598"/>
    <n v="2"/>
    <n v="2"/>
    <n v="0"/>
    <x v="0"/>
    <x v="5"/>
  </r>
  <r>
    <n v="1000101096"/>
    <s v="Weidmuller; Printhead; Model No: PJ ADV DKKO"/>
    <x v="3"/>
    <s v="Weidmuller Saudi Arabia Factory LLC"/>
    <n v="8023.95"/>
    <n v="3"/>
    <n v="3"/>
    <n v="0"/>
    <x v="0"/>
    <x v="3"/>
  </r>
  <r>
    <n v="1000098578"/>
    <s v="SKF BEARING -6226/C3"/>
    <x v="3"/>
    <s v="SKF Eurotrade AB"/>
    <n v="8010.24365079365"/>
    <n v="15"/>
    <n v="15"/>
    <n v="0"/>
    <x v="0"/>
    <x v="4"/>
  </r>
  <r>
    <n v="2100003403"/>
    <s v="MATL : 5500012858 , SPRING &amp; 2 WASHER,PN:2E16"/>
    <x v="1"/>
    <s v="Trillium Flow Technologies France SAS"/>
    <n v="7998.98"/>
    <n v="2"/>
    <n v="0"/>
    <n v="2"/>
    <x v="7"/>
    <x v="2"/>
  </r>
  <r>
    <n v="1000098710"/>
    <s v="SKF BEARING -NU 317 ECJ"/>
    <x v="3"/>
    <s v="SKF Eurotrade AB"/>
    <n v="7989.6592857142796"/>
    <n v="14"/>
    <n v="14"/>
    <n v="0"/>
    <x v="0"/>
    <x v="4"/>
  </r>
  <r>
    <n v="1000096954"/>
    <s v="Fieldbus Power Supply;Model:HCD2-FBPS-1.23.50"/>
    <x v="3"/>
    <s v="Pepperl+Fuchs (ME) FZE"/>
    <n v="7971.9500300309601"/>
    <n v="3"/>
    <n v="3"/>
    <n v="0"/>
    <x v="0"/>
    <x v="5"/>
  </r>
  <r>
    <n v="1000106153"/>
    <s v="SKF ID Fan Motor Bearing Non Drive Side; 6036"/>
    <x v="3"/>
    <s v="SKF Eurotrade AB"/>
    <n v="7945.6916666666602"/>
    <n v="5"/>
    <n v="5"/>
    <n v="0"/>
    <x v="0"/>
    <x v="4"/>
  </r>
  <r>
    <n v="1000020128"/>
    <s v="SKF BEARING - 3316 A/C3"/>
    <x v="3"/>
    <s v="SKF Eurotrade AB"/>
    <n v="7910.1"/>
    <n v="10"/>
    <n v="10"/>
    <n v="0"/>
    <x v="0"/>
    <x v="4"/>
  </r>
  <r>
    <n v="2500006867"/>
    <s v="AIR FILTER; KIT PN B574602"/>
    <x v="0"/>
    <s v="The Machinery Group LLC"/>
    <n v="7881.07956730769"/>
    <n v="15"/>
    <n v="15"/>
    <n v="0"/>
    <x v="0"/>
    <x v="0"/>
  </r>
  <r>
    <n v="1000010250"/>
    <s v="P+F, Inductive Sensor   Model No. NJ8-18-GK-S"/>
    <x v="3"/>
    <s v="Pepperl+Fuchs (ME) FZE"/>
    <n v="7867.9909374999997"/>
    <n v="23"/>
    <n v="23"/>
    <n v="0"/>
    <x v="0"/>
    <x v="5"/>
  </r>
  <r>
    <n v="1000103146"/>
    <s v="SKF Products; 16032"/>
    <x v="3"/>
    <s v="SKF Eurotrade AB"/>
    <n v="7843.28"/>
    <n v="11"/>
    <n v="11"/>
    <n v="0"/>
    <x v="0"/>
    <x v="4"/>
  </r>
  <r>
    <n v="2500008566"/>
    <s v="MATL : ELIX Summits PLATRONIKA Fully Automati"/>
    <x v="0"/>
    <s v="Summits Hygronics Private Limited"/>
    <n v="7762.5"/>
    <n v="1"/>
    <n v="1"/>
    <n v="0"/>
    <x v="0"/>
    <x v="0"/>
  </r>
  <r>
    <n v="1000102232"/>
    <s v="SKF BEARINGS - 6330/C3VL2071"/>
    <x v="3"/>
    <s v="SKF Eurotrade AB"/>
    <n v="7697.48"/>
    <n v="1"/>
    <n v="1"/>
    <n v="0"/>
    <x v="0"/>
    <x v="4"/>
  </r>
  <r>
    <n v="1000021235"/>
    <s v="SKF BEARING - 22217 EK"/>
    <x v="3"/>
    <s v="SKF Eurotrade AB"/>
    <n v="7696.5"/>
    <n v="20"/>
    <n v="20"/>
    <n v="0"/>
    <x v="0"/>
    <x v="4"/>
  </r>
  <r>
    <n v="2500008249"/>
    <s v="SK274A - DESICCANT WITH SEAL KIT PN B01500011"/>
    <x v="0"/>
    <s v="ELGI Equipments Limited"/>
    <n v="7680"/>
    <n v="2"/>
    <n v="2"/>
    <n v="0"/>
    <x v="0"/>
    <x v="0"/>
  </r>
  <r>
    <n v="1000020851"/>
    <s v="SKF BEARING - 7311 BECCM"/>
    <x v="3"/>
    <s v="SKF Eurotrade AB"/>
    <n v="7608.5042763157899"/>
    <n v="15"/>
    <n v="15"/>
    <n v="0"/>
    <x v="0"/>
    <x v="4"/>
  </r>
  <r>
    <n v="2200000285"/>
    <s v="Seal Repair Kit  PN-RK01AD07F"/>
    <x v="2"/>
    <s v="Sundyne International S.A."/>
    <n v="7589.38"/>
    <n v="2"/>
    <n v="2"/>
    <n v="0"/>
    <x v="0"/>
    <x v="2"/>
  </r>
  <r>
    <n v="1000095496"/>
    <s v="SKF BEARING;P/N:IR 140X160X50;MATL#393246"/>
    <x v="3"/>
    <s v="SKF Eurotrade AB"/>
    <n v="7553.2550000000001"/>
    <n v="30"/>
    <n v="30"/>
    <n v="0"/>
    <x v="0"/>
    <x v="4"/>
  </r>
  <r>
    <n v="2100004324"/>
    <s v="MATL : 1000190331 TRAP, STEAM;CONNECTION SIZE"/>
    <x v="1"/>
    <s v="Armstrong International SA"/>
    <n v="7523.63"/>
    <n v="1"/>
    <n v="0"/>
    <n v="1"/>
    <x v="4"/>
    <x v="1"/>
  </r>
  <r>
    <n v="1000100940"/>
    <s v="Pepperl+Fuchs Inductive Sensor (NBB20-U1-UU) "/>
    <x v="3"/>
    <s v="Pepperl+Fuchs (ME) FZE"/>
    <n v="7506"/>
    <n v="15"/>
    <n v="15"/>
    <n v="0"/>
    <x v="0"/>
    <x v="5"/>
  </r>
  <r>
    <n v="1000106121"/>
    <s v="P&amp;F SMART Transmitter Power Supply; KCD2â€STCâ€"/>
    <x v="3"/>
    <s v="Pepperl+Fuchs (ME) FZE"/>
    <n v="7504.9470000000001"/>
    <n v="9"/>
    <n v="9"/>
    <n v="0"/>
    <x v="0"/>
    <x v="5"/>
  </r>
  <r>
    <n v="1000020025"/>
    <s v="SKF BEARING - 6310/C3"/>
    <x v="3"/>
    <s v="Universal Bearings Company"/>
    <n v="7442.4664794239297"/>
    <n v="143"/>
    <n v="143"/>
    <n v="0"/>
    <x v="0"/>
    <x v="4"/>
  </r>
  <r>
    <n v="1000021237"/>
    <s v="SKF BEARING - 22217 EK/C3"/>
    <x v="3"/>
    <s v="SKF Eurotrade AB"/>
    <n v="7393.2183649580602"/>
    <n v="24"/>
    <n v="24"/>
    <n v="0"/>
    <x v="0"/>
    <x v="4"/>
  </r>
  <r>
    <n v="1000097811"/>
    <s v="Parker Manifold;HNVSMSW4NBM10A3-5"/>
    <x v="5"/>
    <s v="AlNijeidi Trading Est."/>
    <n v="7344"/>
    <n v="9"/>
    <n v="1"/>
    <n v="8"/>
    <x v="7"/>
    <x v="6"/>
  </r>
  <r>
    <n v="1000103208"/>
    <s v="SKF Product; NU 216 ECJ"/>
    <x v="3"/>
    <s v="SKF Eurotrade AB"/>
    <n v="7316.64538461538"/>
    <n v="28"/>
    <n v="28"/>
    <n v="0"/>
    <x v="0"/>
    <x v="4"/>
  </r>
  <r>
    <n v="1000093679"/>
    <s v="Weidmuller; Accessories Cross Connector; P/N:"/>
    <x v="3"/>
    <s v="Weidmuller Middle East (FZE)"/>
    <n v="7314.3420393925098"/>
    <n v="1537"/>
    <n v="1537"/>
    <n v="0"/>
    <x v="0"/>
    <x v="3"/>
  </r>
  <r>
    <n v="1000102213"/>
    <s v="SKF BEARINGS - 32038 X/DF"/>
    <x v="3"/>
    <s v="SKF Eurotrade AB"/>
    <n v="7300.8"/>
    <n v="1"/>
    <n v="1"/>
    <n v="0"/>
    <x v="0"/>
    <x v="4"/>
  </r>
  <r>
    <n v="1000020332"/>
    <s v="SKF BEARING - 6028"/>
    <x v="3"/>
    <s v="SKF Eurotrade AB"/>
    <n v="7262.37"/>
    <n v="15"/>
    <n v="15"/>
    <n v="0"/>
    <x v="0"/>
    <x v="4"/>
  </r>
  <r>
    <n v="1000021028"/>
    <s v="SKF BEARING - NU 220 ECM"/>
    <x v="3"/>
    <s v="SKF Eurotrade AB"/>
    <n v="7222.0837499999998"/>
    <n v="7"/>
    <n v="7"/>
    <n v="0"/>
    <x v="0"/>
    <x v="4"/>
  </r>
  <r>
    <n v="1000020023"/>
    <s v="SKF BEARING - NN 3022 KTN9/SPW33"/>
    <x v="3"/>
    <s v="SKF Eurotrade AB"/>
    <n v="7220.89"/>
    <n v="6"/>
    <n v="6"/>
    <n v="0"/>
    <x v="0"/>
    <x v="4"/>
  </r>
  <r>
    <n v="1000021305"/>
    <s v="SKF BEARING - 22320 E"/>
    <x v="3"/>
    <s v="SKF Eurotrade AB"/>
    <n v="7200.3375862068897"/>
    <n v="7"/>
    <n v="7"/>
    <n v="0"/>
    <x v="0"/>
    <x v="4"/>
  </r>
  <r>
    <n v="1000020718"/>
    <s v="SKF BEARING - 6315"/>
    <x v="3"/>
    <s v="SKF Eurotrade AB"/>
    <n v="7192.1135593220297"/>
    <n v="45"/>
    <n v="45"/>
    <n v="0"/>
    <x v="0"/>
    <x v="4"/>
  </r>
  <r>
    <n v="1000104155"/>
    <s v="PAP-R-08 NXX, execution Ex d/e/I IIC, size 8,"/>
    <x v="3"/>
    <s v="Bartec Middle East LLC"/>
    <n v="7181.24"/>
    <n v="4"/>
    <n v="4"/>
    <n v="0"/>
    <x v="0"/>
    <x v="7"/>
  </r>
  <r>
    <n v="1000020727"/>
    <s v="SKF BEARING - 6316 M/C3VL0241"/>
    <x v="3"/>
    <s v="SKF Eurotrade AB"/>
    <n v="7116.9279999999999"/>
    <n v="4"/>
    <n v="4"/>
    <n v="0"/>
    <x v="0"/>
    <x v="4"/>
  </r>
  <r>
    <n v="1000020809"/>
    <s v="SKF BEARING - 7215 BECBJ"/>
    <x v="3"/>
    <s v="SKF Eurotrade AB"/>
    <n v="7081.97454545454"/>
    <n v="24"/>
    <n v="24"/>
    <n v="0"/>
    <x v="0"/>
    <x v="4"/>
  </r>
  <r>
    <n v="1000093947"/>
    <s v="SKF BEARING - 6322 M/C3VL0241"/>
    <x v="3"/>
    <s v="SKF Eurotrade AB"/>
    <n v="7073.7533333333304"/>
    <n v="2"/>
    <n v="2"/>
    <n v="0"/>
    <x v="0"/>
    <x v="4"/>
  </r>
  <r>
    <n v="1000095256"/>
    <s v="SKF BEARING - 6322/C4"/>
    <x v="3"/>
    <s v="SKF Eurotrade AB"/>
    <n v="7069.808"/>
    <n v="8"/>
    <n v="8"/>
    <n v="0"/>
    <x v="0"/>
    <x v="4"/>
  </r>
  <r>
    <n v="1000100384"/>
    <s v="SKF Product 23034 CC/W33"/>
    <x v="3"/>
    <s v="SKF Eurotrade AB"/>
    <n v="7050"/>
    <n v="5"/>
    <n v="5"/>
    <n v="0"/>
    <x v="0"/>
    <x v="4"/>
  </r>
  <r>
    <n v="1000103751"/>
    <s v="Weidmuller Product;RCIKIT 230VAC 2CO LD;PN:88"/>
    <x v="3"/>
    <s v="Weidmuller Middle East (FZE)"/>
    <n v="7035.6"/>
    <n v="200"/>
    <n v="200"/>
    <n v="0"/>
    <x v="0"/>
    <x v="3"/>
  </r>
  <r>
    <n v="1000095867"/>
    <s v="Megablock 8-Spur,  Model MTL-F308-PC"/>
    <x v="3"/>
    <s v="NAIZAK Global Engneering Systems"/>
    <n v="6984"/>
    <n v="4"/>
    <n v="4"/>
    <n v="0"/>
    <x v="0"/>
    <x v="3"/>
  </r>
  <r>
    <n v="1000107344"/>
    <s v="P&amp;F Product; R2-SP-IC6; P/N: 235827 (S/P)"/>
    <x v="3"/>
    <s v="Pepperl+Fuchs (ME) FZE"/>
    <n v="6983.0922857142796"/>
    <n v="9"/>
    <n v="9"/>
    <n v="0"/>
    <x v="0"/>
    <x v="5"/>
  </r>
  <r>
    <n v="2200000278"/>
    <s v="Seal Rotating Face Upper  PN-RJ09AK11DDUC"/>
    <x v="2"/>
    <s v="Sundyne International S.A."/>
    <n v="6953.68"/>
    <n v="1"/>
    <n v="1"/>
    <n v="0"/>
    <x v="0"/>
    <x v="2"/>
  </r>
  <r>
    <n v="1000100351"/>
    <s v="SKF Product 6228/C4"/>
    <x v="3"/>
    <s v="SKF Eurotrade AB"/>
    <n v="6939.2864099999997"/>
    <n v="7"/>
    <n v="7"/>
    <n v="0"/>
    <x v="0"/>
    <x v="4"/>
  </r>
  <r>
    <n v="1000106111"/>
    <s v="P&amp;F SMART TRANSMITTER SUPPLY; FIâ€PFHâ€NS0137â€R"/>
    <x v="3"/>
    <s v="Pepperl+Fuchs (ME) FZE"/>
    <n v="6918.78"/>
    <n v="5"/>
    <n v="5"/>
    <n v="0"/>
    <x v="0"/>
    <x v="5"/>
  </r>
  <r>
    <n v="1000021249"/>
    <s v="SKF BEARING - 22220 EK/C3"/>
    <x v="3"/>
    <s v="SKF Eurotrade AB"/>
    <n v="6908.2421666666596"/>
    <n v="13"/>
    <n v="13"/>
    <n v="0"/>
    <x v="0"/>
    <x v="4"/>
  </r>
  <r>
    <n v="1000095835"/>
    <s v="Weidmueller,Product:1037300000,Part No: WPE 7"/>
    <x v="3"/>
    <s v="Weidmuller Middle East (FZE)"/>
    <n v="6887.5619999999999"/>
    <n v="121"/>
    <n v="121"/>
    <n v="0"/>
    <x v="0"/>
    <x v="3"/>
  </r>
  <r>
    <n v="1000010239"/>
    <s v="P+F, Rotation Speed Monitor  Model No. KFA5-D"/>
    <x v="3"/>
    <s v="Ralph Messring GmbH"/>
    <n v="6887.49"/>
    <n v="7"/>
    <n v="7"/>
    <n v="0"/>
    <x v="0"/>
    <x v="5"/>
  </r>
  <r>
    <n v="1000020866"/>
    <s v="SKF BEARING - 7315 BECBM"/>
    <x v="3"/>
    <s v="Universal Bearings Company"/>
    <n v="6837.0041379310296"/>
    <n v="9"/>
    <n v="9"/>
    <n v="0"/>
    <x v="0"/>
    <x v="4"/>
  </r>
  <r>
    <n v="1000020129"/>
    <s v="SKF BEARING - 3317 A/C3"/>
    <x v="3"/>
    <s v="SKF Eurotrade AB"/>
    <n v="6790.28"/>
    <n v="7"/>
    <n v="7"/>
    <n v="0"/>
    <x v="0"/>
    <x v="4"/>
  </r>
  <r>
    <n v="1000102239"/>
    <s v="SKF BEARINGS - 24130 CC/W33"/>
    <x v="3"/>
    <s v="SKF Eurotrade AB"/>
    <n v="6777.34"/>
    <n v="3"/>
    <n v="3"/>
    <n v="0"/>
    <x v="0"/>
    <x v="4"/>
  </r>
  <r>
    <n v="1000098618"/>
    <s v="P+F;SMART TRANSMITTER SUPPLY; PN:KFD2-STC5-1."/>
    <x v="3"/>
    <s v="Pepperl+Fuchs (ME) FZE"/>
    <n v="6774.16217902892"/>
    <n v="9"/>
    <n v="9"/>
    <n v="0"/>
    <x v="0"/>
    <x v="5"/>
  </r>
  <r>
    <n v="1000020084"/>
    <s v="SKF BEARING - 3306 A/C3"/>
    <x v="3"/>
    <s v="SKF Eurotrade AB"/>
    <n v="6769.9706360823402"/>
    <n v="50"/>
    <n v="50"/>
    <n v="0"/>
    <x v="4"/>
    <x v="4"/>
  </r>
  <r>
    <n v="1000100307"/>
    <s v="SKF Product 29326 E"/>
    <x v="3"/>
    <s v="SKF Eurotrade AB"/>
    <n v="6766.9475000000002"/>
    <n v="4"/>
    <n v="4"/>
    <n v="0"/>
    <x v="0"/>
    <x v="4"/>
  </r>
  <r>
    <n v="1000097812"/>
    <s v="P+F Inductive Sensor;NJ4-30GM-N-200; P/N:7013"/>
    <x v="3"/>
    <s v="Pepperl+Fuchs (ME) FZE"/>
    <n v="6755.9691666666604"/>
    <n v="3"/>
    <n v="3"/>
    <n v="0"/>
    <x v="0"/>
    <x v="5"/>
  </r>
  <r>
    <n v="1000017188"/>
    <s v="Weidmuller P/N 294360000   Model No. AKZ 4"/>
    <x v="3"/>
    <s v="Weidmuller Middle East (FZE)"/>
    <n v="6754.1039087991303"/>
    <n v="3444"/>
    <n v="3444"/>
    <n v="0"/>
    <x v="0"/>
    <x v="3"/>
  </r>
  <r>
    <n v="1000100342"/>
    <s v="SKF Product 2311 K"/>
    <x v="3"/>
    <s v="SKF Eurotrade AB"/>
    <n v="6682.5424999999996"/>
    <n v="25"/>
    <n v="25"/>
    <n v="0"/>
    <x v="0"/>
    <x v="4"/>
  </r>
  <r>
    <n v="1000095508"/>
    <s v="Weidmuller;Converter;Model:PRO DCDC 480W 24V "/>
    <x v="3"/>
    <s v="Weidmuller Middle East (FZE)"/>
    <n v="6652.49981818181"/>
    <n v="10"/>
    <n v="10"/>
    <n v="0"/>
    <x v="0"/>
    <x v="3"/>
  </r>
  <r>
    <n v="1000021133"/>
    <s v="SKF BEARING - NU 317 ECP"/>
    <x v="3"/>
    <s v="SKF Eurotrade AB"/>
    <n v="6652.4"/>
    <n v="14"/>
    <n v="14"/>
    <n v="0"/>
    <x v="0"/>
    <x v="4"/>
  </r>
  <r>
    <n v="1000021138"/>
    <s v="SKF BEARING - NU 318 ECM/C3"/>
    <x v="3"/>
    <s v="SKF Eurotrade AB"/>
    <n v="6632.0022222222196"/>
    <n v="7"/>
    <n v="7"/>
    <n v="0"/>
    <x v="0"/>
    <x v="4"/>
  </r>
  <r>
    <n v="1000098195"/>
    <s v="P+F, Transmitter power supply;KFD2-CRG2-Ex1.D"/>
    <x v="3"/>
    <s v="Pepperl+Fuchs (ME) FZE"/>
    <n v="6626.97"/>
    <n v="5"/>
    <n v="5"/>
    <n v="0"/>
    <x v="0"/>
    <x v="5"/>
  </r>
  <r>
    <n v="2500001368"/>
    <s v="ELEMENT, SEPERATOR,2016TS HOR PN 10454350"/>
    <x v="0"/>
    <s v="ELGI Gulf FZE"/>
    <n v="6562.04"/>
    <n v="2"/>
    <n v="2"/>
    <n v="0"/>
    <x v="0"/>
    <x v="0"/>
  </r>
  <r>
    <n v="2500008251"/>
    <s v="AIR FILTER PN B005700770015"/>
    <x v="0"/>
    <s v="ELGI Gulf FZE"/>
    <n v="6559.1338253985195"/>
    <n v="18"/>
    <n v="18"/>
    <n v="0"/>
    <x v="0"/>
    <x v="0"/>
  </r>
  <r>
    <n v="1000020533"/>
    <s v="SKF BEARING - 6217-2Z/C3"/>
    <x v="3"/>
    <s v="Universal Bearings Company"/>
    <n v="6556.15025441949"/>
    <n v="37"/>
    <n v="37"/>
    <n v="0"/>
    <x v="0"/>
    <x v="4"/>
  </r>
  <r>
    <n v="1000103043"/>
    <s v="SKF BEARING; 22226 EK/C3"/>
    <x v="3"/>
    <s v="SKF Eurotrade AB"/>
    <n v="6534.35"/>
    <n v="5"/>
    <n v="5"/>
    <n v="0"/>
    <x v="0"/>
    <x v="4"/>
  </r>
  <r>
    <n v="1000020513"/>
    <s v="SKF BEARING - 6214/C4"/>
    <x v="3"/>
    <s v="SKF Eurotrade AB"/>
    <n v="6453.9340196078401"/>
    <n v="47"/>
    <n v="47"/>
    <n v="0"/>
    <x v="0"/>
    <x v="4"/>
  </r>
  <r>
    <n v="1000096267"/>
    <s v="1 kv size 10AWG-2AWG cable CSA 35mm2 Stud ter"/>
    <x v="3"/>
    <s v="Weidmuller Middle East (FZE)"/>
    <n v="6436.7532000000001"/>
    <n v="372"/>
    <n v="372"/>
    <n v="0"/>
    <x v="0"/>
    <x v="3"/>
  </r>
  <r>
    <n v="2700000093"/>
    <s v="O-RING 14-046UK"/>
    <x v="2"/>
    <s v="Sundyne International S.A."/>
    <n v="6416.6777777777697"/>
    <n v="5"/>
    <n v="5"/>
    <n v="0"/>
    <x v="0"/>
    <x v="2"/>
  </r>
  <r>
    <n v="1000105023"/>
    <s v="P&amp;F Smart Current Drive; KCD2-SCD-1; P/N: 321"/>
    <x v="3"/>
    <s v="Pepperl+Fuchs (ME) FZE"/>
    <n v="6406.51"/>
    <n v="12"/>
    <n v="12"/>
    <n v="0"/>
    <x v="0"/>
    <x v="5"/>
  </r>
  <r>
    <n v="2100006129"/>
    <s v="MATL:1000698576 KIT; H4-GEARBOX TYPE,FOR REPA"/>
    <x v="2"/>
    <s v="SPX MIDDLE EAST FZE"/>
    <n v="6391.32"/>
    <n v="2"/>
    <n v="2"/>
    <n v="0"/>
    <x v="0"/>
    <x v="1"/>
  </r>
  <r>
    <n v="1000098726"/>
    <s v="SKF BEARING -QJ 311 MA"/>
    <x v="3"/>
    <s v="SKF Eurotrade AB"/>
    <n v="6381.9347142857096"/>
    <n v="18"/>
    <n v="18"/>
    <n v="0"/>
    <x v="0"/>
    <x v="4"/>
  </r>
  <r>
    <n v="1000103750"/>
    <s v="Weidmuller Product;PRO BAS 240W 24V 10A;PN:28"/>
    <x v="3"/>
    <s v="Weidmuller Middle East (FZE)"/>
    <n v="6336.3824999999997"/>
    <n v="30"/>
    <n v="30"/>
    <n v="0"/>
    <x v="0"/>
    <x v="3"/>
  </r>
  <r>
    <n v="1000106118"/>
    <s v="P&amp;F Frequency Converter with Direction and Sy"/>
    <x v="3"/>
    <s v="Pepperl+Fuchs (ME) FZE"/>
    <n v="6326.99"/>
    <n v="5"/>
    <n v="5"/>
    <n v="0"/>
    <x v="0"/>
    <x v="5"/>
  </r>
  <r>
    <n v="2100006169"/>
    <s v="MATL:1000041189 TRAP, STEAM;INVRTD  BCKT,3/4 "/>
    <x v="1"/>
    <s v="Armstrong International SA"/>
    <n v="6284.24"/>
    <n v="6"/>
    <n v="6"/>
    <n v="0"/>
    <x v="0"/>
    <x v="1"/>
  </r>
  <r>
    <n v="1000103692"/>
    <s v="Pepperl+Fuchs Inductive Sensor; Model No:NJ40"/>
    <x v="3"/>
    <s v="Pepperl+Fuchs (ME) FZE"/>
    <n v="6273"/>
    <n v="10"/>
    <n v="10"/>
    <n v="0"/>
    <x v="0"/>
    <x v="5"/>
  </r>
  <r>
    <n v="2500006879"/>
    <s v="SPIN ON FILTER ELEMENT 378.5 M PN B679102"/>
    <x v="0"/>
    <s v="ELGI Gulf FZE"/>
    <n v="6244.9817263051"/>
    <n v="15"/>
    <n v="15"/>
    <n v="0"/>
    <x v="0"/>
    <x v="0"/>
  </r>
  <r>
    <n v="1000020701"/>
    <s v="SKF BEARING - 6312-2Z/C3"/>
    <x v="3"/>
    <s v="Universal Bearings Company"/>
    <n v="6238.958984375"/>
    <n v="65"/>
    <n v="65"/>
    <n v="0"/>
    <x v="0"/>
    <x v="4"/>
  </r>
  <r>
    <n v="1000092074"/>
    <s v="Wide Body Sensor, FU20-VP-T1-NPT/FPS"/>
    <x v="5"/>
    <s v="Yokogawa Saudi Arabia Company"/>
    <n v="6170.2124999999996"/>
    <n v="5"/>
    <n v="5"/>
    <n v="0"/>
    <x v="0"/>
    <x v="6"/>
  </r>
  <r>
    <n v="1000099265"/>
    <s v="SKF BEARING - 29412 E"/>
    <x v="3"/>
    <s v="SKF Eurotrade AB"/>
    <n v="6162.2882440476096"/>
    <n v="6"/>
    <n v="6"/>
    <n v="0"/>
    <x v="0"/>
    <x v="4"/>
  </r>
  <r>
    <n v="1000106804"/>
    <s v="SKF Product; 6322/C3VL0241"/>
    <x v="3"/>
    <s v="SKF Eurotrade AB"/>
    <n v="6150.52"/>
    <n v="2"/>
    <n v="2"/>
    <n v="0"/>
    <x v="0"/>
    <x v="4"/>
  </r>
  <r>
    <n v="1000100374"/>
    <s v="SKF Product NU 228 ECJ/C3"/>
    <x v="3"/>
    <s v="SKF Eurotrade AB"/>
    <n v="6116.17"/>
    <n v="5"/>
    <n v="5"/>
    <n v="0"/>
    <x v="0"/>
    <x v="4"/>
  </r>
  <r>
    <n v="1000106120"/>
    <s v="P&amp;F Standstill and Rotational Direction; KFD2"/>
    <x v="3"/>
    <s v="Pepperl+Fuchs (ME) FZE"/>
    <n v="6113.26"/>
    <n v="10"/>
    <n v="10"/>
    <n v="0"/>
    <x v="0"/>
    <x v="5"/>
  </r>
  <r>
    <n v="1000106534"/>
    <s v="Weidmuller Product; WSI 4/2/LD 10-36V AC/DC; "/>
    <x v="3"/>
    <s v="Weidmuller Middle East (FZE)"/>
    <n v="6098.4"/>
    <n v="300"/>
    <n v="300"/>
    <n v="0"/>
    <x v="0"/>
    <x v="3"/>
  </r>
  <r>
    <n v="2500004247"/>
    <s v="NEURON II CONTROLLER PN 00897701N"/>
    <x v="0"/>
    <s v="ELGI Gulf FZE"/>
    <n v="6075.6483333333299"/>
    <n v="2"/>
    <n v="2"/>
    <n v="0"/>
    <x v="0"/>
    <x v="0"/>
  </r>
  <r>
    <n v="2500008360"/>
    <s v="Air filter element P N B004700770028"/>
    <x v="0"/>
    <s v="ELGI Gulf FZE"/>
    <n v="6056.5734285714198"/>
    <n v="7"/>
    <n v="7"/>
    <n v="0"/>
    <x v="0"/>
    <x v="0"/>
  </r>
  <r>
    <n v="1000021265"/>
    <s v="SKF BEARING - 22228 CCK/C3W33"/>
    <x v="3"/>
    <s v="SKF Eurotrade AB"/>
    <n v="6036.25"/>
    <n v="5"/>
    <n v="5"/>
    <n v="0"/>
    <x v="0"/>
    <x v="4"/>
  </r>
  <r>
    <n v="1000095722"/>
    <s v="Multifunction Calibrator,  Model: CA550"/>
    <x v="5"/>
    <s v="Yokogawa Middle East &amp; Africa B.S.C. Â©"/>
    <n v="6000.49"/>
    <n v="1"/>
    <n v="1"/>
    <n v="0"/>
    <x v="0"/>
    <x v="6"/>
  </r>
  <r>
    <n v="1000102975"/>
    <s v="SKF PRODUCT; 7010 ACD/P4ADBA"/>
    <x v="3"/>
    <s v="SKF Eurotrade AB"/>
    <n v="5980.35"/>
    <n v="7"/>
    <n v="7"/>
    <n v="0"/>
    <x v="0"/>
    <x v="4"/>
  </r>
  <r>
    <n v="2500008442"/>
    <s v="OIL FILTER ELEMENT 25 LPM NEW P N X018283"/>
    <x v="0"/>
    <s v="ELGI Gulf FZE"/>
    <n v="5957.7186938161703"/>
    <n v="60"/>
    <n v="60"/>
    <n v="0"/>
    <x v="0"/>
    <x v="0"/>
  </r>
  <r>
    <n v="1000020838"/>
    <s v="SKF BEARING - 7308 BECBM"/>
    <x v="3"/>
    <s v="SKF Eurotrade AB"/>
    <n v="5891.5207510204"/>
    <n v="32"/>
    <n v="32"/>
    <n v="0"/>
    <x v="0"/>
    <x v="4"/>
  </r>
  <r>
    <n v="1000021092"/>
    <s v="SKF BEARING - NU 309 ECJ"/>
    <x v="3"/>
    <s v="SKF Eurotrade AB"/>
    <n v="5853.6208477236996"/>
    <n v="41"/>
    <n v="41"/>
    <n v="0"/>
    <x v="0"/>
    <x v="4"/>
  </r>
  <r>
    <n v="1000099106"/>
    <s v="SKF BEARING;6236 M/C3"/>
    <x v="3"/>
    <s v="SKF Eurotrade AB"/>
    <n v="5845.4477666666598"/>
    <n v="2"/>
    <n v="2"/>
    <n v="0"/>
    <x v="0"/>
    <x v="4"/>
  </r>
  <r>
    <n v="1000021271"/>
    <s v="SKF BEARING - 22311 E"/>
    <x v="3"/>
    <s v="SKF Eurotrade AB"/>
    <n v="5833.31"/>
    <n v="23"/>
    <n v="23"/>
    <n v="0"/>
    <x v="0"/>
    <x v="4"/>
  </r>
  <r>
    <n v="1000102433"/>
    <s v="SKF Product; 6413"/>
    <x v="3"/>
    <s v="SKF Eurotrade AB"/>
    <n v="5810.58"/>
    <n v="15"/>
    <n v="15"/>
    <n v="0"/>
    <x v="0"/>
    <x v="4"/>
  </r>
  <r>
    <n v="1000020827"/>
    <s v="SKF BEARING - 7224 BCBM"/>
    <x v="3"/>
    <s v="SKF Eurotrade AB"/>
    <n v="5789.625"/>
    <n v="5"/>
    <n v="5"/>
    <n v="0"/>
    <x v="0"/>
    <x v="4"/>
  </r>
  <r>
    <n v="1000020567"/>
    <s v="SKF BEARING - 6221/C3"/>
    <x v="3"/>
    <s v="SKF Eurotrade AB"/>
    <n v="5784.8254047619002"/>
    <n v="16"/>
    <n v="16"/>
    <n v="0"/>
    <x v="0"/>
    <x v="4"/>
  </r>
  <r>
    <n v="1000098623"/>
    <s v="Weidmuller;PN:8950920000;TOS 24VDC/48VDC 0,5A"/>
    <x v="3"/>
    <s v="Weidmuller Middle East (FZE)"/>
    <n v="5778.3646415094299"/>
    <n v="206"/>
    <n v="206"/>
    <n v="0"/>
    <x v="0"/>
    <x v="3"/>
  </r>
  <r>
    <n v="1000021128"/>
    <s v="SKF BEARING - NU 316 ECJ/C3"/>
    <x v="3"/>
    <s v="SKF Eurotrade AB"/>
    <n v="5774.0443583333299"/>
    <n v="13"/>
    <n v="13"/>
    <n v="0"/>
    <x v="0"/>
    <x v="4"/>
  </r>
  <r>
    <n v="2500007363"/>
    <s v="AIR OIL SEPERATOR 10S PN B676103"/>
    <x v="0"/>
    <s v="ELGI Gulf FZE"/>
    <n v="5759.80011519046"/>
    <n v="27"/>
    <n v="27"/>
    <n v="0"/>
    <x v="0"/>
    <x v="0"/>
  </r>
  <r>
    <n v="1000021207"/>
    <s v="SKF BEARING - 22211 E"/>
    <x v="3"/>
    <s v="SKF Eurotrade AB"/>
    <n v="5717.4779545454503"/>
    <n v="41"/>
    <n v="41"/>
    <n v="0"/>
    <x v="0"/>
    <x v="4"/>
  </r>
  <r>
    <n v="1000020647"/>
    <s v="SKF BEARING - 6307/C3"/>
    <x v="3"/>
    <s v="Universal Bearings Company"/>
    <n v="5710.6893571570799"/>
    <n v="254"/>
    <n v="254"/>
    <n v="0"/>
    <x v="0"/>
    <x v="4"/>
  </r>
  <r>
    <n v="1000093680"/>
    <s v="Weidmuller; Accessories Cross Connector; P/N:"/>
    <x v="3"/>
    <s v="Weidmuller Middle East (FZE)"/>
    <n v="5647.6321090423398"/>
    <n v="860"/>
    <n v="860"/>
    <n v="0"/>
    <x v="0"/>
    <x v="3"/>
  </r>
  <r>
    <n v="1000094899"/>
    <s v="Counter Electrode, K9332MJ"/>
    <x v="5"/>
    <s v="Yokogawa Middle East &amp; Africa B.S.C. Â©"/>
    <n v="5628"/>
    <n v="2"/>
    <n v="2"/>
    <n v="0"/>
    <x v="0"/>
    <x v="6"/>
  </r>
  <r>
    <n v="2500001100"/>
    <s v="ELEMENT SEPARATOR PN 10350060"/>
    <x v="0"/>
    <s v="ELGI Gulf FZE"/>
    <n v="5624.1428571428496"/>
    <n v="6"/>
    <n v="6"/>
    <n v="0"/>
    <x v="0"/>
    <x v="0"/>
  </r>
  <r>
    <n v="1000104797"/>
    <s v="SKF Product; UCF 316"/>
    <x v="3"/>
    <s v="SKF Eurotrade AB"/>
    <n v="5622.7924999999996"/>
    <n v="11"/>
    <n v="11"/>
    <n v="0"/>
    <x v="0"/>
    <x v="4"/>
  </r>
  <r>
    <n v="1000020717"/>
    <s v="SKF BEARING - 6314-Z/C3"/>
    <x v="3"/>
    <s v="SKF Eurotrade AB"/>
    <n v="5613.5096774193498"/>
    <n v="20"/>
    <n v="20"/>
    <n v="0"/>
    <x v="0"/>
    <x v="4"/>
  </r>
  <r>
    <n v="1000020499"/>
    <s v="SKF BEARING - 6212-2Z/C3"/>
    <x v="3"/>
    <s v="Universal Bearings Company"/>
    <n v="5607.3116437148101"/>
    <n v="108"/>
    <n v="108"/>
    <n v="0"/>
    <x v="0"/>
    <x v="4"/>
  </r>
  <r>
    <n v="1000096140"/>
    <s v="P+F Transmitter Power Supply, KFD2-STC4-EX1"/>
    <x v="3"/>
    <s v="Pepperl+Fuchs (ME) FZE"/>
    <n v="5585.3742857142797"/>
    <n v="6"/>
    <n v="6"/>
    <n v="0"/>
    <x v="0"/>
    <x v="5"/>
  </r>
  <r>
    <n v="1000100015"/>
    <s v="Stud Terminal WFF 120/AH Part No: 1029500000"/>
    <x v="3"/>
    <s v="Weidmuller Middle East (FZE)"/>
    <n v="5584.5766666666595"/>
    <n v="140"/>
    <n v="140"/>
    <n v="0"/>
    <x v="0"/>
    <x v="3"/>
  </r>
  <r>
    <n v="1000105791"/>
    <s v="Serial Communication Module, NFLR121-S50"/>
    <x v="5"/>
    <s v="Yokogawa Middle East &amp; Africa B.S.C. Â©"/>
    <n v="5573.7"/>
    <n v="1"/>
    <n v="1"/>
    <n v="0"/>
    <x v="0"/>
    <x v="6"/>
  </r>
  <r>
    <n v="2500005914"/>
    <s v="AIR OIL SEPARATOR.90-110Kw PN B006700770023"/>
    <x v="0"/>
    <s v="ELGI Gulf FZE"/>
    <n v="5541.7987499999999"/>
    <n v="3"/>
    <n v="3"/>
    <n v="0"/>
    <x v="0"/>
    <x v="0"/>
  </r>
  <r>
    <n v="1000095825"/>
    <s v="Weidmueller,Product:1051960000,Part No: WQV 4"/>
    <x v="3"/>
    <s v="Weidmuller Middle East (FZE)"/>
    <n v="5540.8147222179196"/>
    <n v="2700"/>
    <n v="2700"/>
    <n v="0"/>
    <x v="0"/>
    <x v="3"/>
  </r>
  <r>
    <n v="1000020681"/>
    <s v="SKF BEARING - 6310-2RS1/C3"/>
    <x v="3"/>
    <s v="SKF Eurotrade AB"/>
    <n v="5521.4"/>
    <n v="95"/>
    <n v="95"/>
    <n v="0"/>
    <x v="0"/>
    <x v="4"/>
  </r>
  <r>
    <n v="1000094725"/>
    <s v="SKF PRODUCTS :  Model No.FY 35 TF  Matl#:2034"/>
    <x v="3"/>
    <s v="SKF Eurotrade AB"/>
    <n v="5505"/>
    <n v="80"/>
    <n v="80"/>
    <n v="0"/>
    <x v="0"/>
    <x v="4"/>
  </r>
  <r>
    <n v="1000102218"/>
    <s v="SKF BEARINGS - 23136 CCK/W33"/>
    <x v="3"/>
    <s v="SKF Eurotrade AB"/>
    <n v="5495.16"/>
    <n v="2"/>
    <n v="2"/>
    <n v="0"/>
    <x v="0"/>
    <x v="4"/>
  </r>
  <r>
    <n v="1000020121"/>
    <s v="SKF BEARING - 3313 A"/>
    <x v="3"/>
    <s v="SKF Eurotrade AB"/>
    <n v="5477.28"/>
    <n v="12"/>
    <n v="12"/>
    <n v="0"/>
    <x v="0"/>
    <x v="4"/>
  </r>
  <r>
    <n v="1000103441"/>
    <s v="Pepperl &amp; Fuchs Product; NJ2-PD-E02-2.062-V95"/>
    <x v="3"/>
    <s v="Pepperl+Fuchs (ME) FZE"/>
    <n v="5469.9744000000001"/>
    <n v="4"/>
    <n v="4"/>
    <n v="0"/>
    <x v="0"/>
    <x v="5"/>
  </r>
  <r>
    <n v="1000096266"/>
    <s v="1 kv size 10AWG cable CSA 700mm2 Stud termina"/>
    <x v="3"/>
    <s v="Weidmuller Middle East (FZE)"/>
    <n v="5450.5204045964902"/>
    <n v="245"/>
    <n v="245"/>
    <n v="0"/>
    <x v="0"/>
    <x v="3"/>
  </r>
  <r>
    <n v="1000110792"/>
    <s v="EFSC12 EFSC1#22NAS2IR000FE Control and signal"/>
    <x v="3"/>
    <s v="Bartec Middle East LLC"/>
    <n v="5439.68"/>
    <n v="8"/>
    <n v="14"/>
    <n v="-6"/>
    <x v="2"/>
    <x v="7"/>
  </r>
  <r>
    <n v="1000106113"/>
    <s v="P&amp;F Compact Fieldbus Power Hub Motherboard wi"/>
    <x v="3"/>
    <s v="Pepperl+Fuchs (ME) FZE"/>
    <n v="5416.93"/>
    <n v="2"/>
    <n v="2"/>
    <n v="0"/>
    <x v="0"/>
    <x v="5"/>
  </r>
  <r>
    <n v="1000093780"/>
    <s v="SKF BEARING NUT : Model No. KM 6"/>
    <x v="3"/>
    <s v="SKF Eurotrade AB"/>
    <n v="5389.8456238180197"/>
    <n v="425"/>
    <n v="425"/>
    <n v="0"/>
    <x v="0"/>
    <x v="4"/>
  </r>
  <r>
    <n v="1000099489"/>
    <s v="P+F, Potemtiometer Converter  Model No. KFD2-"/>
    <x v="3"/>
    <s v="Pepperl+Fuchs (ME) FZE"/>
    <n v="5379.08"/>
    <n v="4"/>
    <n v="4"/>
    <n v="0"/>
    <x v="0"/>
    <x v="5"/>
  </r>
  <r>
    <n v="1000020737"/>
    <s v="SKF BEARING - 6317-2Z"/>
    <x v="3"/>
    <s v="SKF Eurotrade AB"/>
    <n v="5368.1094444444398"/>
    <n v="14"/>
    <n v="14"/>
    <n v="0"/>
    <x v="0"/>
    <x v="4"/>
  </r>
  <r>
    <n v="1000100340"/>
    <s v="SKF Product 21311 E"/>
    <x v="3"/>
    <s v="SKF Eurotrade AB"/>
    <n v="5344.0574999999999"/>
    <n v="25"/>
    <n v="25"/>
    <n v="0"/>
    <x v="0"/>
    <x v="4"/>
  </r>
  <r>
    <n v="1000010075"/>
    <s v="Pepperl+Fuchs Switch Amplifier (KFD2-SR2-EX2."/>
    <x v="3"/>
    <s v="Ralph Messring GmbH"/>
    <n v="5325.6556818181798"/>
    <n v="7"/>
    <n v="7"/>
    <n v="0"/>
    <x v="0"/>
    <x v="5"/>
  </r>
  <r>
    <n v="1000098744"/>
    <s v="SKF BEARING -NU 1044 ML"/>
    <x v="3"/>
    <s v="SKF Eurotrade AB"/>
    <n v="5297.68"/>
    <n v="2"/>
    <n v="2"/>
    <n v="0"/>
    <x v="0"/>
    <x v="4"/>
  </r>
  <r>
    <n v="1000106114"/>
    <s v="P&amp;F SWITCH AMPLIFIER; KCD2-SOT-EX1.LB; P/N: 2"/>
    <x v="3"/>
    <s v="Pepperl+Fuchs (ME) FZE"/>
    <n v="5294.61"/>
    <n v="10"/>
    <n v="10"/>
    <n v="0"/>
    <x v="0"/>
    <x v="5"/>
  </r>
  <r>
    <n v="1000020692"/>
    <s v="SKF BEARING - 6311-2Z/C3"/>
    <x v="3"/>
    <s v="Universal Bearings Company"/>
    <n v="5285.7133415503704"/>
    <n v="72"/>
    <n v="72"/>
    <n v="0"/>
    <x v="0"/>
    <x v="4"/>
  </r>
  <r>
    <n v="1000098727"/>
    <s v="SKF BEARING -SNL 513-611"/>
    <x v="3"/>
    <s v="SKF Eurotrade AB"/>
    <n v="5276.277"/>
    <n v="26"/>
    <n v="26"/>
    <n v="0"/>
    <x v="0"/>
    <x v="4"/>
  </r>
  <r>
    <n v="1000093677"/>
    <s v="Weidmuller; Tools; P/N: 1445070000   Model No"/>
    <x v="3"/>
    <s v="Weidmuller Middle East (FZE)"/>
    <n v="5267.5"/>
    <n v="10"/>
    <n v="10"/>
    <n v="0"/>
    <x v="0"/>
    <x v="3"/>
  </r>
  <r>
    <n v="1000100427"/>
    <s v="SKF Product 22232 CCK/C3W33"/>
    <x v="3"/>
    <s v="SKF Eurotrade AB"/>
    <n v="5254.2"/>
    <n v="3"/>
    <n v="3"/>
    <n v="0"/>
    <x v="0"/>
    <x v="4"/>
  </r>
  <r>
    <n v="1000020489"/>
    <s v="SKF BEARING - 6211/C3"/>
    <x v="3"/>
    <s v="SKF Eurotrade AB"/>
    <n v="5240.8417764987998"/>
    <n v="128"/>
    <n v="128"/>
    <n v="0"/>
    <x v="0"/>
    <x v="4"/>
  </r>
  <r>
    <n v="1000094953"/>
    <s v="Weidmuller; W Series End Bracket;  P/N: 10612"/>
    <x v="3"/>
    <s v="Weidmuller Middle East (FZE)"/>
    <n v="5229.4336718415097"/>
    <n v="3227"/>
    <n v="3227"/>
    <n v="0"/>
    <x v="0"/>
    <x v="3"/>
  </r>
  <r>
    <n v="1000099688"/>
    <s v="P+F, Inductive Sensor Model No. NJ10-30GK-SN;"/>
    <x v="3"/>
    <s v="Pepperl+Fuchs (ME) FZE"/>
    <n v="5183.6400000000003"/>
    <n v="14"/>
    <n v="14"/>
    <n v="0"/>
    <x v="0"/>
    <x v="5"/>
  </r>
  <r>
    <n v="1000109708"/>
    <s v="Eclipse GWR Level Transmitter;706-512A-012  P"/>
    <x v="5"/>
    <s v="AMETEK Magnetrol USA, LLC"/>
    <n v="5165.55"/>
    <n v="1"/>
    <n v="1"/>
    <n v="0"/>
    <x v="0"/>
    <x v="6"/>
  </r>
  <r>
    <n v="1000098511"/>
    <s v="SKF BEARING-23126 CC/C3W33"/>
    <x v="3"/>
    <s v="SKF Eurotrade AB"/>
    <n v="5152.0600000000004"/>
    <n v="5"/>
    <n v="5"/>
    <n v="0"/>
    <x v="0"/>
    <x v="4"/>
  </r>
  <r>
    <n v="2100005754"/>
    <s v="MATL:1061628  HOSE,FLEXIBLE,42&quot;END TO END,FEM"/>
    <x v="2"/>
    <s v="SPX MIDDLE EAST FZE"/>
    <n v="5148"/>
    <n v="4"/>
    <n v="4"/>
    <n v="0"/>
    <x v="0"/>
    <x v="1"/>
  </r>
  <r>
    <n v="2500008346"/>
    <s v="COUPLING ELEMENT B005400900018"/>
    <x v="0"/>
    <s v="ELGI Gulf FZE"/>
    <n v="5145"/>
    <n v="4"/>
    <n v="4"/>
    <n v="0"/>
    <x v="0"/>
    <x v="0"/>
  </r>
  <r>
    <n v="1000020518"/>
    <s v="SKF BEARING - 6215"/>
    <x v="3"/>
    <s v="SKF Eurotrade AB"/>
    <n v="5138.5896774193498"/>
    <n v="44"/>
    <n v="44"/>
    <n v="0"/>
    <x v="4"/>
    <x v="4"/>
  </r>
  <r>
    <n v="1000021314"/>
    <s v="SKF BEARING - 22328 CC/C3W33"/>
    <x v="3"/>
    <s v="SKF Eurotrade AB"/>
    <n v="5135.96"/>
    <n v="2"/>
    <n v="2"/>
    <n v="0"/>
    <x v="0"/>
    <x v="4"/>
  </r>
  <r>
    <n v="1000020750"/>
    <s v="SKF BEARING - 6320/C3VL0241"/>
    <x v="3"/>
    <s v="SKF Eurotrade AB"/>
    <n v="5132.3266666666595"/>
    <n v="2"/>
    <n v="2"/>
    <n v="0"/>
    <x v="0"/>
    <x v="4"/>
  </r>
  <r>
    <n v="1000021142"/>
    <s v="SKF BEARING - NU 319 ECJ/C3"/>
    <x v="3"/>
    <s v="SKF Eurotrade AB"/>
    <n v="5124.9847619047596"/>
    <n v="8"/>
    <n v="8"/>
    <n v="0"/>
    <x v="0"/>
    <x v="4"/>
  </r>
  <r>
    <n v="2200003122"/>
    <s v="MAT NO. 20061241, RING, NECK, PN-  C01019734"/>
    <x v="2"/>
    <s v="HMD Seal/Less Pumps Ltd."/>
    <n v="5108.5"/>
    <n v="1"/>
    <n v="1"/>
    <n v="0"/>
    <x v="0"/>
    <x v="1"/>
  </r>
  <r>
    <n v="1000098604"/>
    <s v="SKF BEARING -7311 BEP"/>
    <x v="3"/>
    <s v="SKF Eurotrade AB"/>
    <n v="5103.6497489919302"/>
    <n v="29"/>
    <n v="29"/>
    <n v="0"/>
    <x v="0"/>
    <x v="4"/>
  </r>
  <r>
    <n v="1000020553"/>
    <s v="SKF BEARING - 6220-2Z/C3"/>
    <x v="3"/>
    <s v="Universal Bearings Company"/>
    <n v="5092.88"/>
    <n v="15"/>
    <n v="15"/>
    <n v="0"/>
    <x v="0"/>
    <x v="4"/>
  </r>
  <r>
    <n v="1000101041"/>
    <s v="Weidmuller; Terminal Markers; Model No. DEK 5"/>
    <x v="3"/>
    <s v="Weidmuller Middle East (FZE)"/>
    <n v="5082.9416000000001"/>
    <n v="53600"/>
    <n v="53600"/>
    <n v="0"/>
    <x v="0"/>
    <x v="3"/>
  </r>
  <r>
    <n v="1000021400"/>
    <s v="SKF BEARING - 6232 M"/>
    <x v="3"/>
    <s v="SKF Eurotrade AB"/>
    <n v="5073.37"/>
    <n v="3"/>
    <n v="3"/>
    <n v="0"/>
    <x v="0"/>
    <x v="4"/>
  </r>
  <r>
    <n v="1000020687"/>
    <s v="SKF BEARING - 6311"/>
    <x v="3"/>
    <s v="SKF Eurotrade AB"/>
    <n v="5035.8931812884503"/>
    <n v="74"/>
    <n v="74"/>
    <n v="0"/>
    <x v="0"/>
    <x v="4"/>
  </r>
  <r>
    <n v="2200000293"/>
    <s v="Seal Repair Kit  PN-RK01SE60RZ1UC1A"/>
    <x v="2"/>
    <s v="Sundyne International S.A."/>
    <n v="5026.82"/>
    <n v="1"/>
    <n v="1"/>
    <n v="0"/>
    <x v="0"/>
    <x v="2"/>
  </r>
  <r>
    <n v="1000098715"/>
    <s v="SKF BEARING -NU 322 ECML/C3B20"/>
    <x v="3"/>
    <s v="SKF Eurotrade AB"/>
    <n v="5013.79"/>
    <n v="3"/>
    <n v="3"/>
    <n v="0"/>
    <x v="0"/>
    <x v="4"/>
  </r>
  <r>
    <n v="1000098466"/>
    <s v="SKF BEARING-22308 E"/>
    <x v="3"/>
    <s v="SKF Eurotrade AB"/>
    <n v="5000.7375000000002"/>
    <n v="27"/>
    <n v="27"/>
    <n v="0"/>
    <x v="0"/>
    <x v="4"/>
  </r>
  <r>
    <n v="2500008078"/>
    <s v="Auto drain valve PN B001300110004"/>
    <x v="0"/>
    <s v="ELGI Gulf FZE"/>
    <n v="4987.6459511999701"/>
    <n v="38"/>
    <n v="38"/>
    <n v="0"/>
    <x v="0"/>
    <x v="0"/>
  </r>
  <r>
    <n v="1000102224"/>
    <s v="SKF BEARINGS -  23028 CCK/W33"/>
    <x v="3"/>
    <s v="SKF Eurotrade AB"/>
    <n v="4986.9399999999996"/>
    <n v="5"/>
    <n v="5"/>
    <n v="0"/>
    <x v="0"/>
    <x v="4"/>
  </r>
  <r>
    <n v="1000102779"/>
    <s v="Weidmuller Item; PRO ECO 480W 24V 20A; P/N 14"/>
    <x v="3"/>
    <s v="Weidmuller Middle East (FZE)"/>
    <n v="4981.46368831168"/>
    <n v="12"/>
    <n v="12"/>
    <n v="0"/>
    <x v="0"/>
    <x v="3"/>
  </r>
  <r>
    <n v="1000017108"/>
    <s v="DEK 5 FS 1-50 (500/BAG) Model No.: WDM#047356"/>
    <x v="3"/>
    <s v="Weidmuller Middle East (FZE)"/>
    <n v="4971.8999999999996"/>
    <n v="37500"/>
    <n v="37500"/>
    <n v="0"/>
    <x v="0"/>
    <x v="3"/>
  </r>
  <r>
    <n v="1000100650"/>
    <s v="Weidmueller WS 12/6 MM WS Part No: 2007200000"/>
    <x v="3"/>
    <s v="Weidmuller Middle East (FZE)"/>
    <n v="4970.5070802919699"/>
    <n v="35600"/>
    <n v="35600"/>
    <n v="0"/>
    <x v="0"/>
    <x v="3"/>
  </r>
  <r>
    <n v="1000102214"/>
    <s v="SKF BEARINGS - 22244 CC/W33"/>
    <x v="3"/>
    <s v="SKF Eurotrade AB"/>
    <n v="4943.2299999999996"/>
    <n v="1"/>
    <n v="1"/>
    <n v="0"/>
    <x v="0"/>
    <x v="4"/>
  </r>
  <r>
    <n v="1000093591"/>
    <s v="Weidmuller; TERMINAL BLOCK; P/N: 1010000000; "/>
    <x v="3"/>
    <s v="Weidmuller Middle East (FZE)"/>
    <n v="4937.45481002204"/>
    <n v="1404"/>
    <n v="1404"/>
    <n v="0"/>
    <x v="0"/>
    <x v="3"/>
  </r>
  <r>
    <n v="1000104097"/>
    <s v="Weidmuller Product; AKE 4; P/N:380260000"/>
    <x v="3"/>
    <s v="Weidmuller Middle East (FZE)"/>
    <n v="4928.0840189189103"/>
    <n v="980"/>
    <n v="980"/>
    <n v="0"/>
    <x v="0"/>
    <x v="3"/>
  </r>
  <r>
    <n v="1000020965"/>
    <s v="SKF BEARING - NJ 314 ECJ/C3"/>
    <x v="3"/>
    <s v="SKF Eurotrade AB"/>
    <n v="4908.5"/>
    <n v="11"/>
    <n v="11"/>
    <n v="0"/>
    <x v="0"/>
    <x v="4"/>
  </r>
  <r>
    <n v="1000017109"/>
    <s v="DEK 5 FS 51-100 (500/BAG) Model No.: WDM#0473"/>
    <x v="3"/>
    <s v="Weidmuller Middle East (FZE)"/>
    <n v="4906.2074000000002"/>
    <n v="37000"/>
    <n v="37000"/>
    <n v="0"/>
    <x v="0"/>
    <x v="3"/>
  </r>
  <r>
    <n v="1000021005"/>
    <s v="SKF BEARING - NU 213 ECJ"/>
    <x v="3"/>
    <s v="SKF Eurotrade AB"/>
    <n v="4900.9977777777704"/>
    <n v="29"/>
    <n v="29"/>
    <n v="0"/>
    <x v="0"/>
    <x v="4"/>
  </r>
  <r>
    <n v="1000094597"/>
    <s v="Pressure Transmitter;  Model:EJA530E-JBS4N-01"/>
    <x v="7"/>
    <s v="Yokogawa Middle East &amp; Africa B.S.C. Â©"/>
    <n v="4896.5200000000004"/>
    <n v="2"/>
    <n v="2"/>
    <n v="0"/>
    <x v="0"/>
    <x v="6"/>
  </r>
  <r>
    <n v="2500008241"/>
    <s v="ELEMENT, AIR CLEANER PN B013603500499"/>
    <x v="0"/>
    <s v="QURUM Technical Company"/>
    <n v="4876.6857142857098"/>
    <n v="7"/>
    <n v="7"/>
    <n v="0"/>
    <x v="0"/>
    <x v="0"/>
  </r>
  <r>
    <n v="1000101988"/>
    <s v="Weidmueller; Model:WQL 3 WFF185;  Part No:106"/>
    <x v="3"/>
    <s v="Weidmuller Middle East (FZE)"/>
    <n v="4865.08"/>
    <n v="203"/>
    <n v="203"/>
    <n v="0"/>
    <x v="0"/>
    <x v="3"/>
  </r>
  <r>
    <n v="1000100921"/>
    <s v="Weidmuller; P/N: DEK 6 FWZ 81-90"/>
    <x v="3"/>
    <s v="Weidmuller Middle East (FZE)"/>
    <n v="4860.8"/>
    <n v="50000"/>
    <n v="50000"/>
    <n v="0"/>
    <x v="0"/>
    <x v="3"/>
  </r>
  <r>
    <n v="1000100922"/>
    <s v="Weidmuller; P/N: DEK 6 FWZ 91-100"/>
    <x v="3"/>
    <s v="Weidmuller Middle East (FZE)"/>
    <n v="4860.8"/>
    <n v="50000"/>
    <n v="50000"/>
    <n v="0"/>
    <x v="0"/>
    <x v="3"/>
  </r>
  <r>
    <n v="1000100916"/>
    <s v="Weidmuller; P/N: DEK 6 FWZ 31-40"/>
    <x v="3"/>
    <s v="Weidmuller Middle East (FZE)"/>
    <n v="4860.8"/>
    <n v="50000"/>
    <n v="50000"/>
    <n v="0"/>
    <x v="0"/>
    <x v="3"/>
  </r>
  <r>
    <n v="1000100919"/>
    <s v="Weidmuller; P/N: DEK 6 FWZ 61-70"/>
    <x v="3"/>
    <s v="Weidmuller Middle East (FZE)"/>
    <n v="4860.8"/>
    <n v="50000"/>
    <n v="50000"/>
    <n v="0"/>
    <x v="0"/>
    <x v="3"/>
  </r>
  <r>
    <n v="1000100920"/>
    <s v="Weidmuller; P/N: DEK 6 FWZ 71-80"/>
    <x v="3"/>
    <s v="Weidmuller Middle East (FZE)"/>
    <n v="4860.8"/>
    <n v="50000"/>
    <n v="50000"/>
    <n v="0"/>
    <x v="0"/>
    <x v="3"/>
  </r>
  <r>
    <n v="1000100918"/>
    <s v="Weidmuller; P/N: DEK 6 FWZ 51-60"/>
    <x v="3"/>
    <s v="Weidmuller Middle East (FZE)"/>
    <n v="4860.8"/>
    <n v="50000"/>
    <n v="50000"/>
    <n v="0"/>
    <x v="0"/>
    <x v="3"/>
  </r>
  <r>
    <n v="1000100917"/>
    <s v="Weidmuller; P/N: DEK 6 FWZ 41-50"/>
    <x v="3"/>
    <s v="Weidmuller Middle East (FZE)"/>
    <n v="4860.8"/>
    <n v="50000"/>
    <n v="50000"/>
    <n v="0"/>
    <x v="0"/>
    <x v="3"/>
  </r>
  <r>
    <n v="1000020498"/>
    <s v="SKF BEARING - 6212-2Z"/>
    <x v="3"/>
    <s v="SKF Eurotrade AB"/>
    <n v="4842.5898058252396"/>
    <n v="99"/>
    <n v="99"/>
    <n v="0"/>
    <x v="0"/>
    <x v="4"/>
  </r>
  <r>
    <n v="1000104995"/>
    <s v="P&amp;F Product; Inductive Sensor NJ4-12GK-N-5M; "/>
    <x v="3"/>
    <s v="Pepperl+Fuchs (ME) FZE"/>
    <n v="4837.83"/>
    <n v="20"/>
    <n v="20"/>
    <n v="0"/>
    <x v="0"/>
    <x v="5"/>
  </r>
  <r>
    <n v="1000020861"/>
    <s v="SKF BEARING - 7314 BECBJ"/>
    <x v="3"/>
    <s v="SKF Eurotrade AB"/>
    <n v="4820.3999999999996"/>
    <n v="13"/>
    <n v="13"/>
    <n v="0"/>
    <x v="0"/>
    <x v="4"/>
  </r>
  <r>
    <n v="1000100915"/>
    <s v="Weidmuller; P/N: DEK 6 FWZ 21-30"/>
    <x v="3"/>
    <s v="Weidmuller Middle East (FZE)"/>
    <n v="4812.192"/>
    <n v="49500"/>
    <n v="49500"/>
    <n v="0"/>
    <x v="0"/>
    <x v="3"/>
  </r>
  <r>
    <n v="1000095429"/>
    <s v="SKF BEARING-NU 324 ECJ+HJ 324 EC/VA301"/>
    <x v="3"/>
    <s v="SKF Eurotrade AB"/>
    <n v="4806"/>
    <n v="4"/>
    <n v="4"/>
    <n v="0"/>
    <x v="0"/>
    <x v="4"/>
  </r>
  <r>
    <n v="1000021227"/>
    <s v="SKF BEARING - 22215 EK/C3"/>
    <x v="3"/>
    <s v="SKF Eurotrade AB"/>
    <n v="4794.1642769230702"/>
    <n v="22"/>
    <n v="22"/>
    <n v="0"/>
    <x v="0"/>
    <x v="4"/>
  </r>
  <r>
    <n v="1000021269"/>
    <s v="SKF BEARING - 22310 E"/>
    <x v="3"/>
    <s v="SKF Eurotrade AB"/>
    <n v="4789.9236666666602"/>
    <n v="22"/>
    <n v="22"/>
    <n v="0"/>
    <x v="0"/>
    <x v="4"/>
  </r>
  <r>
    <n v="1000102219"/>
    <s v="SKF BEARINGS -  NU 228 ECJ"/>
    <x v="3"/>
    <s v="SKF Eurotrade AB"/>
    <n v="4789.6549999999997"/>
    <n v="4"/>
    <n v="4"/>
    <n v="0"/>
    <x v="0"/>
    <x v="4"/>
  </r>
  <r>
    <n v="1000021260"/>
    <s v="SKF BEARING - 22226 E"/>
    <x v="3"/>
    <s v="SKF Eurotrade AB"/>
    <n v="4785.1000000000004"/>
    <n v="5"/>
    <n v="5"/>
    <n v="0"/>
    <x v="0"/>
    <x v="4"/>
  </r>
  <r>
    <n v="1000002878"/>
    <s v="Tempetarure Transmitter , YTA610-JA1A2DB/SU2"/>
    <x v="5"/>
    <s v="Yokogawa Saudi Arabia Company"/>
    <n v="4781.5563333333303"/>
    <n v="2"/>
    <n v="2"/>
    <n v="0"/>
    <x v="0"/>
    <x v="6"/>
  </r>
  <r>
    <n v="1000100914"/>
    <s v="Weidmuller; P/N: DEK 6 FWZ 11-20"/>
    <x v="3"/>
    <s v="Weidmuller Middle East (FZE)"/>
    <n v="4763.5839999999998"/>
    <n v="49000"/>
    <n v="49000"/>
    <n v="0"/>
    <x v="0"/>
    <x v="3"/>
  </r>
  <r>
    <n v="1000102226"/>
    <s v="SKF BEARINGS -  23144 CC/W33"/>
    <x v="3"/>
    <s v="SKF Eurotrade AB"/>
    <n v="4761.3374999999996"/>
    <n v="1"/>
    <n v="1"/>
    <n v="0"/>
    <x v="0"/>
    <x v="4"/>
  </r>
  <r>
    <n v="2500008417"/>
    <s v="ELEMENT PRE FILTER PN B000600040020"/>
    <x v="0"/>
    <s v="ELGI Gulf FZE"/>
    <n v="4751.65625"/>
    <n v="2"/>
    <n v="2"/>
    <n v="0"/>
    <x v="0"/>
    <x v="0"/>
  </r>
  <r>
    <n v="1000020509"/>
    <s v="SKF BEARING - 6213-2Z/C3"/>
    <x v="3"/>
    <s v="SKF Eurotrade AB"/>
    <n v="4696.45232142857"/>
    <n v="54"/>
    <n v="54"/>
    <n v="0"/>
    <x v="0"/>
    <x v="4"/>
  </r>
  <r>
    <n v="1000103074"/>
    <s v="SKF Products; QJ 311 N2MA/C3"/>
    <x v="3"/>
    <s v="SKF Eurotrade AB"/>
    <n v="4676.3999999999996"/>
    <n v="10"/>
    <n v="10"/>
    <n v="0"/>
    <x v="0"/>
    <x v="4"/>
  </r>
  <r>
    <n v="1000020800"/>
    <s v="SKF BEARING - 7209 BECBM"/>
    <x v="3"/>
    <s v="SKF Eurotrade AB"/>
    <n v="4663.7879166666598"/>
    <n v="24"/>
    <n v="18"/>
    <n v="6"/>
    <x v="2"/>
    <x v="4"/>
  </r>
  <r>
    <n v="1000021270"/>
    <s v="SKF BEARING - 22310 E/C3"/>
    <x v="3"/>
    <s v="SKF Eurotrade AB"/>
    <n v="4650"/>
    <n v="20"/>
    <n v="20"/>
    <n v="0"/>
    <x v="0"/>
    <x v="4"/>
  </r>
  <r>
    <n v="1000100386"/>
    <s v="SKF Product 6230 M/C4/R801"/>
    <x v="3"/>
    <s v="SKF Eurotrade AB"/>
    <n v="4638.0375000000004"/>
    <n v="1"/>
    <n v="1"/>
    <n v="0"/>
    <x v="0"/>
    <x v="4"/>
  </r>
  <r>
    <n v="2700000061"/>
    <s v="INDUCER STUD ST06AA01BB3"/>
    <x v="2"/>
    <s v="Sundyne International S.A."/>
    <n v="4604.3034782608602"/>
    <n v="23"/>
    <n v="23"/>
    <n v="0"/>
    <x v="0"/>
    <x v="1"/>
  </r>
  <r>
    <n v="1000108321"/>
    <s v="SKF Product; 32317 J2"/>
    <x v="3"/>
    <s v="SKF Eurotrade AB"/>
    <n v="4582.5"/>
    <n v="8"/>
    <n v="8"/>
    <n v="0"/>
    <x v="0"/>
    <x v="4"/>
  </r>
  <r>
    <n v="1000101362"/>
    <s v="Weidmuller; Model No:WDU 10 GR;   PN:10203200"/>
    <x v="3"/>
    <s v="Weidmuller Middle East (FZE)"/>
    <n v="4570.7856774025804"/>
    <n v="1410"/>
    <n v="1410"/>
    <n v="0"/>
    <x v="0"/>
    <x v="3"/>
  </r>
  <r>
    <n v="1000100912"/>
    <s v="Weidmuller; P/N: WQV 16/2; P/N:1053260000"/>
    <x v="3"/>
    <s v="Weidmuller Middle East (FZE)"/>
    <n v="4552.3221326643697"/>
    <n v="2074"/>
    <n v="2074"/>
    <n v="0"/>
    <x v="0"/>
    <x v="3"/>
  </r>
  <r>
    <n v="1000106119"/>
    <s v="P&amp;F SMART Transmitter Power Supply; KCD2â€STCâ€"/>
    <x v="3"/>
    <s v="Pepperl+Fuchs (ME) FZE"/>
    <n v="4539.91"/>
    <n v="5"/>
    <n v="5"/>
    <n v="0"/>
    <x v="0"/>
    <x v="5"/>
  </r>
  <r>
    <n v="1000020477"/>
    <s v="SKF BEARING - 6209-2Z/C3"/>
    <x v="3"/>
    <s v="SKF Eurotrade AB"/>
    <n v="4525.4070999211599"/>
    <n v="165"/>
    <n v="165"/>
    <n v="0"/>
    <x v="4"/>
    <x v="4"/>
  </r>
  <r>
    <n v="1000021113"/>
    <s v="SKF BEARING - NU 313 ECM"/>
    <x v="3"/>
    <s v="SKF Eurotrade AB"/>
    <n v="4521.3782142857099"/>
    <n v="9"/>
    <n v="9"/>
    <n v="0"/>
    <x v="0"/>
    <x v="4"/>
  </r>
  <r>
    <n v="1000103891"/>
    <s v="Pepperl+Fuchs Inductive Sensor;  Model:NBN15-"/>
    <x v="3"/>
    <s v="Pepperl+Fuchs (ME) FZE"/>
    <n v="4521"/>
    <n v="10"/>
    <n v="10"/>
    <n v="0"/>
    <x v="0"/>
    <x v="5"/>
  </r>
  <r>
    <n v="1000098469"/>
    <s v="SKF BEARING-23024 CC/W33"/>
    <x v="3"/>
    <s v="SKF Eurotrade AB"/>
    <n v="4502.4719999999998"/>
    <n v="8"/>
    <n v="8"/>
    <n v="0"/>
    <x v="0"/>
    <x v="4"/>
  </r>
  <r>
    <n v="1000021494"/>
    <s v="SKF BEARING - 23130 CC/W33"/>
    <x v="3"/>
    <s v="SKF Eurotrade AB"/>
    <n v="4491.04"/>
    <n v="3"/>
    <n v="3"/>
    <n v="0"/>
    <x v="0"/>
    <x v="4"/>
  </r>
  <r>
    <n v="1000098547"/>
    <s v="SKF BEARING-6032 M"/>
    <x v="3"/>
    <s v="SKF Eurotrade AB"/>
    <n v="4489.1400000000003"/>
    <n v="5"/>
    <n v="5"/>
    <n v="0"/>
    <x v="0"/>
    <x v="4"/>
  </r>
  <r>
    <n v="1000093578"/>
    <s v="Weidmuller; END BRACKET; P/N: 0382860000; Mod"/>
    <x v="3"/>
    <s v="Weidmuller Middle East (FZE)"/>
    <n v="4488.6096163348702"/>
    <n v="8473"/>
    <n v="8473"/>
    <n v="0"/>
    <x v="0"/>
    <x v="3"/>
  </r>
  <r>
    <n v="1000100924"/>
    <s v="Weidmuller; P/N: DEK 6 FW 51-100"/>
    <x v="3"/>
    <s v="Weidmuller Middle East (FZE)"/>
    <n v="4471.9359999999997"/>
    <n v="46000"/>
    <n v="46000"/>
    <n v="0"/>
    <x v="0"/>
    <x v="3"/>
  </r>
  <r>
    <n v="1000021132"/>
    <s v="SKF BEARING - NU 317 ECJ/C3"/>
    <x v="3"/>
    <s v="SKF Eurotrade AB"/>
    <n v="4462.5"/>
    <n v="8"/>
    <n v="8"/>
    <n v="0"/>
    <x v="0"/>
    <x v="4"/>
  </r>
  <r>
    <n v="1000102778"/>
    <s v="Weidmuller Item; RCIKIT 24VDC 2CO LD; P/N 887"/>
    <x v="3"/>
    <s v="Weidmuller Middle East (FZE)"/>
    <n v="4446.45"/>
    <n v="150"/>
    <n v="150"/>
    <n v="0"/>
    <x v="0"/>
    <x v="3"/>
  </r>
  <r>
    <n v="1000095827"/>
    <s v="Weidmueller,Product:1052260000,Part No: WQV 6"/>
    <x v="3"/>
    <s v="Weidmuller Middle East (FZE)"/>
    <n v="4437.2554399814999"/>
    <n v="514"/>
    <n v="514"/>
    <n v="0"/>
    <x v="0"/>
    <x v="3"/>
  </r>
  <r>
    <n v="1000020730"/>
    <s v="SKF BEARING - 6316-2Z/C3"/>
    <x v="3"/>
    <s v="SKF Eurotrade AB"/>
    <n v="4423.9741071428498"/>
    <n v="18"/>
    <n v="18"/>
    <n v="0"/>
    <x v="0"/>
    <x v="4"/>
  </r>
  <r>
    <n v="2500006877"/>
    <s v="AIR OIL SEPERATOR ASSY 400CFM PN B674601"/>
    <x v="0"/>
    <s v="ELGI Gulf FZE"/>
    <n v="4417.5"/>
    <n v="4"/>
    <n v="4"/>
    <n v="0"/>
    <x v="0"/>
    <x v="0"/>
  </r>
  <r>
    <n v="1000098620"/>
    <s v="Weidmuller;PN:545300000;QB 58/8/9/WI"/>
    <x v="3"/>
    <s v="Weidmuller Middle East (FZE)"/>
    <n v="4416.6292341729304"/>
    <n v="230"/>
    <n v="230"/>
    <n v="0"/>
    <x v="0"/>
    <x v="3"/>
  </r>
  <r>
    <n v="1000020492"/>
    <s v="SKF BEARING - 6211-2Z/C3"/>
    <x v="3"/>
    <s v="SKF Eurotrade AB"/>
    <n v="4394.61258147229"/>
    <n v="98"/>
    <n v="98"/>
    <n v="0"/>
    <x v="0"/>
    <x v="4"/>
  </r>
  <r>
    <n v="1000094199"/>
    <s v="Weidmuller; CLAMP;   P/N: 9537460000; Model N"/>
    <x v="3"/>
    <s v="Weidmuller Middle East (FZE)"/>
    <n v="4367.2079060640499"/>
    <n v="1642"/>
    <n v="1642"/>
    <n v="0"/>
    <x v="0"/>
    <x v="3"/>
  </r>
  <r>
    <n v="1000095664"/>
    <s v="Weidmuller Product; Model No:RIBBON MM-HS 60/"/>
    <x v="3"/>
    <s v="Weidmuller Middle East (FZE)"/>
    <n v="4345.78"/>
    <n v="11"/>
    <n v="11"/>
    <n v="0"/>
    <x v="0"/>
    <x v="3"/>
  </r>
  <r>
    <n v="2500008254"/>
    <s v="MINIMUM PRESSURE VALVE PN.B009301070008"/>
    <x v="0"/>
    <s v="ELGI Gulf FZE"/>
    <n v="4344.375"/>
    <n v="5"/>
    <n v="5"/>
    <n v="0"/>
    <x v="0"/>
    <x v="0"/>
  </r>
  <r>
    <n v="1000020124"/>
    <s v="SKF BEARING - 3314 A"/>
    <x v="3"/>
    <s v="SKF Eurotrade AB"/>
    <n v="4336.32"/>
    <n v="8"/>
    <n v="8"/>
    <n v="0"/>
    <x v="0"/>
    <x v="4"/>
  </r>
  <r>
    <n v="1000010227"/>
    <s v="P+F, Inductive Sensor;  Model No. NJ5-18GM50-"/>
    <x v="3"/>
    <s v="Pepperl+Fuchs (ME) FZE"/>
    <n v="4323.8249292929204"/>
    <n v="16"/>
    <n v="16"/>
    <n v="0"/>
    <x v="0"/>
    <x v="5"/>
  </r>
  <r>
    <n v="1000101987"/>
    <s v="Weidmueller; Model:WQL 3 WFF 300;  Part No:10"/>
    <x v="3"/>
    <s v="Weidmuller Middle East (FZE)"/>
    <n v="4323.7634200913199"/>
    <n v="154"/>
    <n v="154"/>
    <n v="0"/>
    <x v="0"/>
    <x v="3"/>
  </r>
  <r>
    <n v="1000020745"/>
    <s v="SKF BEARING - 6319 M/C3VL0241"/>
    <x v="3"/>
    <s v="SKF Eurotrade AB"/>
    <n v="4316.5"/>
    <n v="2"/>
    <n v="2"/>
    <n v="0"/>
    <x v="0"/>
    <x v="4"/>
  </r>
  <r>
    <n v="1000095637"/>
    <s v="HSS 1.6-4.8 EL W30M, P/N 1505860000"/>
    <x v="3"/>
    <s v="Weidmuller Middle East (FZE)"/>
    <n v="4297.1040000000003"/>
    <n v="29"/>
    <n v="29"/>
    <n v="0"/>
    <x v="0"/>
    <x v="3"/>
  </r>
  <r>
    <n v="2100005179"/>
    <s v="MTL : 1000176139 STRAINER; TYPE: CONE, DIAMET"/>
    <x v="1"/>
    <s v="Armstrong International SA"/>
    <n v="4285.6899999999996"/>
    <n v="1"/>
    <n v="0"/>
    <n v="1"/>
    <x v="4"/>
    <x v="1"/>
  </r>
  <r>
    <n v="1000020695"/>
    <s v="SKF BEARING - 6312"/>
    <x v="3"/>
    <s v="SKF Eurotrade AB"/>
    <n v="4278.0473437500004"/>
    <n v="54"/>
    <n v="54"/>
    <n v="0"/>
    <x v="0"/>
    <x v="4"/>
  </r>
  <r>
    <n v="1000020856"/>
    <s v="SKF BEARING - 7313 BECBJ"/>
    <x v="3"/>
    <s v="Universal Bearings Company"/>
    <n v="4274.0055653981799"/>
    <n v="12"/>
    <n v="11"/>
    <n v="1"/>
    <x v="3"/>
    <x v="4"/>
  </r>
  <r>
    <n v="1000020132"/>
    <s v="SKF BEARING - 3319 A/C3"/>
    <x v="3"/>
    <s v="SKF Eurotrade AB"/>
    <n v="4248.72"/>
    <n v="2"/>
    <n v="2"/>
    <n v="0"/>
    <x v="0"/>
    <x v="4"/>
  </r>
  <r>
    <n v="1000099243"/>
    <s v="Weidmuller Product; Model No;TS END CAP 35X7."/>
    <x v="3"/>
    <s v="Weidmuller Middle East (FZE)"/>
    <n v="4242.7524999999996"/>
    <n v="4445"/>
    <n v="4445"/>
    <n v="0"/>
    <x v="0"/>
    <x v="3"/>
  </r>
  <r>
    <n v="1000020463"/>
    <s v="SKF BEARING - 6208-2Z/C3"/>
    <x v="3"/>
    <s v="SKF Eurotrade AB"/>
    <n v="4231.2333079847904"/>
    <n v="179"/>
    <n v="179"/>
    <n v="0"/>
    <x v="0"/>
    <x v="4"/>
  </r>
  <r>
    <n v="1000106112"/>
    <s v="P&amp;F RELAY MODULE; KFD0â€ROâ€2; P/N: 247196"/>
    <x v="3"/>
    <s v="Pepperl+Fuchs (ME) FZE"/>
    <n v="4227.3100000000004"/>
    <n v="10"/>
    <n v="10"/>
    <n v="0"/>
    <x v="0"/>
    <x v="5"/>
  </r>
  <r>
    <n v="1000021203"/>
    <s v="SKF BEARING - 22209 EK"/>
    <x v="3"/>
    <s v="SKF Eurotrade AB"/>
    <n v="4209.7628571428504"/>
    <n v="33"/>
    <n v="33"/>
    <n v="0"/>
    <x v="0"/>
    <x v="4"/>
  </r>
  <r>
    <n v="1000021209"/>
    <s v="SKF BEARING - 22211 EK"/>
    <x v="3"/>
    <s v="SKF Eurotrade AB"/>
    <n v="4194.375"/>
    <n v="25"/>
    <n v="25"/>
    <n v="0"/>
    <x v="0"/>
    <x v="4"/>
  </r>
  <r>
    <n v="1000020883"/>
    <s v="SKF BEARING - 7324 BGAM"/>
    <x v="3"/>
    <s v="SKF Eurotrade AB"/>
    <n v="4185.92"/>
    <n v="2"/>
    <n v="2"/>
    <n v="0"/>
    <x v="0"/>
    <x v="4"/>
  </r>
  <r>
    <n v="1000020810"/>
    <s v="SKF BEARING - 7215 BECBM"/>
    <x v="3"/>
    <s v="SKF Eurotrade AB"/>
    <n v="4182.3787828947297"/>
    <n v="12"/>
    <n v="12"/>
    <n v="0"/>
    <x v="0"/>
    <x v="4"/>
  </r>
  <r>
    <n v="1000102183"/>
    <s v="SKF BEARING - H 222"/>
    <x v="3"/>
    <s v="SKF Eurotrade AB"/>
    <n v="4180.7250000000004"/>
    <n v="17"/>
    <n v="17"/>
    <n v="0"/>
    <x v="0"/>
    <x v="4"/>
  </r>
  <r>
    <n v="1000100372"/>
    <s v="SKF Product NU 224 ECJ/C3"/>
    <x v="3"/>
    <s v="SKF Eurotrade AB"/>
    <n v="4140.0209999999997"/>
    <n v="6"/>
    <n v="6"/>
    <n v="0"/>
    <x v="0"/>
    <x v="4"/>
  </r>
  <r>
    <n v="1000020031"/>
    <s v="SKF BEARING - NU 314 ECJ"/>
    <x v="3"/>
    <s v="SKF Eurotrade AB"/>
    <n v="4139.08575757575"/>
    <n v="13"/>
    <n v="13"/>
    <n v="0"/>
    <x v="0"/>
    <x v="4"/>
  </r>
  <r>
    <n v="1000020747"/>
    <s v="SKF BEARING - 6319-2Z/C3"/>
    <x v="3"/>
    <s v="SKF Eurotrade AB"/>
    <n v="4117.4747058823496"/>
    <n v="11"/>
    <n v="11"/>
    <n v="0"/>
    <x v="0"/>
    <x v="4"/>
  </r>
  <r>
    <n v="1000017141"/>
    <s v="Weidmuller; Terminal Blocks &amp; Accessories; P/"/>
    <x v="3"/>
    <s v="Weidmuller Middle East (FZE)"/>
    <n v="4111.8766404491098"/>
    <n v="5456"/>
    <n v="5456"/>
    <n v="0"/>
    <x v="0"/>
    <x v="3"/>
  </r>
  <r>
    <n v="1000103209"/>
    <s v="SKF Product; 6324-2RS1"/>
    <x v="3"/>
    <s v="SKF Eurotrade AB"/>
    <n v="4076.44"/>
    <n v="3"/>
    <n v="3"/>
    <n v="0"/>
    <x v="0"/>
    <x v="4"/>
  </r>
  <r>
    <n v="1000020079"/>
    <s v="SKF BEARING - 3305 A/C3"/>
    <x v="3"/>
    <s v="SKF Eurotrade AB"/>
    <n v="4065.6471248499402"/>
    <n v="34"/>
    <n v="34"/>
    <n v="0"/>
    <x v="0"/>
    <x v="4"/>
  </r>
  <r>
    <n v="1000099977"/>
    <s v="P+F, Inductive Sensor; Model No. NBB15-U4K-N0"/>
    <x v="3"/>
    <s v="Pepperl+Fuchs Gulf LLC"/>
    <n v="4063.03912118481"/>
    <n v="13"/>
    <n v="13"/>
    <n v="0"/>
    <x v="0"/>
    <x v="5"/>
  </r>
  <r>
    <n v="1000100392"/>
    <s v="SKF Product GEG 63 ES"/>
    <x v="3"/>
    <s v="SKF Eurotrade AB"/>
    <n v="4059.6029629629602"/>
    <n v="16"/>
    <n v="16"/>
    <n v="0"/>
    <x v="0"/>
    <x v="4"/>
  </r>
  <r>
    <n v="1000098440"/>
    <s v="SKF BEARING-30226"/>
    <x v="3"/>
    <s v="SKF Eurotrade AB"/>
    <n v="4055.24"/>
    <n v="5"/>
    <n v="5"/>
    <n v="0"/>
    <x v="0"/>
    <x v="4"/>
  </r>
  <r>
    <n v="1000020576"/>
    <s v="SKF BEARING - 6222/C3VL0241"/>
    <x v="3"/>
    <s v="SKF Eurotrade AB"/>
    <n v="4036.46"/>
    <n v="2"/>
    <n v="2"/>
    <n v="0"/>
    <x v="0"/>
    <x v="4"/>
  </r>
  <r>
    <n v="1000021027"/>
    <s v="SKF BEARING - NU 220 ECJ/C3"/>
    <x v="3"/>
    <s v="SKF Eurotrade AB"/>
    <n v="4032.2159999999999"/>
    <n v="9"/>
    <n v="9"/>
    <n v="0"/>
    <x v="0"/>
    <x v="4"/>
  </r>
  <r>
    <n v="1000093671"/>
    <s v="Weidmuller; Power Supply;  Model No. PRO DM 1"/>
    <x v="3"/>
    <s v="Weidmuller Middle East (FZE)"/>
    <n v="4027.8222139117602"/>
    <n v="38"/>
    <n v="38"/>
    <n v="0"/>
    <x v="0"/>
    <x v="3"/>
  </r>
  <r>
    <n v="1000020843"/>
    <s v="SKF BEARING - 7309 BECBP"/>
    <x v="3"/>
    <s v="SKF Eurotrade AB"/>
    <n v="3987.0166681688102"/>
    <n v="32"/>
    <n v="32"/>
    <n v="0"/>
    <x v="0"/>
    <x v="4"/>
  </r>
  <r>
    <n v="1000021216"/>
    <s v="SKF BEARING - 22213 E"/>
    <x v="3"/>
    <s v="SKF Eurotrade AB"/>
    <n v="3986.1275000000001"/>
    <n v="21"/>
    <n v="21"/>
    <n v="0"/>
    <x v="0"/>
    <x v="4"/>
  </r>
  <r>
    <n v="2500008206"/>
    <s v="ELEMENT PREFILTER - 0108 PART NO.  12400052"/>
    <x v="0"/>
    <s v="ELGI Equipments Limited"/>
    <n v="3975"/>
    <n v="4"/>
    <n v="4"/>
    <n v="0"/>
    <x v="0"/>
    <x v="0"/>
  </r>
  <r>
    <n v="1000098507"/>
    <s v="P+F;CABLE PULL:ECN30PL-10A1A-X1:NN Part No: 2"/>
    <x v="3"/>
    <s v="Pepperl+Fuchs (ME) FZE"/>
    <n v="3942.5"/>
    <n v="1"/>
    <n v="1"/>
    <n v="0"/>
    <x v="0"/>
    <x v="5"/>
  </r>
  <r>
    <n v="1000093576"/>
    <s v="Weidmuller; END CAP; P/N: 0697360000; Model N"/>
    <x v="3"/>
    <s v="Weidmuller Middle East (FZE)"/>
    <n v="3938.28756705358"/>
    <n v="5457"/>
    <n v="5457"/>
    <n v="0"/>
    <x v="0"/>
    <x v="3"/>
  </r>
  <r>
    <n v="1000098739"/>
    <s v="SKF BEARING -23052 CC/C3W33"/>
    <x v="3"/>
    <s v="SKF Eurotrade AB"/>
    <n v="3919.85"/>
    <n v="1"/>
    <n v="1"/>
    <n v="0"/>
    <x v="0"/>
    <x v="4"/>
  </r>
  <r>
    <n v="1000100429"/>
    <s v="SKF Product KM 14"/>
    <x v="3"/>
    <s v="SKF Eurotrade AB"/>
    <n v="3909.5816391509402"/>
    <n v="126"/>
    <n v="126"/>
    <n v="0"/>
    <x v="0"/>
    <x v="4"/>
  </r>
  <r>
    <n v="1000020462"/>
    <s v="SKF BEARING - 6208-2Z"/>
    <x v="3"/>
    <s v="SKF Eurotrade AB"/>
    <n v="3905.1210081725499"/>
    <n v="192"/>
    <n v="192"/>
    <n v="0"/>
    <x v="0"/>
    <x v="4"/>
  </r>
  <r>
    <n v="1000100315"/>
    <s v="SKF Product 6315-Z/C3"/>
    <x v="3"/>
    <s v="SKF Eurotrade AB"/>
    <n v="3895.76923076923"/>
    <n v="10"/>
    <n v="10"/>
    <n v="0"/>
    <x v="0"/>
    <x v="4"/>
  </r>
  <r>
    <n v="1000103232"/>
    <s v="Weidmuller Product; TS END CAP 35X15 P/N:1283"/>
    <x v="3"/>
    <s v="Weidmuller Middle East (FZE)"/>
    <n v="3889.3736078675602"/>
    <n v="4980"/>
    <n v="4980"/>
    <n v="0"/>
    <x v="0"/>
    <x v="3"/>
  </r>
  <r>
    <n v="1000093676"/>
    <s v="Weidmuller; Tools; P/N: 1444050000   Model No"/>
    <x v="3"/>
    <s v="Weidmuller Middle East (FZE)"/>
    <n v="3870"/>
    <n v="9"/>
    <n v="9"/>
    <n v="0"/>
    <x v="0"/>
    <x v="3"/>
  </r>
  <r>
    <n v="1000095509"/>
    <s v="Weidmuller; TERMINAL BLOCK; P/N:1039559;Model"/>
    <x v="3"/>
    <s v="Weidmuller Middle East (FZE)"/>
    <n v="3843.36"/>
    <n v="288"/>
    <n v="288"/>
    <n v="0"/>
    <x v="0"/>
    <x v="3"/>
  </r>
  <r>
    <n v="1000100913"/>
    <s v="Weidmuller; P/N: DEK 6 FWZ 1-10"/>
    <x v="3"/>
    <s v="Weidmuller Middle East (FZE)"/>
    <n v="3840.0320000000002"/>
    <n v="39500"/>
    <n v="39500"/>
    <n v="0"/>
    <x v="0"/>
    <x v="3"/>
  </r>
  <r>
    <n v="1000094100"/>
    <s v="Weidmuller; Terminal Marker; P/N: 0468760051 "/>
    <x v="3"/>
    <s v="Weidmuller Middle East (FZE)"/>
    <n v="3810.8672000000001"/>
    <n v="39200"/>
    <n v="39200"/>
    <n v="0"/>
    <x v="0"/>
    <x v="3"/>
  </r>
  <r>
    <n v="2500009352"/>
    <s v="DESCRIPTION :AIR OIL SEPARATOR | PART NUMBER:"/>
    <x v="0"/>
    <s v="ELGI Gulf FZE"/>
    <n v="3799.95"/>
    <n v="2"/>
    <n v="2"/>
    <n v="0"/>
    <x v="0"/>
    <x v="0"/>
  </r>
  <r>
    <n v="1000100326"/>
    <s v="SKF Product 6026-2Z/C3"/>
    <x v="3"/>
    <s v="SKF Eurotrade AB"/>
    <n v="3799.5"/>
    <n v="8"/>
    <n v="8"/>
    <n v="0"/>
    <x v="0"/>
    <x v="4"/>
  </r>
  <r>
    <n v="2500005908"/>
    <s v="AIR OIL SEPERATOR SPINON PN B006700770010"/>
    <x v="0"/>
    <s v="ELGI Gulf FZE"/>
    <n v="3799.0034466971301"/>
    <n v="6"/>
    <n v="6"/>
    <n v="0"/>
    <x v="0"/>
    <x v="0"/>
  </r>
  <r>
    <n v="1000094134"/>
    <s v="SKF PRODUCTS : Model No. C 2218"/>
    <x v="3"/>
    <s v="SKF Eurotrade AB"/>
    <n v="3769.1854917485898"/>
    <n v="5"/>
    <n v="5"/>
    <n v="0"/>
    <x v="0"/>
    <x v="4"/>
  </r>
  <r>
    <n v="1000093933"/>
    <s v="SKF BEARING - 7234 BCBM"/>
    <x v="3"/>
    <s v="SKF Eurotrade AB"/>
    <n v="3752.21"/>
    <n v="1"/>
    <n v="1"/>
    <n v="0"/>
    <x v="0"/>
    <x v="4"/>
  </r>
  <r>
    <n v="1000107197"/>
    <s v="Temperature Transmitter:YTA710-JA2A2DK/C3/SU2"/>
    <x v="5"/>
    <s v="Yokogawa Saudi Arabia Company"/>
    <n v="3727.5"/>
    <n v="1"/>
    <n v="1"/>
    <n v="0"/>
    <x v="0"/>
    <x v="6"/>
  </r>
  <r>
    <n v="1000020101"/>
    <s v="SKF BEARING - 3309 A/C3"/>
    <x v="3"/>
    <s v="SKF Eurotrade AB"/>
    <n v="3726.2170956632599"/>
    <n v="16"/>
    <n v="16"/>
    <n v="0"/>
    <x v="0"/>
    <x v="4"/>
  </r>
  <r>
    <n v="1000020707"/>
    <s v="SKF BEARING - 6313-2Z"/>
    <x v="3"/>
    <s v="SKF Eurotrade AB"/>
    <n v="3715.41281828316"/>
    <n v="29"/>
    <n v="29"/>
    <n v="0"/>
    <x v="0"/>
    <x v="4"/>
  </r>
  <r>
    <n v="1000094200"/>
    <s v="Weidmuller; CLAMP;  Model No. WDU 4 SL  P/N: "/>
    <x v="3"/>
    <s v="Weidmuller Middle East (FZE)"/>
    <n v="3704.16"/>
    <n v="1420"/>
    <n v="1420"/>
    <n v="0"/>
    <x v="0"/>
    <x v="3"/>
  </r>
  <r>
    <n v="1000020751"/>
    <s v="SKF BEARING - 6320-2Z/C3"/>
    <x v="3"/>
    <s v="SKF Eurotrade AB"/>
    <n v="3702.6"/>
    <n v="8"/>
    <n v="8"/>
    <n v="0"/>
    <x v="0"/>
    <x v="4"/>
  </r>
  <r>
    <n v="1000020840"/>
    <s v="SKF BEARING - 7308 BEGAM"/>
    <x v="3"/>
    <s v="SKF Eurotrade AB"/>
    <n v="3702.0940000000001"/>
    <n v="22"/>
    <n v="22"/>
    <n v="0"/>
    <x v="0"/>
    <x v="4"/>
  </r>
  <r>
    <n v="1000021238"/>
    <s v="SKF BEARING - 22218 E"/>
    <x v="3"/>
    <s v="SKF Eurotrade AB"/>
    <n v="3689.25"/>
    <n v="10"/>
    <n v="10"/>
    <n v="0"/>
    <x v="0"/>
    <x v="4"/>
  </r>
  <r>
    <n v="1000095636"/>
    <s v="HSS 1.0-3.2 EL W30M, P/N 1505850000"/>
    <x v="3"/>
    <s v="Weidmuller Middle East (FZE)"/>
    <n v="3687.7753333333299"/>
    <n v="29"/>
    <n v="29"/>
    <n v="0"/>
    <x v="0"/>
    <x v="3"/>
  </r>
  <r>
    <n v="1000020500"/>
    <s v="SKF BEARING - 6212-2Z/VA228"/>
    <x v="3"/>
    <s v="SKF Eurotrade AB"/>
    <n v="3686.5"/>
    <n v="12"/>
    <n v="12"/>
    <n v="0"/>
    <x v="0"/>
    <x v="4"/>
  </r>
  <r>
    <n v="1000096857"/>
    <s v="SKF BEARING - Model No.6030 M/C3"/>
    <x v="3"/>
    <s v="SKF Eurotrade AB"/>
    <n v="3679.2233333333302"/>
    <n v="3"/>
    <n v="3"/>
    <n v="0"/>
    <x v="0"/>
    <x v="4"/>
  </r>
  <r>
    <n v="1000021025"/>
    <s v="SKF BEARING - NU 219 ECM"/>
    <x v="3"/>
    <s v="SKF Eurotrade AB"/>
    <n v="3677.99"/>
    <n v="5"/>
    <n v="5"/>
    <n v="0"/>
    <x v="0"/>
    <x v="4"/>
  </r>
  <r>
    <n v="1000020723"/>
    <s v="SKF BEARING - 6315-2Z/C3"/>
    <x v="3"/>
    <s v="SKF Eurotrade AB"/>
    <n v="3663.38"/>
    <n v="20"/>
    <n v="20"/>
    <n v="0"/>
    <x v="0"/>
    <x v="4"/>
  </r>
  <r>
    <n v="1000020877"/>
    <s v="SKF BEARING - 7320 BECBM"/>
    <x v="3"/>
    <s v="SKF Eurotrade AB"/>
    <n v="3660.3"/>
    <n v="3"/>
    <n v="3"/>
    <n v="0"/>
    <x v="0"/>
    <x v="4"/>
  </r>
  <r>
    <n v="2500008438"/>
    <s v="MPV WITH CHECK VALVE MPVL50(B009301070001)"/>
    <x v="0"/>
    <s v="ELGI Gulf FZE"/>
    <n v="3655.0749999999998"/>
    <n v="7"/>
    <n v="7"/>
    <n v="0"/>
    <x v="0"/>
    <x v="0"/>
  </r>
  <r>
    <n v="1000107659"/>
    <s v="&quot;P&amp;F Product; NCB15-30GM50-Z5; P/N: 182912 &quot;"/>
    <x v="3"/>
    <s v="Pepperl+Fuchs (ME) FZE"/>
    <n v="3626.23"/>
    <n v="10"/>
    <n v="10"/>
    <n v="0"/>
    <x v="0"/>
    <x v="5"/>
  </r>
  <r>
    <n v="1000100367"/>
    <s v="SKF Product NA 4913"/>
    <x v="3"/>
    <s v="SKF Eurotrade AB"/>
    <n v="3597.18631578947"/>
    <n v="18"/>
    <n v="18"/>
    <n v="0"/>
    <x v="0"/>
    <x v="4"/>
  </r>
  <r>
    <n v="1000100923"/>
    <s v="Weidmuller; P/N: DEK 6 FW 1-50"/>
    <x v="3"/>
    <s v="Weidmuller Middle East (FZE)"/>
    <n v="3596.9920000000002"/>
    <n v="37000"/>
    <n v="37000"/>
    <n v="0"/>
    <x v="0"/>
    <x v="3"/>
  </r>
  <r>
    <n v="1000010096"/>
    <s v="Pepperl+Fuchs Inductive Sensor; Model:NCB5-18"/>
    <x v="3"/>
    <s v="Pepperl+Fuchs (ME) FZE"/>
    <n v="3586.5297628205099"/>
    <n v="19"/>
    <n v="19"/>
    <n v="0"/>
    <x v="0"/>
    <x v="5"/>
  </r>
  <r>
    <n v="1000020540"/>
    <s v="SKF BEARING - 6219/C3"/>
    <x v="3"/>
    <s v="SKF Eurotrade AB"/>
    <n v="3576.9788541666599"/>
    <n v="14"/>
    <n v="14"/>
    <n v="0"/>
    <x v="0"/>
    <x v="4"/>
  </r>
  <r>
    <n v="2100003851"/>
    <s v="MATL :7358970 VALVE PLUG; TAPER PLUG INTEGRAL"/>
    <x v="1"/>
    <s v="EVISION SOLUTION"/>
    <n v="3562.5"/>
    <n v="1"/>
    <n v="1"/>
    <n v="0"/>
    <x v="0"/>
    <x v="1"/>
  </r>
  <r>
    <n v="1000093668"/>
    <s v="Weidmuller; DIN Rail; P/N: 0514500000   Model"/>
    <x v="3"/>
    <s v="Weidmuller Middle East (FZE)"/>
    <n v="3552.6312908014402"/>
    <n v="569"/>
    <n v="569"/>
    <n v="0"/>
    <x v="0"/>
    <x v="3"/>
  </r>
  <r>
    <n v="2100006474"/>
    <s v="SHAFT: C 45| P/N-BL250934"/>
    <x v="2"/>
    <s v="SPX MIDDLE EAST FZE"/>
    <n v="3550.98"/>
    <n v="7"/>
    <n v="7"/>
    <n v="0"/>
    <x v="0"/>
    <x v="1"/>
  </r>
  <r>
    <n v="1000093574"/>
    <s v="Weidmuller; Terminal Block; Model No. WFF 70 "/>
    <x v="3"/>
    <s v="Weidmuller Middle East (FZE)"/>
    <n v="3539.79976157804"/>
    <n v="122"/>
    <n v="122"/>
    <n v="0"/>
    <x v="0"/>
    <x v="3"/>
  </r>
  <r>
    <n v="1000100320"/>
    <s v="SKF Product 7217 BEGAF"/>
    <x v="3"/>
    <s v="SKF Eurotrade AB"/>
    <n v="3516.2015999999999"/>
    <n v="6"/>
    <n v="6"/>
    <n v="0"/>
    <x v="0"/>
    <x v="4"/>
  </r>
  <r>
    <n v="1000099642"/>
    <s v="P+F, Inductive Sensor Model No.: NJ2-12-GK-N-"/>
    <x v="3"/>
    <s v="Pepperl+Fuchs (ME) FZE"/>
    <n v="3515.57"/>
    <n v="15"/>
    <n v="15"/>
    <n v="0"/>
    <x v="0"/>
    <x v="5"/>
  </r>
  <r>
    <n v="1000096754"/>
    <s v="SKF Bearing - 6230"/>
    <x v="3"/>
    <s v="SKF Eurotrade AB"/>
    <n v="3496.6834285714199"/>
    <n v="4"/>
    <n v="4"/>
    <n v="0"/>
    <x v="0"/>
    <x v="4"/>
  </r>
  <r>
    <n v="1000020311"/>
    <s v="SKF BEARING - 6018-2RS1"/>
    <x v="3"/>
    <s v="SKF Eurotrade AB"/>
    <n v="3463.32"/>
    <n v="31"/>
    <n v="31"/>
    <n v="0"/>
    <x v="0"/>
    <x v="4"/>
  </r>
  <r>
    <n v="1000096168"/>
    <s v="P+F, Inductive sensor;UC SLP-SLC 1530 MM;  Ma"/>
    <x v="3"/>
    <s v="Pepperl+Fuchs (ME) FZE"/>
    <n v="3458.25"/>
    <n v="3"/>
    <n v="3"/>
    <n v="0"/>
    <x v="0"/>
    <x v="5"/>
  </r>
  <r>
    <n v="1000098555"/>
    <s v="SKF BEARING - 24132 CC/C4W33"/>
    <x v="3"/>
    <s v="SKF Eurotrade AB"/>
    <n v="3458.03"/>
    <n v="1"/>
    <n v="1"/>
    <n v="0"/>
    <x v="0"/>
    <x v="4"/>
  </r>
  <r>
    <n v="1000101641"/>
    <s v="Weidmueller,Product:1065300000: Part No: WQL "/>
    <x v="3"/>
    <s v="Weidmuller Middle East (FZE)"/>
    <n v="3455.7200780487801"/>
    <n v="176"/>
    <n v="176"/>
    <n v="0"/>
    <x v="0"/>
    <x v="3"/>
  </r>
  <r>
    <n v="1000095815"/>
    <s v="Weidmueller,Product :117500000,Part No: TS 15"/>
    <x v="3"/>
    <s v="Weidmuller Middle East (FZE)"/>
    <n v="3440.8"/>
    <n v="506"/>
    <n v="506"/>
    <n v="0"/>
    <x v="0"/>
    <x v="3"/>
  </r>
  <r>
    <n v="1000100414"/>
    <s v="SKF Product 32036 X"/>
    <x v="3"/>
    <s v="SKF Eurotrade AB"/>
    <n v="3431.93"/>
    <n v="2"/>
    <n v="2"/>
    <n v="0"/>
    <x v="0"/>
    <x v="4"/>
  </r>
  <r>
    <n v="1000094387"/>
    <s v="Weidmuller; TERMINAL BLOCK; P/N: 0279660000; "/>
    <x v="3"/>
    <s v="Weidmuller Middle East (FZE)"/>
    <n v="3431.7210112129701"/>
    <n v="3043"/>
    <n v="3043"/>
    <n v="0"/>
    <x v="0"/>
    <x v="3"/>
  </r>
  <r>
    <n v="1000100739"/>
    <s v="Pressure Transmitter:EJA530E-JDS4N-022DN/FU1/"/>
    <x v="7"/>
    <s v="Yokogawa Middle East &amp; Africa B.S.C. Â©"/>
    <n v="3429.38"/>
    <n v="1"/>
    <n v="1"/>
    <n v="0"/>
    <x v="0"/>
    <x v="6"/>
  </r>
  <r>
    <n v="1000097513"/>
    <s v="Weidmueller:WQL 2 WFF185,PN:1065200000"/>
    <x v="3"/>
    <s v="Weidmuller Middle East (FZE)"/>
    <n v="3403.08"/>
    <n v="200"/>
    <n v="200"/>
    <n v="0"/>
    <x v="0"/>
    <x v="3"/>
  </r>
  <r>
    <n v="1000020636"/>
    <s v="SKF BEARING - 6306/C3"/>
    <x v="3"/>
    <s v="SKF Eurotrade AB"/>
    <n v="3402.3326775304699"/>
    <n v="235"/>
    <n v="235"/>
    <n v="0"/>
    <x v="0"/>
    <x v="4"/>
  </r>
  <r>
    <n v="1000010177"/>
    <s v="P+F, Inductive Sensor Model No.: NJ1,5-18GM-N"/>
    <x v="3"/>
    <s v="Pepperl+Fuchs (ME) FZE"/>
    <n v="3400.65"/>
    <n v="5"/>
    <n v="5"/>
    <n v="0"/>
    <x v="0"/>
    <x v="5"/>
  </r>
  <r>
    <n v="1000010231"/>
    <s v="P+F, Inductive Sensor Model No. SC3,5-G-N0-6M"/>
    <x v="3"/>
    <s v="Pepperl+Fuchs (ME) FZE"/>
    <n v="3394.5266666666598"/>
    <n v="10"/>
    <n v="10"/>
    <n v="0"/>
    <x v="0"/>
    <x v="5"/>
  </r>
  <r>
    <n v="1000100485"/>
    <s v="Direct Mount 5 Valve Manifold, Y53S/NA/PP/SSB"/>
    <x v="5"/>
    <s v="Oliver Valves Ltd."/>
    <n v="3390"/>
    <n v="4"/>
    <n v="4"/>
    <n v="0"/>
    <x v="0"/>
    <x v="6"/>
  </r>
  <r>
    <n v="1000021101"/>
    <s v="SKF BEARING - NU 311 ECJ"/>
    <x v="3"/>
    <s v="SKF Eurotrade AB"/>
    <n v="3379.5052000000001"/>
    <n v="18"/>
    <n v="18"/>
    <n v="0"/>
    <x v="0"/>
    <x v="4"/>
  </r>
  <r>
    <n v="2500008354"/>
    <s v="MPV kit (45KW) P N B009405770008"/>
    <x v="0"/>
    <s v="QURUM Technical Company"/>
    <n v="3375"/>
    <n v="6"/>
    <n v="6"/>
    <n v="0"/>
    <x v="0"/>
    <x v="0"/>
  </r>
  <r>
    <n v="2500009466"/>
    <s v="DESCRIPTION : HQ OVERSHOT ASSEMBLY | Part No:"/>
    <x v="0"/>
    <s v="PARANTHAMAN EXPORTERS"/>
    <n v="3375"/>
    <n v="3"/>
    <n v="3"/>
    <n v="0"/>
    <x v="0"/>
    <x v="0"/>
  </r>
  <r>
    <n v="1000021022"/>
    <s v="SKF BEARING - NU 218 ECJ/C3"/>
    <x v="3"/>
    <s v="SKF Eurotrade AB"/>
    <n v="3370.12"/>
    <n v="9"/>
    <n v="9"/>
    <n v="0"/>
    <x v="0"/>
    <x v="4"/>
  </r>
  <r>
    <n v="1000020125"/>
    <s v="SKF BEARING - 3314 A/C3"/>
    <x v="3"/>
    <s v="SKF Eurotrade AB"/>
    <n v="3368.1593181818098"/>
    <n v="6"/>
    <n v="6"/>
    <n v="0"/>
    <x v="0"/>
    <x v="4"/>
  </r>
  <r>
    <n v="1000098596"/>
    <s v="SKF BEARING -6321/C3"/>
    <x v="3"/>
    <s v="SKF Eurotrade AB"/>
    <n v="3366.85"/>
    <n v="5"/>
    <n v="5"/>
    <n v="0"/>
    <x v="0"/>
    <x v="4"/>
  </r>
  <r>
    <n v="2500006140"/>
    <s v="Intake valve kit PN B009405770006"/>
    <x v="0"/>
    <s v="ELGI Gulf FZE"/>
    <n v="3366.5302083333299"/>
    <n v="5"/>
    <n v="5"/>
    <n v="0"/>
    <x v="0"/>
    <x v="0"/>
  </r>
  <r>
    <n v="2500008222"/>
    <s v="F2 HAKG50 INTAKE-PN B009401070007"/>
    <x v="0"/>
    <s v="ELGI Gulf FZE"/>
    <n v="3357.23794642857"/>
    <n v="5"/>
    <n v="5"/>
    <n v="0"/>
    <x v="0"/>
    <x v="0"/>
  </r>
  <r>
    <n v="1000010070"/>
    <s v="Pepperl+Fuchs Inductive Sensor (SJ3,5-N); P/N"/>
    <x v="3"/>
    <s v="Pepperl+Fuchs (ME) FZE"/>
    <n v="3355.2965369034"/>
    <n v="19"/>
    <n v="19"/>
    <n v="0"/>
    <x v="0"/>
    <x v="5"/>
  </r>
  <r>
    <n v="1000021291"/>
    <s v="SKF BEARING - 22316 E"/>
    <x v="3"/>
    <s v="SKF Eurotrade AB"/>
    <n v="3343.06"/>
    <n v="7"/>
    <n v="7"/>
    <n v="0"/>
    <x v="0"/>
    <x v="4"/>
  </r>
  <r>
    <n v="1000100369"/>
    <s v="SKF Product NU 219 ECJ/C3"/>
    <x v="3"/>
    <s v="SKF Eurotrade AB"/>
    <n v="3339.375"/>
    <n v="8"/>
    <n v="8"/>
    <n v="0"/>
    <x v="0"/>
    <x v="4"/>
  </r>
  <r>
    <n v="1000020904"/>
    <s v="SKF BEARING - NJ 215 ECP/C3"/>
    <x v="3"/>
    <s v="SKF Eurotrade AB"/>
    <n v="3328.8673684210498"/>
    <n v="16"/>
    <n v="16"/>
    <n v="0"/>
    <x v="0"/>
    <x v="4"/>
  </r>
  <r>
    <n v="1000093590"/>
    <s v="Weidmuller; TERMINAL BLOCK; P/N:1020500000; M"/>
    <x v="3"/>
    <s v="Weidmuller Middle East (FZE)"/>
    <n v="3325.7318746917599"/>
    <n v="749"/>
    <n v="749"/>
    <n v="0"/>
    <x v="0"/>
    <x v="3"/>
  </r>
  <r>
    <n v="1000095810"/>
    <s v="Weidmueller,Product :1739680000, Part No: ZQV"/>
    <x v="3"/>
    <s v="Weidmuller Middle East (FZE)"/>
    <n v="3318.5215873086399"/>
    <n v="1906"/>
    <n v="1906"/>
    <n v="0"/>
    <x v="0"/>
    <x v="3"/>
  </r>
  <r>
    <n v="1000100341"/>
    <s v="SKF Product 2310/C3"/>
    <x v="3"/>
    <s v="SKF Eurotrade AB"/>
    <n v="3291.8159999999998"/>
    <n v="15"/>
    <n v="15"/>
    <n v="0"/>
    <x v="0"/>
    <x v="4"/>
  </r>
  <r>
    <n v="1000021087"/>
    <s v="SKF BEARING - NU 308 ECJ"/>
    <x v="3"/>
    <s v="SKF Eurotrade AB"/>
    <n v="3290.7840000000001"/>
    <n v="28"/>
    <n v="28"/>
    <n v="0"/>
    <x v="0"/>
    <x v="4"/>
  </r>
  <r>
    <n v="1000106072"/>
    <s v="P&amp;F Tachometer; TC-LCDC-8A-24VDC; P/T: 701031"/>
    <x v="3"/>
    <s v="Pepperl+Fuchs (ME) FZE"/>
    <n v="3288"/>
    <n v="2"/>
    <n v="2"/>
    <n v="0"/>
    <x v="0"/>
    <x v="5"/>
  </r>
  <r>
    <n v="1000094951"/>
    <s v="Weidmuller; Accessories Cross Connector;  P/N"/>
    <x v="3"/>
    <s v="Weidmuller Middle East (FZE)"/>
    <n v="3283.98982416736"/>
    <n v="1479"/>
    <n v="1479"/>
    <n v="0"/>
    <x v="0"/>
    <x v="3"/>
  </r>
  <r>
    <n v="1000096856"/>
    <s v="SKF BEARING - Model No.NU 1030 M/C3"/>
    <x v="3"/>
    <s v="SKF Eurotrade AB"/>
    <n v="3279.3"/>
    <n v="3"/>
    <n v="3"/>
    <n v="0"/>
    <x v="0"/>
    <x v="4"/>
  </r>
  <r>
    <n v="2700000024"/>
    <s v="SPRING SP07AB01"/>
    <x v="2"/>
    <s v="Sundyne International S.A."/>
    <n v="3269.2045954745399"/>
    <n v="14"/>
    <n v="14"/>
    <n v="0"/>
    <x v="0"/>
    <x v="2"/>
  </r>
  <r>
    <n v="1000095536"/>
    <s v="P+F:Cell photoelectric; Model: RL28-55-Z/47/7"/>
    <x v="3"/>
    <s v="Pepperl+Fuchs (ME) FZE"/>
    <n v="3258.0459999999998"/>
    <n v="5"/>
    <n v="5"/>
    <n v="0"/>
    <x v="0"/>
    <x v="5"/>
  </r>
  <r>
    <n v="1000094887"/>
    <s v="P+F; Hart Multiflexer Master;  Model:KFD2-HMM"/>
    <x v="3"/>
    <s v="Ralph Messring GmbH"/>
    <n v="3250.0039999999999"/>
    <n v="1"/>
    <n v="1"/>
    <n v="0"/>
    <x v="0"/>
    <x v="5"/>
  </r>
  <r>
    <n v="1000098519"/>
    <s v="SKF BEARING-23228 CCK/W33"/>
    <x v="3"/>
    <s v="SKF Eurotrade AB"/>
    <n v="3248.01"/>
    <n v="2"/>
    <n v="2"/>
    <n v="0"/>
    <x v="0"/>
    <x v="4"/>
  </r>
  <r>
    <n v="1000098510"/>
    <s v="SKF BEARING-23124 CC/W33"/>
    <x v="3"/>
    <s v="SKF Eurotrade AB"/>
    <n v="3245.39"/>
    <n v="4"/>
    <n v="4"/>
    <n v="0"/>
    <x v="0"/>
    <x v="4"/>
  </r>
  <r>
    <n v="1000020844"/>
    <s v="SKF BEARING - 7310 BECBJ"/>
    <x v="3"/>
    <s v="Universal Bearings Company"/>
    <n v="3241.125"/>
    <n v="15"/>
    <n v="15"/>
    <n v="0"/>
    <x v="0"/>
    <x v="4"/>
  </r>
  <r>
    <n v="1000100380"/>
    <s v="SKF Product NUP 212 ECJ"/>
    <x v="3"/>
    <s v="SKF Eurotrade AB"/>
    <n v="3222.98"/>
    <n v="10"/>
    <n v="10"/>
    <n v="0"/>
    <x v="0"/>
    <x v="4"/>
  </r>
  <r>
    <n v="1000100153"/>
    <s v="SKF BEARING - 21308 E"/>
    <x v="3"/>
    <s v="SKF Eurotrade AB"/>
    <n v="3217.3670869565199"/>
    <n v="21"/>
    <n v="21"/>
    <n v="0"/>
    <x v="0"/>
    <x v="4"/>
  </r>
  <r>
    <n v="1000099990"/>
    <s v="P+F, Ultrasonic Sensor Model No: UC500-F65-E8"/>
    <x v="3"/>
    <s v="Pepperl+Fuchs (ME) FZE"/>
    <n v="3216.92"/>
    <n v="3"/>
    <n v="3"/>
    <n v="0"/>
    <x v="0"/>
    <x v="5"/>
  </r>
  <r>
    <n v="1000021233"/>
    <s v="SKF BEARING - 22217 E"/>
    <x v="3"/>
    <s v="SKF Eurotrade AB"/>
    <n v="3214.2258823529401"/>
    <n v="11"/>
    <n v="11"/>
    <n v="0"/>
    <x v="0"/>
    <x v="4"/>
  </r>
  <r>
    <n v="1000021330"/>
    <s v="SKF BEARING - 3216 A"/>
    <x v="3"/>
    <s v="SKF Eurotrade AB"/>
    <n v="3208.59"/>
    <n v="7"/>
    <n v="7"/>
    <n v="0"/>
    <x v="0"/>
    <x v="4"/>
  </r>
  <r>
    <n v="1000100954"/>
    <s v="Weidmueller:WFF 35/AH"/>
    <x v="3"/>
    <s v="Weidmuller Middle East (FZE)"/>
    <n v="3191.44"/>
    <n v="140"/>
    <n v="140"/>
    <n v="0"/>
    <x v="0"/>
    <x v="3"/>
  </r>
  <r>
    <n v="1000010087"/>
    <s v="Pepperl+Fuchs Inductive Sensor; Model No.:NJ2"/>
    <x v="3"/>
    <s v="Pepperl+Fuchs (ME) FZE"/>
    <n v="3186.0720000000001"/>
    <n v="19"/>
    <n v="19"/>
    <n v="0"/>
    <x v="0"/>
    <x v="5"/>
  </r>
  <r>
    <n v="1000020566"/>
    <s v="SKF BEARING - 6221"/>
    <x v="3"/>
    <s v="SKF Eurotrade AB"/>
    <n v="3182.6959999999999"/>
    <n v="8"/>
    <n v="8"/>
    <n v="0"/>
    <x v="0"/>
    <x v="4"/>
  </r>
  <r>
    <n v="1000102334"/>
    <s v="P+F, Ultrasonic Sensor; Model No. UC4000-30GM"/>
    <x v="3"/>
    <s v="Pepperl+Fuchs (ME) FZE"/>
    <n v="3155.75"/>
    <n v="3"/>
    <n v="3"/>
    <n v="0"/>
    <x v="0"/>
    <x v="5"/>
  </r>
  <r>
    <n v="1000090908"/>
    <s v="Thermo Electric Make Digital Motherboard PN:0"/>
    <x v="7"/>
    <s v="Thermo Electric Instrumentation B.V."/>
    <n v="3145.5"/>
    <n v="1"/>
    <n v="1"/>
    <n v="0"/>
    <x v="0"/>
    <x v="6"/>
  </r>
  <r>
    <n v="1000094678"/>
    <s v="P+F, Enclosure Protection Vent   Model No. EP"/>
    <x v="3"/>
    <s v="Ralph Messring GmbH"/>
    <n v="3139.0835999999999"/>
    <n v="3"/>
    <n v="3"/>
    <n v="0"/>
    <x v="0"/>
    <x v="5"/>
  </r>
  <r>
    <n v="2500002370"/>
    <s v="CONTROLLER BOARD NEURON XT PN 18362887"/>
    <x v="0"/>
    <s v="ELGI Gulf FZE"/>
    <n v="3127.90333333333"/>
    <n v="4"/>
    <n v="4"/>
    <n v="0"/>
    <x v="0"/>
    <x v="0"/>
  </r>
  <r>
    <n v="2500008158"/>
    <s v="BDV Kit PN B009405770007"/>
    <x v="0"/>
    <s v="ELGI Gulf FZE"/>
    <n v="3116.0571428571402"/>
    <n v="4"/>
    <n v="4"/>
    <n v="0"/>
    <x v="0"/>
    <x v="0"/>
  </r>
  <r>
    <n v="1000100354"/>
    <s v="SKF Product 7308 BECBY"/>
    <x v="3"/>
    <s v="SKF Eurotrade AB"/>
    <n v="3111.3821052631502"/>
    <n v="14"/>
    <n v="14"/>
    <n v="0"/>
    <x v="0"/>
    <x v="4"/>
  </r>
  <r>
    <n v="1000100324"/>
    <s v="SKF Product 309"/>
    <x v="3"/>
    <s v="SKF Eurotrade AB"/>
    <n v="3102.2337815126002"/>
    <n v="19"/>
    <n v="19"/>
    <n v="0"/>
    <x v="0"/>
    <x v="4"/>
  </r>
  <r>
    <n v="1000020245"/>
    <s v="SKF BEARING - 6004-2Z/C3"/>
    <x v="3"/>
    <s v="SKF Eurotrade AB"/>
    <n v="3099.2998282887002"/>
    <n v="435"/>
    <n v="435"/>
    <n v="0"/>
    <x v="0"/>
    <x v="4"/>
  </r>
  <r>
    <n v="1000020087"/>
    <s v="SKF BEARING - 3306 A-2Z"/>
    <x v="3"/>
    <s v="SKF Eurotrade AB"/>
    <n v="3098.8229999999999"/>
    <n v="21"/>
    <n v="21"/>
    <n v="0"/>
    <x v="0"/>
    <x v="4"/>
  </r>
  <r>
    <n v="2500003460"/>
    <s v="ELEMENT, THERM VALVE 125 DEG PN 220310800"/>
    <x v="0"/>
    <s v="ELGI Gulf FZE"/>
    <n v="3094.5"/>
    <n v="4"/>
    <n v="4"/>
    <n v="0"/>
    <x v="0"/>
    <x v="0"/>
  </r>
  <r>
    <n v="1000100639"/>
    <s v="Profibus FBCON SS DP PCG TERM 24V Part No: 87"/>
    <x v="3"/>
    <s v="Weidmuller Middle East (FZE)"/>
    <n v="3091.1206447887198"/>
    <n v="5"/>
    <n v="5"/>
    <n v="0"/>
    <x v="0"/>
    <x v="3"/>
  </r>
  <r>
    <n v="1000100343"/>
    <s v="SKF Product 2311 K/C3"/>
    <x v="3"/>
    <s v="SKF Eurotrade AB"/>
    <n v="3090.2669999999998"/>
    <n v="12"/>
    <n v="12"/>
    <n v="0"/>
    <x v="0"/>
    <x v="4"/>
  </r>
  <r>
    <n v="1000099971"/>
    <s v="P+F ULTRASONIC SENSOR UC4000-30GM-E7R2-V15"/>
    <x v="3"/>
    <s v="Pepperl+Fuchs (ME) FZE"/>
    <n v="3088.13"/>
    <n v="3"/>
    <n v="3"/>
    <n v="0"/>
    <x v="0"/>
    <x v="5"/>
  </r>
  <r>
    <n v="2500008436"/>
    <s v="INTAKE VALVE RH25S  P N  B009800780016"/>
    <x v="0"/>
    <s v="ELGI Gulf FZE"/>
    <n v="3074.4650000000001"/>
    <n v="4"/>
    <n v="4"/>
    <n v="0"/>
    <x v="0"/>
    <x v="0"/>
  </r>
  <r>
    <n v="1000099431"/>
    <s v="SKF BEARINGS - Model No. TSN 517 C"/>
    <x v="3"/>
    <s v="SKF Eurotrade AB"/>
    <n v="3060.4688973606999"/>
    <n v="69"/>
    <n v="69"/>
    <n v="0"/>
    <x v="0"/>
    <x v="4"/>
  </r>
  <r>
    <n v="1000096788"/>
    <s v="SKF BEARING -NU 2210 ECP/C3"/>
    <x v="3"/>
    <s v="SKF Eurotrade AB"/>
    <n v="3054.83"/>
    <n v="36"/>
    <n v="36"/>
    <n v="0"/>
    <x v="0"/>
    <x v="4"/>
  </r>
  <r>
    <n v="1000020323"/>
    <s v="SKF BEARING - 6022"/>
    <x v="3"/>
    <s v="SKF Eurotrade AB"/>
    <n v="3052.25"/>
    <n v="15"/>
    <n v="15"/>
    <n v="0"/>
    <x v="0"/>
    <x v="4"/>
  </r>
  <r>
    <n v="2500008255"/>
    <s v="Intake valve kit PN. B009405770005"/>
    <x v="0"/>
    <s v="ELGI Gulf FZE"/>
    <n v="3040.0000285000001"/>
    <n v="6"/>
    <n v="6"/>
    <n v="0"/>
    <x v="0"/>
    <x v="0"/>
  </r>
  <r>
    <n v="1000020679"/>
    <s v="SKF BEARING - 6310"/>
    <x v="3"/>
    <s v="Universal Bearings Company"/>
    <n v="3031.6598062953899"/>
    <n v="60"/>
    <n v="60"/>
    <n v="0"/>
    <x v="0"/>
    <x v="4"/>
  </r>
  <r>
    <n v="1000098587"/>
    <s v="SKF BEARING -6310-2Z/VA228"/>
    <x v="3"/>
    <s v="SKF Eurotrade AB"/>
    <n v="3031.46"/>
    <n v="10"/>
    <n v="10"/>
    <n v="0"/>
    <x v="0"/>
    <x v="4"/>
  </r>
  <r>
    <n v="1000021324"/>
    <s v="SKF BEARING - 23218 CC/W33"/>
    <x v="3"/>
    <s v="SKF Eurotrade AB"/>
    <n v="3026.57"/>
    <n v="6"/>
    <n v="6"/>
    <n v="0"/>
    <x v="0"/>
    <x v="4"/>
  </r>
  <r>
    <n v="2500008263"/>
    <s v="Housing Assembly PN B011106740001"/>
    <x v="0"/>
    <s v="ELGI Gulf FZE"/>
    <n v="3015"/>
    <n v="2"/>
    <n v="2"/>
    <n v="0"/>
    <x v="0"/>
    <x v="0"/>
  </r>
  <r>
    <n v="1000010236"/>
    <s v="P+F, Inductive Sensor Model No. NJ15-30GKK-N "/>
    <x v="3"/>
    <s v="Pepperl+Fuchs (ME) FZE"/>
    <n v="3011.4479999999999"/>
    <n v="12"/>
    <n v="12"/>
    <n v="0"/>
    <x v="0"/>
    <x v="5"/>
  </r>
  <r>
    <n v="2500008590"/>
    <s v="Kit, check valve  P/N : 412400001"/>
    <x v="0"/>
    <s v="ELGI Gulf FZE"/>
    <n v="3010"/>
    <n v="2"/>
    <n v="2"/>
    <n v="0"/>
    <x v="0"/>
    <x v="0"/>
  </r>
  <r>
    <n v="1000098590"/>
    <s v="SKF BEARING -6314/C3VL0241"/>
    <x v="3"/>
    <s v="SKF Eurotrade AB"/>
    <n v="3006.74"/>
    <n v="2"/>
    <n v="2"/>
    <n v="0"/>
    <x v="0"/>
    <x v="4"/>
  </r>
  <r>
    <n v="1000020526"/>
    <s v="SKF BEARING - 6216-2RS1"/>
    <x v="3"/>
    <s v="SKF Eurotrade AB"/>
    <n v="3003.9243333333302"/>
    <n v="25"/>
    <n v="25"/>
    <n v="0"/>
    <x v="0"/>
    <x v="4"/>
  </r>
  <r>
    <n v="1000021003"/>
    <s v="SKF BEARING - NU 212 ECP"/>
    <x v="3"/>
    <s v="SKF Eurotrade AB"/>
    <n v="3000.72"/>
    <n v="23"/>
    <n v="23"/>
    <n v="0"/>
    <x v="0"/>
    <x v="4"/>
  </r>
  <r>
    <n v="1000100356"/>
    <s v="SKF Product  AN 19"/>
    <x v="3"/>
    <s v="SKF Eurotrade AB"/>
    <n v="2998.06"/>
    <n v="29"/>
    <n v="29"/>
    <n v="0"/>
    <x v="0"/>
    <x v="4"/>
  </r>
  <r>
    <n v="1000098743"/>
    <s v="SKF BEARING -32044 X"/>
    <x v="3"/>
    <s v="SKF Eurotrade AB"/>
    <n v="2995.65"/>
    <n v="1"/>
    <n v="1"/>
    <n v="0"/>
    <x v="0"/>
    <x v="4"/>
  </r>
  <r>
    <n v="1000020863"/>
    <s v="SKF BEARING - 7314 BECBP"/>
    <x v="3"/>
    <s v="SKF Eurotrade AB"/>
    <n v="2992.8083333333302"/>
    <n v="10"/>
    <n v="10"/>
    <n v="0"/>
    <x v="0"/>
    <x v="4"/>
  </r>
  <r>
    <n v="1000020111"/>
    <s v="SKF BEARING - 3310 A-2Z/C3"/>
    <x v="3"/>
    <s v="SKF Eurotrade AB"/>
    <n v="2985.3"/>
    <n v="10"/>
    <n v="10"/>
    <n v="0"/>
    <x v="0"/>
    <x v="4"/>
  </r>
  <r>
    <n v="1000100347"/>
    <s v="SKF Product 3209 ATN9"/>
    <x v="3"/>
    <s v="SKF Eurotrade AB"/>
    <n v="2973.64"/>
    <n v="24"/>
    <n v="24"/>
    <n v="0"/>
    <x v="0"/>
    <x v="4"/>
  </r>
  <r>
    <n v="1000102203"/>
    <s v="SKF BEARINGS - NJ 210 ECJ"/>
    <x v="3"/>
    <s v="SKF Eurotrade AB"/>
    <n v="2968.8125"/>
    <n v="20"/>
    <n v="20"/>
    <n v="0"/>
    <x v="0"/>
    <x v="4"/>
  </r>
  <r>
    <n v="1000094024"/>
    <s v="SKF BEARINGS - Model No. NU 2320 ECJ/C3"/>
    <x v="3"/>
    <s v="SKF Eurotrade AB"/>
    <n v="2960.67"/>
    <n v="2"/>
    <n v="2"/>
    <n v="0"/>
    <x v="0"/>
    <x v="4"/>
  </r>
  <r>
    <n v="1000103025"/>
    <s v="PEPPERL+FUSH; NCB5-18GM40-Z0 P/N: 089258"/>
    <x v="3"/>
    <s v="Pepperl+Fuchs (ME) FZE"/>
    <n v="2949.91"/>
    <n v="15"/>
    <n v="15"/>
    <n v="0"/>
    <x v="0"/>
    <x v="5"/>
  </r>
  <r>
    <n v="1000021026"/>
    <s v="SKF BEARING - NU 219 ECM/C3"/>
    <x v="3"/>
    <s v="SKF Eurotrade AB"/>
    <n v="2943.68"/>
    <n v="4"/>
    <n v="4"/>
    <n v="0"/>
    <x v="0"/>
    <x v="4"/>
  </r>
  <r>
    <n v="2500008172"/>
    <s v="Coupling Element MDL EG110-EG160 PN B00540117"/>
    <x v="0"/>
    <s v="ELGI Gulf FZE"/>
    <n v="2934.6916666666598"/>
    <n v="5"/>
    <n v="5"/>
    <n v="0"/>
    <x v="0"/>
    <x v="0"/>
  </r>
  <r>
    <n v="1000020193"/>
    <s v="SKF BEARING - 32320 J2"/>
    <x v="3"/>
    <s v="SKF Eurotrade AB"/>
    <n v="2925.26"/>
    <n v="2"/>
    <n v="2"/>
    <n v="0"/>
    <x v="0"/>
    <x v="4"/>
  </r>
  <r>
    <n v="1000020977"/>
    <s v="SKF BEARING - NU 1018 ML"/>
    <x v="3"/>
    <s v="SKF Eurotrade AB"/>
    <n v="2923.22"/>
    <n v="5"/>
    <n v="5"/>
    <n v="0"/>
    <x v="0"/>
    <x v="4"/>
  </r>
  <r>
    <n v="1000021122"/>
    <s v="SKF BEARING - NU 315 ECJ"/>
    <x v="3"/>
    <s v="SKF Eurotrade AB"/>
    <n v="2922.75"/>
    <n v="8"/>
    <n v="8"/>
    <n v="0"/>
    <x v="0"/>
    <x v="4"/>
  </r>
  <r>
    <n v="1000020713"/>
    <s v="SKF BEARING - 6314-2RS1"/>
    <x v="3"/>
    <s v="SKF Eurotrade AB"/>
    <n v="2919.72"/>
    <n v="21"/>
    <n v="21"/>
    <n v="0"/>
    <x v="0"/>
    <x v="4"/>
  </r>
  <r>
    <n v="1000020579"/>
    <s v="SKF BEARING - 6224"/>
    <x v="3"/>
    <s v="Universal Bearings Company"/>
    <n v="2918.25"/>
    <n v="5"/>
    <n v="5"/>
    <n v="0"/>
    <x v="0"/>
    <x v="4"/>
  </r>
  <r>
    <n v="1000098549"/>
    <s v="SKF BEARING-61844/C3"/>
    <x v="3"/>
    <s v="SKF Eurotrade AB"/>
    <n v="2912.4720000000002"/>
    <n v="3"/>
    <n v="3"/>
    <n v="0"/>
    <x v="0"/>
    <x v="4"/>
  </r>
  <r>
    <n v="1000098456"/>
    <s v="SKF BEARING-61844"/>
    <x v="3"/>
    <s v="SKF Eurotrade AB"/>
    <n v="2912.47"/>
    <n v="3"/>
    <n v="3"/>
    <n v="0"/>
    <x v="0"/>
    <x v="4"/>
  </r>
  <r>
    <n v="1000020516"/>
    <s v="SKF BEARING - 6214-Z"/>
    <x v="3"/>
    <s v="SKF Eurotrade AB"/>
    <n v="2910.9"/>
    <n v="21"/>
    <n v="21"/>
    <n v="0"/>
    <x v="0"/>
    <x v="4"/>
  </r>
  <r>
    <n v="1000093685"/>
    <s v="Weidmuller; Blank Terminal Markers; P/N: 1609"/>
    <x v="3"/>
    <s v="Weidmuller Middle East (FZE)"/>
    <n v="2905.7440435653298"/>
    <n v="33250"/>
    <n v="18250"/>
    <n v="15000"/>
    <x v="8"/>
    <x v="3"/>
  </r>
  <r>
    <n v="1000020657"/>
    <s v="SKF BEARING - 6308-2Z"/>
    <x v="3"/>
    <s v="SKF Eurotrade AB"/>
    <n v="2905.4711159270701"/>
    <n v="88"/>
    <n v="88"/>
    <n v="0"/>
    <x v="0"/>
    <x v="4"/>
  </r>
  <r>
    <n v="1000092753"/>
    <s v="Bezel Assembly, Model code B8705KY + Main FFC"/>
    <x v="5"/>
    <s v="Yokogawa Middle East &amp; Africa B.S.C. Â©"/>
    <n v="2891.35"/>
    <n v="1"/>
    <n v="1"/>
    <n v="0"/>
    <x v="0"/>
    <x v="6"/>
  </r>
  <r>
    <n v="1000020715"/>
    <s v="SKF BEARING - 6314-2Z"/>
    <x v="3"/>
    <s v="SKF Eurotrade AB"/>
    <n v="2884.4868009868401"/>
    <n v="19"/>
    <n v="19"/>
    <n v="0"/>
    <x v="0"/>
    <x v="4"/>
  </r>
  <r>
    <n v="2500005891"/>
    <s v="AIRFILTER ELEMENT E45TO55 PN B005700770007"/>
    <x v="0"/>
    <s v="ELGI Gulf FZE"/>
    <n v="2881.88"/>
    <n v="15"/>
    <n v="15"/>
    <n v="0"/>
    <x v="0"/>
    <x v="0"/>
  </r>
  <r>
    <n v="1000102445"/>
    <s v="Pepperl+Fuchs Inductive Sensor;  Model No. NB"/>
    <x v="3"/>
    <s v="Pepperl+Fuchs (ME) FZE"/>
    <n v="2877"/>
    <n v="20"/>
    <n v="20"/>
    <n v="0"/>
    <x v="0"/>
    <x v="5"/>
  </r>
  <r>
    <n v="1000020817"/>
    <s v="SKF BEARING - 7218 BECBJ"/>
    <x v="3"/>
    <s v="SKF Eurotrade AB"/>
    <n v="2868.1875"/>
    <n v="5"/>
    <n v="5"/>
    <n v="0"/>
    <x v="0"/>
    <x v="4"/>
  </r>
  <r>
    <n v="1000020461"/>
    <s v="SKF BEARING - 6208-2RS1/C3"/>
    <x v="3"/>
    <s v="SKF Eurotrade AB"/>
    <n v="2863.5577028305902"/>
    <n v="117"/>
    <n v="117"/>
    <n v="0"/>
    <x v="0"/>
    <x v="4"/>
  </r>
  <r>
    <n v="2500008252"/>
    <s v="3815928_PRIMARY CATRIDGE PN B013603500581"/>
    <x v="0"/>
    <s v="ELGI Gulf FZE"/>
    <n v="2851.5050000000001"/>
    <n v="8"/>
    <n v="8"/>
    <n v="0"/>
    <x v="0"/>
    <x v="0"/>
  </r>
  <r>
    <n v="2200000294"/>
    <s v="O-Ring Repair Kit  PN-RKORP311UC64DB2"/>
    <x v="2"/>
    <s v="Sundyne International S.A."/>
    <n v="2845.92"/>
    <n v="2"/>
    <n v="2"/>
    <n v="0"/>
    <x v="0"/>
    <x v="2"/>
  </r>
  <r>
    <n v="1000098514"/>
    <s v="SKF BEARING-23222 CC/C4W33"/>
    <x v="3"/>
    <s v="SKF Eurotrade AB"/>
    <n v="2827.19"/>
    <n v="3"/>
    <n v="3"/>
    <n v="0"/>
    <x v="0"/>
    <x v="4"/>
  </r>
  <r>
    <n v="1000020629"/>
    <s v="SKF BEARING - 6305-2RS1/C3"/>
    <x v="3"/>
    <s v="SKF Eurotrade AB"/>
    <n v="2807.19032487309"/>
    <n v="187"/>
    <n v="187"/>
    <n v="0"/>
    <x v="0"/>
    <x v="4"/>
  </r>
  <r>
    <n v="1000020127"/>
    <s v="SKF BEARING - 3315 A/C3"/>
    <x v="3"/>
    <s v="SKF Eurotrade AB"/>
    <n v="2801.76"/>
    <n v="4"/>
    <n v="4"/>
    <n v="0"/>
    <x v="0"/>
    <x v="4"/>
  </r>
  <r>
    <n v="1000020134"/>
    <s v="SKF BEARING - 3322 A"/>
    <x v="3"/>
    <s v="SKF Eurotrade AB"/>
    <n v="2790.41"/>
    <n v="1"/>
    <n v="1"/>
    <n v="0"/>
    <x v="0"/>
    <x v="4"/>
  </r>
  <r>
    <n v="1000020716"/>
    <s v="SKF BEARING - 6314-2Z/C3"/>
    <x v="3"/>
    <s v="SKF Eurotrade AB"/>
    <n v="2789.7750000000001"/>
    <n v="18"/>
    <n v="18"/>
    <n v="0"/>
    <x v="0"/>
    <x v="4"/>
  </r>
  <r>
    <n v="2500008288"/>
    <s v="Actuator kit PN  972300070"/>
    <x v="0"/>
    <s v="ELGI Gulf FZE"/>
    <n v="2784.76283333333"/>
    <n v="13"/>
    <n v="2"/>
    <n v="11"/>
    <x v="6"/>
    <x v="0"/>
  </r>
  <r>
    <n v="1000093949"/>
    <s v="SKF BEARING - NU 1028 M"/>
    <x v="3"/>
    <s v="SKF Eurotrade AB"/>
    <n v="2780.5302000000001"/>
    <n v="3"/>
    <n v="3"/>
    <n v="0"/>
    <x v="0"/>
    <x v="4"/>
  </r>
  <r>
    <n v="1000020722"/>
    <s v="SKF BEARING - 6315-2RS1/C3"/>
    <x v="3"/>
    <s v="SKF Eurotrade AB"/>
    <n v="2765.63"/>
    <n v="10"/>
    <n v="10"/>
    <n v="0"/>
    <x v="0"/>
    <x v="4"/>
  </r>
  <r>
    <n v="1000107062"/>
    <s v="P&amp;F Product; UC500-30GM-E6R2-V15; P/N:102157"/>
    <x v="3"/>
    <s v="Pepperl+Fuchs (ME) FZE"/>
    <n v="2750.23"/>
    <n v="3"/>
    <n v="3"/>
    <n v="0"/>
    <x v="0"/>
    <x v="5"/>
  </r>
  <r>
    <n v="1000020584"/>
    <s v="SKF BEARING - 62306-2RS1"/>
    <x v="3"/>
    <s v="SKF Eurotrade AB"/>
    <n v="2742.98"/>
    <n v="46"/>
    <n v="46"/>
    <n v="0"/>
    <x v="3"/>
    <x v="4"/>
  </r>
  <r>
    <n v="1000105118"/>
    <s v="P&amp;F Product; Compact Fieldbus Power Hub Mothe"/>
    <x v="3"/>
    <s v="Pepperl+Fuchs (ME) FZE"/>
    <n v="2741.0937406584899"/>
    <n v="1"/>
    <n v="1"/>
    <n v="0"/>
    <x v="0"/>
    <x v="5"/>
  </r>
  <r>
    <n v="1000021193"/>
    <s v="SKF BEARING - H 320"/>
    <x v="3"/>
    <s v="SKF Eurotrade AB"/>
    <n v="2738.66"/>
    <n v="19"/>
    <n v="19"/>
    <n v="0"/>
    <x v="0"/>
    <x v="4"/>
  </r>
  <r>
    <n v="1000099634"/>
    <s v="SKF BEARING -2307 EKTN9/C3"/>
    <x v="3"/>
    <s v="SKF Eurotrade AB"/>
    <n v="2738.44"/>
    <n v="25"/>
    <n v="25"/>
    <n v="0"/>
    <x v="0"/>
    <x v="4"/>
  </r>
  <r>
    <n v="1000020655"/>
    <s v="SKF BEARING - 6308-2RS1"/>
    <x v="3"/>
    <s v="SKF Eurotrade AB"/>
    <n v="2736.4"/>
    <n v="70"/>
    <n v="70"/>
    <n v="0"/>
    <x v="0"/>
    <x v="4"/>
  </r>
  <r>
    <n v="1000021364"/>
    <s v="SKF BEARING - HA 317"/>
    <x v="3"/>
    <s v="SKF Eurotrade AB"/>
    <n v="2733.4044574203599"/>
    <n v="13"/>
    <n v="13"/>
    <n v="0"/>
    <x v="0"/>
    <x v="4"/>
  </r>
  <r>
    <n v="1000020686"/>
    <s v="SKF BEARING - 6310-Z/C3"/>
    <x v="3"/>
    <s v="SKF Eurotrade AB"/>
    <n v="2717.35977910156"/>
    <n v="32"/>
    <n v="32"/>
    <n v="0"/>
    <x v="0"/>
    <x v="4"/>
  </r>
  <r>
    <n v="1000095826"/>
    <s v="Weidmueller,Product:1052360000,Part No: WQV 6"/>
    <x v="3"/>
    <s v="Weidmuller Middle East (FZE)"/>
    <n v="2712.8795969255798"/>
    <n v="1309"/>
    <n v="1309"/>
    <n v="0"/>
    <x v="0"/>
    <x v="3"/>
  </r>
  <r>
    <n v="1000098449"/>
    <s v="SKF BEARING-32320"/>
    <x v="3"/>
    <s v="SKF Eurotrade AB"/>
    <n v="2708.09"/>
    <n v="2"/>
    <n v="2"/>
    <n v="0"/>
    <x v="0"/>
    <x v="4"/>
  </r>
  <r>
    <n v="2500004256"/>
    <s v="Pressure Transmitter(0-16bar)M PN 00897902N"/>
    <x v="0"/>
    <s v="ELGI Gulf FZE"/>
    <n v="2706.9833335130202"/>
    <n v="5"/>
    <n v="5"/>
    <n v="0"/>
    <x v="0"/>
    <x v="0"/>
  </r>
  <r>
    <n v="2500009187"/>
    <s v="TL999LLX1X0034BSTDO10 VT TSW  | P/N-B171901"/>
    <x v="0"/>
    <s v="ELGI Gulf FZE"/>
    <n v="2700"/>
    <n v="4"/>
    <n v="4"/>
    <n v="0"/>
    <x v="0"/>
    <x v="0"/>
  </r>
  <r>
    <n v="2500008558"/>
    <s v="ENGINE AIRFILTER KIT - 32400249"/>
    <x v="0"/>
    <s v="ELGI Gulf FZE"/>
    <n v="2696.6261111111098"/>
    <n v="12"/>
    <n v="12"/>
    <n v="0"/>
    <x v="0"/>
    <x v="0"/>
  </r>
  <r>
    <n v="1000106060"/>
    <s v="P&amp;F Inductive Sensor; NJ50-FP-N-P1; P/N: 7013"/>
    <x v="3"/>
    <s v="Pepperl+Fuchs (ME) FZE"/>
    <n v="2689.65"/>
    <n v="5"/>
    <n v="5"/>
    <n v="0"/>
    <x v="0"/>
    <x v="5"/>
  </r>
  <r>
    <n v="1000096711"/>
    <s v="SKF BEARING - 308 TN9/C3"/>
    <x v="3"/>
    <s v="SKF Eurotrade AB"/>
    <n v="2689.1120454545398"/>
    <n v="21"/>
    <n v="21"/>
    <n v="0"/>
    <x v="0"/>
    <x v="4"/>
  </r>
  <r>
    <n v="1000097644"/>
    <s v="SKF BEARING - 3308 DMA"/>
    <x v="3"/>
    <s v="SKF Eurotrade AB"/>
    <n v="2683.31"/>
    <n v="5"/>
    <n v="5"/>
    <n v="0"/>
    <x v="0"/>
    <x v="4"/>
  </r>
  <r>
    <n v="1000100339"/>
    <s v="SKF Product 21306 CC"/>
    <x v="3"/>
    <s v="SKF Eurotrade AB"/>
    <n v="2682.74"/>
    <n v="21"/>
    <n v="21"/>
    <n v="0"/>
    <x v="0"/>
    <x v="4"/>
  </r>
  <r>
    <n v="1000103521"/>
    <s v="SKF Product; 32038 X"/>
    <x v="3"/>
    <s v="SKF Eurotrade AB"/>
    <n v="2679.79"/>
    <n v="1"/>
    <n v="1"/>
    <n v="0"/>
    <x v="0"/>
    <x v="4"/>
  </r>
  <r>
    <n v="2500009353"/>
    <s v="DESCRIPTION :Intake Valve Kit | PART NUMBER: "/>
    <x v="0"/>
    <s v="ELGI Gulf FZE"/>
    <n v="2679"/>
    <n v="4"/>
    <n v="4"/>
    <n v="0"/>
    <x v="0"/>
    <x v="0"/>
  </r>
  <r>
    <n v="1000020987"/>
    <s v="SKF BEARING - NU 208 ECJ"/>
    <x v="3"/>
    <s v="SKF Eurotrade AB"/>
    <n v="2676.63"/>
    <n v="29"/>
    <n v="29"/>
    <n v="0"/>
    <x v="0"/>
    <x v="4"/>
  </r>
  <r>
    <n v="2500008238"/>
    <s v="Cooler Oil &amp; After PN B012900690003"/>
    <x v="0"/>
    <s v="ELGI Gulf FZE"/>
    <n v="2673.75"/>
    <n v="1"/>
    <n v="1"/>
    <n v="0"/>
    <x v="0"/>
    <x v="0"/>
  </r>
  <r>
    <n v="2500008956"/>
    <s v="2879766 TACHOMETER NTA P/N-B013603500500"/>
    <x v="0"/>
    <s v="ELGI Gulf FZE"/>
    <n v="2662.88"/>
    <n v="1"/>
    <n v="1"/>
    <n v="0"/>
    <x v="0"/>
    <x v="0"/>
  </r>
  <r>
    <n v="1000107658"/>
    <s v="P&amp;F Product; NBN15-30GM40-Z0; P/N: 088214"/>
    <x v="3"/>
    <s v="Pepperl+Fuchs (ME) FZE"/>
    <n v="2660.46"/>
    <n v="10"/>
    <n v="10"/>
    <n v="0"/>
    <x v="0"/>
    <x v="5"/>
  </r>
  <r>
    <n v="1000106109"/>
    <s v="P&amp;F Power Feed Module; KFD2-EB2; P/N: 189783"/>
    <x v="3"/>
    <s v="Pepperl+Fuchs (ME) FZE"/>
    <n v="2655.42"/>
    <n v="10"/>
    <n v="10"/>
    <n v="0"/>
    <x v="0"/>
    <x v="5"/>
  </r>
  <r>
    <n v="1000020690"/>
    <s v="SKF BEARING - 6311-2RS1/C3"/>
    <x v="3"/>
    <s v="SKF Eurotrade AB"/>
    <n v="2649.3437142857101"/>
    <n v="33"/>
    <n v="33"/>
    <n v="0"/>
    <x v="0"/>
    <x v="4"/>
  </r>
  <r>
    <n v="1000020962"/>
    <s v="SKF BEARING - NJ 312 ECJ"/>
    <x v="3"/>
    <s v="SKF Eurotrade AB"/>
    <n v="2641.8311111111102"/>
    <n v="8"/>
    <n v="8"/>
    <n v="0"/>
    <x v="0"/>
    <x v="4"/>
  </r>
  <r>
    <n v="1000020841"/>
    <s v="SKF BEARING - 7309 BECBJ"/>
    <x v="3"/>
    <s v="SKF Eurotrade AB"/>
    <n v="2639.8419776002502"/>
    <n v="17"/>
    <n v="17"/>
    <n v="0"/>
    <x v="0"/>
    <x v="4"/>
  </r>
  <r>
    <n v="2500005842"/>
    <s v="DRIVE COUPLING INSERT UCW276 PN B005401170005"/>
    <x v="0"/>
    <s v="ELGI Gulf FZE"/>
    <n v="2637.19"/>
    <n v="16"/>
    <n v="16"/>
    <n v="0"/>
    <x v="0"/>
    <x v="0"/>
  </r>
  <r>
    <n v="1000020706"/>
    <s v="SKF BEARING - 6313-2RS1/C3"/>
    <x v="3"/>
    <s v="Universal Bearings Company"/>
    <n v="2632.5"/>
    <n v="20"/>
    <n v="20"/>
    <n v="0"/>
    <x v="0"/>
    <x v="4"/>
  </r>
  <r>
    <n v="1000020790"/>
    <s v="SKF BEARING - 7204 BECBM"/>
    <x v="3"/>
    <s v="SKF Eurotrade AB"/>
    <n v="2632.31"/>
    <n v="27"/>
    <n v="27"/>
    <n v="0"/>
    <x v="0"/>
    <x v="4"/>
  </r>
  <r>
    <n v="1000108324"/>
    <s v="SKF Product; 30318"/>
    <x v="3"/>
    <s v="SKF Eurotrade AB"/>
    <n v="2631"/>
    <n v="5"/>
    <n v="5"/>
    <n v="0"/>
    <x v="0"/>
    <x v="4"/>
  </r>
  <r>
    <n v="1000020475"/>
    <s v="SKF BEARING - 6209-2RS1/C3"/>
    <x v="3"/>
    <s v="SKF Eurotrade AB"/>
    <n v="2622"/>
    <n v="95"/>
    <n v="95"/>
    <n v="0"/>
    <x v="0"/>
    <x v="4"/>
  </r>
  <r>
    <n v="1000020089"/>
    <s v="SKF BEARING - 3307 A/C3"/>
    <x v="3"/>
    <s v="SKF Eurotrade AB"/>
    <n v="2620.125"/>
    <n v="15"/>
    <n v="15"/>
    <n v="0"/>
    <x v="0"/>
    <x v="4"/>
  </r>
  <r>
    <n v="2500008141"/>
    <s v="ACTUATOR ASSY, SINGLE ACTING MDL 300/100,PG 9"/>
    <x v="0"/>
    <s v="ELGI Gulf FZE"/>
    <n v="2604.0949999999998"/>
    <n v="5"/>
    <n v="5"/>
    <n v="0"/>
    <x v="0"/>
    <x v="0"/>
  </r>
  <r>
    <n v="1000101359"/>
    <s v="Weidmuller; Model No:QB 58/8/15;   PN:5454000"/>
    <x v="3"/>
    <s v="Weidmuller Middle East (FZE)"/>
    <n v="2600.8161987875701"/>
    <n v="158"/>
    <n v="158"/>
    <n v="0"/>
    <x v="0"/>
    <x v="3"/>
  </r>
  <r>
    <n v="2200002602"/>
    <s v="STUD INDUCER, PN- ST06AA01DB2"/>
    <x v="2"/>
    <s v="Sundyne International S.A."/>
    <n v="2593.36"/>
    <n v="1"/>
    <n v="1"/>
    <n v="0"/>
    <x v="0"/>
    <x v="1"/>
  </r>
  <r>
    <n v="1000105184"/>
    <s v="Weidmuller Product; AP KDKS1 DB, P/N: 9532470"/>
    <x v="3"/>
    <s v="Weidmuller Middle East (FZE)"/>
    <n v="2592.1815999999999"/>
    <n v="940"/>
    <n v="940"/>
    <n v="0"/>
    <x v="0"/>
    <x v="3"/>
  </r>
  <r>
    <n v="1000020488"/>
    <s v="SKF BEARING - 6211"/>
    <x v="3"/>
    <s v="SKF Eurotrade AB"/>
    <n v="2588.1694520547899"/>
    <n v="63"/>
    <n v="63"/>
    <n v="0"/>
    <x v="0"/>
    <x v="4"/>
  </r>
  <r>
    <n v="1000020869"/>
    <s v="SKF BEARING - 7316 BECBM"/>
    <x v="3"/>
    <s v="SKF Eurotrade AB"/>
    <n v="2576.26827913533"/>
    <n v="3"/>
    <n v="3"/>
    <n v="0"/>
    <x v="0"/>
    <x v="4"/>
  </r>
  <r>
    <n v="1000101343"/>
    <s v="Weidmueller,Product:1650340000;   PN:ZDU 2.5/"/>
    <x v="3"/>
    <s v="Weidmuller Middle East (FZE)"/>
    <n v="2576.0918095237998"/>
    <n v="419"/>
    <n v="419"/>
    <n v="0"/>
    <x v="0"/>
    <x v="3"/>
  </r>
  <r>
    <n v="2500008973"/>
    <s v="COUPLING TDS-27/DT-27 DV0"/>
    <x v="0"/>
    <s v="ELGI Gulf FZE"/>
    <n v="2575.12"/>
    <n v="1"/>
    <n v="1"/>
    <n v="0"/>
    <x v="0"/>
    <x v="0"/>
  </r>
  <r>
    <n v="1000020782"/>
    <s v="SKF BEARING - 51203"/>
    <x v="3"/>
    <s v="SKF Eurotrade AB"/>
    <n v="2573.2575000000002"/>
    <n v="99"/>
    <n v="99"/>
    <n v="0"/>
    <x v="0"/>
    <x v="4"/>
  </r>
  <r>
    <n v="1000021316"/>
    <s v="SKF BEARING - 22328 CCK/C3W33"/>
    <x v="3"/>
    <s v="SKF Eurotrade AB"/>
    <n v="2567.98"/>
    <n v="1"/>
    <n v="1"/>
    <n v="0"/>
    <x v="0"/>
    <x v="4"/>
  </r>
  <r>
    <n v="1000093781"/>
    <s v="SKF BEARING NUT : Model No. KM 9"/>
    <x v="3"/>
    <s v="Universal Bearings Company"/>
    <n v="2567.8359587493701"/>
    <n v="150"/>
    <n v="150"/>
    <n v="0"/>
    <x v="0"/>
    <x v="4"/>
  </r>
  <r>
    <n v="1000098684"/>
    <s v="SKF BEARING -N 316 ECM/C3"/>
    <x v="3"/>
    <s v="SKF Eurotrade AB"/>
    <n v="2563.3000000000002"/>
    <n v="2"/>
    <n v="2"/>
    <n v="0"/>
    <x v="0"/>
    <x v="4"/>
  </r>
  <r>
    <n v="1000098677"/>
    <s v="SKF BEARING -N 316 ECM"/>
    <x v="3"/>
    <s v="SKF Eurotrade AB"/>
    <n v="2563.29"/>
    <n v="2"/>
    <n v="2"/>
    <n v="0"/>
    <x v="0"/>
    <x v="4"/>
  </r>
  <r>
    <n v="1000020833"/>
    <s v="SKF BEARING - 7306 BECBM"/>
    <x v="3"/>
    <s v="SKF Eurotrade AB"/>
    <n v="2551.6028477078398"/>
    <n v="17"/>
    <n v="17"/>
    <n v="0"/>
    <x v="0"/>
    <x v="4"/>
  </r>
  <r>
    <n v="1000020440"/>
    <s v="SKF BEARING - 6206-2RS1"/>
    <x v="3"/>
    <s v="SKF Eurotrade AB"/>
    <n v="2548.0349448306101"/>
    <n v="185"/>
    <n v="175"/>
    <n v="10"/>
    <x v="3"/>
    <x v="4"/>
  </r>
  <r>
    <n v="1000099415"/>
    <s v="Weidmuller; Model:PRO MAX 480W 24V 20A; PN:14"/>
    <x v="3"/>
    <s v="Weidmuller Middle East (FZE)"/>
    <n v="2547.2115183615801"/>
    <n v="5"/>
    <n v="5"/>
    <n v="0"/>
    <x v="0"/>
    <x v="3"/>
  </r>
  <r>
    <n v="1000010205"/>
    <s v="P+F, Switch Amplifier Model No. KFD2-SR2-Ex1."/>
    <x v="3"/>
    <s v="Ralph Messring GmbH"/>
    <n v="2546.9526133333302"/>
    <n v="4"/>
    <n v="4"/>
    <n v="0"/>
    <x v="0"/>
    <x v="5"/>
  </r>
  <r>
    <n v="1000098219"/>
    <s v="SKF BEARING - KM 8"/>
    <x v="3"/>
    <s v="Universal Bearings Company"/>
    <n v="2544.6728870858601"/>
    <n v="160"/>
    <n v="160"/>
    <n v="0"/>
    <x v="0"/>
    <x v="4"/>
  </r>
  <r>
    <n v="1000021275"/>
    <s v="SKF BEARING - 22312 E/C3"/>
    <x v="3"/>
    <s v="SKF Eurotrade AB"/>
    <n v="2540.85"/>
    <n v="7"/>
    <n v="7"/>
    <n v="0"/>
    <x v="0"/>
    <x v="4"/>
  </r>
  <r>
    <n v="1000020130"/>
    <s v="SKF BEARING - 3318 A"/>
    <x v="3"/>
    <s v="SKF Eurotrade AB"/>
    <n v="2539.6799999999998"/>
    <n v="2"/>
    <n v="2"/>
    <n v="0"/>
    <x v="0"/>
    <x v="4"/>
  </r>
  <r>
    <n v="1000020131"/>
    <s v="SKF BEARING - 3318 A/C3"/>
    <x v="3"/>
    <s v="SKF Eurotrade AB"/>
    <n v="2539.6799999999998"/>
    <n v="2"/>
    <n v="2"/>
    <n v="0"/>
    <x v="0"/>
    <x v="4"/>
  </r>
  <r>
    <n v="1000021490"/>
    <s v="SKF BEARING - 3307 ATN9/C3"/>
    <x v="3"/>
    <s v="SKF Eurotrade AB"/>
    <n v="2537.5479999999998"/>
    <n v="19"/>
    <n v="19"/>
    <n v="0"/>
    <x v="0"/>
    <x v="4"/>
  </r>
  <r>
    <n v="1000098839"/>
    <s v="Fuse Terminal-WSI 6/LD 60-150V DC/AC, 1012300"/>
    <x v="3"/>
    <s v="Weidmuller Middle East (FZE)"/>
    <n v="2524.8573230769198"/>
    <n v="150"/>
    <n v="150"/>
    <n v="0"/>
    <x v="0"/>
    <x v="3"/>
  </r>
  <r>
    <n v="1000021325"/>
    <s v="SKF BEARING - 23218 CCK/C3W33"/>
    <x v="3"/>
    <s v="SKF Eurotrade AB"/>
    <n v="2523.65"/>
    <n v="5"/>
    <n v="5"/>
    <n v="0"/>
    <x v="0"/>
    <x v="4"/>
  </r>
  <r>
    <n v="1000098607"/>
    <s v="SKF BEARING -7317 BECBJ"/>
    <x v="3"/>
    <s v="SKF Eurotrade AB"/>
    <n v="2518.8209499999998"/>
    <n v="3"/>
    <n v="3"/>
    <n v="0"/>
    <x v="0"/>
    <x v="4"/>
  </r>
  <r>
    <n v="1000097167"/>
    <s v="P/N: 1859200000, WEW 35/2 GR 7042"/>
    <x v="3"/>
    <s v="Weidmuller Middle East (FZE)"/>
    <n v="2515.3200000000002"/>
    <n v="850"/>
    <n v="850"/>
    <n v="0"/>
    <x v="0"/>
    <x v="3"/>
  </r>
  <r>
    <n v="1000021091"/>
    <s v="SKF BEARING - NU 308 ECP/C3"/>
    <x v="3"/>
    <s v="SKF Eurotrade AB"/>
    <n v="2504.2141093117398"/>
    <n v="26"/>
    <n v="26"/>
    <n v="0"/>
    <x v="0"/>
    <x v="4"/>
  </r>
  <r>
    <n v="1000020704"/>
    <s v="SKF BEARING - 6313/C3"/>
    <x v="3"/>
    <s v="Universal Bearings Company"/>
    <n v="2503.9392440117199"/>
    <n v="20"/>
    <n v="0"/>
    <n v="20"/>
    <x v="3"/>
    <x v="4"/>
  </r>
  <r>
    <n v="1000103202"/>
    <s v="SKF Product; AXK 130170"/>
    <x v="3"/>
    <s v="SKF Eurotrade AB"/>
    <n v="2503.46"/>
    <n v="15"/>
    <n v="15"/>
    <n v="0"/>
    <x v="0"/>
    <x v="4"/>
  </r>
  <r>
    <n v="1000021059"/>
    <s v="SKF BEARING - NU 222 ECJ/C3"/>
    <x v="3"/>
    <s v="SKF Eurotrade AB"/>
    <n v="2502.5675000000001"/>
    <n v="3"/>
    <n v="3"/>
    <n v="0"/>
    <x v="0"/>
    <x v="4"/>
  </r>
  <r>
    <n v="1000020106"/>
    <s v="SKF BEARING - 3310 A"/>
    <x v="3"/>
    <s v="SKF Eurotrade AB"/>
    <n v="2488.1999999999998"/>
    <n v="8"/>
    <n v="8"/>
    <n v="0"/>
    <x v="0"/>
    <x v="4"/>
  </r>
  <r>
    <n v="1000021283"/>
    <s v="SKF BEARING - 22314 E/C3"/>
    <x v="3"/>
    <s v="SKF Eurotrade AB"/>
    <n v="2486.89"/>
    <n v="7"/>
    <n v="7"/>
    <n v="0"/>
    <x v="0"/>
    <x v="4"/>
  </r>
  <r>
    <n v="1000098636"/>
    <s v="SKF BEARING -C 2220"/>
    <x v="3"/>
    <s v="SKF Eurotrade AB"/>
    <n v="2485.73"/>
    <n v="3"/>
    <n v="3"/>
    <n v="0"/>
    <x v="0"/>
    <x v="4"/>
  </r>
  <r>
    <n v="1000108302"/>
    <s v="P&amp;F Product; NCB40-FP-N0-P1; P/N: 70133036"/>
    <x v="3"/>
    <s v="Pepperl+Fuchs (ME) FZE"/>
    <n v="2485.6799999999998"/>
    <n v="4"/>
    <n v="4"/>
    <n v="0"/>
    <x v="0"/>
    <x v="5"/>
  </r>
  <r>
    <n v="1000098982"/>
    <s v="Weidmuller, PRO INSTA 60W 12V 5A, P/N 2580240"/>
    <x v="3"/>
    <s v="Weidmuller Middle East (FZE)"/>
    <n v="2479.5066666666598"/>
    <n v="20"/>
    <n v="20"/>
    <n v="0"/>
    <x v="0"/>
    <x v="3"/>
  </r>
  <r>
    <n v="1000110640"/>
    <s v="Control Switch  07-3331-1E08"/>
    <x v="3"/>
    <s v="Bartec Middle East LLC"/>
    <n v="2477.0300000000002"/>
    <n v="7"/>
    <n v="7"/>
    <n v="0"/>
    <x v="2"/>
    <x v="7"/>
  </r>
  <r>
    <n v="1000098672"/>
    <s v="SKF BEARING -MB 30"/>
    <x v="3"/>
    <s v="SKF Eurotrade AB"/>
    <n v="2469.0495999999998"/>
    <n v="67"/>
    <n v="67"/>
    <n v="0"/>
    <x v="0"/>
    <x v="4"/>
  </r>
  <r>
    <n v="1000020536"/>
    <s v="SKF BEARING - 6218-2RS1/C3"/>
    <x v="3"/>
    <s v="SKF Eurotrade AB"/>
    <n v="2468.1999999999998"/>
    <n v="10"/>
    <n v="10"/>
    <n v="0"/>
    <x v="0"/>
    <x v="4"/>
  </r>
  <r>
    <n v="1000097847"/>
    <s v="P+F;Inclination Sensor;Â INY360D-F99-2I2E2-5M "/>
    <x v="3"/>
    <s v="Pepperl+Fuchs (ME) FZE"/>
    <n v="2467.13"/>
    <n v="3"/>
    <n v="3"/>
    <n v="0"/>
    <x v="0"/>
    <x v="5"/>
  </r>
  <r>
    <n v="1000100371"/>
    <s v="SKF Product NU 2212 ECJ"/>
    <x v="3"/>
    <s v="SKF Eurotrade AB"/>
    <n v="2465.6999999999998"/>
    <n v="13"/>
    <n v="13"/>
    <n v="0"/>
    <x v="0"/>
    <x v="4"/>
  </r>
  <r>
    <n v="1000020874"/>
    <s v="SKF BEARING - 7318 BECBJ"/>
    <x v="3"/>
    <s v="SKF Eurotrade AB"/>
    <n v="2460.06"/>
    <n v="3"/>
    <n v="3"/>
    <n v="0"/>
    <x v="0"/>
    <x v="4"/>
  </r>
  <r>
    <n v="1000020879"/>
    <s v="SKF BEARING - 7321 BECBM"/>
    <x v="3"/>
    <s v="SKF Eurotrade AB"/>
    <n v="2456.6799999999998"/>
    <n v="2"/>
    <n v="2"/>
    <n v="0"/>
    <x v="0"/>
    <x v="4"/>
  </r>
  <r>
    <n v="1000020472"/>
    <s v="SKF BEARING - 6209/C3"/>
    <x v="3"/>
    <s v="SKF Eurotrade AB"/>
    <n v="2454.3000000000002"/>
    <n v="101"/>
    <n v="101"/>
    <n v="0"/>
    <x v="0"/>
    <x v="4"/>
  </r>
  <r>
    <n v="1000098974"/>
    <s v="Weidmueller: P/N:1478240000; PRO MAX 240W 48V"/>
    <x v="3"/>
    <s v="Weidmuller Middle East (FZE)"/>
    <n v="2449.9783333333298"/>
    <n v="6"/>
    <n v="6"/>
    <n v="0"/>
    <x v="0"/>
    <x v="3"/>
  </r>
  <r>
    <n v="1000095439"/>
    <s v="SKF BEARING-7222 ACD/P4A"/>
    <x v="3"/>
    <s v="SKF Eurotrade AB"/>
    <n v="2444.44"/>
    <n v="1"/>
    <n v="1"/>
    <n v="0"/>
    <x v="0"/>
    <x v="4"/>
  </r>
  <r>
    <n v="1000102209"/>
    <s v="SKF BEARINGS - 23134 CC/W33"/>
    <x v="3"/>
    <s v="SKF Eurotrade AB"/>
    <n v="2441.59"/>
    <n v="1"/>
    <n v="1"/>
    <n v="0"/>
    <x v="0"/>
    <x v="4"/>
  </r>
  <r>
    <n v="1000020139"/>
    <s v="SKF BEARING - 30207 J2/Q"/>
    <x v="3"/>
    <s v="SKF Eurotrade AB"/>
    <n v="2441.0839999999998"/>
    <n v="95"/>
    <n v="95"/>
    <n v="0"/>
    <x v="0"/>
    <x v="4"/>
  </r>
  <r>
    <n v="1000093580"/>
    <s v="Weidmuller; TERMINAL BLOCK; P/N:1020300000; W"/>
    <x v="3"/>
    <s v="Weidmuller Middle East (FZE)"/>
    <n v="2439.5184283827298"/>
    <n v="1478"/>
    <n v="1478"/>
    <n v="0"/>
    <x v="0"/>
    <x v="3"/>
  </r>
  <r>
    <n v="2100004248"/>
    <s v="MATL : 1000660084 PACKING RING; MOLDED TYPE,W"/>
    <x v="2"/>
    <s v="SPX MIDDLE EAST FZE"/>
    <n v="2430.1055494141701"/>
    <n v="21"/>
    <n v="21"/>
    <n v="0"/>
    <x v="0"/>
    <x v="1"/>
  </r>
  <r>
    <n v="1000021218"/>
    <s v="SKF BEARING - 22213 EK/C3"/>
    <x v="3"/>
    <s v="Universal Bearings Company"/>
    <n v="2424.152"/>
    <n v="12"/>
    <n v="12"/>
    <n v="0"/>
    <x v="0"/>
    <x v="4"/>
  </r>
  <r>
    <n v="1000021262"/>
    <s v="SKF BEARING - 22226 EK"/>
    <x v="3"/>
    <s v="SKF Eurotrade AB"/>
    <n v="2423.1750000000002"/>
    <n v="2"/>
    <n v="2"/>
    <n v="0"/>
    <x v="0"/>
    <x v="4"/>
  </r>
  <r>
    <n v="1000021264"/>
    <s v="SKF BEARING - 22228 CC/C3W33"/>
    <x v="3"/>
    <s v="SKF Eurotrade AB"/>
    <n v="2414.5"/>
    <n v="2"/>
    <n v="2"/>
    <n v="0"/>
    <x v="0"/>
    <x v="4"/>
  </r>
  <r>
    <n v="1000021300"/>
    <s v="SKF BEARING - 22318 E"/>
    <x v="3"/>
    <s v="SKF Eurotrade AB"/>
    <n v="2412.1999999999998"/>
    <n v="4"/>
    <n v="4"/>
    <n v="0"/>
    <x v="0"/>
    <x v="4"/>
  </r>
  <r>
    <n v="2500008168"/>
    <s v="Coupling Element MDL E55 PN 12437610"/>
    <x v="0"/>
    <s v="ELGI Gulf FZE"/>
    <n v="2411.4850000000001"/>
    <n v="10"/>
    <n v="10"/>
    <n v="0"/>
    <x v="0"/>
    <x v="0"/>
  </r>
  <r>
    <n v="1000101549"/>
    <s v="Weidmuller; Model:ZQV 4N/2;   PN:1527930000"/>
    <x v="3"/>
    <s v="Weidmuller Middle East (FZE)"/>
    <n v="2399.4195992724599"/>
    <n v="3349"/>
    <n v="3349"/>
    <n v="0"/>
    <x v="0"/>
    <x v="3"/>
  </r>
  <r>
    <n v="1000020399"/>
    <s v="SKF BEARING - 61952 MA"/>
    <x v="3"/>
    <s v="SKF Eurotrade AB"/>
    <n v="2387.7600000000002"/>
    <n v="1"/>
    <n v="1"/>
    <n v="0"/>
    <x v="0"/>
    <x v="4"/>
  </r>
  <r>
    <n v="1000102418"/>
    <s v="SKF BEARING - C3224"/>
    <x v="3"/>
    <s v="SKF Eurotrade AB"/>
    <n v="2384.14"/>
    <n v="1"/>
    <n v="1"/>
    <n v="0"/>
    <x v="0"/>
    <x v="4"/>
  </r>
  <r>
    <n v="1000106067"/>
    <s v="P&amp;F Ultrasonic sensor; UB6000-F42-I-V1-Y22044"/>
    <x v="3"/>
    <s v="Pepperl+Fuchs (ME) FZE"/>
    <n v="2383.8000000000002"/>
    <n v="2"/>
    <n v="2"/>
    <n v="0"/>
    <x v="0"/>
    <x v="5"/>
  </r>
  <r>
    <n v="1000020191"/>
    <s v="SKF BEARING - 32318 J2"/>
    <x v="3"/>
    <s v="SKF Eurotrade AB"/>
    <n v="2379.69"/>
    <n v="3"/>
    <n v="3"/>
    <n v="0"/>
    <x v="0"/>
    <x v="4"/>
  </r>
  <r>
    <n v="1000100028"/>
    <s v="SKF BEARING - 6214-2Z"/>
    <x v="3"/>
    <s v="SKF Eurotrade AB"/>
    <n v="2368.3125"/>
    <n v="20"/>
    <n v="20"/>
    <n v="0"/>
    <x v="0"/>
    <x v="4"/>
  </r>
  <r>
    <n v="1000102442"/>
    <s v="SKF BEARING; 31311"/>
    <x v="3"/>
    <s v="SKF Eurotrade AB"/>
    <n v="2361.7476923076902"/>
    <n v="12"/>
    <n v="12"/>
    <n v="0"/>
    <x v="0"/>
    <x v="4"/>
  </r>
  <r>
    <n v="1000020522"/>
    <s v="SKF BEARING - 6215-2Z/C3"/>
    <x v="3"/>
    <s v="SKF Eurotrade AB"/>
    <n v="2361.5100000000002"/>
    <n v="19"/>
    <n v="19"/>
    <n v="0"/>
    <x v="0"/>
    <x v="4"/>
  </r>
  <r>
    <n v="1000020264"/>
    <s v="SKF BEARING - 6008-2RS1/C3"/>
    <x v="3"/>
    <s v="SKF Eurotrade AB"/>
    <n v="2357.01490384615"/>
    <n v="126"/>
    <n v="126"/>
    <n v="0"/>
    <x v="0"/>
    <x v="4"/>
  </r>
  <r>
    <n v="1000021141"/>
    <s v="SKF BEARING - NU 319 ECJ"/>
    <x v="3"/>
    <s v="SKF Eurotrade AB"/>
    <n v="2352.1999999999998"/>
    <n v="4"/>
    <n v="4"/>
    <n v="0"/>
    <x v="0"/>
    <x v="4"/>
  </r>
  <r>
    <n v="1000021179"/>
    <s v="SKF BEARING - 2208 E-2RS1TN9"/>
    <x v="3"/>
    <s v="SKF Eurotrade AB"/>
    <n v="2347"/>
    <n v="25"/>
    <n v="25"/>
    <n v="0"/>
    <x v="0"/>
    <x v="4"/>
  </r>
  <r>
    <n v="1000098740"/>
    <s v="SKF BEARING -23136 CC/W33"/>
    <x v="3"/>
    <s v="SKF Eurotrade AB"/>
    <n v="2324.87"/>
    <n v="1"/>
    <n v="1"/>
    <n v="0"/>
    <x v="0"/>
    <x v="4"/>
  </r>
  <r>
    <n v="1000095824"/>
    <s v="Weidmueller,Product :1053660000,Part No: WQV "/>
    <x v="3"/>
    <s v="Weidmuller Middle East (FZE)"/>
    <n v="2317.4033993141602"/>
    <n v="2317"/>
    <n v="2317"/>
    <n v="0"/>
    <x v="0"/>
    <x v="3"/>
  </r>
  <r>
    <n v="1000107209"/>
    <s v="P&amp;F Product; NBB8-18GM60-US; P/N:198076"/>
    <x v="3"/>
    <s v="Pepperl+Fuchs (ME) FZE"/>
    <n v="2308.9"/>
    <n v="5"/>
    <n v="5"/>
    <n v="0"/>
    <x v="0"/>
    <x v="5"/>
  </r>
  <r>
    <n v="1000100331"/>
    <s v="SKF Product 2311 K/C3"/>
    <x v="3"/>
    <s v="SKF Eurotrade AB"/>
    <n v="2308.5711000000001"/>
    <n v="9"/>
    <n v="9"/>
    <n v="0"/>
    <x v="0"/>
    <x v="4"/>
  </r>
  <r>
    <n v="1000099416"/>
    <s v="PRO RM 20"/>
    <x v="3"/>
    <s v="Weidmuller Middle East (FZE)"/>
    <n v="2301.06494814814"/>
    <n v="8"/>
    <n v="8"/>
    <n v="0"/>
    <x v="0"/>
    <x v="3"/>
  </r>
  <r>
    <n v="1000020192"/>
    <s v="SKF BEARING - 32319 J2"/>
    <x v="3"/>
    <s v="SKF Eurotrade AB"/>
    <n v="2299.9"/>
    <n v="2"/>
    <n v="2"/>
    <n v="0"/>
    <x v="0"/>
    <x v="4"/>
  </r>
  <r>
    <n v="1000021478"/>
    <s v="SKF BEARING - 2316 M/C3"/>
    <x v="3"/>
    <s v="SKF Eurotrade AB"/>
    <n v="2299.1"/>
    <n v="3"/>
    <n v="3"/>
    <n v="0"/>
    <x v="0"/>
    <x v="4"/>
  </r>
  <r>
    <n v="2500006443"/>
    <s v="3814313_ELEMENT AIR CLEANER INNER PN B0136035"/>
    <x v="0"/>
    <s v="ELGI Gulf FZE"/>
    <n v="2299.0915465367898"/>
    <n v="26"/>
    <n v="26"/>
    <n v="0"/>
    <x v="0"/>
    <x v="0"/>
  </r>
  <r>
    <n v="2500006616"/>
    <s v="ACTR REPAIR KIT WITH SPRING PN B015401070005"/>
    <x v="0"/>
    <s v="ELGI Gulf FZE"/>
    <n v="2298.2605796350199"/>
    <n v="10"/>
    <n v="10"/>
    <n v="0"/>
    <x v="0"/>
    <x v="0"/>
  </r>
  <r>
    <n v="2500008150"/>
    <s v="REGULATOR KIT MDL DT 900-200, 750-125, 400-15"/>
    <x v="0"/>
    <s v="ELGI Gulf FZE"/>
    <n v="2291.625"/>
    <n v="23"/>
    <n v="19"/>
    <n v="4"/>
    <x v="6"/>
    <x v="0"/>
  </r>
  <r>
    <n v="2500002166"/>
    <s v="MPV kit (37KW) PN 15400445"/>
    <x v="0"/>
    <s v="ELGI Gulf FZE"/>
    <n v="2289.5729999999999"/>
    <n v="6"/>
    <n v="6"/>
    <n v="0"/>
    <x v="0"/>
    <x v="0"/>
  </r>
  <r>
    <n v="1000093395"/>
    <s v="SKF BEARING - NU 312 ECM/C3"/>
    <x v="3"/>
    <s v="SKF Eurotrade AB"/>
    <n v="2283.3302941176398"/>
    <n v="6"/>
    <n v="6"/>
    <n v="0"/>
    <x v="0"/>
    <x v="4"/>
  </r>
  <r>
    <n v="1000020649"/>
    <s v="SKF BEARING - 6307-2Z"/>
    <x v="3"/>
    <s v="SKF Eurotrade AB"/>
    <n v="2268.1677789473601"/>
    <n v="97"/>
    <n v="97"/>
    <n v="0"/>
    <x v="0"/>
    <x v="4"/>
  </r>
  <r>
    <n v="1000020648"/>
    <s v="SKF BEARING - 6307-2RS1/C3"/>
    <x v="3"/>
    <s v="SKF Eurotrade AB"/>
    <n v="2268"/>
    <n v="90"/>
    <n v="90"/>
    <n v="0"/>
    <x v="0"/>
    <x v="4"/>
  </r>
  <r>
    <n v="2500007806"/>
    <s v="AIR FILTER ASSY, PN 220419499"/>
    <x v="0"/>
    <s v="ELGI Gulf FZE"/>
    <n v="2261.7610677083298"/>
    <n v="5"/>
    <n v="5"/>
    <n v="0"/>
    <x v="0"/>
    <x v="0"/>
  </r>
  <r>
    <n v="1000100402"/>
    <s v="SKF BEARING - IR 130X145X35"/>
    <x v="3"/>
    <s v="SKF Eurotrade AB"/>
    <n v="2261.59"/>
    <n v="9"/>
    <n v="9"/>
    <n v="0"/>
    <x v="0"/>
    <x v="4"/>
  </r>
  <r>
    <n v="1000020460"/>
    <s v="SKF BEARING - 6208/C3"/>
    <x v="3"/>
    <s v="SKF Eurotrade AB"/>
    <n v="2258.9105573663601"/>
    <n v="114"/>
    <n v="114"/>
    <n v="0"/>
    <x v="0"/>
    <x v="4"/>
  </r>
  <r>
    <n v="1000015108"/>
    <s v="Bartec, Feam Lightining Fixture EVAC101-70HPN"/>
    <x v="3"/>
    <s v="Bartec Middle East LLC"/>
    <n v="2257.5"/>
    <n v="3"/>
    <n v="3"/>
    <n v="0"/>
    <x v="0"/>
    <x v="7"/>
  </r>
  <r>
    <n v="1000099692"/>
    <s v="SKF BEARING - 23230 CC/C3W33"/>
    <x v="3"/>
    <s v="SKF Eurotrade AB"/>
    <n v="2253.4875000000002"/>
    <n v="1"/>
    <n v="1"/>
    <n v="0"/>
    <x v="0"/>
    <x v="4"/>
  </r>
  <r>
    <n v="1000021007"/>
    <s v="SKF BEARING - NU 213 ECP/C3"/>
    <x v="3"/>
    <s v="SKF Eurotrade AB"/>
    <n v="2252.0239999999999"/>
    <n v="17"/>
    <n v="17"/>
    <n v="0"/>
    <x v="0"/>
    <x v="4"/>
  </r>
  <r>
    <n v="1000021050"/>
    <s v="SKF BEARING - NU 2216 ECJ"/>
    <x v="3"/>
    <s v="SKF Eurotrade AB"/>
    <n v="2248.6472727272699"/>
    <n v="6"/>
    <n v="6"/>
    <n v="0"/>
    <x v="0"/>
    <x v="4"/>
  </r>
  <r>
    <n v="1000020196"/>
    <s v="SKF BEARING - 33014"/>
    <x v="3"/>
    <s v="SKF Eurotrade AB"/>
    <n v="2246.4"/>
    <n v="13"/>
    <n v="13"/>
    <n v="0"/>
    <x v="0"/>
    <x v="4"/>
  </r>
  <r>
    <n v="1000099558"/>
    <s v="SKF BEARING - 6313-Z"/>
    <x v="3"/>
    <s v="SKF Eurotrade AB"/>
    <n v="2226.15"/>
    <n v="12"/>
    <n v="12"/>
    <n v="0"/>
    <x v="0"/>
    <x v="4"/>
  </r>
  <r>
    <n v="1000020474"/>
    <s v="SKF BEARING - 6209-2RS1"/>
    <x v="3"/>
    <s v="SKF Eurotrade AB"/>
    <n v="2225.9340659340601"/>
    <n v="75"/>
    <n v="65"/>
    <n v="10"/>
    <x v="3"/>
    <x v="4"/>
  </r>
  <r>
    <n v="1000021303"/>
    <s v="SKF BEARING - 22319 E"/>
    <x v="3"/>
    <s v="SKF Eurotrade AB"/>
    <n v="2208.9299999999998"/>
    <n v="3"/>
    <n v="3"/>
    <n v="0"/>
    <x v="0"/>
    <x v="4"/>
  </r>
  <r>
    <n v="1000100397"/>
    <s v="SKF Product NJ 2220 ECP"/>
    <x v="3"/>
    <s v="SKF Eurotrade AB"/>
    <n v="2206.8000000000002"/>
    <n v="4"/>
    <n v="4"/>
    <n v="0"/>
    <x v="0"/>
    <x v="4"/>
  </r>
  <r>
    <n v="1000020680"/>
    <s v="SKF BEARING - 6310 M/C3"/>
    <x v="3"/>
    <s v="SKF Eurotrade AB"/>
    <n v="2202.91"/>
    <n v="7"/>
    <n v="7"/>
    <n v="0"/>
    <x v="0"/>
    <x v="4"/>
  </r>
  <r>
    <n v="2500008131"/>
    <s v="OIL FILTER ELEMENT PN B407701"/>
    <x v="0"/>
    <s v="ELGI Gulf FZE"/>
    <n v="2198.4375"/>
    <n v="7"/>
    <n v="7"/>
    <n v="0"/>
    <x v="0"/>
    <x v="0"/>
  </r>
  <r>
    <n v="1000102212"/>
    <s v="SKF BEARINGS - 22319 EJA/VA405"/>
    <x v="3"/>
    <s v="SKF Eurotrade AB"/>
    <n v="2190.8200000000002"/>
    <n v="2"/>
    <n v="2"/>
    <n v="0"/>
    <x v="0"/>
    <x v="4"/>
  </r>
  <r>
    <n v="1000097295"/>
    <s v="P+F;Thru-beam Sensor;LV28/F1/3974/47/82b/112 "/>
    <x v="3"/>
    <s v="Pepperl+Fuchs (ME) FZE"/>
    <n v="2187"/>
    <n v="2"/>
    <n v="2"/>
    <n v="0"/>
    <x v="0"/>
    <x v="5"/>
  </r>
  <r>
    <n v="1000021248"/>
    <s v="SKF BEARING - 22220 EK"/>
    <x v="3"/>
    <s v="SKF Eurotrade AB"/>
    <n v="2186.4499999999998"/>
    <n v="5"/>
    <n v="5"/>
    <n v="0"/>
    <x v="0"/>
    <x v="4"/>
  </r>
  <r>
    <n v="1000020709"/>
    <s v="SKF BEARING - 6313-Z/C3"/>
    <x v="3"/>
    <s v="SKF Eurotrade AB"/>
    <n v="2186.28666666666"/>
    <n v="10"/>
    <n v="10"/>
    <n v="0"/>
    <x v="0"/>
    <x v="4"/>
  </r>
  <r>
    <n v="1000020836"/>
    <s v="SKF BEARING - 7307 BECBP"/>
    <x v="3"/>
    <s v="SKF Eurotrade AB"/>
    <n v="2179.5509999999999"/>
    <n v="22"/>
    <n v="22"/>
    <n v="0"/>
    <x v="0"/>
    <x v="4"/>
  </r>
  <r>
    <n v="1000100321"/>
    <s v="SKF Product 6322 MA/C3B20"/>
    <x v="3"/>
    <s v="SKF Eurotrade AB"/>
    <n v="2179.4428571428498"/>
    <n v="1"/>
    <n v="1"/>
    <n v="0"/>
    <x v="0"/>
    <x v="4"/>
  </r>
  <r>
    <n v="1000093784"/>
    <s v="SKF BEARING NUT : Model No. KM 10"/>
    <x v="3"/>
    <s v="SKF Eurotrade AB"/>
    <n v="2171.0065185185099"/>
    <n v="106"/>
    <n v="106"/>
    <n v="0"/>
    <x v="0"/>
    <x v="4"/>
  </r>
  <r>
    <n v="1000020742"/>
    <s v="SKF BEARING - 6318-2Z/C3"/>
    <x v="3"/>
    <s v="SKF Eurotrade AB"/>
    <n v="2165.15"/>
    <n v="5"/>
    <n v="5"/>
    <n v="0"/>
    <x v="0"/>
    <x v="4"/>
  </r>
  <r>
    <n v="1000020583"/>
    <s v="SKF BEARING - 62305-2RS1"/>
    <x v="3"/>
    <s v="SKF Eurotrade AB"/>
    <n v="2165"/>
    <n v="50"/>
    <n v="50"/>
    <n v="0"/>
    <x v="0"/>
    <x v="4"/>
  </r>
  <r>
    <n v="1000020674"/>
    <s v="SKF BEARING - 6309-2Z/C3"/>
    <x v="3"/>
    <s v="SKF Eurotrade AB"/>
    <n v="2154.0725806451601"/>
    <n v="50"/>
    <n v="50"/>
    <n v="0"/>
    <x v="0"/>
    <x v="4"/>
  </r>
  <r>
    <n v="1000010245"/>
    <s v="P+F, Frequency Converter with Trip Values:Mod"/>
    <x v="3"/>
    <s v="Ralph Messring GmbH"/>
    <n v="2153.5724"/>
    <n v="1"/>
    <n v="1"/>
    <n v="0"/>
    <x v="0"/>
    <x v="5"/>
  </r>
  <r>
    <n v="1000021257"/>
    <s v="SKF BEARING - 22224 EK"/>
    <x v="3"/>
    <s v="SKF Eurotrade AB"/>
    <n v="2150.4299999999998"/>
    <n v="3"/>
    <n v="3"/>
    <n v="0"/>
    <x v="0"/>
    <x v="4"/>
  </r>
  <r>
    <n v="1000096963"/>
    <s v="Pepperl+Fuchs Inductive Sensor;Model:NBB5-18G"/>
    <x v="3"/>
    <s v="Pepperl+Fuchs (ME) FZE"/>
    <n v="2150.0700000000002"/>
    <n v="12"/>
    <n v="12"/>
    <n v="0"/>
    <x v="0"/>
    <x v="5"/>
  </r>
  <r>
    <n v="1000020855"/>
    <s v="SKF BEARING - 7312 BEGAM"/>
    <x v="3"/>
    <s v="SKF Eurotrade AB"/>
    <n v="2141.5765151515102"/>
    <n v="7"/>
    <n v="7"/>
    <n v="0"/>
    <x v="0"/>
    <x v="4"/>
  </r>
  <r>
    <n v="1000103211"/>
    <s v="SKF Product; BMB-6204/048S2/UA002A"/>
    <x v="3"/>
    <s v="SKF Eurotrade AB"/>
    <n v="2136.64"/>
    <n v="19"/>
    <n v="19"/>
    <n v="0"/>
    <x v="0"/>
    <x v="4"/>
  </r>
  <r>
    <n v="1000021479"/>
    <s v="SKF BEARING - NU 226 ECJ"/>
    <x v="3"/>
    <s v="SKF Eurotrade AB"/>
    <n v="2133.5120000000002"/>
    <n v="2"/>
    <n v="2"/>
    <n v="0"/>
    <x v="0"/>
    <x v="4"/>
  </r>
  <r>
    <n v="1000020733"/>
    <s v="SKF BEARING - 6317"/>
    <x v="3"/>
    <s v="SKF Eurotrade AB"/>
    <n v="2129.9630000000002"/>
    <n v="11"/>
    <n v="11"/>
    <n v="0"/>
    <x v="0"/>
    <x v="4"/>
  </r>
  <r>
    <n v="1000020039"/>
    <s v="SKF BEARING - 51222"/>
    <x v="3"/>
    <s v="SKF Eurotrade AB"/>
    <n v="2121.25"/>
    <n v="6"/>
    <n v="6"/>
    <n v="0"/>
    <x v="0"/>
    <x v="4"/>
  </r>
  <r>
    <n v="1000021009"/>
    <s v="SKF BEARING - NU 214 ECM/C3"/>
    <x v="3"/>
    <s v="SKF Eurotrade AB"/>
    <n v="2120.0033139858901"/>
    <n v="4"/>
    <n v="4"/>
    <n v="0"/>
    <x v="0"/>
    <x v="4"/>
  </r>
  <r>
    <n v="1000098706"/>
    <s v="SKF BEARING -NU 2218 ECJ/C3"/>
    <x v="3"/>
    <s v="SKF Eurotrade AB"/>
    <n v="2111.61"/>
    <n v="4"/>
    <n v="4"/>
    <n v="0"/>
    <x v="0"/>
    <x v="4"/>
  </r>
  <r>
    <n v="1000099258"/>
    <s v="SKF BEARING - N 313 ECM/C3"/>
    <x v="3"/>
    <s v="SKF Eurotrade AB"/>
    <n v="2106"/>
    <n v="2"/>
    <n v="2"/>
    <n v="0"/>
    <x v="0"/>
    <x v="4"/>
  </r>
  <r>
    <n v="2500008597"/>
    <s v="MINIMUM PRESSURE VALVE"/>
    <x v="0"/>
    <s v="ELGI Gulf FZE"/>
    <n v="2106"/>
    <n v="3"/>
    <n v="3"/>
    <n v="0"/>
    <x v="0"/>
    <x v="0"/>
  </r>
  <r>
    <n v="1000020523"/>
    <s v="SKF BEARING - 6215-Z/C3"/>
    <x v="3"/>
    <s v="SKF Eurotrade AB"/>
    <n v="2105.34176470588"/>
    <n v="11"/>
    <n v="11"/>
    <n v="0"/>
    <x v="0"/>
    <x v="4"/>
  </r>
  <r>
    <n v="1000020850"/>
    <s v="SKF BEARING - 7311 BECBP"/>
    <x v="3"/>
    <s v="SKF Eurotrade AB"/>
    <n v="2105.3062891774798"/>
    <n v="12"/>
    <n v="12"/>
    <n v="0"/>
    <x v="0"/>
    <x v="4"/>
  </r>
  <r>
    <n v="1000021205"/>
    <s v="SKF BEARING - 22210 E/C3"/>
    <x v="3"/>
    <s v="SKF Eurotrade AB"/>
    <n v="2104.1999999999998"/>
    <n v="18"/>
    <n v="18"/>
    <n v="0"/>
    <x v="0"/>
    <x v="4"/>
  </r>
  <r>
    <n v="1000021016"/>
    <s v="SKF BEARING - NU 216 ECJ/C3"/>
    <x v="3"/>
    <s v="SKF Eurotrade AB"/>
    <n v="2098.9241666666599"/>
    <n v="9"/>
    <n v="9"/>
    <n v="0"/>
    <x v="0"/>
    <x v="4"/>
  </r>
  <r>
    <n v="1000106063"/>
    <s v="P&amp;F Inductive Sensor; NJ1,5-PD-E02-1.250-V95;"/>
    <x v="3"/>
    <s v="Pepperl+Fuchs (ME) FZE"/>
    <n v="2096.1"/>
    <n v="2"/>
    <n v="2"/>
    <n v="0"/>
    <x v="0"/>
    <x v="5"/>
  </r>
  <r>
    <n v="1000106071"/>
    <s v="P&amp;F Background suppression Sensor; RLK28-8-H-"/>
    <x v="3"/>
    <s v="Pepperl+Fuchs (ME) FZE"/>
    <n v="2096.1"/>
    <n v="2"/>
    <n v="2"/>
    <n v="0"/>
    <x v="0"/>
    <x v="5"/>
  </r>
  <r>
    <n v="1000020471"/>
    <s v="SKF BEARING - 6209"/>
    <x v="3"/>
    <s v="SKF Eurotrade AB"/>
    <n v="2088.5606382978699"/>
    <n v="92"/>
    <n v="92"/>
    <n v="0"/>
    <x v="0"/>
    <x v="4"/>
  </r>
  <r>
    <n v="1000098700"/>
    <s v="SKF BEARING -NU 214 ECP/C3"/>
    <x v="3"/>
    <s v="SKF Eurotrade AB"/>
    <n v="2085.1950000000002"/>
    <n v="12"/>
    <n v="12"/>
    <n v="0"/>
    <x v="0"/>
    <x v="4"/>
  </r>
  <r>
    <n v="1000020764"/>
    <s v="SKF BEARING - 6406/C3"/>
    <x v="3"/>
    <s v="SKF Eurotrade AB"/>
    <n v="2085.0149999999999"/>
    <n v="25"/>
    <n v="25"/>
    <n v="0"/>
    <x v="0"/>
    <x v="4"/>
  </r>
  <r>
    <n v="2500003026"/>
    <s v="AIR FILTER KIT ASSY_PG 750 PN 32400149"/>
    <x v="0"/>
    <s v="ELGI Gulf FZE"/>
    <n v="2082.9560631909899"/>
    <n v="4"/>
    <n v="4"/>
    <n v="0"/>
    <x v="0"/>
    <x v="0"/>
  </r>
  <r>
    <n v="2500008201"/>
    <s v="VALVE, PR RELIEF PART NO B012805340058"/>
    <x v="0"/>
    <s v="ELGI Gulf FZE"/>
    <n v="2077.5"/>
    <n v="2"/>
    <n v="2"/>
    <n v="0"/>
    <x v="0"/>
    <x v="0"/>
  </r>
  <r>
    <n v="1000021191"/>
    <s v="SKF BEARING - 2218 K/C3"/>
    <x v="3"/>
    <s v="SKF Eurotrade AB"/>
    <n v="2076.8159999999998"/>
    <n v="4"/>
    <n v="4"/>
    <n v="0"/>
    <x v="0"/>
    <x v="4"/>
  </r>
  <r>
    <n v="2500008185"/>
    <s v="AIR FILTER KIT PN B004700460001"/>
    <x v="0"/>
    <s v="ELGI Gulf FZE"/>
    <n v="2073.0016009599999"/>
    <n v="4"/>
    <n v="4"/>
    <n v="0"/>
    <x v="0"/>
    <x v="0"/>
  </r>
  <r>
    <n v="1000020424"/>
    <s v="SKF BEARING - 6204-2Z/C3"/>
    <x v="3"/>
    <s v="SKF Eurotrade AB"/>
    <n v="2071.1"/>
    <n v="278"/>
    <n v="278"/>
    <n v="0"/>
    <x v="0"/>
    <x v="4"/>
  </r>
  <r>
    <n v="1000021153"/>
    <s v="SKF BEARING - 21313 E"/>
    <x v="3"/>
    <s v="SKF Eurotrade AB"/>
    <n v="2061.04"/>
    <n v="8"/>
    <n v="8"/>
    <n v="0"/>
    <x v="0"/>
    <x v="4"/>
  </r>
  <r>
    <n v="1000104146"/>
    <s v="P+F,Ultrasonic sensor; Model:UC6000-30GM-E6R2"/>
    <x v="3"/>
    <s v="Pepperl+Fuchs (ME) FZE"/>
    <n v="2055"/>
    <n v="2"/>
    <n v="2"/>
    <n v="0"/>
    <x v="0"/>
    <x v="5"/>
  </r>
  <r>
    <n v="1000021243"/>
    <s v="SKF BEARING - 22219 EK"/>
    <x v="3"/>
    <s v="SKF Eurotrade AB"/>
    <n v="2049.2550000000001"/>
    <n v="5"/>
    <n v="5"/>
    <n v="0"/>
    <x v="0"/>
    <x v="4"/>
  </r>
  <r>
    <n v="1000020878"/>
    <s v="SKF BEARING - 7320 BECBP"/>
    <x v="3"/>
    <s v="SKF Eurotrade AB"/>
    <n v="2042.44"/>
    <n v="2"/>
    <n v="2"/>
    <n v="0"/>
    <x v="0"/>
    <x v="4"/>
  </r>
  <r>
    <n v="1000021037"/>
    <s v="SKF BEARING - NU 2210 ECP"/>
    <x v="3"/>
    <s v="SKF Eurotrade AB"/>
    <n v="2039.5975000000001"/>
    <n v="25"/>
    <n v="25"/>
    <n v="0"/>
    <x v="0"/>
    <x v="4"/>
  </r>
  <r>
    <n v="1000103066"/>
    <s v="SKF Products; PHG SPA3382"/>
    <x v="3"/>
    <s v="SKF Eurotrade AB"/>
    <n v="2038.4829388297801"/>
    <n v="77"/>
    <n v="77"/>
    <n v="0"/>
    <x v="0"/>
    <x v="4"/>
  </r>
  <r>
    <n v="1000098709"/>
    <s v="SKF BEARING -NU 2220 ECML"/>
    <x v="3"/>
    <s v="SKF Eurotrade AB"/>
    <n v="2035.36"/>
    <n v="2"/>
    <n v="2"/>
    <n v="0"/>
    <x v="0"/>
    <x v="4"/>
  </r>
  <r>
    <n v="1000021162"/>
    <s v="SKF BEARING - 21320 E"/>
    <x v="3"/>
    <s v="SKF Eurotrade AB"/>
    <n v="2030.37"/>
    <n v="3"/>
    <n v="3"/>
    <n v="0"/>
    <x v="0"/>
    <x v="4"/>
  </r>
  <r>
    <n v="2500008860"/>
    <s v="&quot;SIZE 1 (15-25MM)OXY-PROPANE CUTTING  TIP - B"/>
    <x v="0"/>
    <s v="OKI BERING MIDDLE EAST FZE"/>
    <n v="2028.6"/>
    <n v="110"/>
    <n v="110"/>
    <n v="0"/>
    <x v="0"/>
    <x v="0"/>
  </r>
  <r>
    <n v="1000020725"/>
    <s v="SKF BEARING - 6316"/>
    <x v="3"/>
    <s v="SKF Eurotrade AB"/>
    <n v="2028.2504109588999"/>
    <n v="10"/>
    <n v="4"/>
    <n v="6"/>
    <x v="2"/>
    <x v="4"/>
  </r>
  <r>
    <n v="2500004253"/>
    <s v="TEMP.SENSOR;0-150DEG;KTY10 PN 00897902C"/>
    <x v="0"/>
    <s v="ELGI Gulf FZE"/>
    <n v="2024.1985714285699"/>
    <n v="3"/>
    <n v="3"/>
    <n v="0"/>
    <x v="0"/>
    <x v="0"/>
  </r>
  <r>
    <n v="1000021318"/>
    <s v="SKF BEARING - 23120 CC/C3W33"/>
    <x v="3"/>
    <s v="SKF Eurotrade AB"/>
    <n v="2022.88"/>
    <n v="4"/>
    <n v="4"/>
    <n v="0"/>
    <x v="0"/>
    <x v="4"/>
  </r>
  <r>
    <n v="1000020443"/>
    <s v="SKF BEARING - 6206-2Z/C3"/>
    <x v="3"/>
    <s v="SKF Eurotrade AB"/>
    <n v="2022.2218740092101"/>
    <n v="157"/>
    <n v="157"/>
    <n v="0"/>
    <x v="0"/>
    <x v="4"/>
  </r>
  <r>
    <n v="1000021058"/>
    <s v="SKF BEARING - NU 222 ECJ"/>
    <x v="3"/>
    <s v="SKF Eurotrade AB"/>
    <n v="2017.5"/>
    <n v="3"/>
    <n v="3"/>
    <n v="0"/>
    <x v="0"/>
    <x v="4"/>
  </r>
  <r>
    <n v="1000103785"/>
    <s v="P+F, Inductive Sensor; Model No. NCB2-12GM40-"/>
    <x v="3"/>
    <s v="Pepperl+Fuchs (ME) FZE"/>
    <n v="2014.9753846153801"/>
    <n v="11"/>
    <n v="11"/>
    <n v="0"/>
    <x v="0"/>
    <x v="5"/>
  </r>
  <r>
    <n v="2100005160"/>
    <s v="1000041197TRAP,STEAM;INVRTD BCKT,3/4 IN,28 ba"/>
    <x v="1"/>
    <s v="Armstrong International SA"/>
    <n v="2004.75"/>
    <n v="2"/>
    <n v="2"/>
    <n v="0"/>
    <x v="0"/>
    <x v="1"/>
  </r>
  <r>
    <n v="1000101872"/>
    <s v="SKF BEARING - 2212 ETN9/C3"/>
    <x v="3"/>
    <s v="SKF Eurotrade AB"/>
    <n v="2000.18"/>
    <n v="11"/>
    <n v="11"/>
    <n v="0"/>
    <x v="0"/>
    <x v="4"/>
  </r>
  <r>
    <n v="2500008573"/>
    <s v="MATL : Summits Micro filter with Inbuilt drai"/>
    <x v="0"/>
    <s v="Summits Hygronics Private Limited"/>
    <n v="1996.875"/>
    <n v="3"/>
    <n v="3"/>
    <n v="0"/>
    <x v="0"/>
    <x v="0"/>
  </r>
  <r>
    <n v="1000103144"/>
    <s v="SKF Products; 81211 TN"/>
    <x v="3"/>
    <s v="SKF Eurotrade AB"/>
    <n v="1974.6"/>
    <n v="8"/>
    <n v="8"/>
    <n v="0"/>
    <x v="0"/>
    <x v="4"/>
  </r>
  <r>
    <n v="1000091497"/>
    <s v="2-way Manifold, G12FMS/NA/PP"/>
    <x v="8"/>
    <s v="Oliver Valves Ltd."/>
    <n v="1973.78904292372"/>
    <n v="19"/>
    <n v="19"/>
    <n v="0"/>
    <x v="0"/>
    <x v="6"/>
  </r>
  <r>
    <n v="1000098465"/>
    <s v="SKF BEARING-22218 E/C4"/>
    <x v="3"/>
    <s v="SKF Eurotrade AB"/>
    <n v="1967.79"/>
    <n v="5"/>
    <n v="5"/>
    <n v="0"/>
    <x v="0"/>
    <x v="4"/>
  </r>
  <r>
    <n v="1000020188"/>
    <s v="SKF BEARING - 32315 J2"/>
    <x v="3"/>
    <s v="SKF Eurotrade AB"/>
    <n v="1962.75"/>
    <n v="5"/>
    <n v="5"/>
    <n v="0"/>
    <x v="0"/>
    <x v="4"/>
  </r>
  <r>
    <n v="1000098086"/>
    <s v="P+F,ULTRASONIC SENSOR;UC2000-30GM-E6R2-V15; P"/>
    <x v="3"/>
    <s v="Pepperl+Fuchs (ME) FZE"/>
    <n v="1962.1283066666599"/>
    <n v="2"/>
    <n v="2"/>
    <n v="0"/>
    <x v="0"/>
    <x v="5"/>
  </r>
  <r>
    <n v="1000021239"/>
    <s v="SKF BEARING - 22218 E/C3"/>
    <x v="3"/>
    <s v="SKF Eurotrade AB"/>
    <n v="1958.04"/>
    <n v="6"/>
    <n v="6"/>
    <n v="0"/>
    <x v="0"/>
    <x v="4"/>
  </r>
  <r>
    <n v="1000010164"/>
    <s v="P+F, Inductive Sensor Model No.: NBB8-18GM60-"/>
    <x v="3"/>
    <s v="Pepperl+Fuchs (ME) FZE"/>
    <n v="1951.5509999999999"/>
    <n v="9"/>
    <n v="9"/>
    <n v="0"/>
    <x v="0"/>
    <x v="5"/>
  </r>
  <r>
    <n v="2500009328"/>
    <s v="DESCRIPTION : FUEL WATER SEPARATOR| Part no. "/>
    <x v="0"/>
    <s v="PARANTHAMAN EXPORTERS"/>
    <n v="1950"/>
    <n v="10"/>
    <n v="10"/>
    <n v="0"/>
    <x v="0"/>
    <x v="0"/>
  </r>
  <r>
    <n v="1000020607"/>
    <s v="SKF BEARING - 63006-2RS1"/>
    <x v="3"/>
    <s v="SKF Eurotrade AB"/>
    <n v="1944.05"/>
    <n v="54"/>
    <n v="54"/>
    <n v="0"/>
    <x v="0"/>
    <x v="4"/>
  </r>
  <r>
    <n v="1000020490"/>
    <s v="SKF BEARING - 6211-2RS1/C3"/>
    <x v="3"/>
    <s v="SKF Eurotrade AB"/>
    <n v="1943.5229411764701"/>
    <n v="83"/>
    <n v="83"/>
    <n v="0"/>
    <x v="0"/>
    <x v="4"/>
  </r>
  <r>
    <n v="1000020578"/>
    <s v="SKF BEARING - 6222-2Z/C3"/>
    <x v="3"/>
    <s v="SKF Eurotrade AB"/>
    <n v="1936.84"/>
    <n v="4"/>
    <n v="4"/>
    <n v="0"/>
    <x v="0"/>
    <x v="4"/>
  </r>
  <r>
    <n v="2500008240"/>
    <s v="Cooling fan-PN 15402742"/>
    <x v="0"/>
    <s v="ELGI Gulf FZE"/>
    <n v="1931.7"/>
    <n v="1"/>
    <n v="1"/>
    <n v="0"/>
    <x v="0"/>
    <x v="0"/>
  </r>
  <r>
    <n v="2500008452"/>
    <s v="ELGI AIR LUBE XD-5L ( EACH= 5 LITER CAN ) P N"/>
    <x v="0"/>
    <s v="ELGI Gulf FZE"/>
    <n v="1927.35172923294"/>
    <n v="11"/>
    <n v="11"/>
    <n v="0"/>
    <x v="0"/>
    <x v="0"/>
  </r>
  <r>
    <n v="2500008894"/>
    <s v="Size 2 : (25-50mm) Oxy propane cutting tip | "/>
    <x v="0"/>
    <s v="OKI BERING MIDDLE EAST FZE"/>
    <n v="1918.8"/>
    <n v="104"/>
    <n v="104"/>
    <n v="0"/>
    <x v="0"/>
    <x v="0"/>
  </r>
  <r>
    <n v="1000021017"/>
    <s v="SKF BEARING - NU 216 ECM/C3"/>
    <x v="3"/>
    <s v="SKF Eurotrade AB"/>
    <n v="1913.56"/>
    <n v="4"/>
    <n v="4"/>
    <n v="0"/>
    <x v="0"/>
    <x v="4"/>
  </r>
  <r>
    <n v="1000021281"/>
    <s v="SKF BEARING - H 2313"/>
    <x v="3"/>
    <s v="SKF Eurotrade AB"/>
    <n v="1909.768"/>
    <n v="24"/>
    <n v="24"/>
    <n v="0"/>
    <x v="0"/>
    <x v="4"/>
  </r>
  <r>
    <n v="2500008243"/>
    <s v="FF Element 0108 PN 12400019"/>
    <x v="0"/>
    <s v="ELGI Equipments Limited"/>
    <n v="1905"/>
    <n v="2"/>
    <n v="2"/>
    <n v="0"/>
    <x v="0"/>
    <x v="0"/>
  </r>
  <r>
    <n v="1000100756"/>
    <s v="Weidmueller Power supply, switch-mode ;PRO EC"/>
    <x v="3"/>
    <s v="Weidmuller Middle East (FZE)"/>
    <n v="1903.6849999999999"/>
    <n v="7"/>
    <n v="7"/>
    <n v="0"/>
    <x v="0"/>
    <x v="3"/>
  </r>
  <r>
    <n v="2500008353"/>
    <s v="MINIMUM PRESSURE VALVE KIT P N B009301070004"/>
    <x v="0"/>
    <s v="ELGI Gulf FZE"/>
    <n v="1897.4800002474999"/>
    <n v="2"/>
    <n v="2"/>
    <n v="0"/>
    <x v="0"/>
    <x v="0"/>
  </r>
  <r>
    <n v="1000020720"/>
    <s v="SKF BEARING - 6315/C3"/>
    <x v="3"/>
    <s v="SKF Eurotrade AB"/>
    <n v="1894.3273638344201"/>
    <n v="12"/>
    <n v="12"/>
    <n v="0"/>
    <x v="0"/>
    <x v="4"/>
  </r>
  <r>
    <n v="1000107343"/>
    <s v="P&amp;F Product; ACC-R2-SW.3; P/N:221501 (S/P)"/>
    <x v="3"/>
    <s v="Pepperl+Fuchs (ME) FZE"/>
    <n v="1892.13673289434"/>
    <n v="16"/>
    <n v="16"/>
    <n v="0"/>
    <x v="0"/>
    <x v="5"/>
  </r>
  <r>
    <n v="1000106075"/>
    <s v="P&amp;F Inductive Sensor; NJ15-30GK-N-150-Y38977;"/>
    <x v="3"/>
    <s v="Pepperl+Fuchs (ME) FZE"/>
    <n v="1890.6"/>
    <n v="2"/>
    <n v="2"/>
    <n v="0"/>
    <x v="0"/>
    <x v="5"/>
  </r>
  <r>
    <n v="1000020938"/>
    <s v="SKF BEARING - NJ 2311 ECP/C3"/>
    <x v="3"/>
    <s v="SKF Eurotrade AB"/>
    <n v="1889.16"/>
    <n v="6"/>
    <n v="6"/>
    <n v="0"/>
    <x v="0"/>
    <x v="4"/>
  </r>
  <r>
    <n v="1000020639"/>
    <s v="SKF BEARING - 6306-2Z"/>
    <x v="3"/>
    <s v="SKF Eurotrade AB"/>
    <n v="1888.4595585096599"/>
    <n v="111"/>
    <n v="111"/>
    <n v="0"/>
    <x v="0"/>
    <x v="4"/>
  </r>
  <r>
    <n v="1000020941"/>
    <s v="SKF BEARING - NJ 2314 ECP"/>
    <x v="3"/>
    <s v="SKF Eurotrade AB"/>
    <n v="1886.76"/>
    <n v="4"/>
    <n v="4"/>
    <n v="0"/>
    <x v="0"/>
    <x v="4"/>
  </r>
  <r>
    <n v="2500001767"/>
    <s v="SEAL SHAFT 28X40X10 AXIS-73CCW PN 13436029"/>
    <x v="0"/>
    <s v="ELGI Gulf FZE"/>
    <n v="1882.96"/>
    <n v="3"/>
    <n v="3"/>
    <n v="0"/>
    <x v="0"/>
    <x v="0"/>
  </r>
  <r>
    <n v="2500001778"/>
    <s v="SEAL SHAFT55X70X12 AXIS-159 CW PN 13436254"/>
    <x v="0"/>
    <s v="ELGI Gulf FZE"/>
    <n v="1881.0875000000001"/>
    <n v="2"/>
    <n v="1"/>
    <n v="1"/>
    <x v="9"/>
    <x v="0"/>
  </r>
  <r>
    <n v="1000094849"/>
    <s v="Weidmuller Relay;  Model:TRS 24VUC 1CO;  P/N:"/>
    <x v="3"/>
    <s v="Weidmuller Middle East (FZE)"/>
    <n v="1880.32"/>
    <n v="50"/>
    <n v="50"/>
    <n v="0"/>
    <x v="0"/>
    <x v="3"/>
  </r>
  <r>
    <n v="1000021292"/>
    <s v="SKF BEARING - 22316 E/C3"/>
    <x v="3"/>
    <s v="SKF Eurotrade AB"/>
    <n v="1879.68"/>
    <n v="4"/>
    <n v="4"/>
    <n v="0"/>
    <x v="0"/>
    <x v="4"/>
  </r>
  <r>
    <n v="1000096643"/>
    <s v="SKF BEARING - 6316 M/C4VL0241"/>
    <x v="3"/>
    <s v="SKF Eurotrade AB"/>
    <n v="1871.54"/>
    <n v="1"/>
    <n v="1"/>
    <n v="0"/>
    <x v="0"/>
    <x v="4"/>
  </r>
  <r>
    <n v="1000020575"/>
    <s v="SKF BEARING - 6222/C3"/>
    <x v="3"/>
    <s v="SKF Eurotrade AB"/>
    <n v="1863.1092857142801"/>
    <n v="5"/>
    <n v="5"/>
    <n v="0"/>
    <x v="0"/>
    <x v="4"/>
  </r>
  <r>
    <n v="1000098599"/>
    <s v="SKF BEARING -7306 BECBM"/>
    <x v="3"/>
    <s v="SKF Eurotrade AB"/>
    <n v="1861.2375"/>
    <n v="15"/>
    <n v="15"/>
    <n v="0"/>
    <x v="0"/>
    <x v="4"/>
  </r>
  <r>
    <n v="2500008140"/>
    <s v="AL. BLOW DOWN VALVE - 1/2 NPT  MDL 300/100,75"/>
    <x v="0"/>
    <s v="ELGI Gulf FZE"/>
    <n v="1860.9255000000001"/>
    <n v="4"/>
    <n v="4"/>
    <n v="0"/>
    <x v="6"/>
    <x v="0"/>
  </r>
  <r>
    <n v="1000020319"/>
    <s v="SKF BEARING - 6020-2Z/C3"/>
    <x v="3"/>
    <s v="SKF Eurotrade AB"/>
    <n v="1856.8"/>
    <n v="10"/>
    <n v="10"/>
    <n v="0"/>
    <x v="0"/>
    <x v="4"/>
  </r>
  <r>
    <n v="1000097239"/>
    <s v="SKF PRODUCTS : Model No. C 2218/C3"/>
    <x v="3"/>
    <s v="SKF Eurotrade AB"/>
    <n v="1854.94"/>
    <n v="3"/>
    <n v="3"/>
    <n v="0"/>
    <x v="0"/>
    <x v="4"/>
  </r>
  <r>
    <n v="1000097815"/>
    <s v="SKF BEARING - 6213/C4"/>
    <x v="3"/>
    <s v="SKF Eurotrade AB"/>
    <n v="1849.7625"/>
    <n v="17"/>
    <n v="17"/>
    <n v="0"/>
    <x v="0"/>
    <x v="4"/>
  </r>
  <r>
    <n v="1000098690"/>
    <s v="SKF BEARING -NJ 208 ECJ"/>
    <x v="3"/>
    <s v="SKF Eurotrade AB"/>
    <n v="1846.3050000000001"/>
    <n v="16"/>
    <n v="16"/>
    <n v="0"/>
    <x v="0"/>
    <x v="4"/>
  </r>
  <r>
    <n v="2500008285"/>
    <s v="BDV ASSEMBLY KIT EIV 102 PN 972300080"/>
    <x v="0"/>
    <s v="ELGI Gulf FZE"/>
    <n v="1845.6666666666599"/>
    <n v="8"/>
    <n v="7"/>
    <n v="1"/>
    <x v="6"/>
    <x v="0"/>
  </r>
  <r>
    <n v="1000020746"/>
    <s v="SKF BEARING - 6319/C3"/>
    <x v="3"/>
    <s v="SKF Eurotrade AB"/>
    <n v="1842.1875"/>
    <n v="5"/>
    <n v="6"/>
    <n v="-1"/>
    <x v="4"/>
    <x v="4"/>
  </r>
  <r>
    <n v="1000098689"/>
    <s v="SKF BEARING -NCF 3020 CV/C3"/>
    <x v="3"/>
    <s v="SKF Eurotrade AB"/>
    <n v="1834.91"/>
    <n v="2"/>
    <n v="2"/>
    <n v="0"/>
    <x v="0"/>
    <x v="4"/>
  </r>
  <r>
    <n v="1000020452"/>
    <s v="SKF BEARING - 6207-2RS1"/>
    <x v="3"/>
    <s v="SKF Eurotrade AB"/>
    <n v="1825.69342541527"/>
    <n v="104"/>
    <n v="104"/>
    <n v="0"/>
    <x v="0"/>
    <x v="4"/>
  </r>
  <r>
    <n v="1000106108"/>
    <s v="P&amp;F Power Supply; PS1000-A6-24.5; P/N: 701035"/>
    <x v="3"/>
    <s v="Pepperl+Fuchs (ME) FZE"/>
    <n v="1819.51"/>
    <n v="5"/>
    <n v="5"/>
    <n v="0"/>
    <x v="0"/>
    <x v="5"/>
  </r>
  <r>
    <n v="1000098646"/>
    <s v="SKF BEARING -H 3140"/>
    <x v="3"/>
    <s v="SKF Eurotrade AB"/>
    <n v="1815.83"/>
    <n v="2"/>
    <n v="2"/>
    <n v="0"/>
    <x v="0"/>
    <x v="4"/>
  </r>
  <r>
    <n v="2500008630"/>
    <s v="MATL : AIR FILTER KIT B574609"/>
    <x v="0"/>
    <s v="ELGI Gulf FZE"/>
    <n v="1811.25"/>
    <n v="3"/>
    <n v="3"/>
    <n v="0"/>
    <x v="0"/>
    <x v="0"/>
  </r>
  <r>
    <n v="1000099142"/>
    <s v="SKF BEARING-6032/C3"/>
    <x v="3"/>
    <s v="SKF Eurotrade AB"/>
    <n v="1810.4749999999999"/>
    <n v="2"/>
    <n v="2"/>
    <n v="0"/>
    <x v="0"/>
    <x v="4"/>
  </r>
  <r>
    <n v="1000101076"/>
    <s v="Weidmuller; Model No: RS ELCO 56/56LM S I"/>
    <x v="3"/>
    <s v="Weidmuller Middle East (FZE)"/>
    <n v="1810.2"/>
    <n v="5"/>
    <n v="5"/>
    <n v="0"/>
    <x v="0"/>
    <x v="3"/>
  </r>
  <r>
    <n v="1000021288"/>
    <s v="SKF BEARING - 22315 EK"/>
    <x v="3"/>
    <s v="SKF Eurotrade AB"/>
    <n v="1810.1608799999999"/>
    <n v="4"/>
    <n v="4"/>
    <n v="0"/>
    <x v="0"/>
    <x v="4"/>
  </r>
  <r>
    <n v="1000100312"/>
    <s v="SKF Product 6232 M/C3"/>
    <x v="3"/>
    <s v="SKF Eurotrade AB"/>
    <n v="1809.7149999999999"/>
    <n v="1"/>
    <n v="1"/>
    <n v="0"/>
    <x v="0"/>
    <x v="4"/>
  </r>
  <r>
    <n v="1000021301"/>
    <s v="SKF BEARING - 22318 EK"/>
    <x v="3"/>
    <s v="SKF Eurotrade AB"/>
    <n v="1809.15"/>
    <n v="3"/>
    <n v="3"/>
    <n v="0"/>
    <x v="0"/>
    <x v="4"/>
  </r>
  <r>
    <n v="1000102204"/>
    <s v="SKF BEARINGS - AXK 110145"/>
    <x v="3"/>
    <s v="SKF Eurotrade AB"/>
    <n v="1807.69"/>
    <n v="20"/>
    <n v="20"/>
    <n v="0"/>
    <x v="0"/>
    <x v="4"/>
  </r>
  <r>
    <n v="1000099220"/>
    <s v="SKF BEARING - NJ 2318 ECJ"/>
    <x v="3"/>
    <s v="SKF Eurotrade AB"/>
    <n v="1806.83"/>
    <n v="2"/>
    <n v="2"/>
    <n v="0"/>
    <x v="0"/>
    <x v="4"/>
  </r>
  <r>
    <n v="1000098875"/>
    <s v="Weidmuller; Terminal Blocks &amp; Accessories; P/"/>
    <x v="3"/>
    <s v="Weidmuller Middle East (FZE)"/>
    <n v="1804.4475688616401"/>
    <n v="108"/>
    <n v="108"/>
    <n v="0"/>
    <x v="0"/>
    <x v="3"/>
  </r>
  <r>
    <n v="2100002078"/>
    <s v="MPV KIT"/>
    <x v="0"/>
    <s v="QURUM Technical Company"/>
    <n v="1802.5"/>
    <n v="2"/>
    <n v="2"/>
    <n v="0"/>
    <x v="0"/>
    <x v="0"/>
  </r>
  <r>
    <n v="1000020802"/>
    <s v="SKF BEARING - 7210 BECBJ"/>
    <x v="3"/>
    <s v="SKF Eurotrade AB"/>
    <n v="1801.1852083333299"/>
    <n v="13"/>
    <n v="13"/>
    <n v="0"/>
    <x v="0"/>
    <x v="4"/>
  </r>
  <r>
    <n v="1000020975"/>
    <s v="SKF BEARING - NU 1011 ECP"/>
    <x v="3"/>
    <s v="SKF Eurotrade AB"/>
    <n v="1796.55"/>
    <n v="8"/>
    <n v="8"/>
    <n v="0"/>
    <x v="0"/>
    <x v="4"/>
  </r>
  <r>
    <n v="2500008945"/>
    <s v="&quot;bestweld 8mm gouging rod P/N-900 BWS-GC-7.9M"/>
    <x v="0"/>
    <s v="OKI BERING MIDDLE EAST FZE"/>
    <n v="1793.75"/>
    <n v="50"/>
    <n v="50"/>
    <n v="0"/>
    <x v="0"/>
    <x v="0"/>
  </r>
  <r>
    <n v="1000010156"/>
    <s v="P+F, Ultrasonic  Sensor Model No.: UB2000-F42"/>
    <x v="3"/>
    <s v="Pepperl+Fuchs (ME) FZE"/>
    <n v="1792.22"/>
    <n v="3"/>
    <n v="3"/>
    <n v="0"/>
    <x v="0"/>
    <x v="5"/>
  </r>
  <r>
    <n v="1000020515"/>
    <s v="SKF BEARING - 6214-2Z/C3"/>
    <x v="3"/>
    <s v="SKF Eurotrade AB"/>
    <n v="1786.19"/>
    <n v="17"/>
    <n v="17"/>
    <n v="0"/>
    <x v="0"/>
    <x v="4"/>
  </r>
  <r>
    <n v="1000021117"/>
    <s v="SKF BEARING - NU 314 ECJ/C3"/>
    <x v="3"/>
    <s v="SKF Eurotrade AB"/>
    <n v="1782"/>
    <n v="5"/>
    <n v="5"/>
    <n v="0"/>
    <x v="0"/>
    <x v="4"/>
  </r>
  <r>
    <n v="1000010154"/>
    <s v="P+F, Inductive Sensor Model No.: NJ10-30GM-N-"/>
    <x v="3"/>
    <s v="Pepperl+Fuchs (ME) FZE"/>
    <n v="1775.52"/>
    <n v="6"/>
    <n v="6"/>
    <n v="0"/>
    <x v="0"/>
    <x v="5"/>
  </r>
  <r>
    <n v="2500008145"/>
    <s v="BUTTERFLY VALVE 6&quot; Imported MDL PG 900 - 200 "/>
    <x v="0"/>
    <s v="ELGI Gulf FZE"/>
    <n v="1773.75"/>
    <n v="1"/>
    <n v="1"/>
    <n v="0"/>
    <x v="0"/>
    <x v="0"/>
  </r>
  <r>
    <n v="1000098602"/>
    <s v="SKF BEARING -7309 BEGBY"/>
    <x v="3"/>
    <s v="SKF Eurotrade AB"/>
    <n v="1772.55"/>
    <n v="7"/>
    <n v="7"/>
    <n v="0"/>
    <x v="0"/>
    <x v="4"/>
  </r>
  <r>
    <n v="1000020482"/>
    <s v="SKF BEARING - 6210/C3"/>
    <x v="3"/>
    <s v="Universal Bearings Company"/>
    <n v="1771.9713529098599"/>
    <n v="58"/>
    <n v="58"/>
    <n v="0"/>
    <x v="0"/>
    <x v="4"/>
  </r>
  <r>
    <n v="2500009467"/>
    <s v="DESCRIPTION : HQ DIAMOND LOCKING COUPLING REA"/>
    <x v="0"/>
    <s v="PARANTHAMAN EXPORTERS"/>
    <n v="1766.25"/>
    <n v="3"/>
    <n v="3"/>
    <n v="0"/>
    <x v="0"/>
    <x v="0"/>
  </r>
  <r>
    <n v="1000107098"/>
    <s v="Weidmuller Product; IE-MC-VL-1TX-1ST; P/N:124"/>
    <x v="3"/>
    <s v="Weidmuller Middle East (FZE)"/>
    <n v="1765.74"/>
    <n v="2"/>
    <n v="2"/>
    <n v="0"/>
    <x v="0"/>
    <x v="3"/>
  </r>
  <r>
    <n v="1000021023"/>
    <s v="SKF BEARING - NU 218 ECM"/>
    <x v="3"/>
    <s v="SKF Eurotrade AB"/>
    <n v="1760.34"/>
    <n v="3"/>
    <n v="3"/>
    <n v="0"/>
    <x v="0"/>
    <x v="4"/>
  </r>
  <r>
    <n v="1000095107"/>
    <s v="SKF BEARING - NU 315 ECM"/>
    <x v="3"/>
    <s v="SKF Eurotrade AB"/>
    <n v="1758.12"/>
    <n v="3"/>
    <n v="3"/>
    <n v="0"/>
    <x v="0"/>
    <x v="4"/>
  </r>
  <r>
    <n v="1000020650"/>
    <s v="SKF BEARING - 6307-2Z/C3"/>
    <x v="3"/>
    <s v="SKF Eurotrade AB"/>
    <n v="1757.1603260869499"/>
    <n v="75"/>
    <n v="75"/>
    <n v="0"/>
    <x v="2"/>
    <x v="4"/>
  </r>
  <r>
    <n v="1000099259"/>
    <s v="SKF BEARING - TU 50 TF"/>
    <x v="3"/>
    <s v="SKF Eurotrade AB"/>
    <n v="1755.27"/>
    <n v="13"/>
    <n v="13"/>
    <n v="0"/>
    <x v="0"/>
    <x v="4"/>
  </r>
  <r>
    <n v="1000094464"/>
    <s v="P+F, Inductive Sensor; Model:NJ5-18GM-N-5M;  "/>
    <x v="3"/>
    <s v="Pepperl+Fuchs (ME) FZE"/>
    <n v="1754.3848666666599"/>
    <n v="6"/>
    <n v="6"/>
    <n v="0"/>
    <x v="0"/>
    <x v="5"/>
  </r>
  <r>
    <n v="1000105834"/>
    <s v="P&amp;F Product; NJ4-12GM50-WS; P/N: 026579"/>
    <x v="3"/>
    <s v="Pepperl+Fuchs (ME) FZE"/>
    <n v="1751.86"/>
    <n v="5"/>
    <n v="5"/>
    <n v="0"/>
    <x v="0"/>
    <x v="5"/>
  </r>
  <r>
    <n v="1000020905"/>
    <s v="SKF BEARING - NJ 216 ECJ"/>
    <x v="3"/>
    <s v="SKF Eurotrade AB"/>
    <n v="1745.42"/>
    <n v="7"/>
    <n v="7"/>
    <n v="0"/>
    <x v="0"/>
    <x v="4"/>
  </r>
  <r>
    <n v="2500009330"/>
    <s v="DESCRIPTION : JAW SET TC FOR DD| Part no. PRD"/>
    <x v="0"/>
    <s v="PARANTHAMAN EXPORTERS"/>
    <n v="1743.75"/>
    <n v="15"/>
    <n v="15"/>
    <n v="0"/>
    <x v="0"/>
    <x v="0"/>
  </r>
  <r>
    <n v="1000098940"/>
    <s v="Pepperl+Fuchs Frequency Converter:Model KFU8-"/>
    <x v="3"/>
    <s v="Pepperl+Fuchs (ME) FZE"/>
    <n v="1734.9863"/>
    <n v="1"/>
    <n v="1"/>
    <n v="0"/>
    <x v="0"/>
    <x v="5"/>
  </r>
  <r>
    <n v="1000100319"/>
    <s v="SKF Product 7215 BEGAM"/>
    <x v="3"/>
    <s v="SKF Eurotrade AB"/>
    <n v="1729.05"/>
    <n v="4"/>
    <n v="4"/>
    <n v="0"/>
    <x v="0"/>
    <x v="4"/>
  </r>
  <r>
    <n v="1000103012"/>
    <s v="SKF PRODUCT; PHG SPA3750"/>
    <x v="3"/>
    <s v="SKF Eurotrade AB"/>
    <n v="1727.8164489795899"/>
    <n v="58"/>
    <n v="58"/>
    <n v="0"/>
    <x v="0"/>
    <x v="4"/>
  </r>
  <r>
    <n v="1000093526"/>
    <s v="Power Assy (24 VAC/DC);B8705EA"/>
    <x v="5"/>
    <s v="Yokogawa Middle East &amp; Africa B.S.C. Â©"/>
    <n v="1727.3"/>
    <n v="2"/>
    <n v="2"/>
    <n v="0"/>
    <x v="0"/>
    <x v="6"/>
  </r>
  <r>
    <n v="1000100349"/>
    <s v="SKF Product 3311 ANR"/>
    <x v="3"/>
    <s v="SKF Eurotrade AB"/>
    <n v="1727.259"/>
    <n v="3"/>
    <n v="3"/>
    <n v="0"/>
    <x v="0"/>
    <x v="4"/>
  </r>
  <r>
    <n v="1000100280"/>
    <s v="SKF BEARING -SY 50 WF"/>
    <x v="3"/>
    <s v="SKF Eurotrade AB"/>
    <n v="1717.88"/>
    <n v="11"/>
    <n v="11"/>
    <n v="0"/>
    <x v="0"/>
    <x v="4"/>
  </r>
  <r>
    <n v="1000020496"/>
    <s v="SKF BEARING - 6212/C4"/>
    <x v="3"/>
    <s v="SKF Eurotrade AB"/>
    <n v="1715.0074999999999"/>
    <n v="23"/>
    <n v="23"/>
    <n v="0"/>
    <x v="0"/>
    <x v="4"/>
  </r>
  <r>
    <n v="1000098541"/>
    <s v="SKF BEARING-6014-RS1"/>
    <x v="3"/>
    <s v="SKF Eurotrade AB"/>
    <n v="1714.58"/>
    <n v="19"/>
    <n v="19"/>
    <n v="0"/>
    <x v="0"/>
    <x v="4"/>
  </r>
  <r>
    <n v="1000095596"/>
    <s v="P+F;Switch Photoelectric,P/N:OJ500-M1K-E23/18"/>
    <x v="3"/>
    <s v="Pepperl+Fuchs (ME) FZE"/>
    <n v="1712.81"/>
    <n v="3"/>
    <n v="3"/>
    <n v="0"/>
    <x v="0"/>
    <x v="5"/>
  </r>
  <r>
    <n v="2500005624"/>
    <s v="PRESSURE REGULATOR PRNE PN B001501070001"/>
    <x v="0"/>
    <s v="ELGI Gulf FZE"/>
    <n v="1712.7"/>
    <n v="2"/>
    <n v="2"/>
    <n v="0"/>
    <x v="0"/>
    <x v="0"/>
  </r>
  <r>
    <n v="1000098694"/>
    <s v="SKF BEARING -NJ 316 ECM/C4VA301"/>
    <x v="3"/>
    <s v="SKF Eurotrade AB"/>
    <n v="1708.54"/>
    <n v="2"/>
    <n v="2"/>
    <n v="0"/>
    <x v="0"/>
    <x v="4"/>
  </r>
  <r>
    <n v="1000021214"/>
    <s v="SKF BEARING - H 312"/>
    <x v="3"/>
    <s v="SKF Eurotrade AB"/>
    <n v="1707.74"/>
    <n v="32"/>
    <n v="32"/>
    <n v="0"/>
    <x v="0"/>
    <x v="4"/>
  </r>
  <r>
    <n v="1000100571"/>
    <s v="P+F, Viator USB HART Interface  Model No: HM-"/>
    <x v="3"/>
    <s v="Pepperl+Fuchs (ME) FZE"/>
    <n v="1705.4475"/>
    <n v="1"/>
    <n v="1"/>
    <n v="0"/>
    <x v="0"/>
    <x v="5"/>
  </r>
  <r>
    <n v="1000098644"/>
    <s v="SKF BEARING -H 2307"/>
    <x v="3"/>
    <s v="SKF Eurotrade AB"/>
    <n v="1704.97435897435"/>
    <n v="40"/>
    <n v="40"/>
    <n v="0"/>
    <x v="0"/>
    <x v="4"/>
  </r>
  <r>
    <n v="2500005713"/>
    <s v="FILTER ELEMENT F5 PN B004700770029"/>
    <x v="0"/>
    <s v="ELGI Gulf FZE"/>
    <n v="1699.31"/>
    <n v="3"/>
    <n v="3"/>
    <n v="0"/>
    <x v="0"/>
    <x v="0"/>
  </r>
  <r>
    <n v="1000098533"/>
    <s v="SKF BEARING-3314 ANR"/>
    <x v="3"/>
    <s v="SKF Eurotrade AB"/>
    <n v="1696.4"/>
    <n v="2"/>
    <n v="2"/>
    <n v="0"/>
    <x v="0"/>
    <x v="4"/>
  </r>
  <r>
    <n v="1000098534"/>
    <s v="SKF BEARING-3314 ANR/C3"/>
    <x v="3"/>
    <s v="SKF Eurotrade AB"/>
    <n v="1696.4"/>
    <n v="2"/>
    <n v="2"/>
    <n v="0"/>
    <x v="0"/>
    <x v="4"/>
  </r>
  <r>
    <n v="1000100160"/>
    <s v="Weidmuller P/N 2619820000  Model No. WS 8/6 M"/>
    <x v="3"/>
    <s v="Weidmuller Middle East (FZE)"/>
    <n v="1692.9"/>
    <n v="12000"/>
    <n v="12000"/>
    <n v="0"/>
    <x v="0"/>
    <x v="3"/>
  </r>
  <r>
    <n v="2100001105"/>
    <s v="MATL:5500012984 GASKET, 40/41/42/62,LARMCO,P/"/>
    <x v="1"/>
    <s v="Trillium Flow Technologies France SAS"/>
    <n v="1689.6"/>
    <n v="2"/>
    <n v="2"/>
    <n v="0"/>
    <x v="0"/>
    <x v="2"/>
  </r>
  <r>
    <n v="1000103197"/>
    <s v="SKF Product; 22230 CC/C3W33"/>
    <x v="3"/>
    <s v="SKF Eurotrade AB"/>
    <n v="1683.94"/>
    <n v="1"/>
    <n v="1"/>
    <n v="0"/>
    <x v="0"/>
    <x v="4"/>
  </r>
  <r>
    <n v="2500009202"/>
    <s v="DESCRIPTION :OIL FILTER G1911.202311086| Part"/>
    <x v="0"/>
    <s v="Alkhorayef Commercial Company"/>
    <n v="1683"/>
    <n v="17"/>
    <n v="17"/>
    <n v="0"/>
    <x v="0"/>
    <x v="0"/>
  </r>
  <r>
    <n v="1000021468"/>
    <s v="SKF BEARING - 305704 C-2Z"/>
    <x v="3"/>
    <s v="SKF Eurotrade AB"/>
    <n v="1682.4839999999999"/>
    <n v="19"/>
    <n v="19"/>
    <n v="0"/>
    <x v="0"/>
    <x v="4"/>
  </r>
  <r>
    <n v="1000021312"/>
    <s v="SKF BEARING - 22324 CC/W33"/>
    <x v="3"/>
    <s v="SKF Eurotrade AB"/>
    <n v="1681.64"/>
    <n v="1"/>
    <n v="1"/>
    <n v="0"/>
    <x v="0"/>
    <x v="4"/>
  </r>
  <r>
    <n v="1000021311"/>
    <s v="SKF BEARING - 22324 CC/C3W33"/>
    <x v="3"/>
    <s v="SKF Eurotrade AB"/>
    <n v="1681.64"/>
    <n v="1"/>
    <n v="1"/>
    <n v="0"/>
    <x v="0"/>
    <x v="4"/>
  </r>
  <r>
    <n v="1000098713"/>
    <s v="SKF BEARING -NU 321 ECJ/C3"/>
    <x v="3"/>
    <s v="SKF Eurotrade AB"/>
    <n v="1681.5"/>
    <n v="2"/>
    <n v="2"/>
    <n v="0"/>
    <x v="0"/>
    <x v="4"/>
  </r>
  <r>
    <n v="1000021040"/>
    <s v="SKF BEARING - NU 2211 ECP/C3"/>
    <x v="3"/>
    <s v="SKF Eurotrade AB"/>
    <n v="1678.79"/>
    <n v="13"/>
    <n v="13"/>
    <n v="0"/>
    <x v="0"/>
    <x v="4"/>
  </r>
  <r>
    <n v="1000021115"/>
    <s v="SKF BEARING - NU 313 ECP"/>
    <x v="3"/>
    <s v="SKF Eurotrade AB"/>
    <n v="1677.3071111111101"/>
    <n v="8"/>
    <n v="8"/>
    <n v="0"/>
    <x v="0"/>
    <x v="4"/>
  </r>
  <r>
    <n v="1000095689"/>
    <s v="SKF BEARING SNL 511-609"/>
    <x v="3"/>
    <s v="Universal Bearings Company"/>
    <n v="1677.03972222222"/>
    <n v="9"/>
    <n v="9"/>
    <n v="0"/>
    <x v="0"/>
    <x v="4"/>
  </r>
  <r>
    <n v="2500008336"/>
    <s v="Filter Assembly Element P N B015000110145"/>
    <x v="0"/>
    <s v="ELGI Gulf FZE"/>
    <n v="1673.85"/>
    <n v="5"/>
    <n v="5"/>
    <n v="0"/>
    <x v="0"/>
    <x v="0"/>
  </r>
  <r>
    <n v="1000098606"/>
    <s v="SKF BEARING -7316 BEGAM"/>
    <x v="3"/>
    <s v="SKF Eurotrade AB"/>
    <n v="1672.96"/>
    <n v="2"/>
    <n v="2"/>
    <n v="0"/>
    <x v="0"/>
    <x v="4"/>
  </r>
  <r>
    <n v="1000100379"/>
    <s v="SKF Product NUP 207 ECJ"/>
    <x v="3"/>
    <s v="SKF Eurotrade AB"/>
    <n v="1668.04368981481"/>
    <n v="12"/>
    <n v="12"/>
    <n v="0"/>
    <x v="0"/>
    <x v="4"/>
  </r>
  <r>
    <n v="1000102724"/>
    <s v="SKF BEARING; 2317 M/C3"/>
    <x v="3"/>
    <s v="SKF Eurotrade AB"/>
    <n v="1661.74"/>
    <n v="1"/>
    <n v="1"/>
    <n v="0"/>
    <x v="0"/>
    <x v="4"/>
  </r>
  <r>
    <n v="1000095663"/>
    <s v="Weidmuller Product; Model No:RIBBON HSS HF EL"/>
    <x v="3"/>
    <s v="Weidmuller Middle East (FZE)"/>
    <n v="1658.72252847405"/>
    <n v="6"/>
    <n v="6"/>
    <n v="0"/>
    <x v="0"/>
    <x v="3"/>
  </r>
  <r>
    <n v="1000110808"/>
    <s v="SKF PRODUCT  3306 ATN9/C3"/>
    <x v="3"/>
    <s v="SKF Eurotrade AB"/>
    <n v="1658.4"/>
    <n v="16"/>
    <n v="6"/>
    <n v="10"/>
    <x v="2"/>
    <x v="4"/>
  </r>
  <r>
    <n v="1000021156"/>
    <s v="SKF BEARING - 21315 E/C3"/>
    <x v="3"/>
    <s v="SKF Eurotrade AB"/>
    <n v="1658.25"/>
    <n v="5"/>
    <n v="5"/>
    <n v="0"/>
    <x v="0"/>
    <x v="4"/>
  </r>
  <r>
    <n v="1000020831"/>
    <s v="SKF BEARING - 7305 BECBM"/>
    <x v="3"/>
    <s v="SKF Eurotrade AB"/>
    <n v="1652.9594444444399"/>
    <n v="14"/>
    <n v="14"/>
    <n v="0"/>
    <x v="0"/>
    <x v="4"/>
  </r>
  <r>
    <n v="1000106053"/>
    <s v="P&amp;F Inductive Sensor; NBB20-U4K-N0; P/N: 7013"/>
    <x v="3"/>
    <s v="Pepperl+Fuchs (ME) FZE"/>
    <n v="1648.2"/>
    <n v="6"/>
    <n v="6"/>
    <n v="0"/>
    <x v="0"/>
    <x v="5"/>
  </r>
  <r>
    <n v="1000098467"/>
    <s v="SKF BEARING-22309 E/C3"/>
    <x v="3"/>
    <s v="SKF Eurotrade AB"/>
    <n v="1647.06323636363"/>
    <n v="10"/>
    <n v="10"/>
    <n v="0"/>
    <x v="0"/>
    <x v="4"/>
  </r>
  <r>
    <n v="1000021090"/>
    <s v="SKF BEARING - NU 308 ECP"/>
    <x v="3"/>
    <s v="SKF Eurotrade AB"/>
    <n v="1644.9"/>
    <n v="16"/>
    <n v="16"/>
    <n v="0"/>
    <x v="0"/>
    <x v="4"/>
  </r>
  <r>
    <n v="1000098575"/>
    <s v="SKF BEARING -6210-2RS1"/>
    <x v="3"/>
    <s v="SKF Eurotrade AB"/>
    <n v="1635.318"/>
    <n v="47"/>
    <n v="47"/>
    <n v="0"/>
    <x v="0"/>
    <x v="4"/>
  </r>
  <r>
    <n v="1000102229"/>
    <s v="SKF BEARINGS - 3222 A"/>
    <x v="3"/>
    <s v="SKF Eurotrade AB"/>
    <n v="1634.4"/>
    <n v="1"/>
    <n v="1"/>
    <n v="0"/>
    <x v="0"/>
    <x v="4"/>
  </r>
  <r>
    <n v="1000010069"/>
    <s v="Pepperl+Fuchs Inductive Sensor (NJ5-18GK-N)"/>
    <x v="3"/>
    <s v="Pepperl+Fuchs (ME) FZE"/>
    <n v="1634.0886956521699"/>
    <n v="8"/>
    <n v="8"/>
    <n v="0"/>
    <x v="0"/>
    <x v="5"/>
  </r>
  <r>
    <n v="1000020714"/>
    <s v="SKF BEARING - 6314-2RS1/C3"/>
    <x v="3"/>
    <s v="SKF Eurotrade AB"/>
    <n v="1633.17"/>
    <n v="11"/>
    <n v="11"/>
    <n v="0"/>
    <x v="0"/>
    <x v="4"/>
  </r>
  <r>
    <n v="1000095820"/>
    <s v="Weidmueller,Product :2589750000,Part No: CD-H"/>
    <x v="3"/>
    <s v="Weidmuller Middle East (FZE)"/>
    <n v="1628.9151999999999"/>
    <n v="46"/>
    <n v="46"/>
    <n v="0"/>
    <x v="0"/>
    <x v="3"/>
  </r>
  <r>
    <n v="1000021124"/>
    <s v="SKF BEARING - NU 315 ECM/C3"/>
    <x v="3"/>
    <s v="SKF Eurotrade AB"/>
    <n v="1624.36"/>
    <n v="3"/>
    <n v="3"/>
    <n v="0"/>
    <x v="0"/>
    <x v="4"/>
  </r>
  <r>
    <n v="1000020242"/>
    <s v="SKF BEARING - 6004-2RSH/C3"/>
    <x v="3"/>
    <s v="SKF Eurotrade AB"/>
    <n v="1623.28"/>
    <n v="206"/>
    <n v="206"/>
    <n v="0"/>
    <x v="0"/>
    <x v="4"/>
  </r>
  <r>
    <n v="1000020432"/>
    <s v="SKF BEARING - 6205-2RSH"/>
    <x v="3"/>
    <s v="SKF Eurotrade AB"/>
    <n v="1622.68670688579"/>
    <n v="160"/>
    <n v="150"/>
    <n v="10"/>
    <x v="3"/>
    <x v="4"/>
  </r>
  <r>
    <n v="1000020738"/>
    <s v="SKF BEARING - 6317-2Z/C3"/>
    <x v="3"/>
    <s v="SKF Eurotrade AB"/>
    <n v="1622.25"/>
    <n v="5"/>
    <n v="5"/>
    <n v="0"/>
    <x v="0"/>
    <x v="4"/>
  </r>
  <r>
    <n v="1000020543"/>
    <s v="SKF BEARING - 6219-2Z/C3"/>
    <x v="3"/>
    <s v="SKF Eurotrade AB"/>
    <n v="1622.22"/>
    <n v="6"/>
    <n v="6"/>
    <n v="0"/>
    <x v="0"/>
    <x v="4"/>
  </r>
  <r>
    <n v="1000010167"/>
    <s v="P+F, Inductive Sensor Model No.: NBB15-U1K-N0"/>
    <x v="3"/>
    <s v="Pepperl+Fuchs (ME) FZE"/>
    <n v="1621.36767914438"/>
    <n v="6"/>
    <n v="6"/>
    <n v="0"/>
    <x v="0"/>
    <x v="5"/>
  </r>
  <r>
    <n v="1000020531"/>
    <s v="SKF BEARING - 6217/C3"/>
    <x v="3"/>
    <s v="SKF Eurotrade AB"/>
    <n v="1620.5714800824101"/>
    <n v="10"/>
    <n v="10"/>
    <n v="0"/>
    <x v="0"/>
    <x v="4"/>
  </r>
  <r>
    <n v="1000020117"/>
    <s v="SKF BEARING - 3311 ANR/C3"/>
    <x v="3"/>
    <s v="SKF Eurotrade AB"/>
    <n v="1618.9875"/>
    <n v="3"/>
    <n v="3"/>
    <n v="0"/>
    <x v="0"/>
    <x v="4"/>
  </r>
  <r>
    <n v="1000021212"/>
    <s v="SKF BEARING - 22212 E/C3"/>
    <x v="3"/>
    <s v="SKF Eurotrade AB"/>
    <n v="1616.9559999999999"/>
    <n v="11"/>
    <n v="11"/>
    <n v="0"/>
    <x v="0"/>
    <x v="4"/>
  </r>
  <r>
    <n v="2100004757"/>
    <s v="MATL:P-1201 GSKT 323431 gear boX SAP: 1008651"/>
    <x v="1"/>
    <s v="SPX MIDDLE EAST FZE"/>
    <n v="1615.0662500000001"/>
    <n v="7"/>
    <n v="7"/>
    <n v="0"/>
    <x v="0"/>
    <x v="1"/>
  </r>
  <r>
    <n v="1000100360"/>
    <s v="SKF Product H 2309"/>
    <x v="3"/>
    <s v="SKF Eurotrade AB"/>
    <n v="1612.4925000000001"/>
    <n v="34"/>
    <n v="34"/>
    <n v="0"/>
    <x v="0"/>
    <x v="4"/>
  </r>
  <r>
    <n v="1000096301"/>
    <s v="Weidmuller;SFX 11/60 MM GE;P/N:2005400000"/>
    <x v="3"/>
    <s v="Weidmuller Middle East (FZE)"/>
    <n v="1606.5"/>
    <n v="4000"/>
    <n v="4000"/>
    <n v="0"/>
    <x v="0"/>
    <x v="3"/>
  </r>
  <r>
    <n v="1000098434"/>
    <s v="SKF BEARING-2218"/>
    <x v="3"/>
    <s v="SKF Eurotrade AB"/>
    <n v="1604.83"/>
    <n v="3"/>
    <n v="3"/>
    <n v="0"/>
    <x v="0"/>
    <x v="4"/>
  </r>
  <r>
    <n v="1000021464"/>
    <s v="SKF BEARING - 3306 ATN9/C3"/>
    <x v="3"/>
    <s v="Universal Bearings Company"/>
    <n v="1604.04"/>
    <n v="12"/>
    <n v="0"/>
    <n v="12"/>
    <x v="2"/>
    <x v="4"/>
  </r>
  <r>
    <n v="1000020398"/>
    <s v="SKF BEARING - 61936 MA"/>
    <x v="3"/>
    <s v="SKF Eurotrade AB"/>
    <n v="1603.82"/>
    <n v="1"/>
    <n v="1"/>
    <n v="0"/>
    <x v="0"/>
    <x v="4"/>
  </r>
  <r>
    <n v="1000096398"/>
    <s v="GP-12-NON-ELC-05;PJ ADV TNAW:1338710000"/>
    <x v="3"/>
    <s v="Weidmuller Middle East (FZE)"/>
    <n v="1601.4471524666601"/>
    <n v="4"/>
    <n v="4"/>
    <n v="0"/>
    <x v="0"/>
    <x v="3"/>
  </r>
  <r>
    <n v="2500001536"/>
    <s v="Coupling Elmnt, Rotex 48 PN 12437520"/>
    <x v="0"/>
    <s v="ELGI Gulf FZE"/>
    <n v="1599.94"/>
    <n v="17"/>
    <n v="17"/>
    <n v="0"/>
    <x v="0"/>
    <x v="0"/>
  </r>
  <r>
    <n v="1000020845"/>
    <s v="SKF BEARING - 7310 BECBM"/>
    <x v="3"/>
    <s v="Universal Bearings Company"/>
    <n v="1586.7"/>
    <n v="6"/>
    <n v="6"/>
    <n v="0"/>
    <x v="0"/>
    <x v="4"/>
  </r>
  <r>
    <n v="1000098612"/>
    <s v="SKF BEARING -3211 A"/>
    <x v="3"/>
    <s v="Universal Bearings Company"/>
    <n v="1586.01307692307"/>
    <n v="8"/>
    <n v="8"/>
    <n v="0"/>
    <x v="0"/>
    <x v="4"/>
  </r>
  <r>
    <n v="1000020218"/>
    <s v="SKF BEARING - 4305 ATN9"/>
    <x v="3"/>
    <s v="SKF Eurotrade AB"/>
    <n v="1584.26"/>
    <n v="18"/>
    <n v="18"/>
    <n v="0"/>
    <x v="0"/>
    <x v="4"/>
  </r>
  <r>
    <n v="1000100338"/>
    <s v="SKF Product 1306 EKTN9"/>
    <x v="3"/>
    <s v="SKF Eurotrade AB"/>
    <n v="1584"/>
    <n v="25"/>
    <n v="25"/>
    <n v="0"/>
    <x v="0"/>
    <x v="4"/>
  </r>
  <r>
    <n v="1000100416"/>
    <s v="SKF Product NU 2311 ECML/C3"/>
    <x v="3"/>
    <s v="SKF Eurotrade AB"/>
    <n v="1583.1"/>
    <n v="3"/>
    <n v="3"/>
    <n v="0"/>
    <x v="0"/>
    <x v="4"/>
  </r>
  <r>
    <n v="2500009194"/>
    <s v="Desc:BDV KIT WITH SOLENOID VALVE| P/N:B009401"/>
    <x v="0"/>
    <s v="ELGI Gulf FZE"/>
    <n v="1579.5"/>
    <n v="3"/>
    <n v="3"/>
    <n v="0"/>
    <x v="0"/>
    <x v="0"/>
  </r>
  <r>
    <n v="2500008138"/>
    <s v="DISCH CHECK VALVE 60 MDL 300/100 PN B00980107"/>
    <x v="0"/>
    <s v="ELGI Gulf FZE"/>
    <n v="1577.52"/>
    <n v="2"/>
    <n v="2"/>
    <n v="0"/>
    <x v="0"/>
    <x v="0"/>
  </r>
  <r>
    <n v="1000098685"/>
    <s v="SKF BEARING -N 318 ECM"/>
    <x v="3"/>
    <s v="SKF Eurotrade AB"/>
    <n v="1576.8150000000001"/>
    <n v="1"/>
    <n v="1"/>
    <n v="0"/>
    <x v="0"/>
    <x v="4"/>
  </r>
  <r>
    <n v="1000103151"/>
    <s v="SKF Products; 3203 ATN9"/>
    <x v="3"/>
    <s v="SKF Eurotrade AB"/>
    <n v="1575.9"/>
    <n v="26"/>
    <n v="26"/>
    <n v="0"/>
    <x v="0"/>
    <x v="4"/>
  </r>
  <r>
    <n v="2500008576"/>
    <s v="MATL : Summits Activated Carbon filter with I"/>
    <x v="0"/>
    <s v="Summits Hygronics Private Limited"/>
    <n v="1575"/>
    <n v="2"/>
    <n v="2"/>
    <n v="0"/>
    <x v="0"/>
    <x v="0"/>
  </r>
  <r>
    <n v="1000020638"/>
    <s v="SKF BEARING - 6306-2RS1/C3"/>
    <x v="3"/>
    <s v="SKF Eurotrade AB"/>
    <n v="1573.32"/>
    <n v="84"/>
    <n v="84"/>
    <n v="0"/>
    <x v="0"/>
    <x v="4"/>
  </r>
  <r>
    <n v="2200000252"/>
    <s v="MTL 1000019967 O-RING,480MM,5.2MM,O-RING; INS"/>
    <x v="2"/>
    <s v="Sundyne International S.A."/>
    <n v="1568.99450980392"/>
    <n v="4"/>
    <n v="4"/>
    <n v="0"/>
    <x v="0"/>
    <x v="2"/>
  </r>
  <r>
    <n v="1000102726"/>
    <s v="SKF BEARING; SYJ 35 TF (NP-35)"/>
    <x v="3"/>
    <s v="SKF Eurotrade AB"/>
    <n v="1563.75"/>
    <n v="20"/>
    <n v="20"/>
    <n v="0"/>
    <x v="0"/>
    <x v="4"/>
  </r>
  <r>
    <n v="1000021245"/>
    <s v="SKF BEARING - 22219 EK/C3"/>
    <x v="3"/>
    <s v="SKF Eurotrade AB"/>
    <n v="1557.69"/>
    <n v="4"/>
    <n v="4"/>
    <n v="0"/>
    <x v="0"/>
    <x v="4"/>
  </r>
  <r>
    <n v="1000021010"/>
    <s v="SKF BEARING - NU 215 ECJ"/>
    <x v="3"/>
    <s v="SKF Eurotrade AB"/>
    <n v="1555.25714285714"/>
    <n v="8"/>
    <n v="8"/>
    <n v="0"/>
    <x v="0"/>
    <x v="4"/>
  </r>
  <r>
    <n v="1000101194"/>
    <s v="Weidmuller; Terminal Blocks &amp; Accessories;   "/>
    <x v="3"/>
    <s v="Weidmuller Middle East (FZE)"/>
    <n v="1542.5550000000001"/>
    <n v="180"/>
    <n v="180"/>
    <n v="0"/>
    <x v="0"/>
    <x v="3"/>
  </r>
  <r>
    <n v="1000020700"/>
    <s v="SKF BEARING - 6312-2Z"/>
    <x v="3"/>
    <s v="SKF Eurotrade AB"/>
    <n v="1538.00052380952"/>
    <n v="17"/>
    <n v="17"/>
    <n v="0"/>
    <x v="0"/>
    <x v="4"/>
  </r>
  <r>
    <n v="1000098517"/>
    <s v="SKF BEARING-23226 CC/C3W33"/>
    <x v="3"/>
    <s v="SKF Eurotrade AB"/>
    <n v="1536.375"/>
    <n v="1"/>
    <n v="1"/>
    <n v="0"/>
    <x v="0"/>
    <x v="4"/>
  </r>
  <r>
    <n v="1000102122"/>
    <s v="Weidmuller; Model No. BK 2/E;  PN:7906040000"/>
    <x v="3"/>
    <s v="Weidmuller Middle East (FZE)"/>
    <n v="1535.70488"/>
    <n v="302"/>
    <n v="302"/>
    <n v="0"/>
    <x v="0"/>
    <x v="3"/>
  </r>
  <r>
    <n v="1000020507"/>
    <s v="SKF BEARING - 6213-2RS1"/>
    <x v="3"/>
    <s v="SKF Eurotrade AB"/>
    <n v="1531.33615384615"/>
    <n v="21"/>
    <n v="21"/>
    <n v="0"/>
    <x v="0"/>
    <x v="4"/>
  </r>
  <r>
    <n v="1000103219"/>
    <s v="Weidmuller Product; PRO MAX 180W 24V 7,5A"/>
    <x v="3"/>
    <s v="Weidmuller Middle East (FZE)"/>
    <n v="1517.83"/>
    <n v="4"/>
    <n v="4"/>
    <n v="0"/>
    <x v="0"/>
    <x v="3"/>
  </r>
  <r>
    <n v="1000020435"/>
    <s v="SKF BEARING - 6205-2Z/C3"/>
    <x v="3"/>
    <s v="Universal Bearings Company"/>
    <n v="1517.5609756097499"/>
    <n v="170"/>
    <n v="170"/>
    <n v="0"/>
    <x v="0"/>
    <x v="4"/>
  </r>
  <r>
    <n v="1000020796"/>
    <s v="SKF BEARING - 7207 BECBM"/>
    <x v="3"/>
    <s v="SKF Eurotrade AB"/>
    <n v="1515.74"/>
    <n v="11"/>
    <n v="11"/>
    <n v="0"/>
    <x v="0"/>
    <x v="4"/>
  </r>
  <r>
    <n v="1000100748"/>
    <s v="SKF BEARING - SY 25WF"/>
    <x v="3"/>
    <s v="SKF Eurotrade AB"/>
    <n v="1515"/>
    <n v="20"/>
    <n v="20"/>
    <n v="0"/>
    <x v="0"/>
    <x v="4"/>
  </r>
  <r>
    <n v="1000021273"/>
    <s v="SKF BEARING - H 2311"/>
    <x v="3"/>
    <s v="SKF Eurotrade AB"/>
    <n v="1509.25"/>
    <n v="27"/>
    <n v="27"/>
    <n v="0"/>
    <x v="0"/>
    <x v="4"/>
  </r>
  <r>
    <n v="1000098075"/>
    <s v="SKF BEARING - QJ 214 N2MA"/>
    <x v="3"/>
    <s v="SKF Eurotrade AB"/>
    <n v="1504.04"/>
    <n v="4"/>
    <n v="4"/>
    <n v="0"/>
    <x v="0"/>
    <x v="4"/>
  </r>
  <r>
    <n v="1000104057"/>
    <s v="P+F, Inductive Sensor; Model No.NBB4-12GM50-E"/>
    <x v="3"/>
    <s v="Pepperl+Fuchs (ME) FZE"/>
    <n v="1501.2"/>
    <n v="9"/>
    <n v="9"/>
    <n v="0"/>
    <x v="0"/>
    <x v="5"/>
  </r>
  <r>
    <n v="1000021439"/>
    <s v="SKF BEARING - 22317 EK/C3"/>
    <x v="3"/>
    <s v="SKF Eurotrade AB"/>
    <n v="1499.82137931034"/>
    <n v="2"/>
    <n v="2"/>
    <n v="0"/>
    <x v="0"/>
    <x v="4"/>
  </r>
  <r>
    <n v="1000098639"/>
    <s v="SKF BEARING -GE 120 ES-2RS"/>
    <x v="3"/>
    <s v="SKF Eurotrade AB"/>
    <n v="1496.18"/>
    <n v="2"/>
    <n v="2"/>
    <n v="0"/>
    <x v="0"/>
    <x v="4"/>
  </r>
  <r>
    <n v="1000020585"/>
    <s v="SKF BEARING - 62306-2RS1/C3"/>
    <x v="3"/>
    <s v="SKF Eurotrade AB"/>
    <n v="1490.75"/>
    <n v="25"/>
    <n v="25"/>
    <n v="0"/>
    <x v="0"/>
    <x v="4"/>
  </r>
  <r>
    <n v="1000095478"/>
    <s v="RTD Temperature converter(8425720000)P/N:MCZP"/>
    <x v="3"/>
    <s v="Weidmuller Middle East (FZE)"/>
    <n v="1489.125"/>
    <n v="4750"/>
    <n v="4750"/>
    <n v="0"/>
    <x v="0"/>
    <x v="3"/>
  </r>
  <r>
    <n v="1000020273"/>
    <s v="SKF BEARING - 6009-2Z/C3"/>
    <x v="3"/>
    <s v="SKF Eurotrade AB"/>
    <n v="1487.64"/>
    <n v="77"/>
    <n v="77"/>
    <n v="0"/>
    <x v="0"/>
    <x v="4"/>
  </r>
  <r>
    <n v="1000098711"/>
    <s v="SKF BEARING -NU 317 ECM"/>
    <x v="3"/>
    <s v="SKF Eurotrade AB"/>
    <n v="1483.37"/>
    <n v="2"/>
    <n v="2"/>
    <n v="0"/>
    <x v="0"/>
    <x v="4"/>
  </r>
  <r>
    <n v="1000096342"/>
    <s v="Weidmuller; Tools; P/N: 9203610000;Model No. "/>
    <x v="3"/>
    <s v="Weidmuller Middle East (FZE)"/>
    <n v="1483.1034999999999"/>
    <n v="145"/>
    <n v="145"/>
    <n v="0"/>
    <x v="0"/>
    <x v="3"/>
  </r>
  <r>
    <n v="2700000173"/>
    <s v="TEMPERATURE GAUGE ATEX F41-501"/>
    <x v="2"/>
    <s v="Sundyne International S.A."/>
    <n v="1482.88178787878"/>
    <n v="1"/>
    <n v="1"/>
    <n v="0"/>
    <x v="0"/>
    <x v="2"/>
  </r>
  <r>
    <n v="1000102202"/>
    <s v="SKF BEARINGS - 7209 BEP"/>
    <x v="3"/>
    <s v="SKF Eurotrade AB"/>
    <n v="1481.5374999999999"/>
    <n v="20"/>
    <n v="20"/>
    <n v="0"/>
    <x v="0"/>
    <x v="4"/>
  </r>
  <r>
    <n v="1000010146"/>
    <s v="P+F, Switch Amplifier   Model No.: KFD2-SR2-E"/>
    <x v="3"/>
    <s v="Ralph Messring GmbH"/>
    <n v="1477.9549999999999"/>
    <n v="2"/>
    <n v="2"/>
    <n v="0"/>
    <x v="0"/>
    <x v="5"/>
  </r>
  <r>
    <n v="1000020479"/>
    <s v="SKF BEARING - 6209-Z/C3"/>
    <x v="3"/>
    <s v="SKF Eurotrade AB"/>
    <n v="1474.98133242784"/>
    <n v="36"/>
    <n v="36"/>
    <n v="0"/>
    <x v="0"/>
    <x v="4"/>
  </r>
  <r>
    <n v="1000098622"/>
    <s v="Weidmuller;PN:8879050000;IE-XM-RJ45/RJ45"/>
    <x v="3"/>
    <s v="Weidmuller Middle East (FZE)"/>
    <n v="1472.39"/>
    <n v="12"/>
    <n v="12"/>
    <n v="0"/>
    <x v="0"/>
    <x v="3"/>
  </r>
  <r>
    <n v="1000100992"/>
    <s v="SKF BEARING - 6213-2Z/C3"/>
    <x v="3"/>
    <s v="Universal Bearings Company"/>
    <n v="1470.93988095238"/>
    <n v="15"/>
    <n v="15"/>
    <n v="0"/>
    <x v="0"/>
    <x v="4"/>
  </r>
  <r>
    <n v="1000101150"/>
    <s v="Weidmuller; Cleaning unit; Model No: PJ ADV R"/>
    <x v="3"/>
    <s v="Weidmuller Saudi Arabia Factory LLC"/>
    <n v="1470.6"/>
    <n v="4"/>
    <n v="4"/>
    <n v="0"/>
    <x v="0"/>
    <x v="3"/>
  </r>
  <r>
    <n v="1000102200"/>
    <s v="SKF BEARINGS - 7308 BEGAP"/>
    <x v="3"/>
    <s v="SKF Eurotrade AB"/>
    <n v="1469.7"/>
    <n v="12"/>
    <n v="12"/>
    <n v="0"/>
    <x v="0"/>
    <x v="4"/>
  </r>
  <r>
    <n v="1000098521"/>
    <s v="SKF BEARING-29324 E"/>
    <x v="3"/>
    <s v="SKF Eurotrade AB"/>
    <n v="1466.89"/>
    <n v="1"/>
    <n v="1"/>
    <n v="0"/>
    <x v="0"/>
    <x v="4"/>
  </r>
  <r>
    <n v="1000021290"/>
    <s v="SKF BEARING - 22315 EK/C3"/>
    <x v="3"/>
    <s v="SKF Eurotrade AB"/>
    <n v="1465.3125"/>
    <n v="3"/>
    <n v="3"/>
    <n v="0"/>
    <x v="0"/>
    <x v="4"/>
  </r>
  <r>
    <n v="1000021093"/>
    <s v="SKF BEARING - NU 309 ECJ/C3"/>
    <x v="3"/>
    <s v="SKF Eurotrade AB"/>
    <n v="1462.1803869047601"/>
    <n v="10"/>
    <n v="10"/>
    <n v="0"/>
    <x v="0"/>
    <x v="4"/>
  </r>
  <r>
    <n v="1000020630"/>
    <s v="SKF BEARING - 6305-2Z"/>
    <x v="3"/>
    <s v="SKF Eurotrade AB"/>
    <n v="1457.9110330578501"/>
    <n v="109"/>
    <n v="109"/>
    <n v="0"/>
    <x v="0"/>
    <x v="4"/>
  </r>
  <r>
    <n v="1000098540"/>
    <s v="SKF BEARING-6014 M"/>
    <x v="3"/>
    <s v="SKF Eurotrade AB"/>
    <n v="1457.68"/>
    <n v="5"/>
    <n v="5"/>
    <n v="0"/>
    <x v="0"/>
    <x v="4"/>
  </r>
  <r>
    <n v="1000020577"/>
    <s v="SKF BEARING - 6222-2Z"/>
    <x v="3"/>
    <s v="SKF Eurotrade AB"/>
    <n v="1456.19"/>
    <n v="3"/>
    <n v="3"/>
    <n v="0"/>
    <x v="0"/>
    <x v="4"/>
  </r>
  <r>
    <n v="1000020223"/>
    <s v="SKF BEARING - 6000-2Z/C3"/>
    <x v="3"/>
    <s v="Universal Bearings Company"/>
    <n v="1452.58"/>
    <n v="252"/>
    <n v="252"/>
    <n v="0"/>
    <x v="0"/>
    <x v="4"/>
  </r>
  <r>
    <n v="1000021015"/>
    <s v="SKF BEARING - NU 216 ECJ"/>
    <x v="3"/>
    <s v="SKF Eurotrade AB"/>
    <n v="1446.6342857142799"/>
    <n v="4"/>
    <n v="4"/>
    <n v="0"/>
    <x v="0"/>
    <x v="4"/>
  </r>
  <r>
    <n v="1000099166"/>
    <s v="SKF PRODUCTS - SNL 524-620"/>
    <x v="3"/>
    <s v="SKF Eurotrade AB"/>
    <n v="1442.9766666666601"/>
    <n v="2"/>
    <n v="2"/>
    <n v="0"/>
    <x v="0"/>
    <x v="4"/>
  </r>
  <r>
    <n v="2000019763"/>
    <s v="MTL : 245026 GASKET: MATERIAL NON ASBESTOS,PA"/>
    <x v="4"/>
    <s v="Elliott Turbomachinery Limited"/>
    <n v="1440"/>
    <n v="2"/>
    <n v="2"/>
    <n v="0"/>
    <x v="0"/>
    <x v="2"/>
  </r>
  <r>
    <n v="1000095995"/>
    <s v="P+F,Adapter with USB interface:Model:K-ADP-US"/>
    <x v="3"/>
    <s v="Pepperl+Fuchs (ME) FZE"/>
    <n v="1439.87803562"/>
    <n v="5"/>
    <n v="5"/>
    <n v="0"/>
    <x v="0"/>
    <x v="5"/>
  </r>
  <r>
    <n v="1000102199"/>
    <s v="SKF BEARINGS - NU 1007 ECP"/>
    <x v="3"/>
    <s v="SKF Eurotrade AB"/>
    <n v="1439.44"/>
    <n v="15"/>
    <n v="15"/>
    <n v="0"/>
    <x v="0"/>
    <x v="4"/>
  </r>
  <r>
    <n v="2200011188"/>
    <s v="SEAL: MECHANICAL;/PUMP.                 - PN:"/>
    <x v="1"/>
    <s v="Sundyne International S.A."/>
    <n v="1437.9749999999999"/>
    <n v="1"/>
    <n v="1"/>
    <n v="0"/>
    <x v="0"/>
    <x v="1"/>
  </r>
  <r>
    <n v="1000103071"/>
    <s v="SKF Products; PHG SPB2725"/>
    <x v="3"/>
    <s v="SKF Eurotrade AB"/>
    <n v="1433.7483520000001"/>
    <n v="41"/>
    <n v="41"/>
    <n v="0"/>
    <x v="0"/>
    <x v="4"/>
  </r>
  <r>
    <n v="1000010215"/>
    <s v="P+F, Inductive Sensor;  Model No. NCB8-18GM40"/>
    <x v="3"/>
    <s v="Pepperl+Fuchs (ME) FZE"/>
    <n v="1430.63"/>
    <n v="10"/>
    <n v="10"/>
    <n v="0"/>
    <x v="0"/>
    <x v="5"/>
  </r>
  <r>
    <n v="1000098763"/>
    <s v="SKF BEARING -KM 12"/>
    <x v="3"/>
    <s v="SKF Eurotrade AB"/>
    <n v="1426.2727485380101"/>
    <n v="61"/>
    <n v="61"/>
    <n v="0"/>
    <x v="0"/>
    <x v="4"/>
  </r>
  <r>
    <n v="1000100889"/>
    <s v="SKF BEARING - 6007-2Z"/>
    <x v="3"/>
    <s v="Universal Bearings Company"/>
    <n v="1425"/>
    <n v="100"/>
    <n v="100"/>
    <n v="0"/>
    <x v="0"/>
    <x v="4"/>
  </r>
  <r>
    <n v="1000020235"/>
    <s v="SKF BEARING - 6003-2RSH/C3"/>
    <x v="3"/>
    <s v="SKF Eurotrade AB"/>
    <n v="1422"/>
    <n v="200"/>
    <n v="200"/>
    <n v="0"/>
    <x v="0"/>
    <x v="4"/>
  </r>
  <r>
    <n v="1000020619"/>
    <s v="SKF BEARING - 6303-2Z/C3"/>
    <x v="3"/>
    <s v="SKF Eurotrade AB"/>
    <n v="1420.87123693379"/>
    <n v="162"/>
    <n v="162"/>
    <n v="0"/>
    <x v="4"/>
    <x v="4"/>
  </r>
  <r>
    <n v="2500000779"/>
    <s v="OIL AIR LUBE XD-20L (BPCL) PN 998053  (QT IN "/>
    <x v="9"/>
    <s v="QURUM Technical Company"/>
    <n v="1418.5339159923101"/>
    <n v="2"/>
    <n v="2"/>
    <n v="0"/>
    <x v="1"/>
    <x v="0"/>
  </r>
  <r>
    <n v="1000098841"/>
    <s v="P+F; Accessories trigger cable;Model:ACC-FDH-"/>
    <x v="3"/>
    <s v="Pepperl+Fuchs (ME) FZE"/>
    <n v="1413.65"/>
    <n v="5"/>
    <n v="5"/>
    <n v="0"/>
    <x v="0"/>
    <x v="5"/>
  </r>
  <r>
    <n v="1000010172"/>
    <s v="P+F, Inductive Sensor; Model No.: NCB2-12GM35"/>
    <x v="3"/>
    <s v="Pepperl+Fuchs (ME) FZE"/>
    <n v="1409.33948102678"/>
    <n v="10"/>
    <n v="10"/>
    <n v="0"/>
    <x v="0"/>
    <x v="5"/>
  </r>
  <r>
    <n v="1000098529"/>
    <s v="SKF BEARING-3219 A/C3"/>
    <x v="3"/>
    <s v="SKF Eurotrade AB"/>
    <n v="1408.54"/>
    <n v="2"/>
    <n v="2"/>
    <n v="0"/>
    <x v="0"/>
    <x v="4"/>
  </r>
  <r>
    <n v="1000100370"/>
    <s v="SKF Product NU 2206 ECJ"/>
    <x v="3"/>
    <s v="SKF Eurotrade AB"/>
    <n v="1403.7"/>
    <n v="14"/>
    <n v="14"/>
    <n v="0"/>
    <x v="0"/>
    <x v="4"/>
  </r>
  <r>
    <n v="1000098490"/>
    <s v="P+F;: INDUCTIVE SENSOR: Model:NBB2-8GM40-E2-0"/>
    <x v="3"/>
    <s v="Pepperl+Fuchs (ME) FZE"/>
    <n v="1402.8842500000001"/>
    <n v="5"/>
    <n v="5"/>
    <n v="0"/>
    <x v="0"/>
    <x v="5"/>
  </r>
  <r>
    <n v="1000100357"/>
    <s v="SKF Product FY 1.15/16 FM"/>
    <x v="3"/>
    <s v="SKF Eurotrade AB"/>
    <n v="1402.7260000000001"/>
    <n v="8"/>
    <n v="8"/>
    <n v="0"/>
    <x v="0"/>
    <x v="4"/>
  </r>
  <r>
    <n v="1000020539"/>
    <s v="SKF BEARING - 6219 M/C3"/>
    <x v="3"/>
    <s v="SKF Eurotrade AB"/>
    <n v="1400.46"/>
    <n v="3"/>
    <n v="3"/>
    <n v="0"/>
    <x v="0"/>
    <x v="4"/>
  </r>
  <r>
    <n v="1000098393"/>
    <s v="P+F, Segment Protector for Cabinet Installati"/>
    <x v="10"/>
    <s v="Pepperl+Fuchs (ME) FZE"/>
    <n v="1400.1321440285201"/>
    <n v="1"/>
    <n v="1"/>
    <n v="0"/>
    <x v="0"/>
    <x v="5"/>
  </r>
  <r>
    <n v="1000091497"/>
    <s v="2-way Manifold, G12FMS/NA/PP"/>
    <x v="5"/>
    <s v="Oliver Valves Ltd."/>
    <n v="1395.5305911564999"/>
    <n v="5"/>
    <n v="5"/>
    <n v="0"/>
    <x v="0"/>
    <x v="6"/>
  </r>
  <r>
    <n v="1000098516"/>
    <s v="SKF BEARING-23224 CC/W33"/>
    <x v="3"/>
    <s v="SKF Eurotrade AB"/>
    <n v="1393.6866666666599"/>
    <n v="1"/>
    <n v="1"/>
    <n v="0"/>
    <x v="0"/>
    <x v="4"/>
  </r>
  <r>
    <n v="1000020441"/>
    <s v="SKF BEARING - 6206-2RS1/C3"/>
    <x v="3"/>
    <s v="SKF Eurotrade AB"/>
    <n v="1393.35"/>
    <n v="105"/>
    <n v="105"/>
    <n v="0"/>
    <x v="0"/>
    <x v="4"/>
  </r>
  <r>
    <n v="1000094204"/>
    <s v="Weidmuller; Terminal Blocks;  P/N: 2007120000"/>
    <x v="3"/>
    <s v="Weidmuller Middle East (FZE)"/>
    <n v="1391.5507979092199"/>
    <n v="15000"/>
    <n v="15000"/>
    <n v="0"/>
    <x v="0"/>
    <x v="3"/>
  </r>
  <r>
    <n v="1000010074"/>
    <s v="Pepperl+Fuchs Inductive Sensor (KFD2-EB2.R4A."/>
    <x v="3"/>
    <s v="Ralph Messring GmbH"/>
    <n v="1386.27767368543"/>
    <n v="4"/>
    <n v="4"/>
    <n v="0"/>
    <x v="0"/>
    <x v="5"/>
  </r>
  <r>
    <n v="1000020564"/>
    <s v="SKF BEARING - 62208-2RS1/C3"/>
    <x v="3"/>
    <s v="SKF Eurotrade AB"/>
    <n v="1386"/>
    <n v="25"/>
    <n v="25"/>
    <n v="0"/>
    <x v="0"/>
    <x v="4"/>
  </r>
  <r>
    <n v="1000020699"/>
    <s v="SKF BEARING - 6312-2RS1/C3"/>
    <x v="3"/>
    <s v="SKF Eurotrade AB"/>
    <n v="1383.9"/>
    <n v="15"/>
    <n v="15"/>
    <n v="0"/>
    <x v="0"/>
    <x v="4"/>
  </r>
  <r>
    <n v="1000106062"/>
    <s v="P&amp;F Inductive Sensor; NCN8-18GM40-N0-10M; P/N"/>
    <x v="3"/>
    <s v="Pepperl+Fuchs (ME) FZE"/>
    <n v="1380.87"/>
    <n v="5"/>
    <n v="5"/>
    <n v="0"/>
    <x v="0"/>
    <x v="5"/>
  </r>
  <r>
    <n v="1000097118"/>
    <s v="P+F;Inductive Sensor;NCN50-FP-A2-P1; PN:18758"/>
    <x v="3"/>
    <s v="Pepperl+Fuchs (ME) FZE"/>
    <n v="1378.82453333333"/>
    <n v="3"/>
    <n v="3"/>
    <n v="0"/>
    <x v="0"/>
    <x v="5"/>
  </r>
  <r>
    <n v="1000021073"/>
    <s v="SKF BEARING - NU 2313 ECML"/>
    <x v="3"/>
    <s v="SKF Eurotrade AB"/>
    <n v="1377.72"/>
    <n v="2"/>
    <n v="2"/>
    <n v="0"/>
    <x v="0"/>
    <x v="4"/>
  </r>
  <r>
    <n v="1000103150"/>
    <s v="SKF Products; NJ 220 ECP"/>
    <x v="3"/>
    <s v="SKF Eurotrade AB"/>
    <n v="1375.76181818181"/>
    <n v="3"/>
    <n v="3"/>
    <n v="0"/>
    <x v="0"/>
    <x v="4"/>
  </r>
  <r>
    <n v="1000020126"/>
    <s v="SKF BEARING - 3314 A-2Z/C3"/>
    <x v="3"/>
    <s v="SKF Eurotrade AB"/>
    <n v="1369.28"/>
    <n v="2"/>
    <n v="2"/>
    <n v="0"/>
    <x v="0"/>
    <x v="4"/>
  </r>
  <r>
    <n v="1000020976"/>
    <s v="SKF BEARING - NU 1012 ML"/>
    <x v="3"/>
    <s v="SKF Eurotrade AB"/>
    <n v="1367.44"/>
    <n v="4"/>
    <n v="4"/>
    <n v="0"/>
    <x v="0"/>
    <x v="4"/>
  </r>
  <r>
    <n v="1000017189"/>
    <s v="Weidmuller P/N 294460000   Model No. AP AKZ4"/>
    <x v="3"/>
    <s v="Weidmuller Middle East (FZE)"/>
    <n v="1362.1768231481601"/>
    <n v="1301"/>
    <n v="1301"/>
    <n v="0"/>
    <x v="0"/>
    <x v="3"/>
  </r>
  <r>
    <n v="1000098695"/>
    <s v="SKF BEARING -NNF 5008 ADB-2LSV"/>
    <x v="3"/>
    <s v="SKF Eurotrade AB"/>
    <n v="1361.8"/>
    <n v="5"/>
    <n v="5"/>
    <n v="0"/>
    <x v="0"/>
    <x v="4"/>
  </r>
  <r>
    <n v="1000020663"/>
    <s v="SKF BEARING - 6309"/>
    <x v="3"/>
    <s v="SKF Eurotrade AB"/>
    <n v="1360.9443752577299"/>
    <n v="37"/>
    <n v="37"/>
    <n v="0"/>
    <x v="0"/>
    <x v="4"/>
  </r>
  <r>
    <n v="1000093999"/>
    <s v="SKF NUT, LOCK - Model No. KMT 26"/>
    <x v="3"/>
    <s v="SKF Eurotrade AB"/>
    <n v="1359.0844740740699"/>
    <n v="3"/>
    <n v="3"/>
    <n v="0"/>
    <x v="0"/>
    <x v="4"/>
  </r>
  <r>
    <n v="1000098705"/>
    <s v="SKF BEARING -NU 2212 ECP"/>
    <x v="3"/>
    <s v="SKF Eurotrade AB"/>
    <n v="1358.99107142857"/>
    <n v="10"/>
    <n v="10"/>
    <n v="0"/>
    <x v="0"/>
    <x v="4"/>
  </r>
  <r>
    <n v="1000021470"/>
    <s v="SKF BEARING - 6038 M/C3"/>
    <x v="3"/>
    <s v="SKF Eurotrade AB"/>
    <n v="1355.55"/>
    <n v="1"/>
    <n v="1"/>
    <n v="0"/>
    <x v="0"/>
    <x v="4"/>
  </r>
  <r>
    <n v="1000020510"/>
    <s v="SKF BEARING - 6213-Z/C3"/>
    <x v="3"/>
    <s v="SKF Eurotrade AB"/>
    <n v="1352.18823529411"/>
    <n v="10"/>
    <n v="10"/>
    <n v="0"/>
    <x v="0"/>
    <x v="4"/>
  </r>
  <r>
    <n v="1000020230"/>
    <s v="SKF BEARING - 6002-2RSH/C3"/>
    <x v="3"/>
    <s v="SKF Eurotrade AB"/>
    <n v="1352"/>
    <n v="200"/>
    <n v="200"/>
    <n v="0"/>
    <x v="0"/>
    <x v="4"/>
  </r>
  <r>
    <n v="1000099987"/>
    <s v="P+F INDUCTIVE SENSOR; Model: NCB5-18GM40-Z0-3"/>
    <x v="3"/>
    <s v="Pepperl+Fuchs (ME) FZE"/>
    <n v="1350.576"/>
    <n v="4"/>
    <n v="4"/>
    <n v="0"/>
    <x v="0"/>
    <x v="5"/>
  </r>
  <r>
    <n v="2500008130"/>
    <s v="AIR FILTER ELEMENT PN B574607"/>
    <x v="0"/>
    <s v="ELGI Gulf FZE"/>
    <n v="1348.86666666666"/>
    <n v="2"/>
    <n v="2"/>
    <n v="0"/>
    <x v="0"/>
    <x v="0"/>
  </r>
  <r>
    <n v="1000100309"/>
    <s v="SKF Product 3214 A/C3"/>
    <x v="3"/>
    <s v="Universal Bearings Company"/>
    <n v="1342.18"/>
    <n v="4"/>
    <n v="4"/>
    <n v="0"/>
    <x v="0"/>
    <x v="4"/>
  </r>
  <r>
    <n v="1000103746"/>
    <s v="Weidmuller Product;Q 10 SAK10;PN:457400000"/>
    <x v="3"/>
    <s v="Weidmuller Middle East (FZE)"/>
    <n v="1340.7"/>
    <n v="100"/>
    <n v="100"/>
    <n v="0"/>
    <x v="0"/>
    <x v="3"/>
  </r>
  <r>
    <n v="1000020683"/>
    <s v="SKF BEARING - 6310-2Z/C3"/>
    <x v="3"/>
    <s v="SKF Eurotrade AB"/>
    <n v="1338.26905714285"/>
    <n v="22"/>
    <n v="22"/>
    <n v="0"/>
    <x v="0"/>
    <x v="4"/>
  </r>
  <r>
    <n v="1000020329"/>
    <s v="SKF BEARING - 6024-2Z/C3"/>
    <x v="3"/>
    <s v="SKF Eurotrade AB"/>
    <n v="1336.2"/>
    <n v="4"/>
    <n v="4"/>
    <n v="0"/>
    <x v="0"/>
    <x v="4"/>
  </r>
  <r>
    <n v="1000020402"/>
    <s v="SKF BEARING - 6200-2Z/C3"/>
    <x v="3"/>
    <s v="SKF Eurotrade AB"/>
    <n v="1334.9569803921499"/>
    <n v="253"/>
    <n v="253"/>
    <n v="0"/>
    <x v="0"/>
    <x v="4"/>
  </r>
  <r>
    <n v="1000107210"/>
    <s v="P&amp;F Product; NBB20-U1-Z2; P/N:70126034"/>
    <x v="3"/>
    <s v="Pepperl+Fuchs (ME) FZE"/>
    <n v="1334.4"/>
    <n v="5"/>
    <n v="5"/>
    <n v="0"/>
    <x v="0"/>
    <x v="5"/>
  </r>
  <r>
    <n v="1000098377"/>
    <s v="P+F, Inductive Sensor;Model:NJ5-18GM-N-10M PN"/>
    <x v="3"/>
    <s v="Pepperl+Fuchs (ME) FZE"/>
    <n v="1334.36"/>
    <n v="5"/>
    <n v="5"/>
    <n v="0"/>
    <x v="0"/>
    <x v="5"/>
  </r>
  <r>
    <n v="1000103522"/>
    <s v="SKF Product GEH 45 ES-2RS"/>
    <x v="3"/>
    <s v="SKF Eurotrade AB"/>
    <n v="1333.5"/>
    <n v="10"/>
    <n v="10"/>
    <n v="0"/>
    <x v="0"/>
    <x v="4"/>
  </r>
  <r>
    <n v="1000100376"/>
    <s v="SKF Product NU 322 ECM/C3"/>
    <x v="3"/>
    <s v="SKF Eurotrade AB"/>
    <n v="1332.9749999999999"/>
    <n v="1"/>
    <n v="1"/>
    <n v="0"/>
    <x v="0"/>
    <x v="4"/>
  </r>
  <r>
    <n v="1000098326"/>
    <s v="SKF BEARING - NU 217 ECM"/>
    <x v="3"/>
    <s v="SKF Eurotrade AB"/>
    <n v="1331.7657399444399"/>
    <n v="2"/>
    <n v="2"/>
    <n v="0"/>
    <x v="0"/>
    <x v="4"/>
  </r>
  <r>
    <n v="1000098581"/>
    <s v="SKF BEARING -6305-Z/C3"/>
    <x v="3"/>
    <s v="SKF Eurotrade AB"/>
    <n v="1324.0491428571399"/>
    <n v="72"/>
    <n v="72"/>
    <n v="0"/>
    <x v="0"/>
    <x v="4"/>
  </r>
  <r>
    <n v="1000021308"/>
    <s v="SKF BEARING - H 2320"/>
    <x v="3"/>
    <s v="SKF Eurotrade AB"/>
    <n v="1323.46"/>
    <n v="6"/>
    <n v="6"/>
    <n v="0"/>
    <x v="0"/>
    <x v="4"/>
  </r>
  <r>
    <n v="1000021121"/>
    <s v="SKF BEARING - NU 314 ECP/C3"/>
    <x v="3"/>
    <s v="SKF Eurotrade AB"/>
    <n v="1318.1375"/>
    <n v="5"/>
    <n v="5"/>
    <n v="0"/>
    <x v="0"/>
    <x v="4"/>
  </r>
  <r>
    <n v="1000021112"/>
    <s v="SKF BEARING - NU 313 ECJ/C3"/>
    <x v="3"/>
    <s v="SKF Eurotrade AB"/>
    <n v="1317.1875"/>
    <n v="5"/>
    <n v="5"/>
    <n v="0"/>
    <x v="0"/>
    <x v="4"/>
  </r>
  <r>
    <n v="1000102915"/>
    <s v="SKF BEARING; SYF 40 TF"/>
    <x v="3"/>
    <s v="SKF Eurotrade AB"/>
    <n v="1317"/>
    <n v="10"/>
    <n v="10"/>
    <n v="0"/>
    <x v="0"/>
    <x v="4"/>
  </r>
  <r>
    <n v="1000020485"/>
    <s v="SKF BEARING - 6210-2Z"/>
    <x v="3"/>
    <s v="SKF Eurotrade AB"/>
    <n v="1316.33640860079"/>
    <n v="40"/>
    <n v="40"/>
    <n v="0"/>
    <x v="0"/>
    <x v="4"/>
  </r>
  <r>
    <n v="1000021215"/>
    <s v="SKF BEARING - 22212 EK/C3"/>
    <x v="3"/>
    <s v="SKF Eurotrade AB"/>
    <n v="1315.8085714285701"/>
    <n v="8"/>
    <n v="8"/>
    <n v="0"/>
    <x v="0"/>
    <x v="4"/>
  </r>
  <r>
    <n v="1000021289"/>
    <s v="SKF BEARING - H 2315"/>
    <x v="3"/>
    <s v="SKF Eurotrade AB"/>
    <n v="1312.78"/>
    <n v="14"/>
    <n v="14"/>
    <n v="0"/>
    <x v="0"/>
    <x v="4"/>
  </r>
  <r>
    <n v="1000103072"/>
    <s v="SKF Products; 7313 BEGBM"/>
    <x v="3"/>
    <s v="SKF Eurotrade AB"/>
    <n v="1312.06"/>
    <n v="3"/>
    <n v="3"/>
    <n v="0"/>
    <x v="0"/>
    <x v="4"/>
  </r>
  <r>
    <n v="1000020459"/>
    <s v="SKF BEARING - 6208"/>
    <x v="3"/>
    <s v="SKF Eurotrade AB"/>
    <n v="1311.25"/>
    <n v="65"/>
    <n v="65"/>
    <n v="0"/>
    <x v="0"/>
    <x v="4"/>
  </r>
  <r>
    <n v="1000020805"/>
    <s v="SKF BEARING - 7212 BECBM"/>
    <x v="3"/>
    <s v="SKF Eurotrade AB"/>
    <n v="1310.25"/>
    <n v="5"/>
    <n v="5"/>
    <n v="0"/>
    <x v="0"/>
    <x v="4"/>
  </r>
  <r>
    <n v="1000103215"/>
    <s v="SKF Product; 6219"/>
    <x v="3"/>
    <s v="SKF Eurotrade AB"/>
    <n v="1309.8800000000001"/>
    <n v="5"/>
    <n v="5"/>
    <n v="0"/>
    <x v="0"/>
    <x v="4"/>
  </r>
  <r>
    <n v="2200000298"/>
    <s v="O-Ring Repair Kit  PN-RKORP311UK64DB2"/>
    <x v="2"/>
    <s v="Sundyne International S.A."/>
    <n v="1309.3800000000001"/>
    <n v="1"/>
    <n v="1"/>
    <n v="0"/>
    <x v="0"/>
    <x v="2"/>
  </r>
  <r>
    <n v="1000020417"/>
    <s v="SKF BEARING - 6203-2Z/C3"/>
    <x v="3"/>
    <s v="Universal Bearings Company"/>
    <n v="1303.5188653259199"/>
    <n v="207"/>
    <n v="207"/>
    <n v="0"/>
    <x v="0"/>
    <x v="4"/>
  </r>
  <r>
    <n v="1000020974"/>
    <s v="SKF BEARING - NU 1010 ECP"/>
    <x v="3"/>
    <s v="SKF Eurotrade AB"/>
    <n v="1301.52"/>
    <n v="8"/>
    <n v="8"/>
    <n v="0"/>
    <x v="0"/>
    <x v="4"/>
  </r>
  <r>
    <n v="1000095919"/>
    <s v="Weidmuller; Terminal Blocks &amp; Accessories;P/N"/>
    <x v="3"/>
    <s v="Weidmuller Middle East (FZE)"/>
    <n v="1299.7464"/>
    <n v="118"/>
    <n v="118"/>
    <n v="0"/>
    <x v="0"/>
    <x v="3"/>
  </r>
  <r>
    <n v="1000101895"/>
    <s v="Weidmueller Product; Model:PJ ADV TNTK INK SE"/>
    <x v="3"/>
    <s v="Weidmuller Middle East (FZE)"/>
    <n v="1299.0604293333299"/>
    <n v="1"/>
    <n v="1"/>
    <n v="0"/>
    <x v="0"/>
    <x v="3"/>
  </r>
  <r>
    <n v="1000105457"/>
    <s v="P+F, Inductive sensor: NCB1,5-8GM40-Z0; P/N:1"/>
    <x v="3"/>
    <s v="Pepperl+Fuchs (ME) FZE"/>
    <n v="1297.3599999999999"/>
    <n v="7"/>
    <n v="7"/>
    <n v="0"/>
    <x v="0"/>
    <x v="5"/>
  </r>
  <r>
    <n v="1000094021"/>
    <s v="SKF BEARINGS - Model No. NU 309 ECM"/>
    <x v="3"/>
    <s v="SKF Eurotrade AB"/>
    <n v="1296.9501234567899"/>
    <n v="4"/>
    <n v="4"/>
    <n v="0"/>
    <x v="0"/>
    <x v="4"/>
  </r>
  <r>
    <n v="1000103524"/>
    <s v="SKF Product; SY 3/4 TF/VA228"/>
    <x v="3"/>
    <s v="SKF Eurotrade AB"/>
    <n v="1293.94"/>
    <n v="5"/>
    <n v="5"/>
    <n v="0"/>
    <x v="0"/>
    <x v="4"/>
  </r>
  <r>
    <n v="1000021231"/>
    <s v="SKF BEARING - H 316"/>
    <x v="3"/>
    <s v="SKF Eurotrade AB"/>
    <n v="1293.4848"/>
    <n v="16"/>
    <n v="16"/>
    <n v="0"/>
    <x v="0"/>
    <x v="4"/>
  </r>
  <r>
    <n v="1000021480"/>
    <s v="SKF BEARING - 2312 K/C3"/>
    <x v="3"/>
    <s v="SKF Eurotrade AB"/>
    <n v="1293.3722"/>
    <n v="4"/>
    <n v="4"/>
    <n v="0"/>
    <x v="0"/>
    <x v="4"/>
  </r>
  <r>
    <n v="1000096901"/>
    <s v="P+F,Inductive Sensor;Model:NJ8-18GM50-A2, Par"/>
    <x v="3"/>
    <s v="Pepperl+Fuchs (ME) FZE"/>
    <n v="1286"/>
    <n v="5"/>
    <n v="5"/>
    <n v="0"/>
    <x v="0"/>
    <x v="5"/>
  </r>
  <r>
    <n v="1000096766"/>
    <s v="ZTR 2.5;1831280000"/>
    <x v="11"/>
    <s v="Weidmuller Middle East (FZE)"/>
    <n v="1285.2"/>
    <n v="250"/>
    <n v="250"/>
    <n v="0"/>
    <x v="0"/>
    <x v="3"/>
  </r>
  <r>
    <n v="1000102888"/>
    <s v="SKF BEARING; NA 4917"/>
    <x v="3"/>
    <s v="SKF Eurotrade AB"/>
    <n v="1283.51"/>
    <n v="3"/>
    <n v="3"/>
    <n v="0"/>
    <x v="0"/>
    <x v="4"/>
  </r>
  <r>
    <n v="2500008204"/>
    <s v="FUEL SOLENOID PART NO. B013603500475"/>
    <x v="0"/>
    <s v="ELGI Equipments Limited"/>
    <n v="1282.5"/>
    <n v="2"/>
    <n v="2"/>
    <n v="0"/>
    <x v="0"/>
    <x v="0"/>
  </r>
  <r>
    <n v="1000103749"/>
    <s v="Weidmuller Product;PRO BAS 120W 24V 5A;PN:283"/>
    <x v="3"/>
    <s v="Weidmuller Middle East (FZE)"/>
    <n v="1281.21525"/>
    <n v="9"/>
    <n v="9"/>
    <n v="0"/>
    <x v="0"/>
    <x v="3"/>
  </r>
  <r>
    <n v="1000097935"/>
    <s v="SKF LOCKNUT - KM 11"/>
    <x v="3"/>
    <s v="Universal Bearings Company"/>
    <n v="1281.1494742063401"/>
    <n v="61"/>
    <n v="61"/>
    <n v="0"/>
    <x v="0"/>
    <x v="4"/>
  </r>
  <r>
    <n v="1000103744"/>
    <s v="Weidmuller Product;Q 10 SAK4;PN:368800000"/>
    <x v="3"/>
    <s v="Weidmuller Middle East (FZE)"/>
    <n v="1275.6776299999999"/>
    <n v="100"/>
    <n v="100"/>
    <n v="0"/>
    <x v="0"/>
    <x v="3"/>
  </r>
  <r>
    <n v="1000106074"/>
    <s v="P&amp;F Inductive analog sensor; IA6-12GM50-IU-Y7"/>
    <x v="3"/>
    <s v="Pepperl+Fuchs (ME) FZE"/>
    <n v="1274.0999999999999"/>
    <n v="2"/>
    <n v="2"/>
    <n v="0"/>
    <x v="0"/>
    <x v="5"/>
  </r>
  <r>
    <n v="1000020065"/>
    <s v="SKF BEARING - NUKR 90 A"/>
    <x v="3"/>
    <s v="SKF Eurotrade AB"/>
    <n v="1268.31"/>
    <n v="4"/>
    <n v="4"/>
    <n v="0"/>
    <x v="0"/>
    <x v="4"/>
  </r>
  <r>
    <n v="1000020434"/>
    <s v="SKF BEARING - 6205-2Z"/>
    <x v="3"/>
    <s v="Universal Bearings Company"/>
    <n v="1264.0677934395501"/>
    <n v="138"/>
    <n v="138"/>
    <n v="0"/>
    <x v="0"/>
    <x v="4"/>
  </r>
  <r>
    <n v="1000021276"/>
    <s v="SKF BEARING - 22312 EK/C3"/>
    <x v="3"/>
    <s v="SKF Eurotrade AB"/>
    <n v="1260.1099999999999"/>
    <n v="5"/>
    <n v="5"/>
    <n v="0"/>
    <x v="0"/>
    <x v="4"/>
  </r>
  <r>
    <n v="2500008233"/>
    <s v="Solenoid Valve24V PN B009405770014"/>
    <x v="0"/>
    <s v="ELGI Gulf FZE"/>
    <n v="1259.3783333333299"/>
    <n v="3"/>
    <n v="3"/>
    <n v="0"/>
    <x v="0"/>
    <x v="0"/>
  </r>
  <r>
    <n v="1000103210"/>
    <s v="SKF Product; NU 2220 ECP"/>
    <x v="3"/>
    <s v="SKF Eurotrade AB"/>
    <n v="1258.665"/>
    <n v="2"/>
    <n v="2"/>
    <n v="0"/>
    <x v="0"/>
    <x v="4"/>
  </r>
  <r>
    <n v="1000098444"/>
    <s v="SKF BEARING-31307"/>
    <x v="3"/>
    <s v="SKF Eurotrade AB"/>
    <n v="1253.7735"/>
    <n v="15"/>
    <n v="15"/>
    <n v="0"/>
    <x v="0"/>
    <x v="4"/>
  </r>
  <r>
    <n v="2500008065"/>
    <s v="Fine -Filter  PN FFE0210"/>
    <x v="0"/>
    <s v="ELGI Gulf FZE"/>
    <n v="1252.634"/>
    <n v="2"/>
    <n v="2"/>
    <n v="0"/>
    <x v="0"/>
    <x v="0"/>
  </r>
  <r>
    <n v="1000021302"/>
    <s v="SKF BEARING - H 2318"/>
    <x v="3"/>
    <s v="SKF Eurotrade AB"/>
    <n v="1252.3499999999999"/>
    <n v="9"/>
    <n v="9"/>
    <n v="0"/>
    <x v="0"/>
    <x v="4"/>
  </r>
  <r>
    <n v="1000097131"/>
    <s v="Pepperl+Fuchs Inductive Sensor;Model:NCB2-12G"/>
    <x v="3"/>
    <s v="Pepperl+Fuchs (ME) FZE"/>
    <n v="1250.5351766666599"/>
    <n v="5"/>
    <n v="5"/>
    <n v="0"/>
    <x v="0"/>
    <x v="5"/>
  </r>
  <r>
    <n v="1000021457"/>
    <s v="SKF BEARING - 3208 A"/>
    <x v="3"/>
    <s v="SKF Eurotrade AB"/>
    <n v="1247.4894857142799"/>
    <n v="10"/>
    <n v="10"/>
    <n v="0"/>
    <x v="0"/>
    <x v="4"/>
  </r>
  <r>
    <n v="1000021499"/>
    <s v="SKF BEARING - 29320 E"/>
    <x v="3"/>
    <s v="SKF Eurotrade AB"/>
    <n v="1246.99"/>
    <n v="1"/>
    <n v="1"/>
    <n v="0"/>
    <x v="0"/>
    <x v="4"/>
  </r>
  <r>
    <n v="2500008242"/>
    <s v="ELEMENT, AIR CLEANER PN B013603500460"/>
    <x v="0"/>
    <s v="QURUM Technical Company"/>
    <n v="1244.5648571428501"/>
    <n v="7"/>
    <n v="7"/>
    <n v="0"/>
    <x v="0"/>
    <x v="0"/>
  </r>
  <r>
    <n v="1000021287"/>
    <s v="SKF BEARING - 22315 E/C3"/>
    <x v="3"/>
    <s v="SKF Eurotrade AB"/>
    <n v="1243.44"/>
    <n v="3"/>
    <n v="3"/>
    <n v="0"/>
    <x v="0"/>
    <x v="4"/>
  </r>
  <r>
    <n v="1000095493"/>
    <s v="SKF-BELT;V:P/N:PHG SPB1900,DRAWING L-83;(6 PE"/>
    <x v="3"/>
    <s v="SKF Eurotrade AB"/>
    <n v="1243.3499999999999"/>
    <n v="54"/>
    <n v="54"/>
    <n v="0"/>
    <x v="0"/>
    <x v="4"/>
  </r>
  <r>
    <n v="1000098531"/>
    <s v="SKF BEARING-3305 ATN9/C3"/>
    <x v="3"/>
    <s v="SKF Eurotrade AB"/>
    <n v="1242"/>
    <n v="10"/>
    <n v="10"/>
    <n v="0"/>
    <x v="0"/>
    <x v="4"/>
  </r>
  <r>
    <n v="2200011166"/>
    <s v="KIT: O-RING, REPAIR, FOR MODEL          - PN:"/>
    <x v="2"/>
    <s v="Sundyne International S.A."/>
    <n v="1240.432"/>
    <n v="1"/>
    <n v="1"/>
    <n v="0"/>
    <x v="0"/>
    <x v="2"/>
  </r>
  <r>
    <n v="1000103008"/>
    <s v="SKF PRODUCT; 7212 BEP"/>
    <x v="3"/>
    <s v="SKF Eurotrade AB"/>
    <n v="1239.8236363636299"/>
    <n v="10"/>
    <n v="10"/>
    <n v="0"/>
    <x v="0"/>
    <x v="4"/>
  </r>
  <r>
    <n v="1000100688"/>
    <s v="Digital LHDC Dual Channel Galvanic - P&amp;F - KF"/>
    <x v="3"/>
    <s v="Pepperl+Fuchs (ME) FZE"/>
    <n v="1239.2439999999999"/>
    <n v="1"/>
    <n v="1"/>
    <n v="0"/>
    <x v="0"/>
    <x v="5"/>
  </r>
  <r>
    <n v="1000021279"/>
    <s v="SKF BEARING - 22313 E/C3"/>
    <x v="3"/>
    <s v="SKF Eurotrade AB"/>
    <n v="1238.32"/>
    <n v="4"/>
    <n v="4"/>
    <n v="0"/>
    <x v="0"/>
    <x v="4"/>
  </r>
  <r>
    <n v="1000100345"/>
    <s v="SKF BEARING; KR 47 PP"/>
    <x v="3"/>
    <s v="SKF Eurotrade AB"/>
    <n v="1236.5828571428499"/>
    <n v="8"/>
    <n v="8"/>
    <n v="0"/>
    <x v="0"/>
    <x v="4"/>
  </r>
  <r>
    <n v="1000020776"/>
    <s v="SKF BEARING - 51106"/>
    <x v="3"/>
    <s v="SKF Eurotrade AB"/>
    <n v="1231.08"/>
    <n v="53"/>
    <n v="53"/>
    <n v="0"/>
    <x v="0"/>
    <x v="4"/>
  </r>
  <r>
    <n v="1000102409"/>
    <s v="SKF BEARING; 7201 BEP"/>
    <x v="3"/>
    <s v="SKF Eurotrade AB"/>
    <n v="1230.0861507936499"/>
    <n v="31"/>
    <n v="31"/>
    <n v="0"/>
    <x v="0"/>
    <x v="4"/>
  </r>
  <r>
    <n v="1000108736"/>
    <s v="Weidmuller Product; WPD 104 1X25+1X16/2X16+3X"/>
    <x v="3"/>
    <s v="Weidmuller Middle East (FZE)"/>
    <n v="1229.9649999999999"/>
    <n v="33"/>
    <n v="33"/>
    <n v="0"/>
    <x v="0"/>
    <x v="3"/>
  </r>
  <r>
    <n v="1000020297"/>
    <s v="SKF BEARING - 6015/C3"/>
    <x v="3"/>
    <s v="SKF Eurotrade AB"/>
    <n v="1228.1941161899999"/>
    <n v="14"/>
    <n v="14"/>
    <n v="0"/>
    <x v="0"/>
    <x v="4"/>
  </r>
  <r>
    <n v="1000020735"/>
    <s v="SKF BEARING - 6317/C3"/>
    <x v="3"/>
    <s v="SKF Eurotrade AB"/>
    <n v="1225.5"/>
    <n v="5"/>
    <n v="5"/>
    <n v="0"/>
    <x v="0"/>
    <x v="4"/>
  </r>
  <r>
    <n v="1000098118"/>
    <s v="SKF BEARING - NUP 215 ECM/C3"/>
    <x v="3"/>
    <s v="SKF Eurotrade AB"/>
    <n v="1225.3900000000001"/>
    <n v="1"/>
    <n v="1"/>
    <n v="0"/>
    <x v="0"/>
    <x v="4"/>
  </r>
  <r>
    <n v="1000021107"/>
    <s v="SKF BEARING - NU 312 ECJ"/>
    <x v="3"/>
    <s v="SKF Eurotrade AB"/>
    <n v="1224.24"/>
    <n v="6"/>
    <n v="6"/>
    <n v="0"/>
    <x v="0"/>
    <x v="4"/>
  </r>
  <r>
    <n v="2500009198"/>
    <s v="AXIAL FAN 63W,230V,50HZ | P/N-B005100950131"/>
    <x v="0"/>
    <s v="ELGI Gulf FZE"/>
    <n v="1222.2"/>
    <n v="2"/>
    <n v="2"/>
    <n v="0"/>
    <x v="0"/>
    <x v="0"/>
  </r>
  <r>
    <n v="1000096103"/>
    <s v="P+F, Transmitter power supply;KCD2-STC-1.20;M"/>
    <x v="3"/>
    <s v="GULF AUTOMATION"/>
    <n v="1220"/>
    <n v="2"/>
    <n v="2"/>
    <n v="0"/>
    <x v="0"/>
    <x v="5"/>
  </r>
  <r>
    <n v="1000020627"/>
    <s v="SKF BEARING - 6305/C3"/>
    <x v="3"/>
    <s v="Universal Bearings Company"/>
    <n v="1216.8021249999999"/>
    <n v="104"/>
    <n v="104"/>
    <n v="0"/>
    <x v="0"/>
    <x v="4"/>
  </r>
  <r>
    <n v="1000096423"/>
    <s v="Weidmuller;EM 8/30;P/N: 1806120000;"/>
    <x v="3"/>
    <s v="Weidmuller Middle East (FZE)"/>
    <n v="1215.5100676345501"/>
    <n v="1151"/>
    <n v="1151"/>
    <n v="0"/>
    <x v="0"/>
    <x v="3"/>
  </r>
  <r>
    <n v="1000100358"/>
    <s v="SKF Product H 2305"/>
    <x v="3"/>
    <s v="SKF Eurotrade AB"/>
    <n v="1213.53"/>
    <n v="29"/>
    <n v="29"/>
    <n v="0"/>
    <x v="0"/>
    <x v="4"/>
  </r>
  <r>
    <n v="1000020824"/>
    <s v="SKF BEARING - 7220 BEGAM"/>
    <x v="3"/>
    <s v="SKF Eurotrade AB"/>
    <n v="1209.3399999999999"/>
    <n v="2"/>
    <n v="2"/>
    <n v="0"/>
    <x v="0"/>
    <x v="4"/>
  </r>
  <r>
    <n v="1000020484"/>
    <s v="SKF BEARING - 6210-2RS1/C3"/>
    <x v="3"/>
    <s v="SKF Eurotrade AB"/>
    <n v="1208.79"/>
    <n v="37"/>
    <n v="37"/>
    <n v="0"/>
    <x v="0"/>
    <x v="4"/>
  </r>
  <r>
    <n v="1000103198"/>
    <s v="SKF Product; 6205-2RS2/WT"/>
    <x v="3"/>
    <s v="SKF Eurotrade AB"/>
    <n v="1205.67"/>
    <n v="86"/>
    <n v="86"/>
    <n v="0"/>
    <x v="0"/>
    <x v="4"/>
  </r>
  <r>
    <n v="1000010214"/>
    <s v="P+F, Thru-Beam Sensor  Model No. LD28/LV28-F1"/>
    <x v="3"/>
    <s v="Pepperl+Fuchs (ME) FZE"/>
    <n v="1201.48"/>
    <n v="1"/>
    <n v="1"/>
    <n v="0"/>
    <x v="0"/>
    <x v="5"/>
  </r>
  <r>
    <n v="1000020562"/>
    <s v="SKF BEARING - 62207-2RS1/C3"/>
    <x v="3"/>
    <s v="SKF Eurotrade AB"/>
    <n v="1200.25"/>
    <n v="25"/>
    <n v="25"/>
    <n v="0"/>
    <x v="0"/>
    <x v="4"/>
  </r>
  <r>
    <n v="1000098696"/>
    <s v="SKF BEARING -NU 207 ECP"/>
    <x v="3"/>
    <s v="SKF Eurotrade AB"/>
    <n v="1199.7650000000001"/>
    <n v="17"/>
    <n v="17"/>
    <n v="0"/>
    <x v="0"/>
    <x v="4"/>
  </r>
  <r>
    <n v="1000098714"/>
    <s v="SKF BEARING -NU 322 ECJ/C3"/>
    <x v="3"/>
    <s v="SKF Eurotrade AB"/>
    <n v="1198.8187499999999"/>
    <n v="1"/>
    <n v="1"/>
    <n v="0"/>
    <x v="0"/>
    <x v="4"/>
  </r>
  <r>
    <n v="2500005889"/>
    <s v="AIRFILTER ELEMENT E18TO22 PN B005700770005"/>
    <x v="0"/>
    <s v="ELGI Gulf FZE"/>
    <n v="1198.1300000000001"/>
    <n v="10"/>
    <n v="10"/>
    <n v="0"/>
    <x v="0"/>
    <x v="0"/>
  </r>
  <r>
    <n v="1000020732"/>
    <s v="SKF BEARING - 6316-Z/C3"/>
    <x v="3"/>
    <s v="SKF Eurotrade AB"/>
    <n v="1195.8040000000001"/>
    <n v="4"/>
    <n v="4"/>
    <n v="0"/>
    <x v="0"/>
    <x v="4"/>
  </r>
  <r>
    <n v="1000020405"/>
    <s v="SKF BEARING - 6201-2Z/C3"/>
    <x v="3"/>
    <s v="Universal Bearings Company"/>
    <n v="1192.2435064935"/>
    <n v="195"/>
    <n v="195"/>
    <n v="0"/>
    <x v="3"/>
    <x v="4"/>
  </r>
  <r>
    <n v="1000102725"/>
    <s v="SKF BEARING; NJ 2215 ECJ"/>
    <x v="3"/>
    <s v="SKF Eurotrade AB"/>
    <n v="1189.69"/>
    <n v="3"/>
    <n v="3"/>
    <n v="0"/>
    <x v="0"/>
    <x v="4"/>
  </r>
  <r>
    <n v="1000100242"/>
    <s v="SKF BEARINGS - Model No.NU 2311 ECML"/>
    <x v="3"/>
    <s v="SKF Eurotrade AB"/>
    <n v="1188.3"/>
    <n v="2"/>
    <n v="2"/>
    <n v="0"/>
    <x v="0"/>
    <x v="4"/>
  </r>
  <r>
    <n v="1000020815"/>
    <s v="SKF BEARING - 7217 BECBM"/>
    <x v="3"/>
    <s v="SKF Eurotrade AB"/>
    <n v="1185.2964796296201"/>
    <n v="2"/>
    <n v="2"/>
    <n v="0"/>
    <x v="0"/>
    <x v="4"/>
  </r>
  <r>
    <n v="2500008598"/>
    <s v="Separator element with gasket,B006700770021"/>
    <x v="0"/>
    <s v="ELGI Gulf FZE"/>
    <n v="1185"/>
    <n v="2"/>
    <n v="2"/>
    <n v="0"/>
    <x v="0"/>
    <x v="0"/>
  </r>
  <r>
    <n v="1000098470"/>
    <s v="SKF BEARING-23024 CCK/W33"/>
    <x v="3"/>
    <s v="SKF Eurotrade AB"/>
    <n v="1184.94"/>
    <n v="2"/>
    <n v="2"/>
    <n v="0"/>
    <x v="0"/>
    <x v="4"/>
  </r>
  <r>
    <n v="1000020991"/>
    <s v="SKF BEARING - NU 209 ECP"/>
    <x v="3"/>
    <s v="SKF Eurotrade AB"/>
    <n v="1184.9187662337599"/>
    <n v="13"/>
    <n v="13"/>
    <n v="0"/>
    <x v="0"/>
    <x v="4"/>
  </r>
  <r>
    <n v="1000020296"/>
    <s v="SKF BEARING - 6014-2Z/C3"/>
    <x v="3"/>
    <s v="SKF Eurotrade AB"/>
    <n v="1184.8050000000001"/>
    <n v="15"/>
    <n v="15"/>
    <n v="0"/>
    <x v="0"/>
    <x v="4"/>
  </r>
  <r>
    <n v="1000020040"/>
    <s v="SKF BEARING - 6218"/>
    <x v="3"/>
    <s v="SKF Eurotrade AB"/>
    <n v="1182.75"/>
    <n v="5"/>
    <n v="5"/>
    <n v="0"/>
    <x v="0"/>
    <x v="4"/>
  </r>
  <r>
    <n v="1000098778"/>
    <s v="P+F; Inductive Sensor:NJ10-30GM-N 5M   Contra"/>
    <x v="3"/>
    <s v="Pepperl+Fuchs (ME) FZE"/>
    <n v="1182.4000000000001"/>
    <n v="4"/>
    <n v="4"/>
    <n v="0"/>
    <x v="0"/>
    <x v="5"/>
  </r>
  <r>
    <n v="1000021110"/>
    <s v="SKF BEARING - NU 312 ECP"/>
    <x v="3"/>
    <s v="SKF Eurotrade AB"/>
    <n v="1181.9978181818101"/>
    <n v="6"/>
    <n v="6"/>
    <n v="0"/>
    <x v="0"/>
    <x v="4"/>
  </r>
  <r>
    <n v="1000020497"/>
    <s v="SKF BEARING - 6212-2RS1/C3"/>
    <x v="3"/>
    <s v="SKF Eurotrade AB"/>
    <n v="1180.0352355555499"/>
    <n v="24"/>
    <n v="24"/>
    <n v="0"/>
    <x v="0"/>
    <x v="4"/>
  </r>
  <r>
    <n v="1000098450"/>
    <s v="SKF BEARING-32924"/>
    <x v="3"/>
    <s v="SKF Eurotrade AB"/>
    <n v="1179.0999999999999"/>
    <n v="3"/>
    <n v="3"/>
    <n v="0"/>
    <x v="0"/>
    <x v="4"/>
  </r>
  <r>
    <n v="1000020661"/>
    <s v="SKF BEARING - 6308-Z"/>
    <x v="3"/>
    <s v="SKF Eurotrade AB"/>
    <n v="1175.0893658483999"/>
    <n v="22"/>
    <n v="22"/>
    <n v="0"/>
    <x v="0"/>
    <x v="4"/>
  </r>
  <r>
    <n v="1000095011"/>
    <s v="SKF BEARING - 31314"/>
    <x v="3"/>
    <s v="SKF Eurotrade AB"/>
    <n v="1175.0429999999999"/>
    <n v="3"/>
    <n v="3"/>
    <n v="0"/>
    <x v="0"/>
    <x v="4"/>
  </r>
  <r>
    <n v="1000021326"/>
    <s v="SKF BEARING - 23220 CC/C3W33"/>
    <x v="3"/>
    <s v="SKF Eurotrade AB"/>
    <n v="1175.04"/>
    <n v="2"/>
    <n v="2"/>
    <n v="0"/>
    <x v="0"/>
    <x v="4"/>
  </r>
  <r>
    <n v="1000100359"/>
    <s v="SKF Product H 2308"/>
    <x v="3"/>
    <s v="SKF Eurotrade AB"/>
    <n v="1174.5267857142801"/>
    <n v="26"/>
    <n v="26"/>
    <n v="0"/>
    <x v="0"/>
    <x v="4"/>
  </r>
  <r>
    <n v="2500008286"/>
    <s v="SOLENOID VALVE NC,24V50/60HZ PN B007300990017"/>
    <x v="0"/>
    <s v="ELGI Gulf FZE"/>
    <n v="1170"/>
    <n v="6"/>
    <n v="6"/>
    <n v="0"/>
    <x v="0"/>
    <x v="0"/>
  </r>
  <r>
    <n v="1000021322"/>
    <s v="SKF BEARING - 2315/C3"/>
    <x v="3"/>
    <s v="SKF Eurotrade AB"/>
    <n v="1167.72"/>
    <n v="2"/>
    <n v="2"/>
    <n v="0"/>
    <x v="0"/>
    <x v="4"/>
  </r>
  <r>
    <n v="1000095544"/>
    <s v="Model: 910.13 Over Pressure Protector"/>
    <x v="5"/>
    <s v="WIKA Saudi Arabia LLC"/>
    <n v="1167.3399999999999"/>
    <n v="4"/>
    <n v="4"/>
    <n v="0"/>
    <x v="0"/>
    <x v="6"/>
  </r>
  <r>
    <n v="1000100330"/>
    <s v="SKF Product 3201 ATN9"/>
    <x v="3"/>
    <s v="SKF Eurotrade AB"/>
    <n v="1166.2459090909001"/>
    <n v="19"/>
    <n v="19"/>
    <n v="0"/>
    <x v="0"/>
    <x v="4"/>
  </r>
  <r>
    <n v="1000098439"/>
    <s v="SKF BEARING-30220 J2"/>
    <x v="3"/>
    <s v="SKF Eurotrade AB"/>
    <n v="1165.73"/>
    <n v="5"/>
    <n v="5"/>
    <n v="0"/>
    <x v="0"/>
    <x v="4"/>
  </r>
  <r>
    <n v="1000100336"/>
    <s v="SKF Product 30208"/>
    <x v="3"/>
    <s v="SKF Eurotrade AB"/>
    <n v="1165.67"/>
    <n v="30"/>
    <n v="30"/>
    <n v="0"/>
    <x v="0"/>
    <x v="4"/>
  </r>
  <r>
    <n v="1000097099"/>
    <s v="Weidmuller, PN:1011080000; Model: WSI 6 BL"/>
    <x v="3"/>
    <s v="Weidmuller Middle East (FZE)"/>
    <n v="1165.02"/>
    <n v="150"/>
    <n v="150"/>
    <n v="0"/>
    <x v="0"/>
    <x v="3"/>
  </r>
  <r>
    <n v="1000102227"/>
    <s v="SKF BEARINGS - H 3028"/>
    <x v="3"/>
    <s v="SKF Eurotrade AB"/>
    <n v="1163.3625"/>
    <n v="3"/>
    <n v="3"/>
    <n v="0"/>
    <x v="0"/>
    <x v="4"/>
  </r>
  <r>
    <n v="1000020744"/>
    <s v="SKF BEARING - 6319"/>
    <x v="3"/>
    <s v="SKF Eurotrade AB"/>
    <n v="1161.944"/>
    <n v="4"/>
    <n v="4"/>
    <n v="0"/>
    <x v="0"/>
    <x v="4"/>
  </r>
  <r>
    <n v="1000102321"/>
    <s v="SKF BEARING - UCP 218"/>
    <x v="3"/>
    <s v="SKF Eurotrade AB"/>
    <n v="1161.9000000000001"/>
    <n v="3"/>
    <n v="3"/>
    <n v="0"/>
    <x v="0"/>
    <x v="4"/>
  </r>
  <r>
    <n v="1000102644"/>
    <s v="SKF BEARING; UCFL 207/H"/>
    <x v="3"/>
    <s v="SKF Eurotrade AB"/>
    <n v="1161.75"/>
    <n v="20"/>
    <n v="20"/>
    <n v="0"/>
    <x v="0"/>
    <x v="4"/>
  </r>
  <r>
    <n v="1000100322"/>
    <s v="SKF Product SY 55 TF"/>
    <x v="3"/>
    <s v="SKF Eurotrade AB"/>
    <n v="1161.5999999999999"/>
    <n v="8"/>
    <n v="8"/>
    <n v="0"/>
    <x v="0"/>
    <x v="4"/>
  </r>
  <r>
    <n v="1000098458"/>
    <s v="SKF BEARING-1314/C3"/>
    <x v="3"/>
    <s v="SKF Eurotrade AB"/>
    <n v="1160.752"/>
    <n v="4"/>
    <n v="4"/>
    <n v="0"/>
    <x v="0"/>
    <x v="4"/>
  </r>
  <r>
    <n v="1000020574"/>
    <s v="SKF BEARING - 6222"/>
    <x v="3"/>
    <s v="SKF Eurotrade AB"/>
    <n v="1158.33"/>
    <n v="3"/>
    <n v="3"/>
    <n v="0"/>
    <x v="0"/>
    <x v="4"/>
  </r>
  <r>
    <n v="1000021161"/>
    <s v="SKF BEARING - 21319 E/C3"/>
    <x v="3"/>
    <s v="SKF Eurotrade AB"/>
    <n v="1155.96"/>
    <n v="2"/>
    <n v="2"/>
    <n v="0"/>
    <x v="0"/>
    <x v="4"/>
  </r>
  <r>
    <n v="1000020847"/>
    <s v="SKF BEARING - 7310 BEGAM"/>
    <x v="3"/>
    <s v="SKF Eurotrade AB"/>
    <n v="1155.40501647058"/>
    <n v="5"/>
    <n v="5"/>
    <n v="0"/>
    <x v="0"/>
    <x v="4"/>
  </r>
  <r>
    <n v="1000020320"/>
    <s v="SKF BEARING - 6021"/>
    <x v="3"/>
    <s v="SKF Eurotrade AB"/>
    <n v="1155.0999999999999"/>
    <n v="6"/>
    <n v="6"/>
    <n v="0"/>
    <x v="0"/>
    <x v="4"/>
  </r>
  <r>
    <n v="2500009298"/>
    <s v="Intake valve - 3&quot; P/N-B009806750002"/>
    <x v="0"/>
    <s v="ELGI Gulf FZE"/>
    <n v="1147.5"/>
    <n v="2"/>
    <n v="2"/>
    <n v="0"/>
    <x v="0"/>
    <x v="0"/>
  </r>
  <r>
    <n v="1000098447"/>
    <s v="SKF BEARING-32226"/>
    <x v="3"/>
    <s v="SKF Eurotrade AB"/>
    <n v="1136.405"/>
    <n v="1"/>
    <n v="1"/>
    <n v="0"/>
    <x v="0"/>
    <x v="4"/>
  </r>
  <r>
    <n v="1000098610"/>
    <s v="SKF BEARING -AXK 80105"/>
    <x v="3"/>
    <s v="SKF Eurotrade AB"/>
    <n v="1135.95"/>
    <n v="30"/>
    <n v="30"/>
    <n v="0"/>
    <x v="0"/>
    <x v="4"/>
  </r>
  <r>
    <n v="1000021458"/>
    <s v="SKF BEARING - 3306 A-2ZTN9/C3VT113"/>
    <x v="3"/>
    <s v="SKF Eurotrade AB"/>
    <n v="1135.77"/>
    <n v="7"/>
    <n v="7"/>
    <n v="0"/>
    <x v="0"/>
    <x v="4"/>
  </r>
  <r>
    <n v="2500008202"/>
    <s v="AIR FILTER PART NO B004700770038"/>
    <x v="0"/>
    <s v="ELGI Gulf FZE"/>
    <n v="1134.5999999999999"/>
    <n v="5"/>
    <n v="5"/>
    <n v="0"/>
    <x v="0"/>
    <x v="0"/>
  </r>
  <r>
    <n v="1000093392"/>
    <s v="SKF BEARING - 32315"/>
    <x v="3"/>
    <s v="SKF Eurotrade AB"/>
    <n v="1133.33"/>
    <n v="3"/>
    <n v="3"/>
    <n v="0"/>
    <x v="0"/>
    <x v="4"/>
  </r>
  <r>
    <n v="1000010105"/>
    <s v="Pepperl+Fuchs Inductive Sensor (NBB8-18GM50-E"/>
    <x v="3"/>
    <s v="Pepperl+Fuchs (ME) FZE"/>
    <n v="1132.08"/>
    <n v="11"/>
    <n v="11"/>
    <n v="0"/>
    <x v="0"/>
    <x v="5"/>
  </r>
  <r>
    <n v="1000096203"/>
    <s v="Weidmuller relay and terminal; MF 5/6 MM BP W"/>
    <x v="3"/>
    <s v="Weidmuller Middle East (FZE)"/>
    <n v="1128.5999999999999"/>
    <n v="9000"/>
    <n v="9000"/>
    <n v="0"/>
    <x v="0"/>
    <x v="3"/>
  </r>
  <r>
    <n v="1000095817"/>
    <s v="Weidmueller,Product :2589720000,Part No: CD-H"/>
    <x v="3"/>
    <s v="Weidmuller Middle East (FZE)"/>
    <n v="1125.7808"/>
    <n v="66"/>
    <n v="66"/>
    <n v="0"/>
    <x v="0"/>
    <x v="3"/>
  </r>
  <r>
    <n v="1000020731"/>
    <s v="SKF BEARING - 6316-Z"/>
    <x v="3"/>
    <s v="SKF Eurotrade AB"/>
    <n v="1123.44"/>
    <n v="4"/>
    <n v="4"/>
    <n v="0"/>
    <x v="0"/>
    <x v="4"/>
  </r>
  <r>
    <n v="1000098638"/>
    <s v="SKF BEARING -GE 110 ES"/>
    <x v="3"/>
    <s v="SKF Eurotrade AB"/>
    <n v="1123.07"/>
    <n v="2"/>
    <n v="2"/>
    <n v="0"/>
    <x v="0"/>
    <x v="4"/>
  </r>
  <r>
    <n v="1000020123"/>
    <s v="SKF BEARING - 3313 A-2Z/C3"/>
    <x v="3"/>
    <s v="SKF Eurotrade AB"/>
    <n v="1123.02"/>
    <n v="2"/>
    <n v="2"/>
    <n v="0"/>
    <x v="0"/>
    <x v="4"/>
  </r>
  <r>
    <n v="2500008350"/>
    <s v="Intake valve kit PN B009401070009"/>
    <x v="0"/>
    <s v="ELGI Gulf FZE"/>
    <n v="1122.527"/>
    <n v="4"/>
    <n v="4"/>
    <n v="0"/>
    <x v="0"/>
    <x v="0"/>
  </r>
  <r>
    <n v="2500006057"/>
    <s v="MINIMUM PRESSURE VALVE KIT PN B009301070002"/>
    <x v="0"/>
    <s v="ELGI Gulf FZE"/>
    <n v="1122.2262500024799"/>
    <n v="3"/>
    <n v="3"/>
    <n v="0"/>
    <x v="0"/>
    <x v="0"/>
  </r>
  <r>
    <n v="1000021011"/>
    <s v="SKF BEARING - NU 215 ECJ/C3"/>
    <x v="3"/>
    <s v="SKF Eurotrade AB"/>
    <n v="1121.8187499999999"/>
    <n v="5"/>
    <n v="5"/>
    <n v="0"/>
    <x v="3"/>
    <x v="4"/>
  </r>
  <r>
    <n v="1000020702"/>
    <s v="SKF BEARING - 6312-Z"/>
    <x v="3"/>
    <s v="SKF Eurotrade AB"/>
    <n v="1118.53666666666"/>
    <n v="8"/>
    <n v="8"/>
    <n v="0"/>
    <x v="0"/>
    <x v="4"/>
  </r>
  <r>
    <n v="1000096397"/>
    <s v="GP-12-NON-ELC-05;Color sets PJ ADV TNTK INS S"/>
    <x v="3"/>
    <s v="Weidmuller Middle East (FZE)"/>
    <n v="1115.17848148148"/>
    <n v="1"/>
    <n v="1"/>
    <n v="0"/>
    <x v="0"/>
    <x v="3"/>
  </r>
  <r>
    <n v="1000096393"/>
    <s v="GP-12-NON-ELC-05;CC-M 85/54 AL LABEL (54X85)A"/>
    <x v="3"/>
    <s v="Weidmuller Middle East (FZE)"/>
    <n v="1113.7"/>
    <n v="140"/>
    <n v="140"/>
    <n v="0"/>
    <x v="0"/>
    <x v="3"/>
  </r>
  <r>
    <n v="1000021155"/>
    <s v="SKF BEARING - 21315 E"/>
    <x v="3"/>
    <s v="SKF Eurotrade AB"/>
    <n v="1110.5999999999999"/>
    <n v="3"/>
    <n v="3"/>
    <n v="0"/>
    <x v="0"/>
    <x v="4"/>
  </r>
  <r>
    <n v="1000098598"/>
    <s v="SKF BEARING -7224 BM"/>
    <x v="3"/>
    <s v="SKF Eurotrade AB"/>
    <n v="1110.52"/>
    <n v="1"/>
    <n v="1"/>
    <n v="0"/>
    <x v="0"/>
    <x v="4"/>
  </r>
  <r>
    <n v="2500009419"/>
    <s v="DESCRIPTION : ROLLER ASSEMBLY | Part No: PRD "/>
    <x v="0"/>
    <s v="PARANTHAMAN EXPORTERS"/>
    <n v="1110"/>
    <n v="8"/>
    <n v="8"/>
    <n v="0"/>
    <x v="0"/>
    <x v="0"/>
  </r>
  <r>
    <n v="1000021240"/>
    <s v="SKF BEARING - 22218 EK"/>
    <x v="3"/>
    <s v="SKF Eurotrade AB"/>
    <n v="1106.7750000000001"/>
    <n v="3"/>
    <n v="3"/>
    <n v="0"/>
    <x v="0"/>
    <x v="4"/>
  </r>
  <r>
    <n v="2500008359"/>
    <s v="SINGLE ACTING ACTUATOR P N B011405770001"/>
    <x v="0"/>
    <s v="ELGI Gulf FZE"/>
    <n v="1105.5"/>
    <n v="2"/>
    <n v="2"/>
    <n v="0"/>
    <x v="0"/>
    <x v="0"/>
  </r>
  <r>
    <n v="1000102351"/>
    <s v="SKF BEARING - 32218"/>
    <x v="3"/>
    <s v="SKF Eurotrade AB"/>
    <n v="1104.56"/>
    <n v="5"/>
    <n v="5"/>
    <n v="0"/>
    <x v="0"/>
    <x v="4"/>
  </r>
  <r>
    <n v="1000020682"/>
    <s v="SKF BEARING - 6310-2Z"/>
    <x v="3"/>
    <s v="SKF Eurotrade AB"/>
    <n v="1098.6278395061699"/>
    <n v="20"/>
    <n v="12"/>
    <n v="8"/>
    <x v="4"/>
    <x v="4"/>
  </r>
  <r>
    <n v="1000104098"/>
    <s v="Weidmuller Product; WPE 95N/120N; P/N:1846030"/>
    <x v="3"/>
    <s v="Weidmuller Middle East (FZE)"/>
    <n v="1096.4287411764701"/>
    <n v="18"/>
    <n v="18"/>
    <n v="0"/>
    <x v="0"/>
    <x v="3"/>
  </r>
  <r>
    <n v="1000020026"/>
    <s v="SKF BEARING - 6312-Z/C3"/>
    <x v="3"/>
    <s v="SKF Eurotrade AB"/>
    <n v="1095.328125"/>
    <n v="8"/>
    <n v="8"/>
    <n v="0"/>
    <x v="0"/>
    <x v="4"/>
  </r>
  <r>
    <n v="1000020454"/>
    <s v="SKF BEARING - 6207-2Z"/>
    <x v="3"/>
    <s v="SKF Eurotrade AB"/>
    <n v="1094.2611804180401"/>
    <n v="68"/>
    <n v="68"/>
    <n v="0"/>
    <x v="0"/>
    <x v="4"/>
  </r>
  <r>
    <n v="1000020538"/>
    <s v="SKF BEARING - 6218-2Z/C3"/>
    <x v="3"/>
    <s v="SKF Eurotrade AB"/>
    <n v="1094.2"/>
    <n v="5"/>
    <n v="5"/>
    <n v="0"/>
    <x v="0"/>
    <x v="4"/>
  </r>
  <r>
    <n v="1000098515"/>
    <s v="SKF BEARING-23224 CC/C3W33"/>
    <x v="3"/>
    <s v="SKF Eurotrade AB"/>
    <n v="1093.8599999999999"/>
    <n v="1"/>
    <n v="1"/>
    <n v="0"/>
    <x v="0"/>
    <x v="4"/>
  </r>
  <r>
    <n v="1000021469"/>
    <s v="SKF BEARING - 305702 C-2Z"/>
    <x v="3"/>
    <s v="SKF Eurotrade AB"/>
    <n v="1093.28"/>
    <n v="14"/>
    <n v="14"/>
    <n v="0"/>
    <x v="0"/>
    <x v="4"/>
  </r>
  <r>
    <n v="1000098914"/>
    <s v="P+F;INDUCTIVE SENSOR:Model:NCN4-12GM60-B3-C2-"/>
    <x v="3"/>
    <s v="Pepperl+Fuchs (ME) FZE"/>
    <n v="1091.72"/>
    <n v="5"/>
    <n v="5"/>
    <n v="0"/>
    <x v="0"/>
    <x v="5"/>
  </r>
  <r>
    <n v="1000102089"/>
    <s v="SKF BEARING - 607-2Z"/>
    <x v="3"/>
    <s v="SKF Eurotrade AB"/>
    <n v="1087.5"/>
    <n v="200"/>
    <n v="200"/>
    <n v="0"/>
    <x v="0"/>
    <x v="4"/>
  </r>
  <r>
    <n v="1000020442"/>
    <s v="SKF BEARING - 6206-2Z"/>
    <x v="3"/>
    <s v="SKF Eurotrade AB"/>
    <n v="1085.5486623890499"/>
    <n v="88"/>
    <n v="88"/>
    <n v="0"/>
    <x v="0"/>
    <x v="4"/>
  </r>
  <r>
    <n v="1000020470"/>
    <s v="SKF BEARING - 6208-Z/C3"/>
    <x v="3"/>
    <s v="SKF Eurotrade AB"/>
    <n v="1085.25842712537"/>
    <n v="27"/>
    <n v="27"/>
    <n v="0"/>
    <x v="0"/>
    <x v="4"/>
  </r>
  <r>
    <n v="1000106591"/>
    <s v="P+F Zener Barrier; Z 978; P/N:017862"/>
    <x v="3"/>
    <s v="Pepperl+Fuchs (ME) FZE"/>
    <n v="1085.1079999999999"/>
    <n v="2"/>
    <n v="2"/>
    <n v="0"/>
    <x v="0"/>
    <x v="5"/>
  </r>
  <r>
    <n v="1000010072"/>
    <s v="Pepperl+Fuchs Inductive Sensor (UB800-18GM40-"/>
    <x v="3"/>
    <s v="Pepperl+Fuchs (ME) FZE"/>
    <n v="1085.04"/>
    <n v="3"/>
    <n v="3"/>
    <n v="0"/>
    <x v="0"/>
    <x v="5"/>
  </r>
  <r>
    <n v="1000105285"/>
    <s v="SKF BEARING - 99235"/>
    <x v="3"/>
    <s v="SKF Eurotrade AB"/>
    <n v="1084.5"/>
    <n v="30"/>
    <n v="30"/>
    <n v="0"/>
    <x v="0"/>
    <x v="4"/>
  </r>
  <r>
    <n v="1000021080"/>
    <s v="SKF BEARING - NU 2318 ECJ/C3"/>
    <x v="3"/>
    <s v="SKF Eurotrade AB"/>
    <n v="1082.96"/>
    <n v="1"/>
    <n v="1"/>
    <n v="0"/>
    <x v="0"/>
    <x v="4"/>
  </r>
  <r>
    <n v="1000095153"/>
    <s v="SKF BEARING - 6226"/>
    <x v="3"/>
    <s v="SKF Eurotrade AB"/>
    <n v="1080.22"/>
    <n v="2"/>
    <n v="2"/>
    <n v="0"/>
    <x v="0"/>
    <x v="4"/>
  </r>
  <r>
    <n v="1000093593"/>
    <s v="Weidmuller; TERMINAL BLOCK; P/N: 1050100000; "/>
    <x v="3"/>
    <s v="Weidmuller Middle East (FZE)"/>
    <n v="1079.0608988613701"/>
    <n v="1587"/>
    <n v="1587"/>
    <n v="0"/>
    <x v="0"/>
    <x v="3"/>
  </r>
  <r>
    <n v="2500009358"/>
    <s v="DESCRIPTION :SAFETY VALVE 205 PSI F3  | PART "/>
    <x v="0"/>
    <s v="ELGI Gulf FZE"/>
    <n v="1078.65333333333"/>
    <n v="2"/>
    <n v="2"/>
    <n v="0"/>
    <x v="0"/>
    <x v="0"/>
  </r>
  <r>
    <n v="1000102237"/>
    <s v="SKF BEARINGS - NJ 2310 ECML/C4"/>
    <x v="3"/>
    <s v="SKF Eurotrade AB"/>
    <n v="1077.5999999999999"/>
    <n v="2"/>
    <n v="2"/>
    <n v="0"/>
    <x v="0"/>
    <x v="4"/>
  </r>
  <r>
    <n v="1000020017"/>
    <s v="SKF BEARING - 3218 A"/>
    <x v="3"/>
    <s v="SKF Eurotrade AB"/>
    <n v="1076.7"/>
    <n v="2"/>
    <n v="2"/>
    <n v="0"/>
    <x v="0"/>
    <x v="4"/>
  </r>
  <r>
    <n v="2200000284"/>
    <s v="O-Ring Repair Kit  PN-RKORP311UC63DB1"/>
    <x v="2"/>
    <s v="Sundyne International S.A."/>
    <n v="1076.3036999999999"/>
    <n v="1"/>
    <n v="1"/>
    <n v="0"/>
    <x v="0"/>
    <x v="2"/>
  </r>
  <r>
    <n v="1000021251"/>
    <s v="SKF BEARING - 22222 E/C3"/>
    <x v="3"/>
    <s v="SKF Eurotrade AB"/>
    <n v="1075.3599999999999"/>
    <n v="2"/>
    <n v="2"/>
    <n v="0"/>
    <x v="0"/>
    <x v="4"/>
  </r>
  <r>
    <n v="1000020119"/>
    <s v="SKF BEARING - 3312 A/C3"/>
    <x v="3"/>
    <s v="SKF Eurotrade AB"/>
    <n v="1073.31"/>
    <n v="3"/>
    <n v="3"/>
    <n v="0"/>
    <x v="0"/>
    <x v="4"/>
  </r>
  <r>
    <n v="1000020670"/>
    <s v="SKF BEARING - 6309/VA201"/>
    <x v="3"/>
    <s v="SKF Eurotrade AB"/>
    <n v="1072.9000000000001"/>
    <n v="10"/>
    <n v="10"/>
    <n v="0"/>
    <x v="0"/>
    <x v="4"/>
  </r>
  <r>
    <n v="1000021041"/>
    <s v="SKF BEARING - NU 2212 ECM"/>
    <x v="3"/>
    <s v="SKF Eurotrade AB"/>
    <n v="1071.9449999999999"/>
    <n v="3"/>
    <n v="3"/>
    <n v="0"/>
    <x v="0"/>
    <x v="4"/>
  </r>
  <r>
    <n v="1000020187"/>
    <s v="SKF BEARING - 32314 J2/Q"/>
    <x v="3"/>
    <s v="SKF Eurotrade AB"/>
    <n v="1069.3599999999999"/>
    <n v="4"/>
    <n v="4"/>
    <n v="0"/>
    <x v="0"/>
    <x v="4"/>
  </r>
  <r>
    <n v="1000106069"/>
    <s v="P&amp;F Safety thru beam sensor; SLA29-R/116; P/S"/>
    <x v="3"/>
    <s v="Pepperl+Fuchs (ME) FZE"/>
    <n v="1068.5999999999999"/>
    <n v="2"/>
    <n v="2"/>
    <n v="0"/>
    <x v="0"/>
    <x v="5"/>
  </r>
  <r>
    <n v="1000021136"/>
    <s v="SKF BEARING - NU 318 ECJ/C3"/>
    <x v="3"/>
    <s v="SKF Eurotrade AB"/>
    <n v="1068.24"/>
    <n v="2"/>
    <n v="2"/>
    <n v="0"/>
    <x v="0"/>
    <x v="4"/>
  </r>
  <r>
    <n v="1000100430"/>
    <s v="SKF Product 3217 A"/>
    <x v="3"/>
    <s v="SKF Eurotrade AB"/>
    <n v="1066.194"/>
    <n v="2"/>
    <n v="2"/>
    <n v="0"/>
    <x v="0"/>
    <x v="4"/>
  </r>
  <r>
    <n v="1000021185"/>
    <s v="SKF BEARING - H 311"/>
    <x v="3"/>
    <s v="SKF Eurotrade AB"/>
    <n v="1065.1154179612699"/>
    <n v="25"/>
    <n v="25"/>
    <n v="0"/>
    <x v="0"/>
    <x v="4"/>
  </r>
  <r>
    <n v="1000099034"/>
    <s v="Weidmueller:Model WSI 6 EX; PN:2562730000"/>
    <x v="3"/>
    <s v="Weidmuller Middle East (FZE)"/>
    <n v="1064.01999201955"/>
    <n v="160"/>
    <n v="160"/>
    <n v="0"/>
    <x v="0"/>
    <x v="3"/>
  </r>
  <r>
    <n v="1000098722"/>
    <s v="SKF BEARING -NUTR 50110 X"/>
    <x v="3"/>
    <s v="SKF Eurotrade AB"/>
    <n v="1060.89857142857"/>
    <n v="3"/>
    <n v="3"/>
    <n v="0"/>
    <x v="0"/>
    <x v="4"/>
  </r>
  <r>
    <n v="1000101102"/>
    <s v="Weidmuller; Model No: PJ ADV IPC II; PN: WN7"/>
    <x v="3"/>
    <s v="Weidmuller Saudi Arabia Factory LLC"/>
    <n v="1059.56"/>
    <n v="1"/>
    <n v="1"/>
    <n v="0"/>
    <x v="0"/>
    <x v="3"/>
  </r>
  <r>
    <n v="1000098442"/>
    <s v="SKF BEARING-30306"/>
    <x v="3"/>
    <s v="SKF Eurotrade AB"/>
    <n v="1057.9691421856601"/>
    <n v="33"/>
    <n v="33"/>
    <n v="0"/>
    <x v="0"/>
    <x v="4"/>
  </r>
  <r>
    <n v="1000020335"/>
    <s v="SKF BEARING - 607-2RSH/C3"/>
    <x v="3"/>
    <s v="SKF Eurotrade AB"/>
    <n v="1056"/>
    <n v="200"/>
    <n v="200"/>
    <n v="0"/>
    <x v="0"/>
    <x v="4"/>
  </r>
  <r>
    <n v="2500008405"/>
    <s v="Solenoid valve P N B007300990008"/>
    <x v="0"/>
    <s v="ELGI Gulf FZE"/>
    <n v="1056"/>
    <n v="5"/>
    <n v="5"/>
    <n v="0"/>
    <x v="0"/>
    <x v="0"/>
  </r>
  <r>
    <n v="1000100435"/>
    <s v="SKF Product AHX 2320"/>
    <x v="3"/>
    <s v="SKF Eurotrade AB"/>
    <n v="1055.0250000000001"/>
    <n v="6"/>
    <n v="6"/>
    <n v="0"/>
    <x v="0"/>
    <x v="4"/>
  </r>
  <r>
    <n v="1000020618"/>
    <s v="SKF BEARING - 6303-2Z"/>
    <x v="3"/>
    <s v="SKF Eurotrade AB"/>
    <n v="1053.1639393939299"/>
    <n v="124"/>
    <n v="124"/>
    <n v="0"/>
    <x v="0"/>
    <x v="4"/>
  </r>
  <r>
    <n v="2500009325"/>
    <s v="DESCRIPTION : FEED CYLINDER SEAL KIT| Part no"/>
    <x v="0"/>
    <s v="PARANTHAMAN EXPORTERS"/>
    <n v="1050"/>
    <n v="5"/>
    <n v="5"/>
    <n v="0"/>
    <x v="0"/>
    <x v="0"/>
  </r>
  <r>
    <n v="1000095013"/>
    <s v="Terminal Marker  P/N:WDM#2007110000  Model:DE"/>
    <x v="3"/>
    <s v="Weidmuller Middle East (FZE)"/>
    <n v="1048.05"/>
    <n v="8500"/>
    <n v="8500"/>
    <n v="0"/>
    <x v="0"/>
    <x v="3"/>
  </r>
  <r>
    <n v="1000020527"/>
    <s v="SKF BEARING - 6216-2RS1/C3"/>
    <x v="3"/>
    <s v="SKF Eurotrade AB"/>
    <n v="1047.5999999999999"/>
    <n v="10"/>
    <n v="10"/>
    <n v="0"/>
    <x v="0"/>
    <x v="4"/>
  </r>
  <r>
    <n v="1000107072"/>
    <s v="Weidmuller Product; WSI 6/2/LD 250AC PN:10144"/>
    <x v="3"/>
    <s v="Weidmuller Middle East (FZE)"/>
    <n v="1045.704"/>
    <n v="51"/>
    <n v="51"/>
    <n v="0"/>
    <x v="0"/>
    <x v="3"/>
  </r>
  <r>
    <n v="1000100317"/>
    <s v="SKF Product 1319 K"/>
    <x v="3"/>
    <s v="SKF Eurotrade AB"/>
    <n v="1040.4295999999999"/>
    <n v="1"/>
    <n v="1"/>
    <n v="0"/>
    <x v="0"/>
    <x v="4"/>
  </r>
  <r>
    <n v="1000020334"/>
    <s v="SKF BEARING - 6030"/>
    <x v="3"/>
    <s v="SKF Eurotrade AB"/>
    <n v="1036.72"/>
    <n v="2"/>
    <n v="2"/>
    <n v="0"/>
    <x v="0"/>
    <x v="4"/>
  </r>
  <r>
    <n v="1000096789"/>
    <s v="SKF BEARING -TSN 512 A"/>
    <x v="3"/>
    <s v="SKF Eurotrade AB"/>
    <n v="1035.53"/>
    <n v="22"/>
    <n v="22"/>
    <n v="0"/>
    <x v="0"/>
    <x v="4"/>
  </r>
  <r>
    <n v="2500009146"/>
    <s v="Drive Coupling Dia.75/50 P/N-B548310"/>
    <x v="0"/>
    <s v="ELGI Gulf FZE"/>
    <n v="1035"/>
    <n v="1"/>
    <n v="1"/>
    <n v="0"/>
    <x v="0"/>
    <x v="0"/>
  </r>
  <r>
    <n v="1000020244"/>
    <s v="SKF BEARING - 6004-2Z"/>
    <x v="3"/>
    <s v="SKF Eurotrade AB"/>
    <n v="1034.00241386877"/>
    <n v="145"/>
    <n v="145"/>
    <n v="0"/>
    <x v="0"/>
    <x v="4"/>
  </r>
  <r>
    <n v="1000098708"/>
    <s v="SKF BEARING -NU 222 ECP"/>
    <x v="3"/>
    <s v="SKF Eurotrade AB"/>
    <n v="1032.96"/>
    <n v="2"/>
    <n v="2"/>
    <n v="0"/>
    <x v="0"/>
    <x v="4"/>
  </r>
  <r>
    <n v="1000021154"/>
    <s v="SKF BEARING - 21313 E/C3"/>
    <x v="3"/>
    <s v="SKF Eurotrade AB"/>
    <n v="1030.52"/>
    <n v="4"/>
    <n v="4"/>
    <n v="0"/>
    <x v="0"/>
    <x v="4"/>
  </r>
  <r>
    <n v="1000020964"/>
    <s v="SKF BEARING - NJ 313 ECJ/C3"/>
    <x v="3"/>
    <s v="SKF Eurotrade AB"/>
    <n v="1024.6099999999999"/>
    <n v="3"/>
    <n v="3"/>
    <n v="0"/>
    <x v="0"/>
    <x v="4"/>
  </r>
  <r>
    <n v="1000110799"/>
    <s v="SKF PRODUCT 7316 BEP"/>
    <x v="3"/>
    <s v="SKF Eurotrade AB"/>
    <n v="1022.85"/>
    <n v="2"/>
    <n v="2"/>
    <n v="0"/>
    <x v="0"/>
    <x v="4"/>
  </r>
  <r>
    <n v="1000108814"/>
    <s v="Weidmuller Product; ASK 1/EN/KOHUE OR; P/N: 1"/>
    <x v="3"/>
    <s v="Weidmuller Middle East (FZE)"/>
    <n v="1020.84"/>
    <n v="80"/>
    <n v="80"/>
    <n v="0"/>
    <x v="0"/>
    <x v="3"/>
  </r>
  <r>
    <n v="1000102974"/>
    <s v="SKF PRODUCT; 7304 BECBP"/>
    <x v="3"/>
    <s v="SKF Eurotrade AB"/>
    <n v="1020.21214285714"/>
    <n v="13"/>
    <n v="13"/>
    <n v="0"/>
    <x v="0"/>
    <x v="4"/>
  </r>
  <r>
    <n v="1000098637"/>
    <s v="SKF BEARING -C 2222 K/C3"/>
    <x v="3"/>
    <s v="SKF Eurotrade AB"/>
    <n v="1018.73"/>
    <n v="1"/>
    <n v="1"/>
    <n v="0"/>
    <x v="0"/>
    <x v="4"/>
  </r>
  <r>
    <n v="1000021106"/>
    <s v="SKF BEARING - NU 311 ECP/C3"/>
    <x v="3"/>
    <s v="SKF Eurotrade AB"/>
    <n v="1018.542"/>
    <n v="7"/>
    <n v="7"/>
    <n v="0"/>
    <x v="0"/>
    <x v="4"/>
  </r>
  <r>
    <n v="1000021189"/>
    <s v="SKF BEARING - 2218 K"/>
    <x v="3"/>
    <s v="SKF Eurotrade AB"/>
    <n v="1017.42"/>
    <n v="2"/>
    <n v="2"/>
    <n v="0"/>
    <x v="0"/>
    <x v="4"/>
  </r>
  <r>
    <n v="1000020437"/>
    <s v="SKF BEARING - 6206"/>
    <x v="3"/>
    <s v="SKF Eurotrade AB"/>
    <n v="1014.09142857142"/>
    <n v="89"/>
    <n v="89"/>
    <n v="0"/>
    <x v="0"/>
    <x v="4"/>
  </r>
  <r>
    <n v="1000094465"/>
    <s v="P+F, Inductive Sensor;  Model:NJ10-30GKK-N"/>
    <x v="3"/>
    <s v="Pepperl+Fuchs (ME) FZE"/>
    <n v="1012.5"/>
    <n v="5"/>
    <n v="5"/>
    <n v="0"/>
    <x v="0"/>
    <x v="5"/>
  </r>
  <r>
    <n v="1000100241"/>
    <s v="SKF BEARINGS - Model No.AXK 100135"/>
    <x v="3"/>
    <s v="SKF Eurotrade AB"/>
    <n v="1010.93684210526"/>
    <n v="15"/>
    <n v="15"/>
    <n v="0"/>
    <x v="0"/>
    <x v="4"/>
  </r>
  <r>
    <n v="1000021061"/>
    <s v="SKF BEARING - NU 2222 ECJ/C3"/>
    <x v="3"/>
    <s v="SKF Eurotrade AB"/>
    <n v="1010.73"/>
    <n v="1"/>
    <n v="1"/>
    <n v="0"/>
    <x v="0"/>
    <x v="4"/>
  </r>
  <r>
    <n v="1000098771"/>
    <s v="SKF BEARING -6024-Z/C3"/>
    <x v="3"/>
    <s v="SKF Eurotrade AB"/>
    <n v="1010.562"/>
    <n v="3"/>
    <n v="3"/>
    <n v="0"/>
    <x v="0"/>
    <x v="4"/>
  </r>
  <r>
    <n v="1000021323"/>
    <s v="SKF BEARING - 23218 CC/C3W33"/>
    <x v="3"/>
    <s v="SKF Eurotrade AB"/>
    <n v="1009.46"/>
    <n v="2"/>
    <n v="2"/>
    <n v="0"/>
    <x v="0"/>
    <x v="4"/>
  </r>
  <r>
    <n v="1000096242"/>
    <s v="SKF BEARING -QJ 312 MA"/>
    <x v="3"/>
    <s v="SKF Eurotrade AB"/>
    <n v="1008.71166666666"/>
    <n v="2"/>
    <n v="2"/>
    <n v="0"/>
    <x v="0"/>
    <x v="4"/>
  </r>
  <r>
    <n v="1000102090"/>
    <s v="SKF BEARING - 6014-2Z"/>
    <x v="3"/>
    <s v="SKF Eurotrade AB"/>
    <n v="1006.88"/>
    <n v="10"/>
    <n v="10"/>
    <n v="0"/>
    <x v="0"/>
    <x v="4"/>
  </r>
  <r>
    <n v="1000021006"/>
    <s v="SKF BEARING - NU 213 ECM/C3"/>
    <x v="3"/>
    <s v="SKF Eurotrade AB"/>
    <n v="1006.124"/>
    <n v="2"/>
    <n v="2"/>
    <n v="0"/>
    <x v="0"/>
    <x v="4"/>
  </r>
  <r>
    <n v="1000106066"/>
    <s v="P&amp;F Inductive Sensor; NJ10-30GM-N-V1; P/N: 70"/>
    <x v="3"/>
    <s v="Pepperl+Fuchs (ME) FZE"/>
    <n v="1005.768"/>
    <n v="4"/>
    <n v="4"/>
    <n v="0"/>
    <x v="0"/>
    <x v="5"/>
  </r>
  <r>
    <n v="2500009103"/>
    <s v="FILTER_RETURN_HYD_CFR 630, ITEM CODE : PRD FL"/>
    <x v="0"/>
    <s v="PARANTHAMAN EXPORTERS"/>
    <n v="1005"/>
    <n v="2"/>
    <n v="2"/>
    <n v="0"/>
    <x v="0"/>
    <x v="0"/>
  </r>
  <r>
    <n v="2200000297"/>
    <s v="O-Ring Repair Kit  PN-RKORP311UC87DB5"/>
    <x v="2"/>
    <s v="Sundyne International S.A."/>
    <n v="1003.955"/>
    <n v="1"/>
    <n v="1"/>
    <n v="0"/>
    <x v="0"/>
    <x v="2"/>
  </r>
  <r>
    <n v="1000106051"/>
    <s v="P&amp;F Inductive Sensor; NJ15-30GK-N; P/N:701333"/>
    <x v="3"/>
    <s v="Pepperl+Fuchs (ME) FZE"/>
    <n v="1002.84"/>
    <n v="4"/>
    <n v="4"/>
    <n v="0"/>
    <x v="0"/>
    <x v="5"/>
  </r>
  <r>
    <n v="1000104228"/>
    <s v="Pepperl and fuchs Product; NJ6-22-N-G-15M; P/"/>
    <x v="3"/>
    <s v="Pepperl+Fuchs (ME) FZE"/>
    <n v="1002.84"/>
    <n v="2"/>
    <n v="2"/>
    <n v="0"/>
    <x v="0"/>
    <x v="5"/>
  </r>
  <r>
    <n v="1000103741"/>
    <s v="Weidmuller Product;WTW WFF185/300;PN:10674000"/>
    <x v="3"/>
    <s v="Weidmuller Middle East (FZE)"/>
    <n v="1002.84"/>
    <n v="50"/>
    <n v="50"/>
    <n v="0"/>
    <x v="0"/>
    <x v="3"/>
  </r>
  <r>
    <n v="1000020185"/>
    <s v="SKF BEARING - 32308 J2/Q"/>
    <x v="3"/>
    <s v="SKF Eurotrade AB"/>
    <n v="1001.16"/>
    <n v="18"/>
    <n v="18"/>
    <n v="0"/>
    <x v="0"/>
    <x v="4"/>
  </r>
  <r>
    <n v="2200000295"/>
    <s v="O-Ring Repair Kit  PN-RKORP801UC47DB252"/>
    <x v="2"/>
    <s v="Sundyne International S.A."/>
    <n v="1000.45"/>
    <n v="1"/>
    <n v="1"/>
    <n v="0"/>
    <x v="0"/>
    <x v="2"/>
  </r>
  <r>
    <n v="1000100337"/>
    <s v="SKF Product 1200 ETN9"/>
    <x v="3"/>
    <s v="SKF Eurotrade AB"/>
    <n v="999.2"/>
    <n v="25"/>
    <n v="25"/>
    <n v="0"/>
    <x v="0"/>
    <x v="4"/>
  </r>
  <r>
    <n v="1000020199"/>
    <s v="SKF BEARING - 33117/Q"/>
    <x v="3"/>
    <s v="SKF Eurotrade AB"/>
    <n v="998.4"/>
    <n v="4"/>
    <n v="4"/>
    <n v="0"/>
    <x v="0"/>
    <x v="4"/>
  </r>
  <r>
    <n v="1000102727"/>
    <s v="SKF BEARING; 32210"/>
    <x v="3"/>
    <s v="SKF Eurotrade AB"/>
    <n v="997.5"/>
    <n v="20"/>
    <n v="20"/>
    <n v="0"/>
    <x v="0"/>
    <x v="4"/>
  </r>
  <r>
    <n v="1000100363"/>
    <s v="SKF Product KM 18"/>
    <x v="3"/>
    <s v="Universal Bearings Company"/>
    <n v="996.905555555555"/>
    <n v="15"/>
    <n v="15"/>
    <n v="0"/>
    <x v="0"/>
    <x v="4"/>
  </r>
  <r>
    <n v="1000098971"/>
    <s v="P+F;INDUCTIVE SENSOR:Model:NBN15-30GM40-Z0-V1"/>
    <x v="3"/>
    <s v="Pepperl+Fuchs (ME) FZE"/>
    <n v="992"/>
    <n v="5"/>
    <n v="5"/>
    <n v="0"/>
    <x v="0"/>
    <x v="5"/>
  </r>
  <r>
    <n v="1000098707"/>
    <s v="SKF BEARING -NU 222 ECM/C3"/>
    <x v="3"/>
    <s v="SKF Eurotrade AB"/>
    <n v="988.46333333333303"/>
    <n v="1"/>
    <n v="1"/>
    <n v="0"/>
    <x v="0"/>
    <x v="4"/>
  </r>
  <r>
    <n v="1000098673"/>
    <s v="SKF BEARING -MB 44"/>
    <x v="3"/>
    <s v="SKF Eurotrade AB"/>
    <n v="985.77"/>
    <n v="10"/>
    <n v="10"/>
    <n v="0"/>
    <x v="0"/>
    <x v="4"/>
  </r>
  <r>
    <n v="1000101869"/>
    <s v="SKF BEARING - 51204"/>
    <x v="3"/>
    <s v="SKF Eurotrade AB"/>
    <n v="985.03636684303297"/>
    <n v="26"/>
    <n v="26"/>
    <n v="0"/>
    <x v="0"/>
    <x v="4"/>
  </r>
  <r>
    <n v="1000021111"/>
    <s v="SKF BEARING - NU 312 ECP/C3"/>
    <x v="3"/>
    <s v="SKF Eurotrade AB"/>
    <n v="984.19"/>
    <n v="5"/>
    <n v="5"/>
    <n v="0"/>
    <x v="0"/>
    <x v="4"/>
  </r>
  <r>
    <n v="1000095833"/>
    <s v="Weidmueller,Product:2005090000,Part No: RIBBO"/>
    <x v="3"/>
    <s v="Weidmuller Middle East (FZE)"/>
    <n v="983.03647058823503"/>
    <n v="9"/>
    <n v="9"/>
    <n v="0"/>
    <x v="0"/>
    <x v="3"/>
  </r>
  <r>
    <n v="1000095267"/>
    <s v="SKF BEARING - NNF 5013 ADB-2LSV"/>
    <x v="3"/>
    <s v="SKF Eurotrade AB"/>
    <n v="982.92"/>
    <n v="2"/>
    <n v="2"/>
    <n v="0"/>
    <x v="0"/>
    <x v="4"/>
  </r>
  <r>
    <n v="1000021074"/>
    <s v="SKF BEARING - NU 2313 ECP"/>
    <x v="3"/>
    <s v="SKF Eurotrade AB"/>
    <n v="979.77"/>
    <n v="3"/>
    <n v="3"/>
    <n v="0"/>
    <x v="0"/>
    <x v="4"/>
  </r>
  <r>
    <n v="1000021241"/>
    <s v="SKF BEARING - 22218 EK/C3"/>
    <x v="11"/>
    <s v="SKF Eurotrade AB"/>
    <n v="979.02"/>
    <n v="3"/>
    <n v="3"/>
    <n v="0"/>
    <x v="0"/>
    <x v="4"/>
  </r>
  <r>
    <n v="1000100428"/>
    <s v="SKF Product 23022 CC/C3W33"/>
    <x v="3"/>
    <s v="SKF Eurotrade AB"/>
    <n v="978.6"/>
    <n v="2"/>
    <n v="2"/>
    <n v="0"/>
    <x v="0"/>
    <x v="4"/>
  </r>
  <r>
    <n v="1000097884"/>
    <s v="Weidmuller;PN:1241380000;IE-SW-BL06-2TX-4POE"/>
    <x v="3"/>
    <s v="Weidmuller Middle East (FZE)"/>
    <n v="977.55"/>
    <n v="1"/>
    <n v="1"/>
    <n v="0"/>
    <x v="0"/>
    <x v="3"/>
  </r>
  <r>
    <n v="1000020932"/>
    <s v="SKF BEARING - NJ 2308 ECP/C3"/>
    <x v="3"/>
    <s v="SKF Eurotrade AB"/>
    <n v="977.04600000000005"/>
    <n v="6"/>
    <n v="6"/>
    <n v="0"/>
    <x v="0"/>
    <x v="4"/>
  </r>
  <r>
    <n v="1000020621"/>
    <s v="SKF BEARING - 6304-2RSH/C3"/>
    <x v="3"/>
    <s v="SKF Eurotrade AB"/>
    <n v="975.92"/>
    <n v="88"/>
    <n v="88"/>
    <n v="0"/>
    <x v="0"/>
    <x v="4"/>
  </r>
  <r>
    <n v="1000098645"/>
    <s v="SKF BEARING -H 2322"/>
    <x v="3"/>
    <s v="SKF Eurotrade AB"/>
    <n v="972.28"/>
    <n v="5"/>
    <n v="5"/>
    <n v="0"/>
    <x v="0"/>
    <x v="4"/>
  </r>
  <r>
    <n v="1000111009"/>
    <s v="SKF PRODUCT FSNL 522-619"/>
    <x v="3"/>
    <s v="SKF Eurotrade AB"/>
    <n v="967.65"/>
    <n v="1"/>
    <n v="0"/>
    <n v="1"/>
    <x v="2"/>
    <x v="4"/>
  </r>
  <r>
    <n v="1000098758"/>
    <s v="SKF BEARING -AN 15"/>
    <x v="3"/>
    <s v="SKF Eurotrade AB"/>
    <n v="966.51056249999999"/>
    <n v="14"/>
    <n v="14"/>
    <n v="0"/>
    <x v="0"/>
    <x v="4"/>
  </r>
  <r>
    <n v="1000010067"/>
    <s v="Pepperl+Fuchs Inductive Sensor Model: NJ4-12G"/>
    <x v="3"/>
    <s v="Pepperl+Fuchs (ME) FZE"/>
    <n v="966.36268749999999"/>
    <n v="21"/>
    <n v="21"/>
    <n v="0"/>
    <x v="0"/>
    <x v="5"/>
  </r>
  <r>
    <n v="1000093787"/>
    <s v="SKF BEARING; LOCK WASHER : Model No. MB 13"/>
    <x v="3"/>
    <s v="Universal Bearings Company"/>
    <n v="965.53471741365502"/>
    <n v="281"/>
    <n v="281"/>
    <n v="0"/>
    <x v="0"/>
    <x v="4"/>
  </r>
  <r>
    <n v="1000020028"/>
    <s v="SKF BEARING - 6308"/>
    <x v="3"/>
    <s v="SKF Eurotrade AB"/>
    <n v="963.82322994652395"/>
    <n v="32"/>
    <n v="32"/>
    <n v="0"/>
    <x v="0"/>
    <x v="4"/>
  </r>
  <r>
    <n v="2500008069"/>
    <s v="Fine -Filter  PN FFE0420"/>
    <x v="0"/>
    <s v="ELGI Gulf FZE"/>
    <n v="963.57142857142799"/>
    <n v="1"/>
    <n v="1"/>
    <n v="0"/>
    <x v="0"/>
    <x v="0"/>
  </r>
  <r>
    <n v="1000020410"/>
    <s v="SKF BEARING - 6202-2Z/C3"/>
    <x v="3"/>
    <s v="SKF Eurotrade AB"/>
    <n v="961.11342326486294"/>
    <n v="170"/>
    <n v="170"/>
    <n v="0"/>
    <x v="0"/>
    <x v="4"/>
  </r>
  <r>
    <n v="2500005900"/>
    <s v="A/F PRIMARY-185CFM PN B005706740002"/>
    <x v="0"/>
    <s v="ELGI Gulf FZE"/>
    <n v="961.05633802816897"/>
    <n v="4"/>
    <n v="4"/>
    <n v="0"/>
    <x v="0"/>
    <x v="0"/>
  </r>
  <r>
    <n v="1000020922"/>
    <s v="SKF BEARING - NJ 2213 ECJ"/>
    <x v="3"/>
    <s v="SKF Eurotrade AB"/>
    <n v="960.4"/>
    <n v="4"/>
    <n v="4"/>
    <n v="0"/>
    <x v="0"/>
    <x v="4"/>
  </r>
  <r>
    <n v="1000020813"/>
    <s v="SKF BEARING - 7216 BECBP"/>
    <x v="3"/>
    <s v="SKF Eurotrade AB"/>
    <n v="958.56"/>
    <n v="4"/>
    <n v="4"/>
    <n v="0"/>
    <x v="0"/>
    <x v="4"/>
  </r>
  <r>
    <n v="1000021102"/>
    <s v="SKF BEARING - NU 311 ECJ/C3"/>
    <x v="3"/>
    <s v="SKF Eurotrade AB"/>
    <n v="957.5625"/>
    <n v="5"/>
    <n v="5"/>
    <n v="0"/>
    <x v="0"/>
    <x v="4"/>
  </r>
  <r>
    <n v="1000020324"/>
    <s v="SKF BEARING - 6022/C3"/>
    <x v="3"/>
    <s v="SKF Eurotrade AB"/>
    <n v="957.16"/>
    <n v="4"/>
    <n v="4"/>
    <n v="0"/>
    <x v="0"/>
    <x v="4"/>
  </r>
  <r>
    <n v="1000100327"/>
    <s v="SKF Product 6006/C3"/>
    <x v="3"/>
    <s v="SKF Eurotrade AB"/>
    <n v="957"/>
    <n v="110"/>
    <n v="110"/>
    <n v="0"/>
    <x v="0"/>
    <x v="4"/>
  </r>
  <r>
    <n v="1000098546"/>
    <s v="SKF BEARING-6024-2Z"/>
    <x v="3"/>
    <s v="SKF Eurotrade AB"/>
    <n v="955.51"/>
    <n v="3"/>
    <n v="3"/>
    <n v="0"/>
    <x v="0"/>
    <x v="4"/>
  </r>
  <r>
    <n v="1000010229"/>
    <s v="P+F, Inductive Sensor  Model No. NJ15S+U1+N"/>
    <x v="3"/>
    <s v="Pepperl+Fuchs (ME) FZE"/>
    <n v="955.12800000000004"/>
    <n v="3"/>
    <n v="3"/>
    <n v="0"/>
    <x v="0"/>
    <x v="5"/>
  </r>
  <r>
    <n v="1000020910"/>
    <s v="SKF BEARING - NJ 220 ECJ"/>
    <x v="3"/>
    <s v="SKF Eurotrade AB"/>
    <n v="954.84"/>
    <n v="2"/>
    <n v="2"/>
    <n v="0"/>
    <x v="0"/>
    <x v="4"/>
  </r>
  <r>
    <n v="1000099333"/>
    <s v="Pepperl+Fuchs make Inductive sensor:NRN30-30G"/>
    <x v="3"/>
    <s v="Pepperl+Fuchs (ME) FZE"/>
    <n v="952.88"/>
    <n v="3"/>
    <n v="3"/>
    <n v="0"/>
    <x v="0"/>
    <x v="5"/>
  </r>
  <r>
    <n v="1000020016"/>
    <s v="SKF BEARING - 3213 A/C3"/>
    <x v="3"/>
    <s v="SKF Eurotrade AB"/>
    <n v="952.875"/>
    <n v="3"/>
    <n v="3"/>
    <n v="0"/>
    <x v="0"/>
    <x v="4"/>
  </r>
  <r>
    <n v="1000020623"/>
    <s v="SKF BEARING - 6304-2Z/C3"/>
    <x v="3"/>
    <s v="SKF Eurotrade AB"/>
    <n v="952.54"/>
    <n v="97"/>
    <n v="97"/>
    <n v="0"/>
    <x v="0"/>
    <x v="4"/>
  </r>
  <r>
    <n v="1000097433"/>
    <s v="SKF BEARING; 7313 BEGAF"/>
    <x v="3"/>
    <s v="SKF Eurotrade AB"/>
    <n v="951.98"/>
    <n v="2"/>
    <n v="2"/>
    <n v="0"/>
    <x v="0"/>
    <x v="4"/>
  </r>
  <r>
    <n v="1000020966"/>
    <s v="SKF BEARING - NJ 315 ECJ/C3"/>
    <x v="3"/>
    <s v="SKF Eurotrade AB"/>
    <n v="951.04"/>
    <n v="2"/>
    <n v="2"/>
    <n v="0"/>
    <x v="0"/>
    <x v="4"/>
  </r>
  <r>
    <n v="1000020468"/>
    <s v="SKF BEARING - 6208-RS1/C3"/>
    <x v="3"/>
    <s v="SKF Eurotrade AB"/>
    <n v="947.75"/>
    <n v="25"/>
    <n v="25"/>
    <n v="0"/>
    <x v="0"/>
    <x v="4"/>
  </r>
  <r>
    <n v="1000102281"/>
    <s v="SKF BEARING - YAR 211-2F"/>
    <x v="3"/>
    <s v="SKF Eurotrade AB"/>
    <n v="942.75"/>
    <n v="10"/>
    <n v="10"/>
    <n v="0"/>
    <x v="0"/>
    <x v="4"/>
  </r>
  <r>
    <n v="1000021200"/>
    <s v="SKF BEARING - 22208 E/C3"/>
    <x v="3"/>
    <s v="SKF Eurotrade AB"/>
    <n v="941.49"/>
    <n v="9"/>
    <n v="9"/>
    <n v="0"/>
    <x v="0"/>
    <x v="4"/>
  </r>
  <r>
    <n v="1000010110"/>
    <s v="Pepperl+Fuchs Inductive Sensor (NBB2-8GM50-E2"/>
    <x v="3"/>
    <s v="Pepperl+Fuchs (ME) FZE"/>
    <n v="941"/>
    <n v="10"/>
    <n v="10"/>
    <n v="0"/>
    <x v="0"/>
    <x v="5"/>
  </r>
  <r>
    <n v="1000102785"/>
    <s v="Weidmuller Item; ZQV 4N/10; P/N 1528090000"/>
    <x v="3"/>
    <s v="Weidmuller Middle East (FZE)"/>
    <n v="939.918562224482"/>
    <n v="173"/>
    <n v="173"/>
    <n v="0"/>
    <x v="0"/>
    <x v="3"/>
  </r>
  <r>
    <n v="1000021295"/>
    <s v="SKF BEARING - 22316 EK/C3"/>
    <x v="3"/>
    <s v="SKF Eurotrade AB"/>
    <n v="939.84"/>
    <n v="2"/>
    <n v="2"/>
    <n v="0"/>
    <x v="0"/>
    <x v="4"/>
  </r>
  <r>
    <n v="2500008662"/>
    <s v="MATL :  ELBOW, RUBBER, 8&quot;X7&quot; P/N: 220375380"/>
    <x v="0"/>
    <s v="ELGI Gulf FZE"/>
    <n v="938.08333333333303"/>
    <n v="4"/>
    <n v="4"/>
    <n v="0"/>
    <x v="0"/>
    <x v="0"/>
  </r>
  <r>
    <n v="2500009341"/>
    <s v="DESCRIPTION : NW PIN TO HQ PIN ADAPTER| Part "/>
    <x v="0"/>
    <s v="PARANTHAMAN EXPORTERS"/>
    <n v="937.5"/>
    <n v="5"/>
    <n v="5"/>
    <n v="0"/>
    <x v="0"/>
    <x v="0"/>
  </r>
  <r>
    <n v="1000103070"/>
    <s v="SKF Products; PHG SPB2180"/>
    <x v="3"/>
    <s v="SKF Eurotrade AB"/>
    <n v="937.10810909090901"/>
    <n v="32"/>
    <n v="32"/>
    <n v="0"/>
    <x v="0"/>
    <x v="4"/>
  </r>
  <r>
    <n v="1000020162"/>
    <s v="SKF BEARING - 31316 J1/QCL7A"/>
    <x v="3"/>
    <s v="SKF Eurotrade AB"/>
    <n v="936.54"/>
    <n v="2"/>
    <n v="2"/>
    <n v="0"/>
    <x v="0"/>
    <x v="4"/>
  </r>
  <r>
    <n v="1000020798"/>
    <s v="SKF BEARING - 7208 BECBM"/>
    <x v="3"/>
    <s v="SKF Eurotrade AB"/>
    <n v="936.48570429570395"/>
    <n v="7"/>
    <n v="7"/>
    <n v="0"/>
    <x v="0"/>
    <x v="4"/>
  </r>
  <r>
    <n v="1000002210"/>
    <s v="Flow Fitting, FF40-S22"/>
    <x v="5"/>
    <s v="Yokogawa Middle East &amp; Africa B.S.C. Â©"/>
    <n v="933.75"/>
    <n v="1"/>
    <n v="1"/>
    <n v="0"/>
    <x v="0"/>
    <x v="6"/>
  </r>
  <r>
    <n v="1000020263"/>
    <s v="SKF BEARING - 6008-2RS1"/>
    <x v="3"/>
    <s v="SKF Eurotrade AB"/>
    <n v="932.46"/>
    <n v="55"/>
    <n v="55"/>
    <n v="0"/>
    <x v="0"/>
    <x v="4"/>
  </r>
  <r>
    <n v="1000097934"/>
    <s v="SKF BEARING - 58716"/>
    <x v="3"/>
    <s v="SKF Eurotrade AB"/>
    <n v="930.71"/>
    <n v="10"/>
    <n v="10"/>
    <n v="0"/>
    <x v="0"/>
    <x v="4"/>
  </r>
  <r>
    <n v="1000092611"/>
    <s v="SKF BEARING - Model No. 30222 J2"/>
    <x v="3"/>
    <s v="SKF Eurotrade AB"/>
    <n v="927.11"/>
    <n v="2"/>
    <n v="2"/>
    <n v="0"/>
    <x v="0"/>
    <x v="4"/>
  </r>
  <r>
    <n v="1000021060"/>
    <s v="SKF BEARING - NU 222 ECM"/>
    <x v="3"/>
    <s v="SKF Eurotrade AB"/>
    <n v="926.99"/>
    <n v="1"/>
    <n v="1"/>
    <n v="0"/>
    <x v="0"/>
    <x v="4"/>
  </r>
  <r>
    <n v="1000094032"/>
    <s v="SKF BEARINGS - Model No. TSN 220 S"/>
    <x v="3"/>
    <s v="SKF Eurotrade AB"/>
    <n v="926.58"/>
    <n v="2"/>
    <n v="2"/>
    <n v="0"/>
    <x v="0"/>
    <x v="4"/>
  </r>
  <r>
    <n v="1000102234"/>
    <s v="SKF BEARINGS - 2309 EKTN9"/>
    <x v="3"/>
    <s v="SKF Eurotrade AB"/>
    <n v="924.96"/>
    <n v="5"/>
    <n v="5"/>
    <n v="0"/>
    <x v="0"/>
    <x v="4"/>
  </r>
  <r>
    <n v="1000021285"/>
    <s v="SKF BEARING - H 2314"/>
    <x v="3"/>
    <s v="SKF Eurotrade AB"/>
    <n v="923.62"/>
    <n v="10"/>
    <n v="10"/>
    <n v="0"/>
    <x v="0"/>
    <x v="4"/>
  </r>
  <r>
    <n v="1000020560"/>
    <s v="SKF BEARING - 62206-2RS1/C3"/>
    <x v="3"/>
    <s v="SKF Eurotrade AB"/>
    <n v="923"/>
    <n v="25"/>
    <n v="25"/>
    <n v="0"/>
    <x v="0"/>
    <x v="4"/>
  </r>
  <r>
    <n v="1000093783"/>
    <s v="SKF BEARING : Model No. 3306 ATN9"/>
    <x v="3"/>
    <s v="SKF Eurotrade AB"/>
    <n v="922.88666666666597"/>
    <n v="8"/>
    <n v="8"/>
    <n v="0"/>
    <x v="0"/>
    <x v="4"/>
  </r>
  <r>
    <n v="1000020971"/>
    <s v="SKF BEARING - NJ 320 ECJ/C3"/>
    <x v="3"/>
    <s v="SKF Eurotrade AB"/>
    <n v="922.8"/>
    <n v="1"/>
    <n v="1"/>
    <n v="0"/>
    <x v="0"/>
    <x v="4"/>
  </r>
  <r>
    <n v="1000103681"/>
    <s v="SKF Product; 3207 ATN9/C3"/>
    <x v="3"/>
    <s v="SKF Eurotrade AB"/>
    <n v="922.5"/>
    <n v="10"/>
    <n v="10"/>
    <n v="0"/>
    <x v="0"/>
    <x v="4"/>
  </r>
  <r>
    <n v="1000021020"/>
    <s v="SKF BEARING - NU 217 ECJ/C3"/>
    <x v="3"/>
    <s v="SKF Eurotrade AB"/>
    <n v="922.16750000000002"/>
    <n v="3"/>
    <n v="3"/>
    <n v="0"/>
    <x v="0"/>
    <x v="4"/>
  </r>
  <r>
    <n v="1000021078"/>
    <s v="SKF BEARING - NU 2317 ECJ"/>
    <x v="3"/>
    <s v="SKF Eurotrade AB"/>
    <n v="920.76"/>
    <n v="1"/>
    <n v="1"/>
    <n v="0"/>
    <x v="0"/>
    <x v="4"/>
  </r>
  <r>
    <n v="2500009291"/>
    <s v="Model SF 100 SY Element"/>
    <x v="0"/>
    <s v="Summits Hygronics Private Limited"/>
    <n v="918.75"/>
    <n v="1"/>
    <n v="1"/>
    <n v="0"/>
    <x v="0"/>
    <x v="0"/>
  </r>
  <r>
    <n v="2500009337"/>
    <s v="DESCRIPTION : FEED CYLINDER SEAL KIT| Part no"/>
    <x v="0"/>
    <s v="PARANTHAMAN EXPORTERS"/>
    <n v="918.75"/>
    <n v="5"/>
    <n v="5"/>
    <n v="0"/>
    <x v="0"/>
    <x v="0"/>
  </r>
  <r>
    <n v="1000020279"/>
    <s v="SKF BEARING - 6011/C3"/>
    <x v="3"/>
    <s v="SKF Eurotrade AB"/>
    <n v="913.78"/>
    <n v="27"/>
    <n v="27"/>
    <n v="0"/>
    <x v="0"/>
    <x v="4"/>
  </r>
  <r>
    <n v="1000020445"/>
    <s v="SKF BEARING - 6206-Z"/>
    <x v="3"/>
    <s v="SKF Eurotrade AB"/>
    <n v="909.99044444444405"/>
    <n v="41"/>
    <n v="41"/>
    <n v="0"/>
    <x v="0"/>
    <x v="4"/>
  </r>
  <r>
    <n v="1000010226"/>
    <s v="P+F, Inductive Sensor  Model No. NBB4-12GM50-"/>
    <x v="3"/>
    <s v="Pepperl+Fuchs (ME) FZE"/>
    <n v="908.244611111111"/>
    <n v="5"/>
    <n v="5"/>
    <n v="0"/>
    <x v="0"/>
    <x v="5"/>
  </r>
  <r>
    <n v="1000099336"/>
    <s v="SKF BEARING - Model No. 31312/DF"/>
    <x v="3"/>
    <s v="SKF Eurotrade AB"/>
    <n v="907.42499999999995"/>
    <n v="1"/>
    <n v="1"/>
    <n v="0"/>
    <x v="0"/>
    <x v="4"/>
  </r>
  <r>
    <n v="1000098724"/>
    <s v="SKF BEARING -QJ 217 N2MA/C3"/>
    <x v="3"/>
    <s v="Universal Bearings Company"/>
    <n v="907.14312500000005"/>
    <n v="1"/>
    <n v="1"/>
    <n v="0"/>
    <x v="0"/>
    <x v="4"/>
  </r>
  <r>
    <n v="1000020248"/>
    <s v="SKF BEARING - 6005-2RSH/C3"/>
    <x v="3"/>
    <s v="SKF Eurotrade AB"/>
    <n v="905"/>
    <n v="100"/>
    <n v="100"/>
    <n v="0"/>
    <x v="0"/>
    <x v="4"/>
  </r>
  <r>
    <n v="1000021317"/>
    <s v="SKF BEARING - H 2328"/>
    <x v="3"/>
    <s v="SKF Eurotrade AB"/>
    <n v="904.88"/>
    <n v="2"/>
    <n v="2"/>
    <n v="0"/>
    <x v="0"/>
    <x v="4"/>
  </r>
  <r>
    <n v="1000010088"/>
    <s v="Pepperl+Fuchs Inductive Sensor;  Model:NJ2-12"/>
    <x v="3"/>
    <s v="Pepperl+Fuchs (ME) FZE"/>
    <n v="904.2"/>
    <n v="5"/>
    <n v="5"/>
    <n v="0"/>
    <x v="0"/>
    <x v="5"/>
  </r>
  <r>
    <n v="1000100896"/>
    <s v="P+F, Inductive Sensor  Model No. NJ5-18GM-N-V"/>
    <x v="3"/>
    <s v="Pepperl+Fuchs (ME) FZE"/>
    <n v="904.2"/>
    <n v="4"/>
    <n v="4"/>
    <n v="0"/>
    <x v="0"/>
    <x v="5"/>
  </r>
  <r>
    <n v="1000098688"/>
    <s v="SKF BEARING -NCF 3008 CV"/>
    <x v="3"/>
    <s v="SKF Eurotrade AB"/>
    <n v="903"/>
    <n v="5"/>
    <n v="5"/>
    <n v="0"/>
    <x v="0"/>
    <x v="4"/>
  </r>
  <r>
    <n v="1000020418"/>
    <s v="SKF BEARING - 6203-Z"/>
    <x v="3"/>
    <s v="SKF Eurotrade AB"/>
    <n v="901.34"/>
    <n v="115"/>
    <n v="115"/>
    <n v="0"/>
    <x v="0"/>
    <x v="4"/>
  </r>
  <r>
    <n v="1000098076"/>
    <s v="SKF BEARING -NA 4911/C3"/>
    <x v="3"/>
    <s v="SKF Eurotrade AB"/>
    <n v="900.67666666666605"/>
    <n v="3"/>
    <n v="3"/>
    <n v="0"/>
    <x v="0"/>
    <x v="4"/>
  </r>
  <r>
    <n v="1000021208"/>
    <s v="SKF BEARING - 22211 E/C3"/>
    <x v="3"/>
    <s v="SKF Eurotrade AB"/>
    <n v="900.62"/>
    <n v="7"/>
    <n v="7"/>
    <n v="0"/>
    <x v="0"/>
    <x v="4"/>
  </r>
  <r>
    <n v="1000020628"/>
    <s v="SKF BEARING - 6305-2RS1"/>
    <x v="3"/>
    <s v="SKF Eurotrade AB"/>
    <n v="899.81423437499996"/>
    <n v="63"/>
    <n v="63"/>
    <n v="0"/>
    <x v="0"/>
    <x v="4"/>
  </r>
  <r>
    <n v="1000010213"/>
    <s v="P+F, Thru-Beam Sensor  Model No. LD28/LV28-Z-"/>
    <x v="3"/>
    <s v="Pepperl+Fuchs (ME) FZE"/>
    <n v="897.39666666666596"/>
    <n v="1"/>
    <n v="1"/>
    <n v="0"/>
    <x v="0"/>
    <x v="5"/>
  </r>
  <r>
    <n v="1000010091"/>
    <s v="Pepperl+Fuchs Inductive Sensor (NJ5-11-NG-6M)"/>
    <x v="3"/>
    <s v="Pepperl+Fuchs (ME) FZE"/>
    <n v="892.75073609467404"/>
    <n v="3"/>
    <n v="3"/>
    <n v="0"/>
    <x v="0"/>
    <x v="5"/>
  </r>
  <r>
    <n v="1000101101"/>
    <s v="Weidmuller; Memory Card; Model No: PJ ADV MC"/>
    <x v="3"/>
    <s v="Weidmuller Saudi Arabia Factory LLC"/>
    <n v="891.19"/>
    <n v="1"/>
    <n v="1"/>
    <n v="0"/>
    <x v="0"/>
    <x v="3"/>
  </r>
  <r>
    <n v="1000021064"/>
    <s v="SKF BEARING - NU 2308 ECJ"/>
    <x v="3"/>
    <s v="SKF Eurotrade AB"/>
    <n v="889.5"/>
    <n v="5"/>
    <n v="5"/>
    <n v="0"/>
    <x v="0"/>
    <x v="4"/>
  </r>
  <r>
    <n v="1000020988"/>
    <s v="SKF BEARING - NU 208 ECM"/>
    <x v="3"/>
    <s v="SKF Eurotrade AB"/>
    <n v="889.28"/>
    <n v="4"/>
    <n v="4"/>
    <n v="0"/>
    <x v="0"/>
    <x v="4"/>
  </r>
  <r>
    <n v="1000096246"/>
    <s v="SKF BEARING -NU 319 ECP"/>
    <x v="3"/>
    <s v="SKF Eurotrade AB"/>
    <n v="888.36444444444396"/>
    <n v="2"/>
    <n v="2"/>
    <n v="0"/>
    <x v="0"/>
    <x v="4"/>
  </r>
  <r>
    <n v="1000098776"/>
    <s v="P+F; Inductive Sensor:NMB15-30GM65-E2-V1;  PN"/>
    <x v="3"/>
    <s v="Pepperl+Fuchs (ME) FZE"/>
    <n v="886.95"/>
    <n v="3"/>
    <n v="3"/>
    <n v="0"/>
    <x v="0"/>
    <x v="5"/>
  </r>
  <r>
    <n v="1000102701"/>
    <s v="SKF; BELT V; PHG SPA-2932"/>
    <x v="3"/>
    <s v="SKF Eurotrade AB"/>
    <n v="885.15"/>
    <n v="38"/>
    <n v="38"/>
    <n v="0"/>
    <x v="0"/>
    <x v="4"/>
  </r>
  <r>
    <n v="1000093674"/>
    <s v="Weidmuller; Tools; P/N: 9002660000   Model No"/>
    <x v="3"/>
    <s v="Weidmuller Middle East (FZE)"/>
    <n v="881.5"/>
    <n v="10"/>
    <n v="10"/>
    <n v="0"/>
    <x v="0"/>
    <x v="3"/>
  </r>
  <r>
    <n v="2500009292"/>
    <s v="Model SF 100 SX"/>
    <x v="0"/>
    <s v="Summits Hygronics Private Limited"/>
    <n v="881.25"/>
    <n v="1"/>
    <n v="1"/>
    <n v="0"/>
    <x v="0"/>
    <x v="0"/>
  </r>
  <r>
    <n v="1000020431"/>
    <s v="SKF BEARING - 6205/C3"/>
    <x v="3"/>
    <s v="SKF Eurotrade AB"/>
    <n v="881.15923076923002"/>
    <n v="110"/>
    <n v="110"/>
    <n v="0"/>
    <x v="0"/>
    <x v="4"/>
  </r>
  <r>
    <n v="1000020907"/>
    <s v="SKF BEARING - NJ 218 ECML/C3"/>
    <x v="3"/>
    <s v="SKF Eurotrade AB"/>
    <n v="880.56"/>
    <n v="1"/>
    <n v="1"/>
    <n v="0"/>
    <x v="0"/>
    <x v="4"/>
  </r>
  <r>
    <n v="1000103201"/>
    <s v="SKF Product; 3311 A-2ZTN9/C3VT113"/>
    <x v="3"/>
    <s v="SKF Eurotrade AB"/>
    <n v="880.01"/>
    <n v="3"/>
    <n v="3"/>
    <n v="0"/>
    <x v="0"/>
    <x v="4"/>
  </r>
  <r>
    <n v="1000098435"/>
    <s v="SKF BEARING-2312"/>
    <x v="3"/>
    <s v="SKF Eurotrade AB"/>
    <n v="878.98800000000006"/>
    <n v="3"/>
    <n v="3"/>
    <n v="0"/>
    <x v="0"/>
    <x v="4"/>
  </r>
  <r>
    <n v="1000021152"/>
    <s v="SKF BEARING - 21312 E/C3"/>
    <x v="3"/>
    <s v="SKF Eurotrade AB"/>
    <n v="878.44"/>
    <n v="4"/>
    <n v="4"/>
    <n v="0"/>
    <x v="0"/>
    <x v="4"/>
  </r>
  <r>
    <n v="2500008396"/>
    <s v="AUTO DRAIN VALVE - F3 PN B000306040013"/>
    <x v="0"/>
    <s v="ELGI Gulf FZE"/>
    <n v="877.5"/>
    <n v="2"/>
    <n v="2"/>
    <n v="0"/>
    <x v="0"/>
    <x v="0"/>
  </r>
  <r>
    <n v="2500009195"/>
    <s v="Desc : TEMP.SENSOR;0-150DEG;KTY10 | P/N:00897"/>
    <x v="0"/>
    <s v="ELGI Gulf FZE"/>
    <n v="877.5"/>
    <n v="2"/>
    <n v="2"/>
    <n v="0"/>
    <x v="0"/>
    <x v="0"/>
  </r>
  <r>
    <n v="1000021256"/>
    <s v="SKF BEARING - 22224 E/C3"/>
    <x v="3"/>
    <s v="Universal Bearings Company"/>
    <n v="869.4375"/>
    <n v="1"/>
    <n v="1"/>
    <n v="0"/>
    <x v="0"/>
    <x v="4"/>
  </r>
  <r>
    <n v="1000098594"/>
    <s v="SKF BEARING -6318-2Z"/>
    <x v="3"/>
    <s v="SKF Eurotrade AB"/>
    <n v="869.21"/>
    <n v="2"/>
    <n v="2"/>
    <n v="0"/>
    <x v="0"/>
    <x v="4"/>
  </r>
  <r>
    <n v="2200002051"/>
    <s v="MAT NO. 1000146085, O-RING PERBUNAN CASING/SU"/>
    <x v="1"/>
    <s v="Bombas Ercole Marelli Srl"/>
    <n v="863.77499999999998"/>
    <n v="2"/>
    <n v="2"/>
    <n v="0"/>
    <x v="0"/>
    <x v="1"/>
  </r>
  <r>
    <n v="1000095394"/>
    <s v="SKF BEARING-NU 2214 ECJ"/>
    <x v="3"/>
    <s v="SKF Eurotrade AB"/>
    <n v="863.71"/>
    <n v="3"/>
    <n v="3"/>
    <n v="0"/>
    <x v="0"/>
    <x v="4"/>
  </r>
  <r>
    <n v="1000098849"/>
    <s v="P+F;Inductive sensor;Model:NBB15-30GM50-E2-3G"/>
    <x v="3"/>
    <s v="Pepperl+Fuchs (ME) FZE"/>
    <n v="863.46974999999998"/>
    <n v="3"/>
    <n v="3"/>
    <n v="0"/>
    <x v="0"/>
    <x v="5"/>
  </r>
  <r>
    <n v="1000021366"/>
    <s v="SKF BEARING - SNL 520-617"/>
    <x v="3"/>
    <s v="SKF Eurotrade AB"/>
    <n v="863.18"/>
    <n v="2"/>
    <n v="2"/>
    <n v="0"/>
    <x v="0"/>
    <x v="4"/>
  </r>
  <r>
    <n v="1000100651"/>
    <s v="Weidmueller ZEW 15 Part No: 7920340000"/>
    <x v="3"/>
    <s v="Weidmuller Middle East (FZE)"/>
    <n v="863.1"/>
    <n v="1750"/>
    <n v="1750"/>
    <n v="0"/>
    <x v="0"/>
    <x v="3"/>
  </r>
  <r>
    <n v="1000020116"/>
    <s v="SKF BEARING - 3311 A-2Z/C3"/>
    <x v="3"/>
    <s v="SKF Eurotrade AB"/>
    <n v="862.54"/>
    <n v="2"/>
    <n v="2"/>
    <n v="0"/>
    <x v="0"/>
    <x v="4"/>
  </r>
  <r>
    <n v="1000093598"/>
    <s v="Weidmuller; TERMINAL BLOCK; P/N: 1846040000; "/>
    <x v="3"/>
    <s v="Weidmuller Middle East (FZE)"/>
    <n v="861.631197744166"/>
    <n v="28"/>
    <n v="28"/>
    <n v="0"/>
    <x v="0"/>
    <x v="3"/>
  </r>
  <r>
    <n v="1000020200"/>
    <s v="SKF BEARING - 33118/Q"/>
    <x v="3"/>
    <s v="SKF Eurotrade AB"/>
    <n v="861.48"/>
    <n v="3"/>
    <n v="3"/>
    <n v="0"/>
    <x v="0"/>
    <x v="4"/>
  </r>
  <r>
    <n v="1000098573"/>
    <s v="SKF BEARING -6204-RSH/C3"/>
    <x v="3"/>
    <s v="SKF Eurotrade AB"/>
    <n v="861.22"/>
    <n v="61"/>
    <n v="61"/>
    <n v="0"/>
    <x v="0"/>
    <x v="4"/>
  </r>
  <r>
    <n v="2500008256"/>
    <s v="VALVE KIT A/INTAKE 4&quot; AIRCON  PN 10331099"/>
    <x v="0"/>
    <s v="ELGI Gulf FZE"/>
    <n v="860.625"/>
    <n v="1"/>
    <n v="1"/>
    <n v="0"/>
    <x v="0"/>
    <x v="0"/>
  </r>
  <r>
    <n v="1000021225"/>
    <s v="SKF BEARING - 22215 EK"/>
    <x v="3"/>
    <s v="SKF Eurotrade AB"/>
    <n v="860.4"/>
    <n v="3"/>
    <n v="3"/>
    <n v="0"/>
    <x v="0"/>
    <x v="4"/>
  </r>
  <r>
    <n v="1000020703"/>
    <s v="SKF BEARING - 6313"/>
    <x v="3"/>
    <s v="SKF Eurotrade AB"/>
    <n v="857.10141414141401"/>
    <n v="8"/>
    <n v="8"/>
    <n v="0"/>
    <x v="0"/>
    <x v="4"/>
  </r>
  <r>
    <n v="1000102700"/>
    <s v="SKF; BELT V; PHG SPA-2500"/>
    <x v="3"/>
    <s v="SKF Eurotrade AB"/>
    <n v="855.11"/>
    <n v="44"/>
    <n v="44"/>
    <n v="0"/>
    <x v="0"/>
    <x v="4"/>
  </r>
  <r>
    <n v="1000093673"/>
    <s v="Weidmuller; Tools; P/N: 9002650000   Model No"/>
    <x v="3"/>
    <s v="Weidmuller Middle East (FZE)"/>
    <n v="854.49599999999998"/>
    <n v="12"/>
    <n v="12"/>
    <n v="0"/>
    <x v="0"/>
    <x v="3"/>
  </r>
  <r>
    <n v="1000103217"/>
    <s v="SKF Product; 7317 BECBY"/>
    <x v="3"/>
    <s v="SKF Eurotrade AB"/>
    <n v="852.64"/>
    <n v="1"/>
    <n v="1"/>
    <n v="0"/>
    <x v="0"/>
    <x v="4"/>
  </r>
  <r>
    <n v="1000020983"/>
    <s v="SKF BEARING - NU 206 ECJ/C3"/>
    <x v="3"/>
    <s v="SKF Eurotrade AB"/>
    <n v="851.83"/>
    <n v="13"/>
    <n v="13"/>
    <n v="0"/>
    <x v="0"/>
    <x v="4"/>
  </r>
  <r>
    <n v="1000093532"/>
    <s v="P+F, Inductive Sensor   Model No. NJ4-12GM40-"/>
    <x v="3"/>
    <s v="Pepperl+Fuchs (ME) FZE"/>
    <n v="851.73919999999998"/>
    <n v="4"/>
    <n v="4"/>
    <n v="0"/>
    <x v="0"/>
    <x v="5"/>
  </r>
  <r>
    <n v="1000020600"/>
    <s v="SKF BEARING - 63000-2RS1"/>
    <x v="3"/>
    <s v="SKF Eurotrade AB"/>
    <n v="850.5"/>
    <n v="34"/>
    <n v="34"/>
    <n v="0"/>
    <x v="0"/>
    <x v="4"/>
  </r>
  <r>
    <n v="1000094196"/>
    <s v="Weidmuller; TERMINAL BLOCK;   P/N: 1609860000"/>
    <x v="3"/>
    <s v="Weidmuller Middle East (FZE)"/>
    <n v="849.25116610177395"/>
    <n v="5184"/>
    <n v="5184"/>
    <n v="0"/>
    <x v="0"/>
    <x v="3"/>
  </r>
  <r>
    <n v="1000102272"/>
    <s v="SKF BEARING - SYF 506"/>
    <x v="3"/>
    <s v="SKF Eurotrade AB"/>
    <n v="848.25"/>
    <n v="20"/>
    <n v="20"/>
    <n v="0"/>
    <x v="0"/>
    <x v="4"/>
  </r>
  <r>
    <n v="1000095440"/>
    <s v="SKF BEARING-H 309"/>
    <x v="3"/>
    <s v="SKF Eurotrade AB"/>
    <n v="845.82074074074001"/>
    <n v="23"/>
    <n v="23"/>
    <n v="0"/>
    <x v="0"/>
    <x v="4"/>
  </r>
  <r>
    <n v="1000020614"/>
    <s v="SKF BEARING - 6302-2RSH/C3"/>
    <x v="3"/>
    <s v="SKF Eurotrade AB"/>
    <n v="845"/>
    <n v="100"/>
    <n v="100"/>
    <n v="0"/>
    <x v="0"/>
    <x v="4"/>
  </r>
  <r>
    <n v="1000020038"/>
    <s v="SKF BEARING - 6211-Z"/>
    <x v="3"/>
    <s v="SKF Eurotrade AB"/>
    <n v="843.17647058823502"/>
    <n v="15"/>
    <n v="15"/>
    <n v="0"/>
    <x v="0"/>
    <x v="4"/>
  </r>
  <r>
    <n v="1000021234"/>
    <s v="SKF BEARING - 22217 E/C3"/>
    <x v="3"/>
    <s v="SKF Eurotrade AB"/>
    <n v="841.95"/>
    <n v="3"/>
    <n v="3"/>
    <n v="0"/>
    <x v="0"/>
    <x v="4"/>
  </r>
  <r>
    <n v="1000021145"/>
    <s v="SKF BEARING - NU 320 ECJ/C3"/>
    <x v="3"/>
    <s v="SKF Eurotrade AB"/>
    <n v="840.82500000000005"/>
    <n v="1"/>
    <n v="1"/>
    <n v="0"/>
    <x v="0"/>
    <x v="4"/>
  </r>
  <r>
    <n v="2500005935"/>
    <s v="SOLENOID VALVE NC,24V,50HZ PN B007300990004"/>
    <x v="0"/>
    <s v="ELGI Gulf FZE"/>
    <n v="837"/>
    <n v="5"/>
    <n v="5"/>
    <n v="0"/>
    <x v="6"/>
    <x v="0"/>
  </r>
  <r>
    <n v="1000020182"/>
    <s v="SKF BEARING - 32219 J2"/>
    <x v="3"/>
    <s v="SKF Eurotrade AB"/>
    <n v="835.41"/>
    <n v="3"/>
    <n v="3"/>
    <n v="0"/>
    <x v="0"/>
    <x v="4"/>
  </r>
  <r>
    <n v="1000020940"/>
    <s v="SKF BEARING - NJ 2313 ECP/C3"/>
    <x v="3"/>
    <s v="SKF Eurotrade AB"/>
    <n v="834.66"/>
    <n v="2"/>
    <n v="2"/>
    <n v="0"/>
    <x v="0"/>
    <x v="4"/>
  </r>
  <r>
    <n v="1000103075"/>
    <s v="SKF Products; NJ 2204 ECP"/>
    <x v="3"/>
    <s v="SKF Eurotrade AB"/>
    <n v="833.63499999999999"/>
    <n v="12"/>
    <n v="12"/>
    <n v="0"/>
    <x v="0"/>
    <x v="4"/>
  </r>
  <r>
    <n v="1000020859"/>
    <s v="SKF BEARING - 7313 BECCM"/>
    <x v="3"/>
    <s v="SKF Eurotrade AB"/>
    <n v="833.02333333333297"/>
    <n v="2"/>
    <n v="2"/>
    <n v="0"/>
    <x v="0"/>
    <x v="4"/>
  </r>
  <r>
    <n v="2500009239"/>
    <s v="1001413 - OIL PUMP"/>
    <x v="0"/>
    <s v="Gulf Level Trading Company"/>
    <n v="830.45"/>
    <n v="1"/>
    <n v="1"/>
    <n v="0"/>
    <x v="0"/>
    <x v="0"/>
  </r>
  <r>
    <n v="1000021210"/>
    <s v="SKF BEARING - 22211 EK/C3"/>
    <x v="3"/>
    <s v="Universal Bearings Company"/>
    <n v="830.43719999999996"/>
    <n v="6"/>
    <n v="6"/>
    <n v="0"/>
    <x v="0"/>
    <x v="4"/>
  </r>
  <r>
    <n v="1000021116"/>
    <s v="SKF BEARING - NU 313 ECP/C3"/>
    <x v="3"/>
    <s v="SKF Eurotrade AB"/>
    <n v="830.16"/>
    <n v="4"/>
    <n v="4"/>
    <n v="0"/>
    <x v="0"/>
    <x v="4"/>
  </r>
  <r>
    <n v="1000093811"/>
    <s v="P+F, Inductive Slot Sensor Model No. SJ3,5-S1"/>
    <x v="3"/>
    <s v="Pepperl+Fuchs (ME) FZE"/>
    <n v="829.4"/>
    <n v="3"/>
    <n v="3"/>
    <n v="0"/>
    <x v="0"/>
    <x v="5"/>
  </r>
  <r>
    <n v="1000020582"/>
    <s v="SKF BEARING - 62304-2RS1"/>
    <x v="3"/>
    <s v="SKF Eurotrade AB"/>
    <n v="829"/>
    <n v="25"/>
    <n v="25"/>
    <n v="0"/>
    <x v="0"/>
    <x v="4"/>
  </r>
  <r>
    <n v="1000098702"/>
    <s v="SKF BEARING -NU 2206 ECP"/>
    <x v="3"/>
    <s v="SKF Eurotrade AB"/>
    <n v="828.30086309523801"/>
    <n v="10"/>
    <n v="10"/>
    <n v="0"/>
    <x v="0"/>
    <x v="4"/>
  </r>
  <r>
    <n v="1000020144"/>
    <s v="SKF BEARING - 30213 J2/Q"/>
    <x v="3"/>
    <s v="SKF Eurotrade AB"/>
    <n v="828.3"/>
    <n v="10"/>
    <n v="10"/>
    <n v="0"/>
    <x v="0"/>
    <x v="4"/>
  </r>
  <r>
    <n v="1000096209"/>
    <s v="SKF BEARING -FYJ 80 TF"/>
    <x v="3"/>
    <s v="SKF Eurotrade AB"/>
    <n v="826.82"/>
    <n v="2"/>
    <n v="2"/>
    <n v="0"/>
    <x v="0"/>
    <x v="4"/>
  </r>
  <r>
    <n v="1000020970"/>
    <s v="SKF BEARING - NJ 319 ECJ/C3"/>
    <x v="3"/>
    <s v="SKF Eurotrade AB"/>
    <n v="826.14"/>
    <n v="1"/>
    <n v="1"/>
    <n v="0"/>
    <x v="0"/>
    <x v="4"/>
  </r>
  <r>
    <n v="2500008216"/>
    <s v="MPV Assembly PN A990080"/>
    <x v="0"/>
    <s v="ELGI Gulf FZE"/>
    <n v="824.86"/>
    <n v="7"/>
    <n v="7"/>
    <n v="0"/>
    <x v="0"/>
    <x v="0"/>
  </r>
  <r>
    <n v="1000103203"/>
    <s v="SKF Product; PHG SPB2120"/>
    <x v="3"/>
    <s v="SKF Eurotrade AB"/>
    <n v="824.39202830188594"/>
    <n v="29"/>
    <n v="29"/>
    <n v="0"/>
    <x v="0"/>
    <x v="4"/>
  </r>
  <r>
    <n v="1000010223"/>
    <s v="P+F, Inductive Sensor Model No. NCB5-18GM40-N"/>
    <x v="3"/>
    <s v="Pepperl+Fuchs (ME) FZE"/>
    <n v="824.38714285714195"/>
    <n v="3"/>
    <n v="3"/>
    <n v="0"/>
    <x v="0"/>
    <x v="5"/>
  </r>
  <r>
    <n v="1000020777"/>
    <s v="SKF BEARING - 51107"/>
    <x v="3"/>
    <s v="SKF Eurotrade AB"/>
    <n v="822.27096774193501"/>
    <n v="30"/>
    <n v="30"/>
    <n v="0"/>
    <x v="0"/>
    <x v="4"/>
  </r>
  <r>
    <n v="1000098738"/>
    <s v="SKF BEARING -YSA 207-2FK"/>
    <x v="3"/>
    <s v="SKF Eurotrade AB"/>
    <n v="820.97"/>
    <n v="20"/>
    <n v="20"/>
    <n v="0"/>
    <x v="0"/>
    <x v="4"/>
  </r>
  <r>
    <n v="1000020237"/>
    <s v="SKF BEARING - 6003-2Z/C3"/>
    <x v="3"/>
    <s v="SKF Eurotrade AB"/>
    <n v="819"/>
    <n v="130"/>
    <n v="130"/>
    <n v="0"/>
    <x v="0"/>
    <x v="4"/>
  </r>
  <r>
    <n v="1000020113"/>
    <s v="SKF BEARING - 3311 A"/>
    <x v="3"/>
    <s v="SKF Eurotrade AB"/>
    <n v="818.61"/>
    <n v="3"/>
    <n v="3"/>
    <n v="0"/>
    <x v="0"/>
    <x v="4"/>
  </r>
  <r>
    <n v="1000021008"/>
    <s v="SKF BEARING - NU 214 ECM"/>
    <x v="3"/>
    <s v="SKF Eurotrade AB"/>
    <n v="813.54"/>
    <n v="2"/>
    <n v="2"/>
    <n v="0"/>
    <x v="0"/>
    <x v="4"/>
  </r>
  <r>
    <n v="1000095245"/>
    <s v="SKF BEARING - 7212 BEGAM"/>
    <x v="3"/>
    <s v="SKF Eurotrade AB"/>
    <n v="812.57749999999999"/>
    <n v="2"/>
    <n v="2"/>
    <n v="0"/>
    <x v="0"/>
    <x v="4"/>
  </r>
  <r>
    <n v="1000095195"/>
    <s v="SKF BEARING - 7213 BECBY"/>
    <x v="3"/>
    <s v="SKF Eurotrade AB"/>
    <n v="809.78"/>
    <n v="3"/>
    <n v="3"/>
    <n v="0"/>
    <x v="0"/>
    <x v="4"/>
  </r>
  <r>
    <n v="1000020316"/>
    <s v="SKF BEARING - 6020"/>
    <x v="3"/>
    <s v="SKF Eurotrade AB"/>
    <n v="807.3"/>
    <n v="5"/>
    <n v="5"/>
    <n v="0"/>
    <x v="0"/>
    <x v="4"/>
  </r>
  <r>
    <n v="2500008166"/>
    <s v="Coupling Element MDL EG11-E15 PN B01120117000"/>
    <x v="0"/>
    <s v="ELGI Gulf FZE"/>
    <n v="807.15499999999997"/>
    <n v="6"/>
    <n v="6"/>
    <n v="0"/>
    <x v="0"/>
    <x v="0"/>
  </r>
  <r>
    <n v="1000098550"/>
    <s v="SKF BEARING - W 21"/>
    <x v="3"/>
    <s v="SKF Eurotrade AB"/>
    <n v="806.25"/>
    <n v="25"/>
    <n v="25"/>
    <n v="0"/>
    <x v="0"/>
    <x v="4"/>
  </r>
  <r>
    <n v="1000095217"/>
    <s v="SKF BEARING - TSN 513 C"/>
    <x v="3"/>
    <s v="Universal Bearings Company"/>
    <n v="800"/>
    <n v="20"/>
    <n v="20"/>
    <n v="0"/>
    <x v="0"/>
    <x v="4"/>
  </r>
  <r>
    <n v="1000100727"/>
    <s v="P+F, Inductive Sensor    Model No. NJ15-30GK-"/>
    <x v="3"/>
    <s v="Pepperl+Fuchs (ME) FZE"/>
    <n v="799.66800000000001"/>
    <n v="2"/>
    <n v="2"/>
    <n v="0"/>
    <x v="0"/>
    <x v="5"/>
  </r>
  <r>
    <n v="1000021144"/>
    <s v="SKF BEARING - NU 320 ECJ"/>
    <x v="3"/>
    <s v="SKF Eurotrade AB"/>
    <n v="798.65"/>
    <n v="1"/>
    <n v="1"/>
    <n v="0"/>
    <x v="0"/>
    <x v="4"/>
  </r>
  <r>
    <n v="1000103149"/>
    <s v="SKF Products; 7318 BECBP"/>
    <x v="3"/>
    <s v="SKF Eurotrade AB"/>
    <n v="796.35"/>
    <n v="1"/>
    <n v="1"/>
    <n v="0"/>
    <x v="0"/>
    <x v="4"/>
  </r>
  <r>
    <n v="1000109985"/>
    <s v="05-0003-001200  Lockable push button with key"/>
    <x v="3"/>
    <s v="Bartec Middle East LLC"/>
    <n v="795.24"/>
    <n v="3"/>
    <n v="3"/>
    <n v="0"/>
    <x v="2"/>
    <x v="7"/>
  </r>
  <r>
    <n v="1000100646"/>
    <s v="Weidmueller PJ ADV TNTK INK Y Part No: 133865"/>
    <x v="3"/>
    <s v="Weidmuller Middle East (FZE)"/>
    <n v="794.15"/>
    <n v="2"/>
    <n v="2"/>
    <n v="0"/>
    <x v="0"/>
    <x v="3"/>
  </r>
  <r>
    <n v="1000100647"/>
    <s v="Weidmueller PJ ADV TNTK INK M Part No: 133867"/>
    <x v="3"/>
    <s v="Weidmuller Middle East (FZE)"/>
    <n v="793.74"/>
    <n v="2"/>
    <n v="2"/>
    <n v="0"/>
    <x v="0"/>
    <x v="3"/>
  </r>
  <r>
    <n v="1000100649"/>
    <s v="Weidmueller PJ ADV TNTK INK K Part No: 133869"/>
    <x v="3"/>
    <s v="Weidmuller Middle East (FZE)"/>
    <n v="791.8"/>
    <n v="2"/>
    <n v="2"/>
    <n v="0"/>
    <x v="0"/>
    <x v="3"/>
  </r>
  <r>
    <n v="1000100648"/>
    <s v="Weidmueller PJ ADV TNTK INK C Part No: 133868"/>
    <x v="3"/>
    <s v="Weidmuller Middle East (FZE)"/>
    <n v="790.87"/>
    <n v="2"/>
    <n v="2"/>
    <n v="0"/>
    <x v="0"/>
    <x v="3"/>
  </r>
  <r>
    <n v="1000106068"/>
    <s v="P&amp;F Inductive Sensor; NBB4-12GM75-US; P/N: 19"/>
    <x v="3"/>
    <s v="Pepperl+Fuchs (ME) FZE"/>
    <n v="790.28"/>
    <n v="2"/>
    <n v="2"/>
    <n v="0"/>
    <x v="0"/>
    <x v="5"/>
  </r>
  <r>
    <n v="1000103637"/>
    <s v="Pepperl+Fuchs Inductive Sensor; Model:NBN40-U"/>
    <x v="3"/>
    <s v="Pepperl+Fuchs (ME) FZE"/>
    <n v="785.28"/>
    <n v="3"/>
    <n v="3"/>
    <n v="0"/>
    <x v="0"/>
    <x v="5"/>
  </r>
  <r>
    <n v="1000021253"/>
    <s v="SKF BEARING - H 322"/>
    <x v="3"/>
    <s v="SKF Eurotrade AB"/>
    <n v="783.58057142857103"/>
    <n v="4"/>
    <n v="4"/>
    <n v="0"/>
    <x v="0"/>
    <x v="4"/>
  </r>
  <r>
    <n v="1000021242"/>
    <s v="SKF BEARING - 22219 E/C3"/>
    <x v="3"/>
    <s v="SKF Eurotrade AB"/>
    <n v="780.24"/>
    <n v="2"/>
    <n v="2"/>
    <n v="0"/>
    <x v="0"/>
    <x v="4"/>
  </r>
  <r>
    <n v="1000010176"/>
    <s v="P+F, Inductive Sensor Model No.: NJ2-12GK-SN"/>
    <x v="3"/>
    <s v="Pepperl+Fuchs (ME) FZE"/>
    <n v="780"/>
    <n v="4"/>
    <n v="4"/>
    <n v="0"/>
    <x v="0"/>
    <x v="5"/>
  </r>
  <r>
    <n v="1000021038"/>
    <s v="SKF BEARING - NU 2211 ECJ"/>
    <x v="3"/>
    <s v="SKF Eurotrade AB"/>
    <n v="778.28"/>
    <n v="5"/>
    <n v="5"/>
    <n v="0"/>
    <x v="0"/>
    <x v="4"/>
  </r>
  <r>
    <n v="1000101591"/>
    <s v="SKF Bearing; PN: 32020 X"/>
    <x v="3"/>
    <s v="SKF Eurotrade AB"/>
    <n v="777.38"/>
    <n v="5"/>
    <n v="5"/>
    <n v="0"/>
    <x v="0"/>
    <x v="4"/>
  </r>
  <r>
    <n v="1000099429"/>
    <s v="SKF BEARINGS - Model No. FRB 10/150"/>
    <x v="3"/>
    <s v="SKF Eurotrade AB"/>
    <n v="775.2"/>
    <n v="38"/>
    <n v="0"/>
    <n v="38"/>
    <x v="3"/>
    <x v="4"/>
  </r>
  <r>
    <n v="1000100364"/>
    <s v="SKF Product KMK 7"/>
    <x v="3"/>
    <s v="SKF Eurotrade AB"/>
    <n v="770.47"/>
    <n v="10"/>
    <n v="10"/>
    <n v="0"/>
    <x v="0"/>
    <x v="4"/>
  </r>
  <r>
    <n v="1000103205"/>
    <s v="SKF Product; PHG SPB1600"/>
    <x v="3"/>
    <s v="SKF Eurotrade AB"/>
    <n v="769.71008841732896"/>
    <n v="35"/>
    <n v="35"/>
    <n v="0"/>
    <x v="0"/>
    <x v="4"/>
  </r>
  <r>
    <n v="1000020118"/>
    <s v="SKF BEARING - 3312 A"/>
    <x v="3"/>
    <s v="SKF Eurotrade AB"/>
    <n v="768.63980000000004"/>
    <n v="2"/>
    <n v="2"/>
    <n v="0"/>
    <x v="0"/>
    <x v="4"/>
  </r>
  <r>
    <n v="1000020658"/>
    <s v="SKF BEARING - 6308-2Z/C3"/>
    <x v="3"/>
    <s v="SKF Eurotrade AB"/>
    <n v="766.72500000000002"/>
    <n v="17"/>
    <n v="17"/>
    <n v="0"/>
    <x v="0"/>
    <x v="4"/>
  </r>
  <r>
    <n v="2500008615"/>
    <s v="MATL : Pre filter -AF 0294F 1 1/2'' BSP"/>
    <x v="0"/>
    <s v="ELGI Gulf FZE"/>
    <n v="765"/>
    <n v="1"/>
    <n v="0"/>
    <n v="1"/>
    <x v="6"/>
    <x v="0"/>
  </r>
  <r>
    <n v="2500008616"/>
    <s v="MATL : Fine Filter AF 0294F 1 1/2'' BSP"/>
    <x v="0"/>
    <s v="ELGI Gulf FZE"/>
    <n v="765"/>
    <n v="1"/>
    <n v="0"/>
    <n v="1"/>
    <x v="6"/>
    <x v="0"/>
  </r>
  <r>
    <n v="1000095834"/>
    <s v="Weidmueller,Product:9540000000;   PN: ZEW 35"/>
    <x v="3"/>
    <s v="Weidmuller Middle East (FZE)"/>
    <n v="763.14712222222204"/>
    <n v="902"/>
    <n v="902"/>
    <n v="0"/>
    <x v="0"/>
    <x v="3"/>
  </r>
  <r>
    <n v="1000021109"/>
    <s v="SKF BEARING - NU 312 ECM"/>
    <x v="3"/>
    <s v="SKF Eurotrade AB"/>
    <n v="763.06"/>
    <n v="2"/>
    <n v="2"/>
    <n v="0"/>
    <x v="0"/>
    <x v="4"/>
  </r>
  <r>
    <n v="1000098530"/>
    <s v="SKF BEARING-32312 BJ2/QCL7C"/>
    <x v="3"/>
    <s v="SKF Eurotrade AB"/>
    <n v="762.7"/>
    <n v="2"/>
    <n v="2"/>
    <n v="0"/>
    <x v="0"/>
    <x v="4"/>
  </r>
  <r>
    <n v="1000098574"/>
    <s v="SKF BEARING -6207-RS1"/>
    <x v="3"/>
    <s v="SKF Eurotrade AB"/>
    <n v="760.3"/>
    <n v="25"/>
    <n v="25"/>
    <n v="0"/>
    <x v="0"/>
    <x v="4"/>
  </r>
  <r>
    <n v="1000020972"/>
    <s v="SKF BEARING - NU 1006"/>
    <x v="3"/>
    <s v="SKF Eurotrade AB"/>
    <n v="757.46"/>
    <n v="10"/>
    <n v="10"/>
    <n v="0"/>
    <x v="0"/>
    <x v="4"/>
  </r>
  <r>
    <n v="1000020004"/>
    <s v="SKF BEARING - 6005"/>
    <x v="3"/>
    <s v="SKF Eurotrade AB"/>
    <n v="756.05341970310303"/>
    <n v="109"/>
    <n v="109"/>
    <n v="0"/>
    <x v="0"/>
    <x v="4"/>
  </r>
  <r>
    <n v="1000010163"/>
    <s v="P+F, Inductive Sensor Model No.: NJ1,5-8GM-N"/>
    <x v="3"/>
    <s v="Pepperl+Fuchs (ME) FZE"/>
    <n v="753.75"/>
    <n v="5"/>
    <n v="5"/>
    <n v="0"/>
    <x v="0"/>
    <x v="5"/>
  </r>
  <r>
    <n v="1000020631"/>
    <s v="SKF BEARING - 6305-2Z/C3"/>
    <x v="3"/>
    <s v="SKF Eurotrade AB"/>
    <n v="751.73006934984505"/>
    <n v="59"/>
    <n v="59"/>
    <n v="0"/>
    <x v="0"/>
    <x v="4"/>
  </r>
  <r>
    <n v="1000103529"/>
    <s v="SKF Product; 2210 E-2RS1TN9"/>
    <x v="3"/>
    <s v="SKF Eurotrade AB"/>
    <n v="751.69"/>
    <n v="5"/>
    <n v="5"/>
    <n v="0"/>
    <x v="0"/>
    <x v="4"/>
  </r>
  <r>
    <n v="1000102408"/>
    <s v="SKF; BELT V; PHG SPA-2582"/>
    <x v="3"/>
    <s v="SKF Eurotrade AB"/>
    <n v="751.20187438271"/>
    <n v="38"/>
    <n v="38"/>
    <n v="0"/>
    <x v="0"/>
    <x v="4"/>
  </r>
  <r>
    <n v="1000020097"/>
    <s v="SKF BEARING - 3308 A-2Z"/>
    <x v="3"/>
    <s v="SKF Eurotrade AB"/>
    <n v="751.16"/>
    <n v="4"/>
    <n v="4"/>
    <n v="0"/>
    <x v="0"/>
    <x v="4"/>
  </r>
  <r>
    <n v="1000100361"/>
    <s v="SKF Product H 306"/>
    <x v="3"/>
    <s v="SKF Eurotrade AB"/>
    <n v="750.92"/>
    <n v="29"/>
    <n v="29"/>
    <n v="0"/>
    <x v="0"/>
    <x v="4"/>
  </r>
  <r>
    <n v="1000020615"/>
    <s v="SKF BEARING - 6302-2Z/C3"/>
    <x v="3"/>
    <s v="SKF Eurotrade AB"/>
    <n v="750"/>
    <n v="100"/>
    <n v="100"/>
    <n v="0"/>
    <x v="0"/>
    <x v="4"/>
  </r>
  <r>
    <n v="2500005599"/>
    <s v="AUTO DRAIN VALVE F5 &amp; F6 PN B001302940001"/>
    <x v="0"/>
    <s v="ELGI Gulf FZE"/>
    <n v="750"/>
    <n v="1"/>
    <n v="1"/>
    <n v="0"/>
    <x v="0"/>
    <x v="0"/>
  </r>
  <r>
    <n v="2500008971"/>
    <s v="200328 BELT V"/>
    <x v="0"/>
    <s v="ELGI Gulf FZE"/>
    <n v="749.25"/>
    <n v="6"/>
    <n v="6"/>
    <n v="0"/>
    <x v="0"/>
    <x v="0"/>
  </r>
  <r>
    <n v="1000002870"/>
    <s v="Pressure Clamp (Basic Type), NFTA4S-00"/>
    <x v="5"/>
    <s v="Yokogawa Middle East &amp; Africa B.S.C. Â©"/>
    <n v="749.06"/>
    <n v="2"/>
    <n v="2"/>
    <n v="0"/>
    <x v="0"/>
    <x v="6"/>
  </r>
  <r>
    <n v="1000021157"/>
    <s v="SKF BEARING - 21316 E"/>
    <x v="3"/>
    <s v="SKF Eurotrade AB"/>
    <n v="746.88"/>
    <n v="2"/>
    <n v="2"/>
    <n v="0"/>
    <x v="0"/>
    <x v="4"/>
  </r>
  <r>
    <n v="1000021158"/>
    <s v="SKF BEARING - 21316 E/C3"/>
    <x v="3"/>
    <s v="SKF Eurotrade AB"/>
    <n v="746.88"/>
    <n v="2"/>
    <n v="2"/>
    <n v="0"/>
    <x v="0"/>
    <x v="4"/>
  </r>
  <r>
    <n v="1000021055"/>
    <s v="SKF BEARING - NU 2218 ECP/C3"/>
    <x v="3"/>
    <s v="SKF Eurotrade AB"/>
    <n v="746.74"/>
    <n v="2"/>
    <n v="2"/>
    <n v="0"/>
    <x v="0"/>
    <x v="4"/>
  </r>
  <r>
    <n v="1000102221"/>
    <s v="SKF BEARINGS - MB 10"/>
    <x v="3"/>
    <s v="Universal Bearings Company"/>
    <n v="745.07242031295198"/>
    <n v="303"/>
    <n v="303"/>
    <n v="0"/>
    <x v="0"/>
    <x v="4"/>
  </r>
  <r>
    <n v="2500005888"/>
    <s v="AIR FILTER ELEMENT E11-15 PN B005700770004"/>
    <x v="0"/>
    <s v="ELGI Gulf FZE"/>
    <n v="743.32822222222205"/>
    <n v="8"/>
    <n v="8"/>
    <n v="0"/>
    <x v="0"/>
    <x v="0"/>
  </r>
  <r>
    <n v="1000021123"/>
    <s v="SKF BEARING - NU 315 ECJ/C3"/>
    <x v="3"/>
    <s v="SKF Eurotrade AB"/>
    <n v="742.72"/>
    <n v="2"/>
    <n v="2"/>
    <n v="0"/>
    <x v="0"/>
    <x v="4"/>
  </r>
  <r>
    <n v="1000020183"/>
    <s v="SKF BEARING - 32303 J2"/>
    <x v="3"/>
    <s v="SKF Eurotrade AB"/>
    <n v="742"/>
    <n v="20"/>
    <n v="20"/>
    <n v="0"/>
    <x v="0"/>
    <x v="4"/>
  </r>
  <r>
    <n v="1000102208"/>
    <s v="SKF BEARINGS - FRB 12.5/170"/>
    <x v="3"/>
    <s v="SKF Eurotrade AB"/>
    <n v="741.38"/>
    <n v="25"/>
    <n v="25"/>
    <n v="0"/>
    <x v="0"/>
    <x v="4"/>
  </r>
  <r>
    <n v="1000010216"/>
    <s v="P+F, Inductive Sensor  Model No. NJ2-V3-N-V5"/>
    <x v="3"/>
    <s v="Pepperl+Fuchs (ME) FZE"/>
    <n v="740.88"/>
    <n v="7"/>
    <n v="7"/>
    <n v="0"/>
    <x v="0"/>
    <x v="5"/>
  </r>
  <r>
    <n v="1000020944"/>
    <s v="SKF BEARING - NJ 2315 ECP/C3"/>
    <x v="3"/>
    <s v="SKF Eurotrade AB"/>
    <n v="738.52499999999998"/>
    <n v="1"/>
    <n v="1"/>
    <n v="0"/>
    <x v="0"/>
    <x v="4"/>
  </r>
  <r>
    <n v="1000020217"/>
    <s v="SKF BEARING - 4215 ATN9"/>
    <x v="3"/>
    <s v="SKF Eurotrade AB"/>
    <n v="737.4"/>
    <n v="3"/>
    <n v="3"/>
    <n v="0"/>
    <x v="0"/>
    <x v="4"/>
  </r>
  <r>
    <n v="1000020184"/>
    <s v="SKF BEARING - 32304 J2/Q"/>
    <x v="3"/>
    <s v="SKF Eurotrade AB"/>
    <n v="737"/>
    <n v="20"/>
    <n v="20"/>
    <n v="0"/>
    <x v="0"/>
    <x v="4"/>
  </r>
  <r>
    <n v="1000020256"/>
    <s v="SKF BEARING - 6006-2Z/C3"/>
    <x v="3"/>
    <s v="SKF Eurotrade AB"/>
    <n v="736.5"/>
    <n v="75"/>
    <n v="75"/>
    <n v="0"/>
    <x v="0"/>
    <x v="4"/>
  </r>
  <r>
    <n v="1000103145"/>
    <s v="SKF Products; 2310"/>
    <x v="3"/>
    <s v="SKF Eurotrade AB"/>
    <n v="736.31399999999996"/>
    <n v="3"/>
    <n v="3"/>
    <n v="0"/>
    <x v="0"/>
    <x v="4"/>
  </r>
  <r>
    <n v="1000020524"/>
    <s v="SKF BEARING - 6216"/>
    <x v="3"/>
    <s v="SKF Eurotrade AB"/>
    <n v="736.26"/>
    <n v="6"/>
    <n v="6"/>
    <n v="0"/>
    <x v="0"/>
    <x v="4"/>
  </r>
  <r>
    <n v="2500008201"/>
    <s v="VALVE, PR RELIEF PART NO B012805340058"/>
    <x v="6"/>
    <s v="ELGI Gulf FZE"/>
    <n v="734.25"/>
    <n v="1"/>
    <n v="1"/>
    <n v="0"/>
    <x v="0"/>
    <x v="0"/>
  </r>
  <r>
    <n v="1000020825"/>
    <s v="SKF BEARING - 7221 BECBM"/>
    <x v="3"/>
    <s v="SKF Eurotrade AB"/>
    <n v="734.03"/>
    <n v="1"/>
    <n v="1"/>
    <n v="0"/>
    <x v="0"/>
    <x v="4"/>
  </r>
  <r>
    <n v="1000020330"/>
    <s v="SKF BEARING - 6026"/>
    <x v="3"/>
    <s v="SKF Eurotrade AB"/>
    <n v="733.8"/>
    <n v="3"/>
    <n v="3"/>
    <n v="0"/>
    <x v="0"/>
    <x v="4"/>
  </r>
  <r>
    <n v="1000107341"/>
    <s v="P&amp;F Product; R2-SP-IC4; P/N: 235826 (S/P)"/>
    <x v="3"/>
    <s v="Pepperl+Fuchs (ME) FZE"/>
    <n v="733.34107518140399"/>
    <n v="1"/>
    <n v="1"/>
    <n v="0"/>
    <x v="0"/>
    <x v="5"/>
  </r>
  <r>
    <n v="1000021228"/>
    <s v="SKF BEARING - 22216 E"/>
    <x v="3"/>
    <s v="SKF Eurotrade AB"/>
    <n v="731.49"/>
    <n v="3"/>
    <n v="3"/>
    <n v="0"/>
    <x v="0"/>
    <x v="4"/>
  </r>
  <r>
    <n v="1000020945"/>
    <s v="SKF BEARING - NJ 2316 ECP/C3"/>
    <x v="3"/>
    <s v="SKF Eurotrade AB"/>
    <n v="729.77"/>
    <n v="1"/>
    <n v="1"/>
    <n v="0"/>
    <x v="0"/>
    <x v="4"/>
  </r>
  <r>
    <n v="1000097557"/>
    <s v="P+F;Retroreflective Sensor: Model No:RL28-55-"/>
    <x v="3"/>
    <s v="Pepperl+Fuchs (ME) FZE"/>
    <n v="729"/>
    <n v="1"/>
    <n v="1"/>
    <n v="0"/>
    <x v="0"/>
    <x v="5"/>
  </r>
  <r>
    <n v="1000021253"/>
    <s v="SKF BEARING - H 322"/>
    <x v="11"/>
    <s v="SKF Eurotrade AB"/>
    <n v="728.64"/>
    <n v="4"/>
    <n v="4"/>
    <n v="0"/>
    <x v="0"/>
    <x v="4"/>
  </r>
  <r>
    <n v="1000103525"/>
    <s v="SKF Product; AH 313 G"/>
    <x v="3"/>
    <s v="SKF Eurotrade AB"/>
    <n v="728.25"/>
    <n v="5"/>
    <n v="5"/>
    <n v="0"/>
    <x v="0"/>
    <x v="4"/>
  </r>
  <r>
    <n v="2200000299"/>
    <s v="Seal Repair Kit  PN-RK01SE28A"/>
    <x v="2"/>
    <s v="Sundyne International S.A."/>
    <n v="726.63"/>
    <n v="1"/>
    <n v="1"/>
    <n v="0"/>
    <x v="0"/>
    <x v="2"/>
  </r>
  <r>
    <n v="1000103143"/>
    <s v="SKF Products; MB 25"/>
    <x v="3"/>
    <s v="SKF Eurotrade AB"/>
    <n v="726.38"/>
    <n v="27"/>
    <n v="27"/>
    <n v="0"/>
    <x v="0"/>
    <x v="4"/>
  </r>
  <r>
    <n v="1000100433"/>
    <s v="SKF Product KM 19"/>
    <x v="3"/>
    <s v="SKF Eurotrade AB"/>
    <n v="725.4"/>
    <n v="12"/>
    <n v="12"/>
    <n v="0"/>
    <x v="0"/>
    <x v="4"/>
  </r>
  <r>
    <n v="1000095711"/>
    <s v="SENSOR MFC B2C P/N C06689-B2C"/>
    <x v="7"/>
    <s v="Teledyne Analytical Instruments"/>
    <n v="723.77987173333304"/>
    <n v="1"/>
    <n v="1"/>
    <n v="0"/>
    <x v="8"/>
    <x v="6"/>
  </r>
  <r>
    <n v="1000098642"/>
    <s v="SKF BEARING -GEH 60 ES-2RS"/>
    <x v="3"/>
    <s v="SKF Eurotrade AB"/>
    <n v="723.26"/>
    <n v="3"/>
    <n v="3"/>
    <n v="0"/>
    <x v="0"/>
    <x v="4"/>
  </r>
  <r>
    <n v="1000020773"/>
    <s v="SKF BEARING - 6416/C3"/>
    <x v="3"/>
    <s v="SKF Eurotrade AB"/>
    <n v="723.15"/>
    <n v="1"/>
    <n v="1"/>
    <n v="0"/>
    <x v="0"/>
    <x v="4"/>
  </r>
  <r>
    <n v="1000103195"/>
    <s v="SKF Product; NJ 214 ECJ"/>
    <x v="3"/>
    <s v="SKF Eurotrade AB"/>
    <n v="722.74"/>
    <n v="3"/>
    <n v="3"/>
    <n v="0"/>
    <x v="0"/>
    <x v="4"/>
  </r>
  <r>
    <n v="1000098676"/>
    <s v="SKF BEARING -N 218 ECP"/>
    <x v="3"/>
    <s v="SKF Eurotrade AB"/>
    <n v="722.66"/>
    <n v="1"/>
    <n v="1"/>
    <n v="0"/>
    <x v="0"/>
    <x v="4"/>
  </r>
  <r>
    <n v="1000102854"/>
    <s v="Weidmuller Items; WQL 2 WFF35 P/N 1064900000"/>
    <x v="3"/>
    <s v="Weidmuller Middle East (FZE)"/>
    <n v="721.30499999999995"/>
    <n v="195"/>
    <n v="195"/>
    <n v="0"/>
    <x v="0"/>
    <x v="3"/>
  </r>
  <r>
    <n v="1000100365"/>
    <s v="SKF Product MB 18"/>
    <x v="3"/>
    <s v="SKF Eurotrade AB"/>
    <n v="721.00687893081704"/>
    <n v="105"/>
    <n v="105"/>
    <n v="0"/>
    <x v="0"/>
    <x v="4"/>
  </r>
  <r>
    <n v="1000021054"/>
    <s v="SKF BEARING - NU 2218 ECP"/>
    <x v="3"/>
    <s v="SKF Eurotrade AB"/>
    <n v="719.14"/>
    <n v="2"/>
    <n v="2"/>
    <n v="0"/>
    <x v="0"/>
    <x v="4"/>
  </r>
  <r>
    <n v="1000020903"/>
    <s v="SKF BEARING - NJ 215 ECJ"/>
    <x v="3"/>
    <s v="SKF Eurotrade AB"/>
    <n v="717.33"/>
    <n v="3"/>
    <n v="3"/>
    <n v="0"/>
    <x v="0"/>
    <x v="4"/>
  </r>
  <r>
    <n v="1000020521"/>
    <s v="SKF BEARING - 6215-2RS1/C3"/>
    <x v="3"/>
    <s v="SKF Eurotrade AB"/>
    <n v="716.4"/>
    <n v="8"/>
    <n v="8"/>
    <n v="0"/>
    <x v="0"/>
    <x v="4"/>
  </r>
  <r>
    <n v="1000098577"/>
    <s v="SKF BEARING -6217-2Z"/>
    <x v="3"/>
    <s v="SKF Eurotrade AB"/>
    <n v="715.66"/>
    <n v="4"/>
    <n v="4"/>
    <n v="0"/>
    <x v="0"/>
    <x v="4"/>
  </r>
  <r>
    <n v="1000098698"/>
    <s v="SKF BEARING -NU 212 ECM/C4"/>
    <x v="3"/>
    <s v="SKF Eurotrade AB"/>
    <n v="713.11"/>
    <n v="2"/>
    <n v="2"/>
    <n v="0"/>
    <x v="0"/>
    <x v="4"/>
  </r>
  <r>
    <n v="1000103753"/>
    <s v="Weidmuller Product;TRS 230VUC  2CO;PN:1123540"/>
    <x v="3"/>
    <s v="Weidmuller Middle East (FZE)"/>
    <n v="712.85828571428499"/>
    <n v="20"/>
    <n v="20"/>
    <n v="0"/>
    <x v="0"/>
    <x v="3"/>
  </r>
  <r>
    <n v="1000101151"/>
    <s v="Weidmuller; Waste Pad; Model No: PJ ADV TNAW;"/>
    <x v="3"/>
    <s v="Weidmuller Saudi Arabia Factory LLC"/>
    <n v="712.5"/>
    <n v="2"/>
    <n v="2"/>
    <n v="0"/>
    <x v="0"/>
    <x v="3"/>
  </r>
  <r>
    <n v="1000021282"/>
    <s v="SKF BEARING - 22314 E"/>
    <x v="3"/>
    <s v="SKF Eurotrade AB"/>
    <n v="709.24"/>
    <n v="2"/>
    <n v="2"/>
    <n v="0"/>
    <x v="0"/>
    <x v="4"/>
  </r>
  <r>
    <n v="1000101103"/>
    <s v="Weidmuller; Memory Card IPC II; Model No: PJ "/>
    <x v="3"/>
    <s v="Weidmuller Saudi Arabia Factory LLC"/>
    <n v="709.05"/>
    <n v="1"/>
    <n v="1"/>
    <n v="0"/>
    <x v="0"/>
    <x v="3"/>
  </r>
  <r>
    <n v="1000099196"/>
    <s v="P+F Cable Connector Model:V1-W-N-25M-PUR    P"/>
    <x v="3"/>
    <s v="Pepperl+Fuchs (ME) FZE"/>
    <n v="706.12964705882302"/>
    <n v="4"/>
    <n v="4"/>
    <n v="0"/>
    <x v="0"/>
    <x v="5"/>
  </r>
  <r>
    <n v="2500008261"/>
    <s v="VALVE ASSY, PR REG, 1/4&quot;NPT PN 220317590"/>
    <x v="0"/>
    <s v="ELGI Gulf FZE"/>
    <n v="705.37666666666598"/>
    <n v="1"/>
    <n v="1"/>
    <n v="0"/>
    <x v="0"/>
    <x v="0"/>
  </r>
  <r>
    <n v="1000020210"/>
    <s v="SKF BEARING - 33215/Q"/>
    <x v="3"/>
    <s v="SKF Eurotrade AB"/>
    <n v="704"/>
    <n v="4"/>
    <n v="4"/>
    <n v="0"/>
    <x v="0"/>
    <x v="4"/>
  </r>
  <r>
    <n v="1000102642"/>
    <s v="Weidmuller; WDK 2.5 1D A.2; P/N 1023300000"/>
    <x v="3"/>
    <s v="Weidmuller Middle East (FZE)"/>
    <n v="701.94109090909001"/>
    <n v="90"/>
    <n v="90"/>
    <n v="0"/>
    <x v="0"/>
    <x v="3"/>
  </r>
  <r>
    <n v="1000101584"/>
    <s v="Wedimueller:PN:8564290000;  FBCON DP CG TERM "/>
    <x v="3"/>
    <s v="Weidmuller Middle East (FZE)"/>
    <n v="701.36666666666599"/>
    <n v="2"/>
    <n v="2"/>
    <n v="0"/>
    <x v="0"/>
    <x v="3"/>
  </r>
  <r>
    <n v="1000020571"/>
    <s v="SKF BEARING - 62212-2RS1"/>
    <x v="3"/>
    <s v="SKF Eurotrade AB"/>
    <n v="701.35"/>
    <n v="5"/>
    <n v="5"/>
    <n v="0"/>
    <x v="0"/>
    <x v="4"/>
  </r>
  <r>
    <n v="1000108815"/>
    <s v="Weidmuller Product; ASK 1/EN/KOHUE; P/N: 4563"/>
    <x v="3"/>
    <s v="Weidmuller Middle East (FZE)"/>
    <n v="701.26800000000003"/>
    <n v="60"/>
    <n v="60"/>
    <n v="0"/>
    <x v="0"/>
    <x v="3"/>
  </r>
  <r>
    <n v="1000020860"/>
    <s v="SKF BEARING - 7313 BEGAM"/>
    <x v="3"/>
    <s v="SKF Eurotrade AB"/>
    <n v="700.80373597998801"/>
    <n v="2"/>
    <n v="2"/>
    <n v="0"/>
    <x v="0"/>
    <x v="4"/>
  </r>
  <r>
    <n v="1000020673"/>
    <s v="SKF BEARING - 6309-2Z"/>
    <x v="3"/>
    <s v="SKF Eurotrade AB"/>
    <n v="699"/>
    <n v="16"/>
    <n v="16"/>
    <n v="0"/>
    <x v="0"/>
    <x v="4"/>
  </r>
  <r>
    <n v="2500008569"/>
    <s v="MATL : Summits Micro filter with Inbuilt drai"/>
    <x v="0"/>
    <s v="Summits Hygronics Private Limited"/>
    <n v="697.5"/>
    <n v="2"/>
    <n v="2"/>
    <n v="0"/>
    <x v="0"/>
    <x v="0"/>
  </r>
  <r>
    <n v="1000021477"/>
    <s v="SKF BEARING - N 318 ECP"/>
    <x v="3"/>
    <s v="SKF Eurotrade AB"/>
    <n v="696.44"/>
    <n v="1"/>
    <n v="1"/>
    <n v="0"/>
    <x v="0"/>
    <x v="4"/>
  </r>
  <r>
    <n v="1000021173"/>
    <s v="SKF BEARING - H 307 E"/>
    <x v="3"/>
    <s v="SKF Eurotrade AB"/>
    <n v="695.6"/>
    <n v="10"/>
    <n v="10"/>
    <n v="0"/>
    <x v="0"/>
    <x v="4"/>
  </r>
  <r>
    <n v="1000093600"/>
    <s v="Weidmuller; TERMINAL BLOCK; P/N: 1010300000; "/>
    <x v="3"/>
    <s v="Weidmuller Middle East (FZE)"/>
    <n v="693.30102172593297"/>
    <n v="177"/>
    <n v="177"/>
    <n v="0"/>
    <x v="0"/>
    <x v="3"/>
  </r>
  <r>
    <n v="1000098675"/>
    <s v="SKF BEARING -N 13"/>
    <x v="3"/>
    <s v="SKF Eurotrade AB"/>
    <n v="693"/>
    <n v="20"/>
    <n v="20"/>
    <n v="0"/>
    <x v="0"/>
    <x v="4"/>
  </r>
  <r>
    <n v="1000020930"/>
    <s v="SKF BEARING - NJ 2308 ECJ/C3"/>
    <x v="3"/>
    <s v="SKF Eurotrade AB"/>
    <n v="692.16"/>
    <n v="4"/>
    <n v="4"/>
    <n v="0"/>
    <x v="0"/>
    <x v="4"/>
  </r>
  <r>
    <n v="2500008253"/>
    <s v="3815929_SAFETY CATRIDGE PN B013603500582"/>
    <x v="0"/>
    <s v="ELGI Gulf FZE"/>
    <n v="691.88273809523798"/>
    <n v="5"/>
    <n v="5"/>
    <n v="0"/>
    <x v="0"/>
    <x v="0"/>
  </r>
  <r>
    <n v="1000098764"/>
    <s v="SKF BEARING -MB 12"/>
    <x v="3"/>
    <s v="SKF Eurotrade AB"/>
    <n v="690.50074326282197"/>
    <n v="220"/>
    <n v="220"/>
    <n v="0"/>
    <x v="0"/>
    <x v="4"/>
  </r>
  <r>
    <n v="1000010232"/>
    <s v="P+F, Inductive Sensor  Model No. NCN4-12GM35-"/>
    <x v="3"/>
    <s v="Pepperl+Fuchs (ME) FZE"/>
    <n v="689.77499999999998"/>
    <n v="5"/>
    <n v="5"/>
    <n v="0"/>
    <x v="0"/>
    <x v="5"/>
  </r>
  <r>
    <n v="1000020803"/>
    <s v="SKF BEARING - 7210 BECBM"/>
    <x v="3"/>
    <s v="SKF Eurotrade AB"/>
    <n v="689.73599999999999"/>
    <n v="4"/>
    <n v="4"/>
    <n v="0"/>
    <x v="0"/>
    <x v="4"/>
  </r>
  <r>
    <n v="1000020503"/>
    <s v="SKF BEARING - 6212-Z/C3"/>
    <x v="3"/>
    <s v="SKF Eurotrade AB"/>
    <n v="689.25"/>
    <n v="10"/>
    <n v="10"/>
    <n v="0"/>
    <x v="0"/>
    <x v="4"/>
  </r>
  <r>
    <n v="1000020830"/>
    <s v="SKF BEARING - 7304 BECBM"/>
    <x v="3"/>
    <s v="SKF Eurotrade AB"/>
    <n v="688.9"/>
    <n v="10"/>
    <n v="10"/>
    <n v="0"/>
    <x v="0"/>
    <x v="4"/>
  </r>
  <r>
    <n v="1000020511"/>
    <s v="SKF BEARING - 6214"/>
    <x v="3"/>
    <s v="SKF Eurotrade AB"/>
    <n v="688.34857142857095"/>
    <n v="8"/>
    <n v="8"/>
    <n v="0"/>
    <x v="0"/>
    <x v="4"/>
  </r>
  <r>
    <n v="1000098934"/>
    <s v="Pepperl+Fuchs Inductive Sensor (NJ15-30GM-N) "/>
    <x v="3"/>
    <s v="Pepperl+Fuchs (ME) FZE"/>
    <n v="686.01726666666605"/>
    <n v="3"/>
    <n v="3"/>
    <n v="0"/>
    <x v="0"/>
    <x v="5"/>
  </r>
  <r>
    <n v="1000020552"/>
    <s v="SKF BEARING - 6220-2RS1/C3"/>
    <x v="3"/>
    <s v="SKF Eurotrade AB"/>
    <n v="685.48"/>
    <n v="2"/>
    <n v="2"/>
    <n v="0"/>
    <x v="0"/>
    <x v="4"/>
  </r>
  <r>
    <n v="1000104281"/>
    <s v="Weidmuller Product; MCZ R 48...110VDC 1CO TRA"/>
    <x v="3"/>
    <s v="Weidmuller Middle East (FZE)"/>
    <n v="684.72"/>
    <n v="9"/>
    <n v="9"/>
    <n v="0"/>
    <x v="0"/>
    <x v="3"/>
  </r>
  <r>
    <n v="1000020973"/>
    <s v="SKF BEARING - NU 1008 ML"/>
    <x v="3"/>
    <s v="SKF Eurotrade AB"/>
    <n v="683.72"/>
    <n v="4"/>
    <n v="4"/>
    <n v="0"/>
    <x v="0"/>
    <x v="4"/>
  </r>
  <r>
    <n v="1000020606"/>
    <s v="SKF BEARING - 63005-2RS1"/>
    <x v="3"/>
    <s v="SKF Eurotrade AB"/>
    <n v="683"/>
    <n v="25"/>
    <n v="25"/>
    <n v="0"/>
    <x v="0"/>
    <x v="4"/>
  </r>
  <r>
    <n v="1000020508"/>
    <s v="SKF BEARING - 6213-2RS1/C3"/>
    <x v="3"/>
    <s v="SKF Eurotrade AB"/>
    <n v="682.9"/>
    <n v="10"/>
    <n v="10"/>
    <n v="0"/>
    <x v="0"/>
    <x v="4"/>
  </r>
  <r>
    <n v="1000021021"/>
    <s v="SKF BEARING - NU 218 ECJ"/>
    <x v="3"/>
    <s v="SKF Eurotrade AB"/>
    <n v="681.68"/>
    <n v="2"/>
    <n v="2"/>
    <n v="0"/>
    <x v="0"/>
    <x v="4"/>
  </r>
  <r>
    <n v="1000021255"/>
    <s v="SKF BEARING - 22224 E"/>
    <x v="3"/>
    <s v="SKF Eurotrade AB"/>
    <n v="678.50199999999995"/>
    <n v="1"/>
    <n v="1"/>
    <n v="0"/>
    <x v="0"/>
    <x v="4"/>
  </r>
  <r>
    <n v="1000100334"/>
    <s v="SKF Product QJ 309 MA"/>
    <x v="3"/>
    <s v="SKF Eurotrade AB"/>
    <n v="676.35"/>
    <n v="3"/>
    <n v="3"/>
    <n v="0"/>
    <x v="0"/>
    <x v="4"/>
  </r>
  <r>
    <n v="1000103523"/>
    <s v="SKF Product; GE 35 TXE-2LS"/>
    <x v="3"/>
    <s v="SKF Eurotrade AB"/>
    <n v="674.44"/>
    <n v="5"/>
    <n v="5"/>
    <n v="0"/>
    <x v="0"/>
    <x v="4"/>
  </r>
  <r>
    <n v="1000095356"/>
    <s v="SKF BEARING - 7312 BECBP"/>
    <x v="3"/>
    <s v="SKF Eurotrade AB"/>
    <n v="673.91799934873995"/>
    <n v="3"/>
    <n v="3"/>
    <n v="0"/>
    <x v="0"/>
    <x v="4"/>
  </r>
  <r>
    <n v="1000099633"/>
    <s v="SKF BEARING -C 2216/C3"/>
    <x v="3"/>
    <s v="SKF Eurotrade AB"/>
    <n v="672.3"/>
    <n v="1"/>
    <n v="1"/>
    <n v="0"/>
    <x v="0"/>
    <x v="4"/>
  </r>
  <r>
    <n v="1000020277"/>
    <s v="SKF BEARING - 6010-2Z/C3"/>
    <x v="3"/>
    <s v="SKF Eurotrade AB"/>
    <n v="671.7"/>
    <n v="30"/>
    <n v="30"/>
    <n v="0"/>
    <x v="0"/>
    <x v="4"/>
  </r>
  <r>
    <n v="1000098717"/>
    <s v="SKF BEARING -NUP 2212 ECJ"/>
    <x v="3"/>
    <s v="SKF Eurotrade AB"/>
    <n v="671.24"/>
    <n v="2"/>
    <n v="2"/>
    <n v="0"/>
    <x v="0"/>
    <x v="4"/>
  </r>
  <r>
    <n v="1000098730"/>
    <s v="SKF BEARING -SY 50 FM"/>
    <x v="3"/>
    <s v="SKF Eurotrade AB"/>
    <n v="671.23800000000006"/>
    <n v="6"/>
    <n v="6"/>
    <n v="0"/>
    <x v="0"/>
    <x v="4"/>
  </r>
  <r>
    <n v="1000020051"/>
    <s v="SKF BEARING - 6211-2RS1"/>
    <x v="3"/>
    <s v="SKF Eurotrade AB"/>
    <n v="670.94"/>
    <n v="15"/>
    <n v="15"/>
    <n v="0"/>
    <x v="0"/>
    <x v="4"/>
  </r>
  <r>
    <n v="1000010079"/>
    <s v="Pepperl+Fuchs Inductive Sensor Model:(NCB1,5-"/>
    <x v="3"/>
    <s v="Pepperl+Fuchs (ME) FZE"/>
    <n v="669.19964285714195"/>
    <n v="6"/>
    <n v="6"/>
    <n v="0"/>
    <x v="0"/>
    <x v="5"/>
  </r>
  <r>
    <n v="1000098671"/>
    <s v="SKF BEARING -KMT 12"/>
    <x v="3"/>
    <s v="SKF Eurotrade AB"/>
    <n v="667.6"/>
    <n v="5"/>
    <n v="5"/>
    <n v="0"/>
    <x v="0"/>
    <x v="4"/>
  </r>
  <r>
    <n v="1000020298"/>
    <s v="SKF BEARING - 6015-2RS1/C3"/>
    <x v="3"/>
    <s v="SKF Eurotrade AB"/>
    <n v="666.7"/>
    <n v="10"/>
    <n v="10"/>
    <n v="0"/>
    <x v="0"/>
    <x v="4"/>
  </r>
  <r>
    <n v="1000100393"/>
    <s v="SKF Product 6316-2Z"/>
    <x v="3"/>
    <s v="SKF Eurotrade AB"/>
    <n v="666.45"/>
    <n v="3"/>
    <n v="3"/>
    <n v="0"/>
    <x v="0"/>
    <x v="4"/>
  </r>
  <r>
    <n v="1000021183"/>
    <s v="SKF BEARING - H 310"/>
    <x v="3"/>
    <s v="SKF Eurotrade AB"/>
    <n v="666.17049999999995"/>
    <n v="17"/>
    <n v="17"/>
    <n v="0"/>
    <x v="0"/>
    <x v="4"/>
  </r>
  <r>
    <n v="2500008431"/>
    <s v="Rubber Elbow - F6 WC    P N 15402882"/>
    <x v="0"/>
    <s v="ELGI Gulf FZE"/>
    <n v="665.63"/>
    <n v="5"/>
    <n v="5"/>
    <n v="0"/>
    <x v="0"/>
    <x v="0"/>
  </r>
  <r>
    <n v="1000100159"/>
    <s v="Weidmuller P/N 1020160000   Model No. WDU 4 G"/>
    <x v="3"/>
    <s v="Weidmuller Middle East (FZE)"/>
    <n v="665.03292754627103"/>
    <n v="317"/>
    <n v="317"/>
    <n v="0"/>
    <x v="0"/>
    <x v="3"/>
  </r>
  <r>
    <n v="1000020895"/>
    <s v="SKF BEARING - NJ 211 ECML/C3"/>
    <x v="3"/>
    <s v="SKF Eurotrade AB"/>
    <n v="662.74"/>
    <n v="2"/>
    <n v="2"/>
    <n v="0"/>
    <x v="0"/>
    <x v="4"/>
  </r>
  <r>
    <n v="2500008398"/>
    <s v="PF Element 0048 PN 12400008"/>
    <x v="0"/>
    <s v="ELGI Gulf FZE"/>
    <n v="660.88"/>
    <n v="1"/>
    <n v="1"/>
    <n v="0"/>
    <x v="0"/>
    <x v="0"/>
  </r>
  <r>
    <n v="1000021202"/>
    <s v="SKF BEARING - 22208 EK/C3"/>
    <x v="3"/>
    <s v="SKF Eurotrade AB"/>
    <n v="660.22199999999998"/>
    <n v="6"/>
    <n v="6"/>
    <n v="0"/>
    <x v="0"/>
    <x v="4"/>
  </r>
  <r>
    <n v="1000093785"/>
    <s v="SKF BEARING; LOCK WASHER : Model No. MB 6"/>
    <x v="3"/>
    <s v="Universal Bearings Company"/>
    <n v="657.98934402332304"/>
    <n v="379"/>
    <n v="379"/>
    <n v="0"/>
    <x v="0"/>
    <x v="4"/>
  </r>
  <r>
    <n v="1000020049"/>
    <s v="SKF BEARING - 6311-2RS1"/>
    <x v="3"/>
    <s v="SKF Eurotrade AB"/>
    <n v="657.79714285714203"/>
    <n v="8"/>
    <n v="8"/>
    <n v="0"/>
    <x v="0"/>
    <x v="4"/>
  </r>
  <r>
    <n v="1000020768"/>
    <s v="SKF BEARING - 6410/C3"/>
    <x v="3"/>
    <s v="SKF Eurotrade AB"/>
    <n v="655.44"/>
    <n v="4"/>
    <n v="4"/>
    <n v="0"/>
    <x v="0"/>
    <x v="4"/>
  </r>
  <r>
    <n v="1000021219"/>
    <s v="SKF BEARING - 22214 E/C3"/>
    <x v="3"/>
    <s v="SKF Eurotrade AB"/>
    <n v="655.38"/>
    <n v="3"/>
    <n v="3"/>
    <n v="0"/>
    <x v="0"/>
    <x v="4"/>
  </r>
  <r>
    <n v="1000021098"/>
    <s v="SKF BEARING - NU 310 ECM/C3"/>
    <x v="3"/>
    <s v="SKF Eurotrade AB"/>
    <n v="655.22"/>
    <n v="2"/>
    <n v="2"/>
    <n v="0"/>
    <x v="0"/>
    <x v="4"/>
  </r>
  <r>
    <n v="1000103013"/>
    <s v="SKF PRODUCT; PHG SPA2732"/>
    <x v="3"/>
    <s v="SKF Eurotrade AB"/>
    <n v="654.51391304347806"/>
    <n v="30"/>
    <n v="30"/>
    <n v="0"/>
    <x v="0"/>
    <x v="4"/>
  </r>
  <r>
    <n v="1000098850"/>
    <s v="P+F;Switch Amplifier:KFA6-SR2-EX2.W; PN#10337"/>
    <x v="3"/>
    <s v="Ralph Messring GmbH"/>
    <n v="653.51"/>
    <n v="1"/>
    <n v="1"/>
    <n v="0"/>
    <x v="0"/>
    <x v="5"/>
  </r>
  <r>
    <n v="1000096875"/>
    <s v="P+F; Inductive sensor:NBB3-V3-Z4-3G-3D;  PN: "/>
    <x v="3"/>
    <s v="Pepperl+Fuchs (ME) FZE"/>
    <n v="653.25599999999997"/>
    <n v="4"/>
    <n v="4"/>
    <n v="0"/>
    <x v="0"/>
    <x v="5"/>
  </r>
  <r>
    <n v="1000020542"/>
    <s v="SKF BEARING - 6219-2RS1/C3"/>
    <x v="3"/>
    <s v="SKF Eurotrade AB"/>
    <n v="652.54"/>
    <n v="2"/>
    <n v="2"/>
    <n v="0"/>
    <x v="0"/>
    <x v="4"/>
  </r>
  <r>
    <n v="1000020556"/>
    <s v="SKF BEARING - 62204-2RS1/C3"/>
    <x v="3"/>
    <s v="SKF Eurotrade AB"/>
    <n v="650.25"/>
    <n v="25"/>
    <n v="25"/>
    <n v="0"/>
    <x v="0"/>
    <x v="4"/>
  </r>
  <r>
    <n v="1000020487"/>
    <s v="SKF BEARING - 6210-Z/C3"/>
    <x v="3"/>
    <s v="SKF Eurotrade AB"/>
    <n v="650.04432142857104"/>
    <n v="12"/>
    <n v="12"/>
    <n v="0"/>
    <x v="0"/>
    <x v="4"/>
  </r>
  <r>
    <n v="1000102922"/>
    <s v="Weidmuller Items; BK 3/E P/N 7906060000"/>
    <x v="3"/>
    <s v="Weidmuller Middle East (FZE)"/>
    <n v="649.28555066533295"/>
    <n v="92"/>
    <n v="92"/>
    <n v="0"/>
    <x v="0"/>
    <x v="3"/>
  </r>
  <r>
    <n v="1000020611"/>
    <s v="SKF BEARING - 6301-2RSH/C3"/>
    <x v="3"/>
    <s v="SKF Eurotrade AB"/>
    <n v="648.23"/>
    <n v="83"/>
    <n v="83"/>
    <n v="0"/>
    <x v="0"/>
    <x v="4"/>
  </r>
  <r>
    <n v="1000096756"/>
    <s v="SKF Bearing - 6213-RS1/C3"/>
    <x v="3"/>
    <s v="SKF Eurotrade AB"/>
    <n v="646.63333333333298"/>
    <n v="5"/>
    <n v="5"/>
    <n v="0"/>
    <x v="0"/>
    <x v="4"/>
  </r>
  <r>
    <n v="1000020848"/>
    <s v="SKF BEARING - 7311 BECBJ"/>
    <x v="3"/>
    <s v="SKF Eurotrade AB"/>
    <n v="645.72903944551399"/>
    <n v="3"/>
    <n v="3"/>
    <n v="0"/>
    <x v="0"/>
    <x v="4"/>
  </r>
  <r>
    <n v="1000010127"/>
    <s v="Pepperl+Fuchs Ultrasonic Sensor (UB800-F12P-E"/>
    <x v="3"/>
    <s v="Pepperl+Fuchs (ME) FZE"/>
    <n v="644.76"/>
    <n v="1"/>
    <n v="1"/>
    <n v="0"/>
    <x v="0"/>
    <x v="5"/>
  </r>
  <r>
    <n v="1000021217"/>
    <s v="SKF BEARING - 22213 EK"/>
    <x v="3"/>
    <s v="SKF Eurotrade AB"/>
    <n v="644.73749999999995"/>
    <n v="3"/>
    <n v="3"/>
    <n v="0"/>
    <x v="0"/>
    <x v="4"/>
  </r>
  <r>
    <n v="1000020107"/>
    <s v="SKF BEARING - 3310 A/C3"/>
    <x v="3"/>
    <s v="Universal Bearings Company"/>
    <n v="642.97533333333297"/>
    <n v="2"/>
    <n v="2"/>
    <n v="0"/>
    <x v="0"/>
    <x v="4"/>
  </r>
  <r>
    <n v="2500008223"/>
    <s v="MPV Kit- PN B009301070014"/>
    <x v="0"/>
    <s v="ELGI Gulf FZE"/>
    <n v="641.63150059999998"/>
    <n v="4"/>
    <n v="4"/>
    <n v="0"/>
    <x v="0"/>
    <x v="0"/>
  </r>
  <r>
    <n v="1000097831"/>
    <s v="Weidmuller; P/N:1123540000; Model No.TRS 230V"/>
    <x v="3"/>
    <s v="Weidmuller Middle East (FZE)"/>
    <n v="639.96799999999996"/>
    <n v="30"/>
    <n v="30"/>
    <n v="0"/>
    <x v="0"/>
    <x v="3"/>
  </r>
  <r>
    <n v="1000020637"/>
    <s v="SKF BEARING - 6306-2RS1"/>
    <x v="3"/>
    <s v="SKF Eurotrade AB"/>
    <n v="639.09510518933996"/>
    <n v="32"/>
    <n v="22"/>
    <n v="10"/>
    <x v="3"/>
    <x v="4"/>
  </r>
  <r>
    <n v="1000020587"/>
    <s v="SKF BEARING - 62309-2RS1"/>
    <x v="3"/>
    <s v="SKF Eurotrade AB"/>
    <n v="637.65"/>
    <n v="5"/>
    <n v="5"/>
    <n v="0"/>
    <x v="0"/>
    <x v="4"/>
  </r>
  <r>
    <n v="1000020967"/>
    <s v="SKF BEARING - NJ 316 ECJ"/>
    <x v="3"/>
    <s v="SKF Eurotrade AB"/>
    <n v="633.85"/>
    <n v="1"/>
    <n v="1"/>
    <n v="0"/>
    <x v="0"/>
    <x v="4"/>
  </r>
  <r>
    <n v="1000021167"/>
    <s v="SKF BEARING - 23220 CC/W33"/>
    <x v="3"/>
    <s v="SKF Eurotrade AB"/>
    <n v="630.42999999999995"/>
    <n v="1"/>
    <n v="1"/>
    <n v="0"/>
    <x v="0"/>
    <x v="4"/>
  </r>
  <r>
    <n v="1000020933"/>
    <s v="SKF BEARING - NJ 2309 ECP/C3"/>
    <x v="3"/>
    <s v="SKF Eurotrade AB"/>
    <n v="630.24"/>
    <n v="4"/>
    <n v="4"/>
    <n v="0"/>
    <x v="0"/>
    <x v="4"/>
  </r>
  <r>
    <n v="1000098545"/>
    <s v="SKF BEARING-6022-Z"/>
    <x v="3"/>
    <s v="SKF Eurotrade AB"/>
    <n v="625.16999999999996"/>
    <n v="2"/>
    <n v="2"/>
    <n v="0"/>
    <x v="0"/>
    <x v="4"/>
  </r>
  <r>
    <n v="1000020759"/>
    <s v="SKF BEARING - 6403-2RS1"/>
    <x v="3"/>
    <s v="SKF Eurotrade AB"/>
    <n v="624.79999999999995"/>
    <n v="10"/>
    <n v="10"/>
    <n v="0"/>
    <x v="0"/>
    <x v="4"/>
  </r>
  <r>
    <n v="1000095965"/>
    <s v="P+F inductive positioning system,Part No:3151"/>
    <x v="3"/>
    <s v="Pepperl+Fuchs (ME) FZE"/>
    <n v="624.37666666666598"/>
    <n v="1"/>
    <n v="1"/>
    <n v="0"/>
    <x v="0"/>
    <x v="5"/>
  </r>
  <r>
    <n v="1000100426"/>
    <s v="SKF Product 6315-2Z"/>
    <x v="3"/>
    <s v="SKF Eurotrade AB"/>
    <n v="621.67499999999995"/>
    <n v="3"/>
    <n v="3"/>
    <n v="0"/>
    <x v="0"/>
    <x v="4"/>
  </r>
  <r>
    <n v="1000021043"/>
    <s v="SKF BEARING - NU 2213 ECJ"/>
    <x v="3"/>
    <s v="SKF Eurotrade AB"/>
    <n v="621.15"/>
    <n v="3"/>
    <n v="3"/>
    <n v="0"/>
    <x v="0"/>
    <x v="4"/>
  </r>
  <r>
    <n v="2500008376"/>
    <s v="Hose-Air Filter(SUCTION HOSE) P N B0055062600"/>
    <x v="0"/>
    <s v="ELGI Gulf FZE"/>
    <n v="620.4"/>
    <n v="2"/>
    <n v="2"/>
    <n v="0"/>
    <x v="0"/>
    <x v="0"/>
  </r>
  <r>
    <n v="1000021280"/>
    <s v="SKF BEARING - 22313 EK/C3"/>
    <x v="3"/>
    <s v="SKF Eurotrade AB"/>
    <n v="619.16"/>
    <n v="2"/>
    <n v="2"/>
    <n v="0"/>
    <x v="0"/>
    <x v="4"/>
  </r>
  <r>
    <n v="1000020034"/>
    <s v="SKF BEARING - 2305 ETN9"/>
    <x v="3"/>
    <s v="SKF Eurotrade AB"/>
    <n v="619.05999999999995"/>
    <n v="7"/>
    <n v="7"/>
    <n v="0"/>
    <x v="0"/>
    <x v="4"/>
  </r>
  <r>
    <n v="1000020339"/>
    <s v="SKF BEARING - 608-2Z"/>
    <x v="3"/>
    <s v="SKF Eurotrade AB"/>
    <n v="619.012077399899"/>
    <n v="109"/>
    <n v="109"/>
    <n v="0"/>
    <x v="0"/>
    <x v="4"/>
  </r>
  <r>
    <n v="1000106171"/>
    <s v="SKF Product; NU 210 ECJ"/>
    <x v="3"/>
    <s v="SKF Eurotrade AB"/>
    <n v="618.75"/>
    <n v="5"/>
    <n v="5"/>
    <n v="0"/>
    <x v="0"/>
    <x v="4"/>
  </r>
  <r>
    <n v="2500008064"/>
    <s v="Pre-filter PN PFE0210"/>
    <x v="0"/>
    <s v="ELGI Gulf FZE"/>
    <n v="618.30437500000005"/>
    <n v="1"/>
    <n v="1"/>
    <n v="0"/>
    <x v="0"/>
    <x v="0"/>
  </r>
  <r>
    <n v="1000020939"/>
    <s v="SKF BEARING - NJ 2312 ECML/C3"/>
    <x v="3"/>
    <s v="SKF Eurotrade AB"/>
    <n v="618.08000000000004"/>
    <n v="1"/>
    <n v="1"/>
    <n v="0"/>
    <x v="0"/>
    <x v="4"/>
  </r>
  <r>
    <n v="1000020586"/>
    <s v="SKF BEARING - 62308-2RS1"/>
    <x v="3"/>
    <s v="SKF Eurotrade AB"/>
    <n v="618"/>
    <n v="5"/>
    <n v="5"/>
    <n v="0"/>
    <x v="0"/>
    <x v="4"/>
  </r>
  <r>
    <n v="1000020292"/>
    <s v="SKF BEARING - 6013-2Z/C3"/>
    <x v="3"/>
    <s v="SKF Eurotrade AB"/>
    <n v="617.4"/>
    <n v="10"/>
    <n v="10"/>
    <n v="0"/>
    <x v="0"/>
    <x v="4"/>
  </r>
  <r>
    <n v="1000102322"/>
    <s v="P+F Capacitive Sensor; Model:CBB4-12GH70-E2; "/>
    <x v="3"/>
    <s v="Pepperl+Fuchs (ME) FZE"/>
    <n v="616.5"/>
    <n v="2"/>
    <n v="2"/>
    <n v="0"/>
    <x v="0"/>
    <x v="5"/>
  </r>
  <r>
    <n v="1000021397"/>
    <s v="SKF BEARING - 6215-2Z"/>
    <x v="3"/>
    <s v="SKF Eurotrade AB"/>
    <n v="613.57500000000005"/>
    <n v="6"/>
    <n v="6"/>
    <n v="0"/>
    <x v="0"/>
    <x v="4"/>
  </r>
  <r>
    <n v="1000099609"/>
    <s v="Weidmuller; TERMINAL BLOCK; P/N: 1826890000; "/>
    <x v="3"/>
    <s v="Weidmuller Middle East (FZE)"/>
    <n v="612.48125000000005"/>
    <n v="10"/>
    <n v="10"/>
    <n v="0"/>
    <x v="0"/>
    <x v="3"/>
  </r>
  <r>
    <n v="1000020173"/>
    <s v="SKF BEARING - 32014 X/Q"/>
    <x v="3"/>
    <s v="SKF Eurotrade AB"/>
    <n v="611.04"/>
    <n v="8"/>
    <n v="8"/>
    <n v="0"/>
    <x v="0"/>
    <x v="4"/>
  </r>
  <r>
    <n v="2500008244"/>
    <s v="FILTER ELEMENT ASSY T600 PN B015000110168"/>
    <x v="0"/>
    <s v="ELGI Equipments Limited"/>
    <n v="607.5"/>
    <n v="2"/>
    <n v="2"/>
    <n v="0"/>
    <x v="0"/>
    <x v="0"/>
  </r>
  <r>
    <n v="1000020767"/>
    <s v="SKF BEARING - 6409/C3"/>
    <x v="3"/>
    <s v="SKF Eurotrade AB"/>
    <n v="607.17283333333296"/>
    <n v="4"/>
    <n v="4"/>
    <n v="0"/>
    <x v="0"/>
    <x v="4"/>
  </r>
  <r>
    <n v="1000020698"/>
    <s v="SKF BEARING - 6312/C4"/>
    <x v="3"/>
    <s v="SKF Eurotrade AB"/>
    <n v="607.13"/>
    <n v="5"/>
    <n v="5"/>
    <n v="0"/>
    <x v="0"/>
    <x v="4"/>
  </r>
  <r>
    <n v="1000020514"/>
    <s v="SKF BEARING - 6214-2RS1/C3"/>
    <x v="3"/>
    <s v="SKF Eurotrade AB"/>
    <n v="605.44000000000005"/>
    <n v="8"/>
    <n v="8"/>
    <n v="0"/>
    <x v="0"/>
    <x v="4"/>
  </r>
  <r>
    <n v="1000020816"/>
    <s v="SKF BEARING - 7217 BECBP"/>
    <x v="3"/>
    <s v="SKF Eurotrade AB"/>
    <n v="603.76"/>
    <n v="2"/>
    <n v="2"/>
    <n v="0"/>
    <x v="0"/>
    <x v="4"/>
  </r>
  <r>
    <n v="1000020209"/>
    <s v="SKF BEARING - 33213/Q"/>
    <x v="3"/>
    <s v="SKF Eurotrade AB"/>
    <n v="603.6"/>
    <n v="4"/>
    <n v="4"/>
    <n v="0"/>
    <x v="0"/>
    <x v="4"/>
  </r>
  <r>
    <n v="1000095818"/>
    <s v="Weidmueller,Product :2589770000,Part No: CD-H"/>
    <x v="3"/>
    <s v="Weidmuller Middle East (FZE)"/>
    <n v="603.07500000000005"/>
    <n v="22"/>
    <n v="22"/>
    <n v="0"/>
    <x v="0"/>
    <x v="3"/>
  </r>
  <r>
    <n v="2900000011"/>
    <s v="5/2 Roller lever valve- G1/8 -P N 80336038"/>
    <x v="0"/>
    <s v="MESSER CUTTING SYSTEMS INDIA PRIVATE LIMITED"/>
    <n v="602.35130000000004"/>
    <n v="4"/>
    <n v="4"/>
    <n v="0"/>
    <x v="0"/>
    <x v="0"/>
  </r>
  <r>
    <n v="1000020943"/>
    <s v="SKF BEARING - NJ 2315 ECP"/>
    <x v="3"/>
    <s v="SKF Eurotrade AB"/>
    <n v="602.30999999999995"/>
    <n v="1"/>
    <n v="1"/>
    <n v="0"/>
    <x v="0"/>
    <x v="4"/>
  </r>
  <r>
    <n v="1000097023"/>
    <s v="SKF BEARING;PN:3215 A"/>
    <x v="3"/>
    <s v="SKF Eurotrade AB"/>
    <n v="602.24666666666599"/>
    <n v="2"/>
    <n v="2"/>
    <n v="0"/>
    <x v="0"/>
    <x v="4"/>
  </r>
  <r>
    <n v="1000098154"/>
    <s v="Weidmuller; Terminal Blocks &amp; Accessories;P/N"/>
    <x v="3"/>
    <s v="Weidmuller Middle East (FZE)"/>
    <n v="599.92784615384596"/>
    <n v="70"/>
    <n v="70"/>
    <n v="0"/>
    <x v="0"/>
    <x v="3"/>
  </r>
  <r>
    <n v="2500005578"/>
    <s v="PREFILTER-90-160 Kw PN B000606160001"/>
    <x v="0"/>
    <s v="ELGI Gulf FZE"/>
    <n v="599.81452742891202"/>
    <n v="12"/>
    <n v="12"/>
    <n v="0"/>
    <x v="0"/>
    <x v="0"/>
  </r>
  <r>
    <n v="1000020640"/>
    <s v="SKF BEARING - 6306-2Z/C3"/>
    <x v="3"/>
    <s v="SKF Eurotrade AB"/>
    <n v="598.5"/>
    <n v="35"/>
    <n v="35"/>
    <n v="0"/>
    <x v="2"/>
    <x v="4"/>
  </r>
  <r>
    <n v="1000020404"/>
    <s v="SKF BEARING - 6201-2RSH/C3"/>
    <x v="3"/>
    <s v="SKF Eurotrade AB"/>
    <n v="598"/>
    <n v="100"/>
    <n v="100"/>
    <n v="0"/>
    <x v="0"/>
    <x v="4"/>
  </r>
  <r>
    <n v="1000020112"/>
    <s v="SKF BEARING - 3310 A-2Z/C3MT33"/>
    <x v="3"/>
    <s v="SKF Eurotrade AB"/>
    <n v="597.05999999999995"/>
    <n v="2"/>
    <n v="2"/>
    <n v="0"/>
    <x v="0"/>
    <x v="4"/>
  </r>
  <r>
    <n v="1000020110"/>
    <s v="SKF BEARING - 3310 A-2Z"/>
    <x v="3"/>
    <s v="SKF Eurotrade AB"/>
    <n v="597.05999999999995"/>
    <n v="2"/>
    <n v="2"/>
    <n v="0"/>
    <x v="0"/>
    <x v="4"/>
  </r>
  <r>
    <n v="1000020266"/>
    <s v="SKF BEARING - 6008-2Z/C3"/>
    <x v="3"/>
    <s v="SKF Eurotrade AB"/>
    <n v="595.6"/>
    <n v="40"/>
    <n v="40"/>
    <n v="0"/>
    <x v="0"/>
    <x v="4"/>
  </r>
  <r>
    <n v="1000095918"/>
    <s v="Weidmuller; Terminal Blocks &amp; Accessories;P/N"/>
    <x v="3"/>
    <s v="Weidmuller Middle East (FZE)"/>
    <n v="593.80236027319995"/>
    <n v="30"/>
    <n v="30"/>
    <n v="0"/>
    <x v="0"/>
    <x v="3"/>
  </r>
  <r>
    <n v="1000020617"/>
    <s v="SKF BEARING - 6303-2RSH/C3"/>
    <x v="3"/>
    <s v="SKF Eurotrade AB"/>
    <n v="593.34"/>
    <n v="62"/>
    <n v="62"/>
    <n v="0"/>
    <x v="0"/>
    <x v="4"/>
  </r>
  <r>
    <n v="1000020555"/>
    <s v="SKF BEARING - 62203-2RS1/C3"/>
    <x v="3"/>
    <s v="SKF Eurotrade AB"/>
    <n v="593"/>
    <n v="25"/>
    <n v="25"/>
    <n v="0"/>
    <x v="0"/>
    <x v="4"/>
  </r>
  <r>
    <n v="1000020212"/>
    <s v="SKF BEARING - 33217/Q"/>
    <x v="3"/>
    <s v="SKF Eurotrade AB"/>
    <n v="591.44000000000005"/>
    <n v="2"/>
    <n v="2"/>
    <n v="0"/>
    <x v="0"/>
    <x v="4"/>
  </r>
  <r>
    <n v="1000103199"/>
    <s v="SKF Product; 3307 ANR"/>
    <x v="3"/>
    <s v="SKF Eurotrade AB"/>
    <n v="589.16"/>
    <n v="3"/>
    <n v="3"/>
    <n v="0"/>
    <x v="0"/>
    <x v="4"/>
  </r>
  <r>
    <n v="1000020665"/>
    <s v="SKF BEARING - 6309 M"/>
    <x v="3"/>
    <s v="SKF Eurotrade AB"/>
    <n v="587.62"/>
    <n v="2"/>
    <n v="2"/>
    <n v="0"/>
    <x v="0"/>
    <x v="4"/>
  </r>
  <r>
    <n v="2500008209"/>
    <s v="INTAKE VALVE KIT 3&quot; FOR 12S ALUM PN 10331219"/>
    <x v="0"/>
    <s v="ELGI Gulf FZE"/>
    <n v="586.25250015375002"/>
    <n v="2"/>
    <n v="2"/>
    <n v="0"/>
    <x v="0"/>
    <x v="0"/>
  </r>
  <r>
    <n v="1000098457"/>
    <s v="SKF BEARING-1222 K/C3"/>
    <x v="3"/>
    <s v="SKF Eurotrade AB"/>
    <n v="585.505"/>
    <n v="1"/>
    <n v="1"/>
    <n v="0"/>
    <x v="0"/>
    <x v="4"/>
  </r>
  <r>
    <n v="1000021019"/>
    <s v="SKF BEARING - NU 217 ECJ"/>
    <x v="3"/>
    <s v="SKF Eurotrade AB"/>
    <n v="583.96"/>
    <n v="2"/>
    <n v="2"/>
    <n v="0"/>
    <x v="0"/>
    <x v="4"/>
  </r>
  <r>
    <n v="1000021319"/>
    <s v="SKF BEARING - 2315"/>
    <x v="3"/>
    <s v="SKF Eurotrade AB"/>
    <n v="583.86"/>
    <n v="1"/>
    <n v="1"/>
    <n v="0"/>
    <x v="0"/>
    <x v="4"/>
  </r>
  <r>
    <n v="1000021405"/>
    <s v="SKF BEARING - 81216 TN"/>
    <x v="3"/>
    <s v="SKF Eurotrade AB"/>
    <n v="582.02"/>
    <n v="2"/>
    <n v="2"/>
    <n v="0"/>
    <x v="0"/>
    <x v="4"/>
  </r>
  <r>
    <n v="1000020314"/>
    <s v="SKF BEARING - 6018-2Z/C3"/>
    <x v="3"/>
    <s v="SKF Eurotrade AB"/>
    <n v="581.91999999999996"/>
    <n v="4"/>
    <n v="4"/>
    <n v="0"/>
    <x v="0"/>
    <x v="4"/>
  </r>
  <r>
    <n v="1000020959"/>
    <s v="SKF BEARING - NJ 310 ECJ/C3"/>
    <x v="3"/>
    <s v="SKF Eurotrade AB"/>
    <n v="581.64"/>
    <n v="3"/>
    <n v="3"/>
    <n v="0"/>
    <x v="0"/>
    <x v="4"/>
  </r>
  <r>
    <n v="1000020634"/>
    <s v="SKF BEARING - 6306"/>
    <x v="3"/>
    <s v="Universal Bearings Company"/>
    <n v="578.37511363636304"/>
    <n v="38"/>
    <n v="38"/>
    <n v="0"/>
    <x v="0"/>
    <x v="4"/>
  </r>
  <r>
    <n v="1000093786"/>
    <s v="SKF BEARING; LOCK WASHER : Model No. MB 9"/>
    <x v="3"/>
    <s v="SKF Eurotrade AB"/>
    <n v="574.38448879755595"/>
    <n v="277"/>
    <n v="277"/>
    <n v="0"/>
    <x v="0"/>
    <x v="4"/>
  </r>
  <r>
    <n v="1000020325"/>
    <s v="SKF BEARING - 6022-2Z/C3"/>
    <x v="3"/>
    <s v="SKF Eurotrade AB"/>
    <n v="573.34"/>
    <n v="2"/>
    <n v="2"/>
    <n v="0"/>
    <x v="0"/>
    <x v="4"/>
  </r>
  <r>
    <n v="1000093767"/>
    <s v="Weidmuller; SAK Series End Plate; P/N: 380360"/>
    <x v="3"/>
    <s v="Weidmuller Middle East (FZE)"/>
    <n v="573.21508333333304"/>
    <n v="347"/>
    <n v="347"/>
    <n v="0"/>
    <x v="0"/>
    <x v="3"/>
  </r>
  <r>
    <n v="1000021083"/>
    <s v="SKF BEARING - NU 307 ECJ"/>
    <x v="3"/>
    <s v="SKF Eurotrade AB"/>
    <n v="570.47172413793101"/>
    <n v="6"/>
    <n v="6"/>
    <n v="0"/>
    <x v="0"/>
    <x v="4"/>
  </r>
  <r>
    <n v="1000021077"/>
    <s v="SKF BEARING - NU 2315 ECP/C3"/>
    <x v="3"/>
    <s v="SKF Eurotrade AB"/>
    <n v="569.47"/>
    <n v="1"/>
    <n v="1"/>
    <n v="0"/>
    <x v="0"/>
    <x v="4"/>
  </r>
  <r>
    <n v="1000021390"/>
    <s v="SKF BEARING - MB 15"/>
    <x v="3"/>
    <s v="SKF Eurotrade AB"/>
    <n v="569.40645554171795"/>
    <n v="145"/>
    <n v="145"/>
    <n v="0"/>
    <x v="0"/>
    <x v="4"/>
  </r>
  <r>
    <n v="1000020306"/>
    <s v="SKF BEARING - 6017-2RS1/C3"/>
    <x v="3"/>
    <s v="SKF Eurotrade AB"/>
    <n v="564.12"/>
    <n v="6"/>
    <n v="6"/>
    <n v="0"/>
    <x v="0"/>
    <x v="4"/>
  </r>
  <r>
    <n v="1000095433"/>
    <s v="SKF BEARING-1209 EKTN9/C3"/>
    <x v="3"/>
    <s v="SKF Eurotrade AB"/>
    <n v="562.875"/>
    <n v="10"/>
    <n v="10"/>
    <n v="0"/>
    <x v="0"/>
    <x v="4"/>
  </r>
  <r>
    <n v="1000021320"/>
    <s v="SKF BEARING - 2315 K"/>
    <x v="3"/>
    <s v="SKF Eurotrade AB"/>
    <n v="562.53"/>
    <n v="1"/>
    <n v="1"/>
    <n v="0"/>
    <x v="0"/>
    <x v="4"/>
  </r>
  <r>
    <n v="1000021321"/>
    <s v="SKF BEARING - 2315 K/C3"/>
    <x v="3"/>
    <s v="SKF Eurotrade AB"/>
    <n v="562.53"/>
    <n v="1"/>
    <n v="1"/>
    <n v="0"/>
    <x v="0"/>
    <x v="4"/>
  </r>
  <r>
    <n v="1000103194"/>
    <s v="SKF Product; 3305 A-2RS1TN9/MT33"/>
    <x v="3"/>
    <s v="SKF Eurotrade AB"/>
    <n v="561.75"/>
    <n v="5"/>
    <n v="5"/>
    <n v="0"/>
    <x v="0"/>
    <x v="4"/>
  </r>
  <r>
    <n v="1000021072"/>
    <s v="SKF BEARING - NU 2312 ECP/C3"/>
    <x v="3"/>
    <s v="SKF Eurotrade AB"/>
    <n v="559.96"/>
    <n v="2"/>
    <n v="2"/>
    <n v="0"/>
    <x v="0"/>
    <x v="4"/>
  </r>
  <r>
    <n v="1000021089"/>
    <s v="SKF BEARING - NU 308 ECM"/>
    <x v="3"/>
    <s v="SKF Eurotrade AB"/>
    <n v="559.54"/>
    <n v="2"/>
    <n v="2"/>
    <n v="0"/>
    <x v="0"/>
    <x v="4"/>
  </r>
  <r>
    <n v="1000020868"/>
    <s v="SKF BEARING - 7316 BECBJ"/>
    <x v="3"/>
    <s v="SKF Eurotrade AB"/>
    <n v="558.73"/>
    <n v="1"/>
    <n v="1"/>
    <n v="0"/>
    <x v="0"/>
    <x v="4"/>
  </r>
  <r>
    <n v="1000101776"/>
    <s v="P+F, Inductive Sensor; Model No: NCB15-30GM40"/>
    <x v="3"/>
    <s v="Pepperl+Fuchs (ME) FZE"/>
    <n v="558.28"/>
    <n v="2"/>
    <n v="2"/>
    <n v="0"/>
    <x v="0"/>
    <x v="5"/>
  </r>
  <r>
    <n v="1000020416"/>
    <s v="SKF BEARING - 6203-2Z"/>
    <x v="3"/>
    <s v="Universal Bearings Company"/>
    <n v="557.20945945945903"/>
    <n v="85"/>
    <n v="48"/>
    <n v="37"/>
    <x v="2"/>
    <x v="4"/>
  </r>
  <r>
    <n v="1000020197"/>
    <s v="SKF BEARING - 33115/Q"/>
    <x v="3"/>
    <s v="SKF Eurotrade AB"/>
    <n v="556.62"/>
    <n v="3"/>
    <n v="3"/>
    <n v="0"/>
    <x v="0"/>
    <x v="4"/>
  </r>
  <r>
    <n v="1000106808"/>
    <s v="P&amp;F Product; NCB2-12GM40-Z0-V1-3G-3D; P/N:701"/>
    <x v="3"/>
    <s v="Pepperl+Fuchs Gulf LLC"/>
    <n v="555.47439999999995"/>
    <n v="2"/>
    <n v="2"/>
    <n v="0"/>
    <x v="0"/>
    <x v="5"/>
  </r>
  <r>
    <n v="1000021088"/>
    <s v="SKF BEARING - NU 308 ECJ/C3"/>
    <x v="3"/>
    <s v="SKF Eurotrade AB"/>
    <n v="549.45000000000005"/>
    <n v="5"/>
    <n v="5"/>
    <n v="0"/>
    <x v="0"/>
    <x v="4"/>
  </r>
  <r>
    <n v="1000021236"/>
    <s v="SKF BEARING - H 317"/>
    <x v="3"/>
    <s v="SKF Eurotrade AB"/>
    <n v="548.4"/>
    <n v="4"/>
    <n v="4"/>
    <n v="0"/>
    <x v="0"/>
    <x v="4"/>
  </r>
  <r>
    <n v="1000021076"/>
    <s v="SKF BEARING - NU 2315 ECP"/>
    <x v="3"/>
    <s v="SKF Eurotrade AB"/>
    <n v="548.38"/>
    <n v="1"/>
    <n v="1"/>
    <n v="0"/>
    <x v="0"/>
    <x v="4"/>
  </r>
  <r>
    <n v="1000103009"/>
    <s v="SKF PRODUCT; PHG SPA2182"/>
    <x v="3"/>
    <s v="SKF Eurotrade AB"/>
    <n v="548.10481684981596"/>
    <n v="33"/>
    <n v="33"/>
    <n v="0"/>
    <x v="0"/>
    <x v="4"/>
  </r>
  <r>
    <n v="1000021221"/>
    <s v="SKF BEARING - H 314"/>
    <x v="3"/>
    <s v="SKF Eurotrade AB"/>
    <n v="547.75"/>
    <n v="7"/>
    <n v="7"/>
    <n v="0"/>
    <x v="0"/>
    <x v="4"/>
  </r>
  <r>
    <n v="1000020342"/>
    <s v="SKF BEARING - 609-2RSH/C3"/>
    <x v="3"/>
    <s v="SKF Eurotrade AB"/>
    <n v="546"/>
    <n v="100"/>
    <n v="100"/>
    <n v="0"/>
    <x v="0"/>
    <x v="4"/>
  </r>
  <r>
    <n v="1000098640"/>
    <s v="SKF BEARING -GE 45 ES"/>
    <x v="3"/>
    <s v="SKF Eurotrade AB"/>
    <n v="545.32000000000005"/>
    <n v="10"/>
    <n v="6"/>
    <n v="4"/>
    <x v="3"/>
    <x v="4"/>
  </r>
  <r>
    <n v="1000021147"/>
    <s v="SKF BEARING - 21308 E/C3"/>
    <x v="3"/>
    <s v="SKF Eurotrade AB"/>
    <n v="544.48"/>
    <n v="4"/>
    <n v="4"/>
    <n v="0"/>
    <x v="0"/>
    <x v="4"/>
  </r>
  <r>
    <n v="1000020558"/>
    <s v="SKF BEARING - 62205-2RS1/C3"/>
    <x v="3"/>
    <s v="SKF Eurotrade AB"/>
    <n v="544.35"/>
    <n v="19"/>
    <n v="19"/>
    <n v="0"/>
    <x v="0"/>
    <x v="4"/>
  </r>
  <r>
    <n v="1000021057"/>
    <s v="SKF BEARING - NU 2219 ECP/C3"/>
    <x v="3"/>
    <s v="SKF Eurotrade AB"/>
    <n v="543.79999999999995"/>
    <n v="1"/>
    <n v="1"/>
    <n v="0"/>
    <x v="0"/>
    <x v="4"/>
  </r>
  <r>
    <n v="1000020338"/>
    <s v="SKF BEARING - 608-2RSH/C3"/>
    <x v="3"/>
    <s v="SKF Eurotrade AB"/>
    <n v="543.75"/>
    <n v="100"/>
    <n v="100"/>
    <n v="0"/>
    <x v="0"/>
    <x v="4"/>
  </r>
  <r>
    <n v="1000020190"/>
    <s v="SKF BEARING - 32317 J2"/>
    <x v="3"/>
    <s v="SKF Eurotrade AB"/>
    <n v="542.55666666666605"/>
    <n v="1"/>
    <n v="1"/>
    <n v="0"/>
    <x v="0"/>
    <x v="4"/>
  </r>
  <r>
    <n v="2500009192"/>
    <s v="Desc:NC THERMAL VALVE KIT 65 DEG F5| P/N:1247"/>
    <x v="0"/>
    <s v="ELGI Gulf FZE"/>
    <n v="541.875"/>
    <n v="2"/>
    <n v="2"/>
    <n v="0"/>
    <x v="0"/>
    <x v="0"/>
  </r>
  <r>
    <n v="1000101282"/>
    <s v="Weidmuller; IB-C37B37B371015-XXXX;2926170000"/>
    <x v="3"/>
    <s v="Weidmuller Middle East (FZE)"/>
    <n v="541.08000000000004"/>
    <n v="4"/>
    <n v="4"/>
    <n v="0"/>
    <x v="0"/>
    <x v="3"/>
  </r>
  <r>
    <n v="1000098687"/>
    <s v="SKF BEARING -NATR 50 PPA"/>
    <x v="3"/>
    <s v="SKF Eurotrade AB"/>
    <n v="540.45000000000005"/>
    <n v="2"/>
    <n v="2"/>
    <n v="0"/>
    <x v="0"/>
    <x v="4"/>
  </r>
  <r>
    <n v="1000093393"/>
    <s v="SKF BEARING - 32312"/>
    <x v="3"/>
    <s v="SKF Eurotrade AB"/>
    <n v="540.22400000000005"/>
    <n v="4"/>
    <n v="4"/>
    <n v="0"/>
    <x v="0"/>
    <x v="4"/>
  </r>
  <r>
    <n v="1000020937"/>
    <s v="SKF BEARING - NJ 2311 ECP"/>
    <x v="3"/>
    <s v="SKF Eurotrade AB"/>
    <n v="540.13333333333298"/>
    <n v="2"/>
    <n v="2"/>
    <n v="0"/>
    <x v="0"/>
    <x v="4"/>
  </r>
  <r>
    <n v="2500009421"/>
    <s v="DESCRIPTION : RC BLOW DOWN SUB_RHS F(METZKE) "/>
    <x v="0"/>
    <s v="PARANTHAMAN EXPORTERS"/>
    <n v="540"/>
    <n v="1"/>
    <n v="1"/>
    <n v="0"/>
    <x v="0"/>
    <x v="0"/>
  </r>
  <r>
    <n v="2500009293"/>
    <s v="SENSOR 930EA0009 R00 Element"/>
    <x v="0"/>
    <s v="Summits Hygronics Private Limited"/>
    <n v="540"/>
    <n v="1"/>
    <n v="1"/>
    <n v="0"/>
    <x v="0"/>
    <x v="0"/>
  </r>
  <r>
    <n v="1000097683"/>
    <s v="Weidmuller; TERMINAL BLOCK; P/N: 1021500000; "/>
    <x v="3"/>
    <s v="Weidmuller Middle East (FZE)"/>
    <n v="536.93682965881601"/>
    <n v="147"/>
    <n v="147"/>
    <n v="0"/>
    <x v="0"/>
    <x v="3"/>
  </r>
  <r>
    <n v="1000097919"/>
    <s v="SKF BEARING - HE 322"/>
    <x v="3"/>
    <s v="SKF Eurotrade AB"/>
    <n v="536.17999999999995"/>
    <n v="2"/>
    <n v="2"/>
    <n v="0"/>
    <x v="0"/>
    <x v="4"/>
  </r>
  <r>
    <n v="1000020721"/>
    <s v="SKF BEARING - 6315-2RS1"/>
    <x v="3"/>
    <s v="SKF Eurotrade AB"/>
    <n v="536.1"/>
    <n v="2"/>
    <n v="2"/>
    <n v="0"/>
    <x v="0"/>
    <x v="4"/>
  </r>
  <r>
    <n v="1000094031"/>
    <s v="SKF BEARINGS - Model No. SNL 520-617"/>
    <x v="3"/>
    <s v="SKF Eurotrade AB"/>
    <n v="535.84"/>
    <n v="1"/>
    <n v="1"/>
    <n v="0"/>
    <x v="0"/>
    <x v="4"/>
  </r>
  <r>
    <n v="1000020337"/>
    <s v="SKF BEARING - 608-2RSH"/>
    <x v="3"/>
    <s v="SKF Eurotrade AB"/>
    <n v="535"/>
    <n v="100"/>
    <n v="100"/>
    <n v="0"/>
    <x v="0"/>
    <x v="4"/>
  </r>
  <r>
    <n v="1000106055"/>
    <s v="P&amp;F Inductive Sensor; SJ3,5-S1N; P/N: 7013300"/>
    <x v="3"/>
    <s v="Pepperl+Fuchs (ME) FZE"/>
    <n v="534.6"/>
    <n v="2"/>
    <n v="2"/>
    <n v="0"/>
    <x v="0"/>
    <x v="5"/>
  </r>
  <r>
    <n v="1000021274"/>
    <s v="SKF BEARING - 22312 E"/>
    <x v="3"/>
    <s v="SKF Eurotrade AB"/>
    <n v="532.44000000000005"/>
    <n v="2"/>
    <n v="2"/>
    <n v="0"/>
    <x v="0"/>
    <x v="4"/>
  </r>
  <r>
    <n v="1000099648"/>
    <s v="PN:206160000;Weidmueller;Model:RCH S51024 ; P"/>
    <x v="3"/>
    <s v="Weidmuller Middle East (FZE)"/>
    <n v="532.03"/>
    <n v="19"/>
    <n v="19"/>
    <n v="0"/>
    <x v="0"/>
    <x v="3"/>
  </r>
  <r>
    <n v="1000096642"/>
    <s v="SKF BEARING - 6407"/>
    <x v="3"/>
    <s v="SKF Eurotrade AB"/>
    <n v="530.34"/>
    <n v="6"/>
    <n v="6"/>
    <n v="0"/>
    <x v="0"/>
    <x v="4"/>
  </r>
  <r>
    <n v="1000103974"/>
    <s v="Weidmuller Product; ACT20P-UI-AO-DO-LP-S; P/N"/>
    <x v="3"/>
    <s v="Weidmuller Middle East (FZE)"/>
    <n v="530.19000000000005"/>
    <n v="1"/>
    <n v="1"/>
    <n v="0"/>
    <x v="0"/>
    <x v="3"/>
  </r>
  <r>
    <n v="1000020601"/>
    <s v="SKF BEARING - 63001-2RS1"/>
    <x v="3"/>
    <s v="SKF Eurotrade AB"/>
    <n v="529.75"/>
    <n v="25"/>
    <n v="25"/>
    <n v="0"/>
    <x v="0"/>
    <x v="4"/>
  </r>
  <r>
    <n v="2500009320"/>
    <s v="DESCRIPTION : ROTARY SWIVEL LONG INNER TUBE| "/>
    <x v="0"/>
    <s v="PARANTHAMAN EXPORTERS"/>
    <n v="528.75"/>
    <n v="1"/>
    <n v="1"/>
    <n v="0"/>
    <x v="0"/>
    <x v="0"/>
  </r>
  <r>
    <n v="2500006908"/>
    <s v="SOLENOID VALVE 240V NC PN B738208"/>
    <x v="0"/>
    <s v="ELGI Gulf FZE"/>
    <n v="528.66"/>
    <n v="2"/>
    <n v="2"/>
    <n v="0"/>
    <x v="0"/>
    <x v="0"/>
  </r>
  <r>
    <n v="1000100381"/>
    <s v="SKF Product RLS 5-2Z"/>
    <x v="3"/>
    <s v="SKF Eurotrade AB"/>
    <n v="528.37"/>
    <n v="10"/>
    <n v="10"/>
    <n v="0"/>
    <x v="0"/>
    <x v="4"/>
  </r>
  <r>
    <n v="1000104817"/>
    <s v="Weidmuller Product; RCMKIT-I 115VAC 2CO LD; P"/>
    <x v="3"/>
    <s v="Weidmuller Middle East (FZE)"/>
    <n v="526.03"/>
    <n v="10"/>
    <n v="10"/>
    <n v="0"/>
    <x v="0"/>
    <x v="3"/>
  </r>
  <r>
    <n v="2500006867"/>
    <s v="AIR FILTER; KIT PN B574602"/>
    <x v="9"/>
    <s v="The Machinery Group LLC"/>
    <n v="525.40604522792"/>
    <n v="1"/>
    <n v="1"/>
    <n v="0"/>
    <x v="0"/>
    <x v="0"/>
  </r>
  <r>
    <n v="1000020919"/>
    <s v="SKF BEARING - NJ 2210 ECJ"/>
    <x v="3"/>
    <s v="SKF Eurotrade AB"/>
    <n v="524.94000000000005"/>
    <n v="3"/>
    <n v="3"/>
    <n v="0"/>
    <x v="0"/>
    <x v="4"/>
  </r>
  <r>
    <n v="1000020592"/>
    <s v="SKF BEARING - 626-2RSH/C3"/>
    <x v="3"/>
    <s v="SKF Eurotrade AB"/>
    <n v="524"/>
    <n v="100"/>
    <n v="100"/>
    <n v="0"/>
    <x v="0"/>
    <x v="4"/>
  </r>
  <r>
    <n v="1000021030"/>
    <s v="SKF BEARING - NU 220 ECP/C3"/>
    <x v="3"/>
    <s v="SKF Eurotrade AB"/>
    <n v="523.54"/>
    <n v="1"/>
    <n v="1"/>
    <n v="0"/>
    <x v="0"/>
    <x v="4"/>
  </r>
  <r>
    <n v="1000094939"/>
    <s v="SKF BEARING - 7310 BECBY"/>
    <x v="3"/>
    <s v="SKF Eurotrade AB"/>
    <n v="522.77"/>
    <n v="2"/>
    <n v="2"/>
    <n v="0"/>
    <x v="0"/>
    <x v="4"/>
  </r>
  <r>
    <n v="1000021177"/>
    <s v="SKF BEARING - 2207 ETN9"/>
    <x v="3"/>
    <s v="SKF Eurotrade AB"/>
    <n v="521.52"/>
    <n v="8"/>
    <n v="8"/>
    <n v="0"/>
    <x v="0"/>
    <x v="4"/>
  </r>
  <r>
    <n v="2100000721"/>
    <s v="MATL:783914 FILTER, ELEMENT;FILTER,SIZE: DIA "/>
    <x v="1"/>
    <s v="Addamegh for Industrial Solutions Est."/>
    <n v="519"/>
    <n v="3"/>
    <n v="3"/>
    <n v="0"/>
    <x v="0"/>
    <x v="2"/>
  </r>
  <r>
    <n v="1000021062"/>
    <s v="SKF BEARING - NU 2306 ECP/C3"/>
    <x v="3"/>
    <s v="SKF Eurotrade AB"/>
    <n v="518.85"/>
    <n v="5"/>
    <n v="5"/>
    <n v="0"/>
    <x v="0"/>
    <x v="4"/>
  </r>
  <r>
    <n v="1000098905"/>
    <s v="Pepperl+Fuchs Inductive Sensor; Model:NBN5-F7"/>
    <x v="3"/>
    <s v="Pepperl+Fuchs (ME) FZE"/>
    <n v="517.14"/>
    <n v="5"/>
    <n v="5"/>
    <n v="0"/>
    <x v="0"/>
    <x v="5"/>
  </r>
  <r>
    <n v="2500008171"/>
    <s v="Coupling Element MDL EG55 PN B011200830003"/>
    <x v="0"/>
    <s v="ELGI Gulf FZE"/>
    <n v="516.375"/>
    <n v="3"/>
    <n v="3"/>
    <n v="0"/>
    <x v="0"/>
    <x v="0"/>
  </r>
  <r>
    <n v="1000020171"/>
    <s v="SKF BEARING - 32011 X/Q"/>
    <x v="3"/>
    <s v="SKF Eurotrade AB"/>
    <n v="514.6"/>
    <n v="10"/>
    <n v="10"/>
    <n v="0"/>
    <x v="0"/>
    <x v="4"/>
  </r>
  <r>
    <n v="1000020998"/>
    <s v="SKF BEARING - NU 211 ECP/C3"/>
    <x v="3"/>
    <s v="SKF Eurotrade AB"/>
    <n v="513.75"/>
    <n v="5"/>
    <n v="5"/>
    <n v="0"/>
    <x v="0"/>
    <x v="4"/>
  </r>
  <r>
    <n v="1000108574"/>
    <s v="Switch Module; 07-3331-1C06"/>
    <x v="3"/>
    <s v="Bartec Middle East LLC"/>
    <n v="511.3"/>
    <n v="2"/>
    <n v="0"/>
    <n v="2"/>
    <x v="2"/>
    <x v="7"/>
  </r>
  <r>
    <n v="1000021085"/>
    <s v="SKF BEARING - NU 307 ECM"/>
    <x v="3"/>
    <s v="SKF Eurotrade AB"/>
    <n v="510.76"/>
    <n v="2"/>
    <n v="2"/>
    <n v="0"/>
    <x v="0"/>
    <x v="4"/>
  </r>
  <r>
    <n v="1000002758"/>
    <s v="Universal sensor cable, WU10-V-S-05"/>
    <x v="5"/>
    <s v="Yokogawa Middle East &amp; Africa B.S.C. Â©"/>
    <n v="510"/>
    <n v="1"/>
    <n v="1"/>
    <n v="0"/>
    <x v="0"/>
    <x v="6"/>
  </r>
  <r>
    <n v="1000106182"/>
    <s v="P&amp;F Inductive Sensor; NBB2-V3-US; P/N: 094347"/>
    <x v="3"/>
    <s v="Pepperl+Fuchs (ME) FZE"/>
    <n v="509.64"/>
    <n v="2"/>
    <n v="2"/>
    <n v="0"/>
    <x v="0"/>
    <x v="5"/>
  </r>
  <r>
    <n v="1000010222"/>
    <s v="P+F, Inductive Sensor   Model No. NCB1,5-8GM2"/>
    <x v="3"/>
    <s v="Pepperl+Fuchs (ME) FZE"/>
    <n v="508.2"/>
    <n v="2"/>
    <n v="2"/>
    <n v="0"/>
    <x v="0"/>
    <x v="5"/>
  </r>
  <r>
    <n v="1000021119"/>
    <s v="SKF BEARING - NU 314 ECM/C3"/>
    <x v="3"/>
    <s v="SKF Eurotrade AB"/>
    <n v="507.69"/>
    <n v="1"/>
    <n v="1"/>
    <n v="0"/>
    <x v="0"/>
    <x v="4"/>
  </r>
  <r>
    <n v="1000102921"/>
    <s v="PEPPERL+FUSH;   Model  No.:NBN4-12GM50-A2-V1;"/>
    <x v="3"/>
    <s v="Pepperl+Fuchs (ME) FZE"/>
    <n v="507.43740000000003"/>
    <n v="3"/>
    <n v="3"/>
    <n v="0"/>
    <x v="0"/>
    <x v="5"/>
  </r>
  <r>
    <n v="1000020275"/>
    <s v="SKF BEARING - 6010-2RS1/C3"/>
    <x v="3"/>
    <s v="SKF Eurotrade AB"/>
    <n v="506.8"/>
    <n v="20"/>
    <n v="20"/>
    <n v="0"/>
    <x v="0"/>
    <x v="4"/>
  </r>
  <r>
    <n v="1000020942"/>
    <s v="SKF BEARING - NJ 2314 ECP/C3"/>
    <x v="3"/>
    <s v="SKF Eurotrade AB"/>
    <n v="505.05"/>
    <n v="1"/>
    <n v="1"/>
    <n v="0"/>
    <x v="0"/>
    <x v="4"/>
  </r>
  <r>
    <n v="2500008859"/>
    <s v="&quot;HEAVY DUTY TORCH HANDLE -  BESTWELD P/N- 900"/>
    <x v="0"/>
    <s v="OKI BERING MIDDLE EAST FZE"/>
    <n v="504.9"/>
    <n v="3"/>
    <n v="3"/>
    <n v="0"/>
    <x v="0"/>
    <x v="0"/>
  </r>
  <r>
    <n v="1000097541"/>
    <s v="O-ring;M3808TB-SP"/>
    <x v="5"/>
    <s v="Yokogawa Middle East &amp; Africa B.S.C. Â©"/>
    <n v="504"/>
    <n v="2"/>
    <n v="2"/>
    <n v="0"/>
    <x v="0"/>
    <x v="6"/>
  </r>
  <r>
    <n v="2500003653"/>
    <s v="AIR FILTER ELE CSK1434 PN 220419480"/>
    <x v="0"/>
    <s v="ELGI Gulf FZE"/>
    <n v="503.97481273066597"/>
    <n v="5"/>
    <n v="5"/>
    <n v="0"/>
    <x v="0"/>
    <x v="0"/>
  </r>
  <r>
    <n v="1000100332"/>
    <s v="SKF Product 3308 A"/>
    <x v="3"/>
    <s v="SKF Eurotrade AB"/>
    <n v="503.21499999999997"/>
    <n v="3"/>
    <n v="3"/>
    <n v="0"/>
    <x v="0"/>
    <x v="4"/>
  </r>
  <r>
    <n v="1000102702"/>
    <s v="SKF; BELT V; PHG SPA-2382"/>
    <x v="3"/>
    <s v="SKF Eurotrade AB"/>
    <n v="502.95"/>
    <n v="28"/>
    <n v="28"/>
    <n v="0"/>
    <x v="0"/>
    <x v="4"/>
  </r>
  <r>
    <n v="1000098650"/>
    <s v="SKF BEARING -KM 15"/>
    <x v="3"/>
    <s v="SKF Eurotrade AB"/>
    <n v="501.75"/>
    <n v="15"/>
    <n v="15"/>
    <n v="0"/>
    <x v="0"/>
    <x v="4"/>
  </r>
  <r>
    <n v="1000102899"/>
    <s v="SKF BEARING; 6015"/>
    <x v="3"/>
    <s v="SKF Eurotrade AB"/>
    <n v="501.56"/>
    <n v="5"/>
    <n v="5"/>
    <n v="0"/>
    <x v="0"/>
    <x v="4"/>
  </r>
  <r>
    <n v="1000020045"/>
    <s v="SKF BEARING - 7304 BECBY"/>
    <x v="3"/>
    <s v="SKF Eurotrade AB"/>
    <n v="501.53"/>
    <n v="5"/>
    <n v="5"/>
    <n v="0"/>
    <x v="0"/>
    <x v="4"/>
  </r>
  <r>
    <n v="2500009235"/>
    <s v="1003204103 - COMPLETE PISTON HOSING"/>
    <x v="0"/>
    <s v="Gulf Level Trading Company"/>
    <n v="501.5"/>
    <n v="1"/>
    <n v="1"/>
    <n v="0"/>
    <x v="0"/>
    <x v="0"/>
  </r>
  <r>
    <n v="1000109368"/>
    <s v="07-3353-4150 Bartec Component"/>
    <x v="3"/>
    <s v="Bartec Middle East LLC"/>
    <n v="499.8"/>
    <n v="3"/>
    <n v="0"/>
    <n v="3"/>
    <x v="2"/>
    <x v="7"/>
  </r>
  <r>
    <n v="1000020287"/>
    <s v="SKF BEARING - 6012-2Z"/>
    <x v="3"/>
    <s v="SKF Eurotrade AB"/>
    <n v="497.14125000000001"/>
    <n v="12"/>
    <n v="12"/>
    <n v="0"/>
    <x v="0"/>
    <x v="4"/>
  </r>
  <r>
    <n v="1000020419"/>
    <s v="SKF BEARING - 6204"/>
    <x v="3"/>
    <s v="SKF Eurotrade AB"/>
    <n v="496.43650246305401"/>
    <n v="73"/>
    <n v="73"/>
    <n v="0"/>
    <x v="0"/>
    <x v="4"/>
  </r>
  <r>
    <n v="1000108753"/>
    <s v="Fabrication of Fiberglass Reinforced Polyeste"/>
    <x v="7"/>
    <s v="ABDUL AZIZ ABDUL RAHMAN BUSUBAIT FIBERGLASS COMPANY LLC"/>
    <n v="495"/>
    <n v="3"/>
    <n v="3"/>
    <n v="0"/>
    <x v="0"/>
    <x v="6"/>
  </r>
  <r>
    <n v="1000098651"/>
    <s v="SKF BEARING -KM 20"/>
    <x v="3"/>
    <s v="SKF Eurotrade AB"/>
    <n v="494.67149999999998"/>
    <n v="8"/>
    <n v="8"/>
    <n v="0"/>
    <x v="0"/>
    <x v="4"/>
  </r>
  <r>
    <n v="1000021146"/>
    <s v="SKF BEARING - 21307 CC/C3"/>
    <x v="3"/>
    <s v="SKF Eurotrade AB"/>
    <n v="494.08"/>
    <n v="4"/>
    <n v="4"/>
    <n v="0"/>
    <x v="0"/>
    <x v="4"/>
  </r>
  <r>
    <n v="1000097477"/>
    <s v="P+F, Inductive Sensor Model No. NBB5-18GM50-E"/>
    <x v="3"/>
    <s v="Pepperl+Fuchs (ME) FZE"/>
    <n v="493.2"/>
    <n v="3"/>
    <n v="3"/>
    <n v="0"/>
    <x v="0"/>
    <x v="5"/>
  </r>
  <r>
    <n v="1000103739"/>
    <s v="Weidmuller Product;WTW WFF70;PN:1067200000"/>
    <x v="3"/>
    <s v="Weidmuller Middle East (FZE)"/>
    <n v="493.2"/>
    <n v="50"/>
    <n v="50"/>
    <n v="0"/>
    <x v="0"/>
    <x v="3"/>
  </r>
  <r>
    <n v="1000020092"/>
    <s v="SKF BEARING - 3307 A-2Z"/>
    <x v="3"/>
    <s v="SKF Eurotrade AB"/>
    <n v="492.63749999999999"/>
    <n v="5"/>
    <n v="5"/>
    <n v="0"/>
    <x v="0"/>
    <x v="4"/>
  </r>
  <r>
    <n v="1000020896"/>
    <s v="SKF BEARING - NJ 212 ECJ"/>
    <x v="3"/>
    <s v="SKF Eurotrade AB"/>
    <n v="491.37"/>
    <n v="3"/>
    <n v="3"/>
    <n v="0"/>
    <x v="0"/>
    <x v="4"/>
  </r>
  <r>
    <n v="2500008149"/>
    <s v="Single Actuator Kit MDL DT 900-200, 750-125, "/>
    <x v="0"/>
    <s v="ELGI Gulf FZE"/>
    <n v="491.30815476190401"/>
    <n v="3"/>
    <n v="3"/>
    <n v="0"/>
    <x v="0"/>
    <x v="0"/>
  </r>
  <r>
    <n v="2500002205"/>
    <s v="PRE FILTER PN 15400889"/>
    <x v="0"/>
    <s v="ELGI Gulf FZE"/>
    <n v="490.58225965742901"/>
    <n v="35"/>
    <n v="35"/>
    <n v="0"/>
    <x v="0"/>
    <x v="0"/>
  </r>
  <r>
    <n v="1000105246"/>
    <s v="P+F Measuring Resistor:K-250R; P/N:311713"/>
    <x v="3"/>
    <s v="Pepperl+Fuchs (ME) FZE"/>
    <n v="489.60333333333301"/>
    <n v="7"/>
    <n v="7"/>
    <n v="0"/>
    <x v="0"/>
    <x v="5"/>
  </r>
  <r>
    <n v="1000095639"/>
    <s v="HSS 3.2-9.5 EL W30M, P/N 1505880000"/>
    <x v="3"/>
    <s v="Weidmuller Middle East (FZE)"/>
    <n v="489.52800000000002"/>
    <n v="2"/>
    <n v="2"/>
    <n v="0"/>
    <x v="0"/>
    <x v="3"/>
  </r>
  <r>
    <n v="1000020741"/>
    <s v="SKF BEARING - 6318-2RS1/C3"/>
    <x v="3"/>
    <s v="SKF Eurotrade AB"/>
    <n v="489.35"/>
    <n v="1"/>
    <n v="1"/>
    <n v="0"/>
    <x v="0"/>
    <x v="4"/>
  </r>
  <r>
    <n v="1000020331"/>
    <s v="SKF BEARING - 6026/C3"/>
    <x v="3"/>
    <s v="SKF Eurotrade AB"/>
    <n v="489.2"/>
    <n v="2"/>
    <n v="2"/>
    <n v="0"/>
    <x v="0"/>
    <x v="4"/>
  </r>
  <r>
    <n v="1000020308"/>
    <s v="SKF BEARING - 6017-2Z/C3"/>
    <x v="3"/>
    <s v="SKF Eurotrade AB"/>
    <n v="489"/>
    <n v="4"/>
    <n v="4"/>
    <n v="0"/>
    <x v="0"/>
    <x v="4"/>
  </r>
  <r>
    <n v="1000020080"/>
    <s v="SKF BEARING - 3305 A-2RS1TN9/C3MT33"/>
    <x v="3"/>
    <s v="SKF Eurotrade AB"/>
    <n v="488.72"/>
    <n v="4"/>
    <n v="4"/>
    <n v="0"/>
    <x v="0"/>
    <x v="4"/>
  </r>
  <r>
    <n v="1000020549"/>
    <s v="SKF BEARING - 62201-2RS1/C3"/>
    <x v="3"/>
    <s v="SKF Eurotrade AB"/>
    <n v="488.5"/>
    <n v="25"/>
    <n v="25"/>
    <n v="0"/>
    <x v="0"/>
    <x v="4"/>
  </r>
  <r>
    <n v="1000098693"/>
    <s v="SKF BEARING -NJ 313 ECP/C3"/>
    <x v="3"/>
    <s v="SKF Eurotrade AB"/>
    <n v="485.02"/>
    <n v="2"/>
    <n v="2"/>
    <n v="0"/>
    <x v="0"/>
    <x v="4"/>
  </r>
  <r>
    <n v="1000100421"/>
    <s v="SKF Product 51224"/>
    <x v="3"/>
    <s v="SKF Eurotrade AB"/>
    <n v="484.54"/>
    <n v="1"/>
    <n v="1"/>
    <n v="0"/>
    <x v="0"/>
    <x v="4"/>
  </r>
  <r>
    <n v="1000102436"/>
    <s v="SKF Harrow Bearing; 204 KRR2"/>
    <x v="3"/>
    <s v="SKF Eurotrade AB"/>
    <n v="484.24363636363603"/>
    <n v="12"/>
    <n v="12"/>
    <n v="0"/>
    <x v="0"/>
    <x v="4"/>
  </r>
  <r>
    <n v="1000021035"/>
    <s v="SKF BEARING - NU 2210 ECJ"/>
    <x v="3"/>
    <s v="SKF Eurotrade AB"/>
    <n v="483.96"/>
    <n v="3"/>
    <n v="3"/>
    <n v="0"/>
    <x v="0"/>
    <x v="4"/>
  </r>
  <r>
    <n v="1000021211"/>
    <s v="SKF BEARING - 22212 E"/>
    <x v="3"/>
    <s v="SKF Eurotrade AB"/>
    <n v="482.90138237389499"/>
    <n v="3"/>
    <n v="3"/>
    <n v="0"/>
    <x v="0"/>
    <x v="4"/>
  </r>
  <r>
    <n v="1000021159"/>
    <s v="SKF BEARING - 21318 E/C3"/>
    <x v="3"/>
    <s v="SKF Eurotrade AB"/>
    <n v="482.49"/>
    <n v="1"/>
    <n v="1"/>
    <n v="0"/>
    <x v="0"/>
    <x v="4"/>
  </r>
  <r>
    <n v="1000021097"/>
    <s v="SKF BEARING - NU 310 ECJ/C3"/>
    <x v="3"/>
    <s v="SKF Eurotrade AB"/>
    <n v="482.28"/>
    <n v="3"/>
    <n v="3"/>
    <n v="0"/>
    <x v="0"/>
    <x v="4"/>
  </r>
  <r>
    <n v="1000021196"/>
    <s v="SKF BEARING - 22207 E"/>
    <x v="3"/>
    <s v="SKF Eurotrade AB"/>
    <n v="479.14"/>
    <n v="5"/>
    <n v="5"/>
    <n v="0"/>
    <x v="0"/>
    <x v="4"/>
  </r>
  <r>
    <n v="1000020677"/>
    <s v="SKF BEARING - 6309-Z/C3"/>
    <x v="3"/>
    <s v="SKF Eurotrade AB"/>
    <n v="479.07279999999997"/>
    <n v="8"/>
    <n v="8"/>
    <n v="0"/>
    <x v="0"/>
    <x v="4"/>
  </r>
  <r>
    <n v="1000020253"/>
    <s v="SKF BEARING - 6006-2RS1"/>
    <x v="3"/>
    <s v="SKF Eurotrade AB"/>
    <n v="478.61439999999999"/>
    <n v="44"/>
    <n v="44"/>
    <n v="0"/>
    <x v="0"/>
    <x v="4"/>
  </r>
  <r>
    <n v="1000020232"/>
    <s v="SKF BEARING - 6002-2Z/C3"/>
    <x v="3"/>
    <s v="SKF Eurotrade AB"/>
    <n v="478.4"/>
    <n v="80"/>
    <n v="80"/>
    <n v="0"/>
    <x v="0"/>
    <x v="4"/>
  </r>
  <r>
    <n v="1000020724"/>
    <s v="SKF BEARING - 6315-Z"/>
    <x v="3"/>
    <s v="SKF Eurotrade AB"/>
    <n v="477.6"/>
    <n v="2"/>
    <n v="2"/>
    <n v="0"/>
    <x v="0"/>
    <x v="4"/>
  </r>
  <r>
    <n v="1000021140"/>
    <s v="SKF BEARING - NU 318 ECP/C3"/>
    <x v="3"/>
    <s v="SKF Eurotrade AB"/>
    <n v="477.17"/>
    <n v="1"/>
    <n v="1"/>
    <n v="0"/>
    <x v="0"/>
    <x v="4"/>
  </r>
  <r>
    <n v="1000020422"/>
    <s v="SKF BEARING - 6204-2RSH/C3"/>
    <x v="3"/>
    <s v="SKF Eurotrade AB"/>
    <n v="477.12"/>
    <n v="56"/>
    <n v="56"/>
    <n v="0"/>
    <x v="0"/>
    <x v="4"/>
  </r>
  <r>
    <n v="1000021105"/>
    <s v="SKF BEARING - NU 311 ECP"/>
    <x v="3"/>
    <s v="SKF Eurotrade AB"/>
    <n v="476.16"/>
    <n v="3"/>
    <n v="3"/>
    <n v="0"/>
    <x v="0"/>
    <x v="4"/>
  </r>
  <r>
    <n v="2500009355"/>
    <s v="DESCRIPTION :OIL FILTER ASSY 25LPM FW | PART "/>
    <x v="0"/>
    <s v="ELGI Gulf FZE"/>
    <n v="475.88"/>
    <n v="3"/>
    <n v="3"/>
    <n v="0"/>
    <x v="0"/>
    <x v="0"/>
  </r>
  <r>
    <n v="1000096051"/>
    <s v="Weidmuller; Product; P/N:1050080000   Model N"/>
    <x v="3"/>
    <s v="Weidmuller Middle East (FZE)"/>
    <n v="475.15"/>
    <n v="500"/>
    <n v="500"/>
    <n v="0"/>
    <x v="0"/>
    <x v="3"/>
  </r>
  <r>
    <n v="1000103748"/>
    <s v="Weidmuller Product;Q 10 AKZ4;PN:368600000"/>
    <x v="3"/>
    <s v="Weidmuller Middle East (FZE)"/>
    <n v="474.37619999999998"/>
    <n v="58"/>
    <n v="58"/>
    <n v="0"/>
    <x v="0"/>
    <x v="3"/>
  </r>
  <r>
    <n v="1000098525"/>
    <s v="SKF BEARING-3210 A"/>
    <x v="3"/>
    <s v="SKF Eurotrade AB"/>
    <n v="474.07499999999999"/>
    <n v="3"/>
    <n v="3"/>
    <n v="0"/>
    <x v="0"/>
    <x v="4"/>
  </r>
  <r>
    <n v="1000093982"/>
    <s v="SKF BEARINGS - Model No. 6218-2RS1"/>
    <x v="3"/>
    <s v="SKF Eurotrade AB"/>
    <n v="472.96"/>
    <n v="2"/>
    <n v="2"/>
    <n v="0"/>
    <x v="0"/>
    <x v="4"/>
  </r>
  <r>
    <n v="1000020954"/>
    <s v="SKF BEARING - NJ 308 ECJ"/>
    <x v="3"/>
    <s v="SKF Eurotrade AB"/>
    <n v="472.12"/>
    <n v="4"/>
    <n v="4"/>
    <n v="0"/>
    <x v="0"/>
    <x v="4"/>
  </r>
  <r>
    <n v="1000020590"/>
    <s v="SKF BEARING - 625-2Z/C3"/>
    <x v="3"/>
    <s v="SKF Eurotrade AB"/>
    <n v="472"/>
    <n v="100"/>
    <n v="100"/>
    <n v="0"/>
    <x v="0"/>
    <x v="4"/>
  </r>
  <r>
    <n v="1000098528"/>
    <s v="SKF BEARING-3213 A"/>
    <x v="3"/>
    <s v="SKF Eurotrade AB"/>
    <n v="471.61"/>
    <n v="2"/>
    <n v="2"/>
    <n v="0"/>
    <x v="0"/>
    <x v="4"/>
  </r>
  <r>
    <n v="1000021241"/>
    <s v="SKF BEARING - 22218 EK/C3"/>
    <x v="3"/>
    <s v="SKF Eurotrade AB"/>
    <n v="471.48130952380899"/>
    <n v="1"/>
    <n v="1"/>
    <n v="0"/>
    <x v="0"/>
    <x v="4"/>
  </r>
  <r>
    <n v="2500008218"/>
    <s v="Spare Kit, Intake Valve, EN73s PN B0154007800"/>
    <x v="0"/>
    <s v="ELGI Gulf FZE"/>
    <n v="470.25200000000001"/>
    <n v="2"/>
    <n v="2"/>
    <n v="0"/>
    <x v="0"/>
    <x v="0"/>
  </r>
  <r>
    <n v="1000100391"/>
    <s v="SKF Product 32024 X"/>
    <x v="3"/>
    <s v="SKF Eurotrade AB"/>
    <n v="470.25"/>
    <n v="2"/>
    <n v="2"/>
    <n v="0"/>
    <x v="0"/>
    <x v="4"/>
  </r>
  <r>
    <n v="1000020770"/>
    <s v="SKF BEARING - 6412/C3"/>
    <x v="3"/>
    <s v="SKF Eurotrade AB"/>
    <n v="470.14"/>
    <n v="2"/>
    <n v="2"/>
    <n v="0"/>
    <x v="0"/>
    <x v="4"/>
  </r>
  <r>
    <n v="1000020408"/>
    <s v="SKF BEARING - 6202-2RSH/C3"/>
    <x v="3"/>
    <s v="SKF Eurotrade AB"/>
    <n v="470.12"/>
    <n v="73"/>
    <n v="73"/>
    <n v="0"/>
    <x v="0"/>
    <x v="4"/>
  </r>
  <r>
    <n v="1000098699"/>
    <s v="SKF BEARING -NU 214 ECP"/>
    <x v="3"/>
    <s v="SKF Eurotrade AB"/>
    <n v="470.11"/>
    <n v="3"/>
    <n v="3"/>
    <n v="0"/>
    <x v="0"/>
    <x v="4"/>
  </r>
  <r>
    <n v="1000020535"/>
    <s v="SKF BEARING - 6218/C4"/>
    <x v="3"/>
    <s v="SKF Eurotrade AB"/>
    <n v="469.78"/>
    <n v="2"/>
    <n v="2"/>
    <n v="0"/>
    <x v="0"/>
    <x v="4"/>
  </r>
  <r>
    <n v="2100004824"/>
    <s v="MATL:1001010305 SCREW; 3/8-16UNC X 1,A4-70,BO"/>
    <x v="2"/>
    <s v="SPX MIDDLE EAST FZE"/>
    <n v="466.57866666666598"/>
    <n v="26"/>
    <n v="26"/>
    <n v="0"/>
    <x v="0"/>
    <x v="1"/>
  </r>
  <r>
    <n v="1000020206"/>
    <s v="SKF BEARING - 33210/Q"/>
    <x v="3"/>
    <s v="SKF Eurotrade AB"/>
    <n v="466.56"/>
    <n v="6"/>
    <n v="6"/>
    <n v="0"/>
    <x v="0"/>
    <x v="4"/>
  </r>
  <r>
    <n v="1000020765"/>
    <s v="SKF BEARING - 6407/C3"/>
    <x v="3"/>
    <s v="SKF Eurotrade AB"/>
    <n v="465.17"/>
    <n v="5"/>
    <n v="5"/>
    <n v="0"/>
    <x v="0"/>
    <x v="4"/>
  </r>
  <r>
    <n v="1000021417"/>
    <s v="SKF BEARING - 6207 Z"/>
    <x v="3"/>
    <s v="SKF Eurotrade AB"/>
    <n v="465.00749999999999"/>
    <n v="15"/>
    <n v="15"/>
    <n v="0"/>
    <x v="0"/>
    <x v="4"/>
  </r>
  <r>
    <n v="2500009326"/>
    <s v="DESCRIPTION : FILTER_RETURN_HYD| Part no. PRD"/>
    <x v="0"/>
    <s v="PARANTHAMAN EXPORTERS"/>
    <n v="465"/>
    <n v="2"/>
    <n v="2"/>
    <n v="0"/>
    <x v="0"/>
    <x v="0"/>
  </r>
  <r>
    <n v="1000100348"/>
    <s v="SKF Product 32311"/>
    <x v="3"/>
    <s v="SKF Eurotrade AB"/>
    <n v="463.53555555555499"/>
    <n v="4"/>
    <n v="4"/>
    <n v="0"/>
    <x v="0"/>
    <x v="4"/>
  </r>
  <r>
    <n v="1000103153"/>
    <s v="SKF Products; 7205 BEP"/>
    <x v="3"/>
    <s v="SKF Eurotrade AB"/>
    <n v="461.69"/>
    <n v="12"/>
    <n v="12"/>
    <n v="0"/>
    <x v="0"/>
    <x v="4"/>
  </r>
  <r>
    <n v="1000020103"/>
    <s v="SKF BEARING - 3309 A-2Z"/>
    <x v="3"/>
    <s v="SKF Eurotrade AB"/>
    <n v="461.12"/>
    <n v="2"/>
    <n v="2"/>
    <n v="0"/>
    <x v="0"/>
    <x v="4"/>
  </r>
  <r>
    <n v="1000020593"/>
    <s v="SKF BEARING - 626-2Z/C3"/>
    <x v="3"/>
    <s v="SKF Eurotrade AB"/>
    <n v="461"/>
    <n v="100"/>
    <n v="100"/>
    <n v="0"/>
    <x v="0"/>
    <x v="4"/>
  </r>
  <r>
    <n v="1000021181"/>
    <s v="SKF BEARING - H 308"/>
    <x v="3"/>
    <s v="SKF Eurotrade AB"/>
    <n v="460.64"/>
    <n v="16"/>
    <n v="16"/>
    <n v="0"/>
    <x v="0"/>
    <x v="4"/>
  </r>
  <r>
    <n v="1000020291"/>
    <s v="SKF BEARING - 6013-2RS1/C3"/>
    <x v="3"/>
    <s v="SKF Eurotrade AB"/>
    <n v="458"/>
    <n v="10"/>
    <n v="10"/>
    <n v="0"/>
    <x v="0"/>
    <x v="4"/>
  </r>
  <r>
    <n v="1000020529"/>
    <s v="SKF BEARING - 6216-2Z/C3"/>
    <x v="3"/>
    <s v="SKF Eurotrade AB"/>
    <n v="457.169357142857"/>
    <n v="3"/>
    <n v="3"/>
    <n v="0"/>
    <x v="0"/>
    <x v="4"/>
  </r>
  <r>
    <n v="1000098460"/>
    <s v="SKF BEARING-21318 E"/>
    <x v="3"/>
    <s v="SKF Eurotrade AB"/>
    <n v="456.666"/>
    <n v="1"/>
    <n v="1"/>
    <n v="0"/>
    <x v="0"/>
    <x v="4"/>
  </r>
  <r>
    <n v="1000102121"/>
    <s v="Weidmuller; Model No. PRO RM 10;  PN:24860900"/>
    <x v="3"/>
    <s v="Weidmuller Middle East (FZE)"/>
    <n v="455.84206710792"/>
    <n v="2"/>
    <n v="2"/>
    <n v="0"/>
    <x v="0"/>
    <x v="3"/>
  </r>
  <r>
    <n v="1000093675"/>
    <s v="Weidmuller; Tools; P/N: 9005000000   Model No"/>
    <x v="3"/>
    <s v="Weidmuller Middle East (FZE)"/>
    <n v="455.8"/>
    <n v="2"/>
    <n v="2"/>
    <n v="0"/>
    <x v="0"/>
    <x v="3"/>
  </r>
  <r>
    <n v="1000105113"/>
    <s v="Weidmuller Product, VSSC4 CL FG24VAC/DC0.5A, "/>
    <x v="3"/>
    <s v="Weidmuller Middle East (FZE)"/>
    <n v="454.98"/>
    <n v="9"/>
    <n v="9"/>
    <n v="0"/>
    <x v="0"/>
    <x v="3"/>
  </r>
  <r>
    <n v="1000096039"/>
    <s v="Weidmuller; P/N:1024500000  Model No.WDU 120/"/>
    <x v="3"/>
    <s v="Weidmuller Middle East (FZE)"/>
    <n v="454.61"/>
    <n v="7"/>
    <n v="7"/>
    <n v="0"/>
    <x v="0"/>
    <x v="3"/>
  </r>
  <r>
    <n v="1000102236"/>
    <s v="SKF BEARINGS - IR 70X80X35"/>
    <x v="3"/>
    <s v="SKF Eurotrade AB"/>
    <n v="452.7"/>
    <n v="6"/>
    <n v="6"/>
    <n v="0"/>
    <x v="0"/>
    <x v="4"/>
  </r>
  <r>
    <n v="1000020247"/>
    <s v="SKF BEARING - 6005-2RSH"/>
    <x v="3"/>
    <s v="SKF Eurotrade AB"/>
    <n v="452.5"/>
    <n v="50"/>
    <n v="50"/>
    <n v="0"/>
    <x v="0"/>
    <x v="4"/>
  </r>
  <r>
    <n v="1000020926"/>
    <s v="SKF BEARING - NJ 2306 ECP/C3"/>
    <x v="3"/>
    <s v="SKF Eurotrade AB"/>
    <n v="452.4"/>
    <n v="4"/>
    <n v="4"/>
    <n v="0"/>
    <x v="0"/>
    <x v="4"/>
  </r>
  <r>
    <n v="1000098543"/>
    <s v="SKF BEARING-6019/C3"/>
    <x v="3"/>
    <s v="SKF Eurotrade AB"/>
    <n v="451.31"/>
    <n v="3"/>
    <n v="3"/>
    <n v="0"/>
    <x v="0"/>
    <x v="4"/>
  </r>
  <r>
    <n v="1000020002"/>
    <s v="SKF BEARING - 6205-Z"/>
    <x v="3"/>
    <s v="SKF Eurotrade AB"/>
    <n v="451.09050000000002"/>
    <n v="28"/>
    <n v="28"/>
    <n v="0"/>
    <x v="0"/>
    <x v="4"/>
  </r>
  <r>
    <n v="1000095398"/>
    <s v="SKF BEARING:NU 2209 ECP"/>
    <x v="3"/>
    <s v="SKF Eurotrade AB"/>
    <n v="447.57"/>
    <n v="5"/>
    <n v="5"/>
    <n v="0"/>
    <x v="0"/>
    <x v="4"/>
  </r>
  <r>
    <n v="1000098647"/>
    <s v="SKF BEARING -H 322 E"/>
    <x v="3"/>
    <s v="SKF Eurotrade AB"/>
    <n v="446.97"/>
    <n v="2"/>
    <n v="2"/>
    <n v="0"/>
    <x v="0"/>
    <x v="4"/>
  </r>
  <r>
    <n v="1000010242"/>
    <s v="P+F, Inductive Sensor    Model No. NJ8-18GK-N"/>
    <x v="3"/>
    <s v="Pepperl+Fuchs (ME) FZE"/>
    <n v="445.60124999999999"/>
    <n v="3"/>
    <n v="3"/>
    <n v="0"/>
    <x v="0"/>
    <x v="5"/>
  </r>
  <r>
    <n v="2500008148"/>
    <s v="KIT OIL STOP VALVE MDL PG 400-150,300-100,300"/>
    <x v="0"/>
    <s v="QURUM Technical Company"/>
    <n v="445.15"/>
    <n v="3"/>
    <n v="3"/>
    <n v="0"/>
    <x v="0"/>
    <x v="0"/>
  </r>
  <r>
    <n v="1000098468"/>
    <s v="SKF BEARING-23022 CC/W33"/>
    <x v="3"/>
    <s v="SKF Eurotrade AB"/>
    <n v="444.00700000000001"/>
    <n v="1"/>
    <n v="1"/>
    <n v="0"/>
    <x v="0"/>
    <x v="4"/>
  </r>
  <r>
    <n v="1000092377"/>
    <s v="SKF - SHEAVE, DRIVING, 148X103X34T,DWG#PL310 "/>
    <x v="3"/>
    <s v="SKF Eurotrade AB"/>
    <n v="443.93"/>
    <n v="2"/>
    <n v="2"/>
    <n v="0"/>
    <x v="0"/>
    <x v="4"/>
  </r>
  <r>
    <n v="1000107067"/>
    <s v="Weidmuller; VG M25-MS 68;P/N:1772230000"/>
    <x v="3"/>
    <s v="Weidmuller Middle East (FZE)"/>
    <n v="442.39"/>
    <n v="23"/>
    <n v="23"/>
    <n v="0"/>
    <x v="0"/>
    <x v="3"/>
  </r>
  <r>
    <n v="1000102337"/>
    <s v="SKF BEARING - NU 213 ECJ/C3"/>
    <x v="3"/>
    <s v="SKF Eurotrade AB"/>
    <n v="441.70400000000001"/>
    <n v="2"/>
    <n v="2"/>
    <n v="0"/>
    <x v="0"/>
    <x v="4"/>
  </r>
  <r>
    <n v="1000097856"/>
    <s v="SKF BEARING - NJ 211 ECJ"/>
    <x v="3"/>
    <s v="SKF Eurotrade AB"/>
    <n v="440.11200000000002"/>
    <n v="3"/>
    <n v="3"/>
    <n v="0"/>
    <x v="0"/>
    <x v="4"/>
  </r>
  <r>
    <n v="1000101490"/>
    <s v="Weidmuller; Model:WDK 2.5N PN:1041600000"/>
    <x v="3"/>
    <s v="Weidmuller Middle East (FZE)"/>
    <n v="440"/>
    <n v="100"/>
    <n v="100"/>
    <n v="0"/>
    <x v="0"/>
    <x v="3"/>
  </r>
  <r>
    <n v="1000020519"/>
    <s v="SKF BEARING - 6215/C3"/>
    <x v="3"/>
    <s v="SKF Eurotrade AB"/>
    <n v="438.70173868312702"/>
    <n v="4"/>
    <n v="4"/>
    <n v="0"/>
    <x v="0"/>
    <x v="4"/>
  </r>
  <r>
    <n v="1000098592"/>
    <s v="SKF BEARING -6315/C4"/>
    <x v="3"/>
    <s v="SKF Eurotrade AB"/>
    <n v="438.58"/>
    <n v="2"/>
    <n v="2"/>
    <n v="0"/>
    <x v="0"/>
    <x v="4"/>
  </r>
  <r>
    <n v="1000020537"/>
    <s v="SKF BEARING - 6218-2Z"/>
    <x v="3"/>
    <s v="SKF Eurotrade AB"/>
    <n v="437.68"/>
    <n v="2"/>
    <n v="2"/>
    <n v="0"/>
    <x v="0"/>
    <x v="4"/>
  </r>
  <r>
    <n v="1000020568"/>
    <s v="SKF BEARING - 62210-2RS1"/>
    <x v="3"/>
    <s v="SKF Eurotrade AB"/>
    <n v="437.55"/>
    <n v="5"/>
    <n v="5"/>
    <n v="0"/>
    <x v="0"/>
    <x v="4"/>
  </r>
  <r>
    <n v="1000020175"/>
    <s v="SKF BEARING - 32016 X/Q"/>
    <x v="3"/>
    <s v="SKF Eurotrade AB"/>
    <n v="437.48"/>
    <n v="4"/>
    <n v="4"/>
    <n v="0"/>
    <x v="0"/>
    <x v="4"/>
  </r>
  <r>
    <n v="1000021018"/>
    <s v="SKF BEARING - NU 216 ECP/C3"/>
    <x v="3"/>
    <s v="SKF Eurotrade AB"/>
    <n v="437.46"/>
    <n v="2"/>
    <n v="2"/>
    <n v="0"/>
    <x v="0"/>
    <x v="4"/>
  </r>
  <r>
    <n v="2500008284"/>
    <s v="INTAKE VALVE KIT EIV 102 PN 972300040"/>
    <x v="0"/>
    <s v="ELGI Gulf FZE"/>
    <n v="437.40444444444398"/>
    <n v="8"/>
    <n v="8"/>
    <n v="0"/>
    <x v="0"/>
    <x v="0"/>
  </r>
  <r>
    <n v="1000020271"/>
    <s v="SKF BEARING - 6009-2RS1/C3"/>
    <x v="3"/>
    <s v="SKF Eurotrade AB"/>
    <n v="437.2"/>
    <n v="20"/>
    <n v="20"/>
    <n v="0"/>
    <x v="0"/>
    <x v="4"/>
  </r>
  <r>
    <n v="1000103204"/>
    <s v="SKF Product; PHG SPB1700"/>
    <x v="3"/>
    <s v="SKF Eurotrade AB"/>
    <n v="436.78450348899599"/>
    <n v="19"/>
    <n v="19"/>
    <n v="0"/>
    <x v="0"/>
    <x v="4"/>
  </r>
  <r>
    <n v="1000020157"/>
    <s v="SKF BEARING - 30317 J2"/>
    <x v="3"/>
    <s v="SKF Eurotrade AB"/>
    <n v="436.76"/>
    <n v="1"/>
    <n v="1"/>
    <n v="0"/>
    <x v="0"/>
    <x v="4"/>
  </r>
  <r>
    <n v="1000103154"/>
    <s v="SKF Products; 7208 BEP"/>
    <x v="3"/>
    <s v="SKF Eurotrade AB"/>
    <n v="435.74"/>
    <n v="7"/>
    <n v="7"/>
    <n v="0"/>
    <x v="0"/>
    <x v="4"/>
  </r>
  <r>
    <n v="1000020936"/>
    <s v="SKF BEARING - NJ 2310 ECP/C3"/>
    <x v="3"/>
    <s v="SKF Eurotrade AB"/>
    <n v="434.94"/>
    <n v="2"/>
    <n v="2"/>
    <n v="0"/>
    <x v="0"/>
    <x v="4"/>
  </r>
  <r>
    <n v="1000020935"/>
    <s v="SKF BEARING - NJ 2310 ECP"/>
    <x v="3"/>
    <s v="SKF Eurotrade AB"/>
    <n v="434.94"/>
    <n v="2"/>
    <n v="2"/>
    <n v="0"/>
    <x v="0"/>
    <x v="4"/>
  </r>
  <r>
    <n v="1000097684"/>
    <s v="Weidmuller; TERMINAL BLOCK; P/N: 1021580000; "/>
    <x v="3"/>
    <s v="Weidmuller Middle East (FZE)"/>
    <n v="434.26"/>
    <n v="95"/>
    <n v="95"/>
    <n v="0"/>
    <x v="0"/>
    <x v="3"/>
  </r>
  <r>
    <n v="1000020108"/>
    <s v="SKF BEARING - 3310 A-2RS1"/>
    <x v="3"/>
    <s v="SKF Eurotrade AB"/>
    <n v="434.16"/>
    <n v="2"/>
    <n v="2"/>
    <n v="0"/>
    <x v="0"/>
    <x v="4"/>
  </r>
  <r>
    <n v="1000020109"/>
    <s v="SKF BEARING - 3310 A-2RS1/C3"/>
    <x v="3"/>
    <s v="SKF Eurotrade AB"/>
    <n v="434.16"/>
    <n v="2"/>
    <n v="2"/>
    <n v="0"/>
    <x v="0"/>
    <x v="4"/>
  </r>
  <r>
    <n v="1000020769"/>
    <s v="SKF BEARING - 6411/C3"/>
    <x v="3"/>
    <s v="SKF Eurotrade AB"/>
    <n v="433.60918367346898"/>
    <n v="2"/>
    <n v="2"/>
    <n v="0"/>
    <x v="0"/>
    <x v="4"/>
  </r>
  <r>
    <n v="1000020955"/>
    <s v="SKF BEARING - NJ 308 ECJ/C3"/>
    <x v="3"/>
    <s v="SKF Eurotrade AB"/>
    <n v="432.22500000000002"/>
    <n v="3"/>
    <n v="3"/>
    <n v="0"/>
    <x v="0"/>
    <x v="4"/>
  </r>
  <r>
    <n v="1000102178"/>
    <s v="Weidmuller; Model No. RCL425024;  PN:40585800"/>
    <x v="3"/>
    <s v="Weidmuller Middle East (FZE)"/>
    <n v="432.19274999999999"/>
    <n v="33"/>
    <n v="33"/>
    <n v="0"/>
    <x v="0"/>
    <x v="3"/>
  </r>
  <r>
    <n v="1000101514"/>
    <s v="Weidmuller; P/N: 8731700000   Model No. WTR 2"/>
    <x v="3"/>
    <s v="Weidmuller Middle East (FZE)"/>
    <n v="431.51"/>
    <n v="100"/>
    <n v="100"/>
    <n v="0"/>
    <x v="0"/>
    <x v="3"/>
  </r>
  <r>
    <n v="1000098526"/>
    <s v="SKF BEARING-3212 A"/>
    <x v="3"/>
    <s v="SKF Eurotrade AB"/>
    <n v="431.31"/>
    <n v="2"/>
    <n v="2"/>
    <n v="0"/>
    <x v="0"/>
    <x v="4"/>
  </r>
  <r>
    <n v="1000020736"/>
    <s v="SKF BEARING - 6317-2RS1/C3"/>
    <x v="3"/>
    <s v="SKF Eurotrade AB"/>
    <n v="430.46"/>
    <n v="1"/>
    <n v="1"/>
    <n v="0"/>
    <x v="0"/>
    <x v="4"/>
  </r>
  <r>
    <n v="2500008058"/>
    <s v="Pre-filter PN PFE0053"/>
    <x v="0"/>
    <s v="ELGI Gulf FZE"/>
    <n v="430.39924999999999"/>
    <n v="1"/>
    <n v="1"/>
    <n v="0"/>
    <x v="0"/>
    <x v="0"/>
  </r>
  <r>
    <n v="2500006045"/>
    <s v="THERMAL ELEMENT 75 DEG CELCIUS PN B0087060300"/>
    <x v="0"/>
    <s v="ELGI Gulf FZE"/>
    <n v="429.53714285714199"/>
    <n v="4"/>
    <n v="3"/>
    <n v="1"/>
    <x v="2"/>
    <x v="0"/>
  </r>
  <r>
    <n v="2500008170"/>
    <s v="Coupling Element MDL EG30 PN 12437590"/>
    <x v="0"/>
    <s v="QURUM Technical Company"/>
    <n v="428.51139443333301"/>
    <n v="7"/>
    <n v="7"/>
    <n v="0"/>
    <x v="0"/>
    <x v="0"/>
  </r>
  <r>
    <n v="1000102223"/>
    <s v="SKF BEARINGS - 32026 X"/>
    <x v="3"/>
    <s v="SKF Eurotrade AB"/>
    <n v="427.6875"/>
    <n v="1"/>
    <n v="1"/>
    <n v="0"/>
    <x v="0"/>
    <x v="4"/>
  </r>
  <r>
    <n v="1000020340"/>
    <s v="SKF BEARING - 608-2Z/C3"/>
    <x v="3"/>
    <s v="SKF Eurotrade AB"/>
    <n v="427.5"/>
    <n v="90"/>
    <n v="90"/>
    <n v="0"/>
    <x v="0"/>
    <x v="4"/>
  </r>
  <r>
    <n v="1000020925"/>
    <s v="SKF BEARING - NJ 2214 ECP"/>
    <x v="3"/>
    <s v="SKF Eurotrade AB"/>
    <n v="427.32"/>
    <n v="2"/>
    <n v="2"/>
    <n v="0"/>
    <x v="0"/>
    <x v="4"/>
  </r>
  <r>
    <n v="1000020305"/>
    <s v="SKF BEARING - 6017/C3"/>
    <x v="3"/>
    <s v="SKF Eurotrade AB"/>
    <n v="425.92"/>
    <n v="4"/>
    <n v="4"/>
    <n v="0"/>
    <x v="0"/>
    <x v="4"/>
  </r>
  <r>
    <n v="1000020493"/>
    <s v="SKF BEARING - 6211-Z/C3"/>
    <x v="3"/>
    <s v="SKF Eurotrade AB"/>
    <n v="425.16800000000001"/>
    <n v="8"/>
    <n v="8"/>
    <n v="0"/>
    <x v="0"/>
    <x v="4"/>
  </r>
  <r>
    <n v="2500008203"/>
    <s v="OIL FILTER ASSY PART NO X017485"/>
    <x v="0"/>
    <s v="ELGI Gulf FZE"/>
    <n v="424.12333333333299"/>
    <n v="3"/>
    <n v="3"/>
    <n v="0"/>
    <x v="0"/>
    <x v="0"/>
  </r>
  <r>
    <n v="1000020105"/>
    <s v="SKF BEARING - 3309 ANR"/>
    <x v="3"/>
    <s v="SKF Eurotrade AB"/>
    <n v="423.18"/>
    <n v="2"/>
    <n v="2"/>
    <n v="0"/>
    <x v="0"/>
    <x v="4"/>
  </r>
  <r>
    <n v="1000101491"/>
    <s v="Weidmuller; Model:WDK 2.5 2D"/>
    <x v="3"/>
    <s v="Weidmuller Middle East (FZE)"/>
    <n v="422.73439999999999"/>
    <n v="44"/>
    <n v="44"/>
    <n v="0"/>
    <x v="0"/>
    <x v="3"/>
  </r>
  <r>
    <n v="2500008224"/>
    <s v="SUCTION HOSE-PN B003506470001"/>
    <x v="0"/>
    <s v="ELGI Gulf FZE"/>
    <n v="421.96"/>
    <n v="2"/>
    <n v="2"/>
    <n v="0"/>
    <x v="0"/>
    <x v="0"/>
  </r>
  <r>
    <n v="1000020693"/>
    <s v="SKF BEARING - 6311-Z"/>
    <x v="3"/>
    <s v="SKF Eurotrade AB"/>
    <n v="421.52270622710603"/>
    <n v="4"/>
    <n v="0"/>
    <n v="4"/>
    <x v="3"/>
    <x v="4"/>
  </r>
  <r>
    <n v="2500008153"/>
    <s v="DCV ASSLY MDL DT 750-125, 650 - 200, 400-150 "/>
    <x v="0"/>
    <s v="ELGI Gulf FZE"/>
    <n v="420.37842002885998"/>
    <n v="1"/>
    <n v="1"/>
    <n v="0"/>
    <x v="0"/>
    <x v="0"/>
  </r>
  <r>
    <n v="2500008153"/>
    <s v="DCV ASSLY MDL DT 750-125, 650 - 200, 400-150 "/>
    <x v="9"/>
    <s v="QURUM Technical Company"/>
    <n v="420.37842002885998"/>
    <n v="1"/>
    <n v="1"/>
    <n v="0"/>
    <x v="0"/>
    <x v="0"/>
  </r>
  <r>
    <n v="2500008645"/>
    <s v="ACTUATOR PNEU; P/N: B011406760001"/>
    <x v="0"/>
    <s v="ELGI Gulf FZE"/>
    <n v="420"/>
    <n v="4"/>
    <n v="4"/>
    <n v="0"/>
    <x v="0"/>
    <x v="0"/>
  </r>
  <r>
    <n v="2500009460"/>
    <s v="DESCRIPTION : MECH CONTROL CABLE | Part No: P"/>
    <x v="0"/>
    <s v="PARANTHAMAN EXPORTERS"/>
    <n v="420"/>
    <n v="2"/>
    <n v="2"/>
    <n v="0"/>
    <x v="0"/>
    <x v="0"/>
  </r>
  <r>
    <n v="1000103026"/>
    <s v="PEPPERL+FUSH; NBB2-6,5S40-E2-PUR P/N: 304615-"/>
    <x v="3"/>
    <s v="Pepperl+Fuchs (ME) FZE"/>
    <n v="419.22"/>
    <n v="2"/>
    <n v="2"/>
    <n v="0"/>
    <x v="0"/>
    <x v="5"/>
  </r>
  <r>
    <n v="1000102284"/>
    <s v="Weidmuller; Model No. WDK 10 V; PN:1186770000"/>
    <x v="3"/>
    <s v="Weidmuller Middle East (FZE)"/>
    <n v="419.12400000000002"/>
    <n v="30"/>
    <n v="30"/>
    <n v="0"/>
    <x v="0"/>
    <x v="3"/>
  </r>
  <r>
    <n v="2500008425"/>
    <s v="Drive Coupling PN B005404400002"/>
    <x v="0"/>
    <s v="ELGI Gulf FZE"/>
    <n v="418.5"/>
    <n v="2"/>
    <n v="2"/>
    <n v="0"/>
    <x v="0"/>
    <x v="0"/>
  </r>
  <r>
    <n v="1000021012"/>
    <s v="SKF BEARING - NU 215 ECM/C3"/>
    <x v="3"/>
    <s v="SKF Eurotrade AB"/>
    <n v="418.39"/>
    <n v="1"/>
    <n v="1"/>
    <n v="0"/>
    <x v="0"/>
    <x v="4"/>
  </r>
  <r>
    <n v="1000103206"/>
    <s v="SKF Product; PHG SPB1500"/>
    <x v="3"/>
    <s v="SKF Eurotrade AB"/>
    <n v="418.081812169312"/>
    <n v="20"/>
    <n v="20"/>
    <n v="0"/>
    <x v="0"/>
    <x v="4"/>
  </r>
  <r>
    <n v="1000095677"/>
    <s v="SKF BEARING NJ 2309 ECP/C4"/>
    <x v="3"/>
    <s v="SKF Eurotrade AB"/>
    <n v="416.43"/>
    <n v="2"/>
    <n v="2"/>
    <n v="0"/>
    <x v="0"/>
    <x v="4"/>
  </r>
  <r>
    <n v="2500001400"/>
    <s v="SOLENOID VALVE 1/4&quot; 110V AC NC PN 10464170"/>
    <x v="0"/>
    <s v="ELGI Gulf FZE"/>
    <n v="415.778300575"/>
    <n v="4"/>
    <n v="4"/>
    <n v="0"/>
    <x v="0"/>
    <x v="0"/>
  </r>
  <r>
    <n v="1000098232"/>
    <s v="Weidmueller,Product :ZP 2.5/1AN/6"/>
    <x v="3"/>
    <s v="Weidmuller Middle East (FZE)"/>
    <n v="415.15519999999998"/>
    <n v="50"/>
    <n v="50"/>
    <n v="0"/>
    <x v="0"/>
    <x v="3"/>
  </r>
  <r>
    <n v="1000020260"/>
    <s v="SKF BEARING - 6007-2RS1/C3"/>
    <x v="3"/>
    <s v="SKF Eurotrade AB"/>
    <n v="412.8"/>
    <n v="30"/>
    <n v="30"/>
    <n v="0"/>
    <x v="0"/>
    <x v="4"/>
  </r>
  <r>
    <n v="2500009294"/>
    <s v="ADV FOR AIR DRYER 930AV0060 R00"/>
    <x v="0"/>
    <s v="Summits Hygronics Private Limited"/>
    <n v="412.5"/>
    <n v="1"/>
    <n v="1"/>
    <n v="0"/>
    <x v="0"/>
    <x v="0"/>
  </r>
  <r>
    <n v="1000100310"/>
    <s v="SKF Product 51122"/>
    <x v="3"/>
    <s v="SKF Eurotrade AB"/>
    <n v="412.125"/>
    <n v="2"/>
    <n v="2"/>
    <n v="0"/>
    <x v="0"/>
    <x v="4"/>
  </r>
  <r>
    <n v="1000021066"/>
    <s v="SKF BEARING - NU 2308 ECP"/>
    <x v="3"/>
    <s v="SKF Eurotrade AB"/>
    <n v="412.05"/>
    <n v="3"/>
    <n v="3"/>
    <n v="0"/>
    <x v="0"/>
    <x v="4"/>
  </r>
  <r>
    <n v="1000020775"/>
    <s v="SKF BEARING - 51104"/>
    <x v="3"/>
    <s v="SKF Eurotrade AB"/>
    <n v="411.452564102564"/>
    <n v="19"/>
    <n v="19"/>
    <n v="0"/>
    <x v="0"/>
    <x v="4"/>
  </r>
  <r>
    <n v="1000098893"/>
    <s v="P+F, Inductive Sensor;Model:NBN4-12GM40-Z0; P"/>
    <x v="3"/>
    <s v="Pepperl+Fuchs (ME) FZE"/>
    <n v="410.4"/>
    <n v="3"/>
    <n v="3"/>
    <n v="0"/>
    <x v="0"/>
    <x v="5"/>
  </r>
  <r>
    <n v="1000021127"/>
    <s v="SKF BEARING - NU 316 ECJ"/>
    <x v="3"/>
    <s v="SKF Eurotrade AB"/>
    <n v="410.01"/>
    <n v="1"/>
    <n v="1"/>
    <n v="0"/>
    <x v="0"/>
    <x v="4"/>
  </r>
  <r>
    <n v="2500009357"/>
    <s v="DESCRIPTION :GAUGE FLOAT OIL LEVEL 7483S000 |"/>
    <x v="0"/>
    <s v="ELGI Gulf FZE"/>
    <n v="408.9"/>
    <n v="2"/>
    <n v="2"/>
    <n v="0"/>
    <x v="0"/>
    <x v="0"/>
  </r>
  <r>
    <n v="1000010119"/>
    <s v="Pepperl Fuchs Inductive Sensor; Model: NJ3-18"/>
    <x v="3"/>
    <s v="Pepperl+Fuchs (ME) FZE"/>
    <n v="408.81470967741899"/>
    <n v="1"/>
    <n v="1"/>
    <n v="0"/>
    <x v="0"/>
    <x v="5"/>
  </r>
  <r>
    <n v="1000020153"/>
    <s v="SKF BEARING - 30311 J2/Q"/>
    <x v="3"/>
    <s v="SKF Eurotrade AB"/>
    <n v="405.24"/>
    <n v="4"/>
    <n v="4"/>
    <n v="0"/>
    <x v="0"/>
    <x v="4"/>
  </r>
  <r>
    <n v="2500008262"/>
    <s v="CONNECTOR; RUBBER; 6&quot; P N 220371770"/>
    <x v="0"/>
    <s v="ELGI Gulf FZE"/>
    <n v="405"/>
    <n v="6"/>
    <n v="6"/>
    <n v="0"/>
    <x v="0"/>
    <x v="0"/>
  </r>
  <r>
    <n v="1000102231"/>
    <s v="SKF BEARINGS - NU 211 ECJ"/>
    <x v="3"/>
    <s v="SKF Eurotrade AB"/>
    <n v="403.53750000000002"/>
    <n v="3"/>
    <n v="3"/>
    <n v="0"/>
    <x v="0"/>
    <x v="4"/>
  </r>
  <r>
    <n v="1000099842"/>
    <s v="SKF SEAL:Z010"/>
    <x v="3"/>
    <s v="SKF Eurotrade AB"/>
    <n v="403.15"/>
    <n v="23"/>
    <n v="23"/>
    <n v="0"/>
    <x v="0"/>
    <x v="4"/>
  </r>
  <r>
    <n v="1000093596"/>
    <s v="Weidmuller; TERMINAL BLOCK; P/N: 1802780000; "/>
    <x v="3"/>
    <s v="Weidmuller Middle East (FZE)"/>
    <n v="401.090105263157"/>
    <n v="4"/>
    <n v="4"/>
    <n v="0"/>
    <x v="0"/>
    <x v="3"/>
  </r>
  <r>
    <n v="1000020532"/>
    <s v="SKF BEARING - 6217-2RS1/C3"/>
    <x v="3"/>
    <s v="SKF Eurotrade AB"/>
    <n v="400.44"/>
    <n v="2"/>
    <n v="2"/>
    <n v="0"/>
    <x v="0"/>
    <x v="4"/>
  </r>
  <r>
    <n v="1000020046"/>
    <s v="SKF BEARING - RLS 8-2RS1"/>
    <x v="3"/>
    <s v="SKF Eurotrade AB"/>
    <n v="400.27"/>
    <n v="5"/>
    <n v="5"/>
    <n v="0"/>
    <x v="0"/>
    <x v="4"/>
  </r>
  <r>
    <n v="1000102120"/>
    <s v="Weidmuller; Model No. HDC 16B DMDQ 2QB;  PN:1"/>
    <x v="3"/>
    <s v="Weidmuller Middle East (FZE)"/>
    <n v="399.96677727999997"/>
    <n v="6"/>
    <n v="6"/>
    <n v="0"/>
    <x v="0"/>
    <x v="3"/>
  </r>
  <r>
    <n v="1000100328"/>
    <s v="SKF Product 6304/C3"/>
    <x v="3"/>
    <s v="SKF Eurotrade AB"/>
    <n v="399.95843076923001"/>
    <n v="47"/>
    <n v="47"/>
    <n v="0"/>
    <x v="0"/>
    <x v="4"/>
  </r>
  <r>
    <n v="2500005929"/>
    <s v="SOLENOID VALVE 2 WAY 24V AC PN B007300170002"/>
    <x v="0"/>
    <s v="ELGI Gulf FZE"/>
    <n v="396.58177913326602"/>
    <n v="1"/>
    <n v="1"/>
    <n v="0"/>
    <x v="0"/>
    <x v="0"/>
  </r>
  <r>
    <n v="1000098718"/>
    <s v="SKF BEARING -NUP 2212 ECP"/>
    <x v="3"/>
    <s v="SKF Eurotrade AB"/>
    <n v="396.4"/>
    <n v="2"/>
    <n v="2"/>
    <n v="0"/>
    <x v="0"/>
    <x v="4"/>
  </r>
  <r>
    <n v="1000095262"/>
    <s v="SKF BEARING - 3209 A"/>
    <x v="3"/>
    <s v="SKF Eurotrade AB"/>
    <n v="396.29399999999998"/>
    <n v="3"/>
    <n v="3"/>
    <n v="0"/>
    <x v="0"/>
    <x v="4"/>
  </r>
  <r>
    <n v="1000099724"/>
    <s v="SKF BEARING - 6210 NR"/>
    <x v="3"/>
    <s v="SKF Eurotrade AB"/>
    <n v="395.54462222222202"/>
    <n v="5"/>
    <n v="5"/>
    <n v="0"/>
    <x v="0"/>
    <x v="4"/>
  </r>
  <r>
    <n v="1000100304"/>
    <s v="SKF Product 3309 ATN9"/>
    <x v="3"/>
    <s v="SKF Eurotrade AB"/>
    <n v="395.33"/>
    <n v="2"/>
    <n v="2"/>
    <n v="0"/>
    <x v="0"/>
    <x v="4"/>
  </r>
  <r>
    <n v="1000100412"/>
    <s v="SKF Product NJ 2305 ECP/C3"/>
    <x v="3"/>
    <s v="SKF Eurotrade AB"/>
    <n v="394.43"/>
    <n v="4"/>
    <n v="4"/>
    <n v="0"/>
    <x v="0"/>
    <x v="4"/>
  </r>
  <r>
    <n v="1000020288"/>
    <s v="SKF BEARING - 6012-2Z/C3"/>
    <x v="3"/>
    <s v="SKF Eurotrade AB"/>
    <n v="394.08"/>
    <n v="12"/>
    <n v="12"/>
    <n v="0"/>
    <x v="0"/>
    <x v="4"/>
  </r>
  <r>
    <n v="1000101341"/>
    <s v="Weidmueller,Product:PN:68790000;   PN:FM 4/TS"/>
    <x v="3"/>
    <s v="Weidmuller Middle East (FZE)"/>
    <n v="393.46"/>
    <n v="200"/>
    <n v="200"/>
    <n v="0"/>
    <x v="0"/>
    <x v="3"/>
  </r>
  <r>
    <n v="1000020102"/>
    <s v="SKF BEARING - 3309 A-2RS1"/>
    <x v="3"/>
    <s v="SKF Eurotrade AB"/>
    <n v="392.7"/>
    <n v="2"/>
    <n v="2"/>
    <n v="0"/>
    <x v="0"/>
    <x v="4"/>
  </r>
  <r>
    <n v="1000021197"/>
    <s v="SKF BEARING - 22207 EK/C3"/>
    <x v="3"/>
    <s v="SKF Eurotrade AB"/>
    <n v="392.56"/>
    <n v="4"/>
    <n v="4"/>
    <n v="0"/>
    <x v="0"/>
    <x v="4"/>
  </r>
  <r>
    <n v="1000020671"/>
    <s v="SKF BEARING - 6309-2RS1"/>
    <x v="3"/>
    <s v="SKF Eurotrade AB"/>
    <n v="392.10535714285697"/>
    <n v="8"/>
    <n v="8"/>
    <n v="0"/>
    <x v="0"/>
    <x v="4"/>
  </r>
  <r>
    <n v="1000093683"/>
    <s v="Weidmuller; Accessories Clamping Yoke Busbar;"/>
    <x v="3"/>
    <s v="Weidmuller Middle East (FZE)"/>
    <n v="391.41719997070902"/>
    <n v="390"/>
    <n v="390"/>
    <n v="0"/>
    <x v="0"/>
    <x v="3"/>
  </r>
  <r>
    <n v="1000020994"/>
    <s v="SKF BEARING - NU 210 ECP"/>
    <x v="3"/>
    <s v="SKF Eurotrade AB"/>
    <n v="388.76307692307603"/>
    <n v="4"/>
    <n v="4"/>
    <n v="0"/>
    <x v="0"/>
    <x v="4"/>
  </r>
  <r>
    <n v="1000102777"/>
    <s v="Weidmuller Item; PRO INSTA 60W 24V 2.5A; P/N "/>
    <x v="3"/>
    <s v="Weidmuller Middle East (FZE)"/>
    <n v="388.37400000000002"/>
    <n v="3"/>
    <n v="3"/>
    <n v="0"/>
    <x v="0"/>
    <x v="3"/>
  </r>
  <r>
    <n v="1000098441"/>
    <s v="SKF BEARING-30304"/>
    <x v="3"/>
    <s v="SKF Eurotrade AB"/>
    <n v="388.31200000000001"/>
    <n v="16"/>
    <n v="16"/>
    <n v="0"/>
    <x v="0"/>
    <x v="4"/>
  </r>
  <r>
    <n v="1000110738"/>
    <s v="Feed-through terminal block SAK 16 PN: 027106"/>
    <x v="3"/>
    <s v="Weidmuller Middle East (FZE)"/>
    <n v="388.08"/>
    <n v="49"/>
    <n v="49"/>
    <n v="0"/>
    <x v="0"/>
    <x v="3"/>
  </r>
  <r>
    <n v="1000098438"/>
    <s v="SKF BEARING-30210"/>
    <x v="3"/>
    <s v="SKF Eurotrade AB"/>
    <n v="387.416"/>
    <n v="8"/>
    <n v="8"/>
    <n v="0"/>
    <x v="0"/>
    <x v="4"/>
  </r>
  <r>
    <n v="1000020433"/>
    <s v="SKF BEARING - 6205-2RSH/C3"/>
    <x v="3"/>
    <s v="SKF Eurotrade AB"/>
    <n v="387.35978571428501"/>
    <n v="38"/>
    <n v="38"/>
    <n v="0"/>
    <x v="0"/>
    <x v="4"/>
  </r>
  <r>
    <n v="1000096883"/>
    <s v="Weidmueller,Product2535810000;WIL-350-W-M12G-"/>
    <x v="3"/>
    <s v="Weidmuller Middle East (FZE)"/>
    <n v="386.75"/>
    <n v="2"/>
    <n v="2"/>
    <n v="0"/>
    <x v="0"/>
    <x v="3"/>
  </r>
  <r>
    <n v="1000021068"/>
    <s v="SKF BEARING - NU 2309 ECML"/>
    <x v="3"/>
    <s v="SKF Eurotrade AB"/>
    <n v="386.5"/>
    <n v="1"/>
    <n v="1"/>
    <n v="0"/>
    <x v="0"/>
    <x v="4"/>
  </r>
  <r>
    <n v="1000020804"/>
    <s v="SKF BEARING - 7211 BECBM"/>
    <x v="3"/>
    <s v="SKF Eurotrade AB"/>
    <n v="384.964"/>
    <n v="2"/>
    <n v="2"/>
    <n v="0"/>
    <x v="0"/>
    <x v="4"/>
  </r>
  <r>
    <n v="1000098619"/>
    <s v="Weidmuller;PN:546000000;ISPF QB58 SW"/>
    <x v="3"/>
    <s v="Weidmuller Middle East (FZE)"/>
    <n v="384.40714285714199"/>
    <n v="150"/>
    <n v="150"/>
    <n v="0"/>
    <x v="0"/>
    <x v="3"/>
  </r>
  <r>
    <n v="1000106135"/>
    <s v="SKF Product; SNL 517"/>
    <x v="3"/>
    <s v="SKF Eurotrade AB"/>
    <n v="383.33"/>
    <n v="1"/>
    <n v="1"/>
    <n v="0"/>
    <x v="0"/>
    <x v="4"/>
  </r>
  <r>
    <n v="1000020412"/>
    <s v="SKF BEARING - 6202-Z"/>
    <x v="3"/>
    <s v="SKF Eurotrade AB"/>
    <n v="382.84"/>
    <n v="68"/>
    <n v="68"/>
    <n v="0"/>
    <x v="0"/>
    <x v="4"/>
  </r>
  <r>
    <n v="1000098544"/>
    <s v="SKF BEARING-6021/C3"/>
    <x v="3"/>
    <s v="SKF Eurotrade AB"/>
    <n v="382.25"/>
    <n v="2"/>
    <n v="2"/>
    <n v="0"/>
    <x v="0"/>
    <x v="4"/>
  </r>
  <r>
    <n v="1000101059"/>
    <s v="Weidmuller; Terminal Blocks; Model No: WDU 4 "/>
    <x v="3"/>
    <s v="Weidmuller Middle East (FZE)"/>
    <n v="381.96449999999999"/>
    <n v="150"/>
    <n v="150"/>
    <n v="0"/>
    <x v="0"/>
    <x v="3"/>
  </r>
  <r>
    <n v="1000096766"/>
    <s v="ZTR 2.5;1831280000"/>
    <x v="3"/>
    <s v="Weidmuller Middle East (FZE)"/>
    <n v="381.706285714285"/>
    <n v="58"/>
    <n v="58"/>
    <n v="0"/>
    <x v="0"/>
    <x v="3"/>
  </r>
  <r>
    <n v="1000098202"/>
    <s v="SKF BEARING - 3205 A"/>
    <x v="3"/>
    <s v="SKF Eurotrade AB"/>
    <n v="381.65"/>
    <n v="5"/>
    <n v="5"/>
    <n v="0"/>
    <x v="0"/>
    <x v="4"/>
  </r>
  <r>
    <n v="1000020989"/>
    <s v="SKF BEARING - NU 208 ECP/C3"/>
    <x v="3"/>
    <s v="SKF Eurotrade AB"/>
    <n v="381.55"/>
    <n v="5"/>
    <n v="5"/>
    <n v="0"/>
    <x v="0"/>
    <x v="4"/>
  </r>
  <r>
    <n v="1000020951"/>
    <s v="SKF BEARING - NJ 306 ECP/C3"/>
    <x v="3"/>
    <s v="SKF Eurotrade AB"/>
    <n v="381.55"/>
    <n v="5"/>
    <n v="5"/>
    <n v="0"/>
    <x v="0"/>
    <x v="4"/>
  </r>
  <r>
    <n v="1000020898"/>
    <s v="SKF BEARING - NJ 213 ECJ"/>
    <x v="3"/>
    <s v="SKF Eurotrade AB"/>
    <n v="380.52"/>
    <n v="2"/>
    <n v="2"/>
    <n v="0"/>
    <x v="0"/>
    <x v="4"/>
  </r>
  <r>
    <n v="1000098155"/>
    <s v="Weidmuller; Terminal Blocks &amp; Accessories;P/N"/>
    <x v="3"/>
    <s v="Weidmuller Middle East (FZE)"/>
    <n v="380.481652"/>
    <n v="30"/>
    <n v="30"/>
    <n v="0"/>
    <x v="0"/>
    <x v="3"/>
  </r>
  <r>
    <n v="1000021409"/>
    <s v="SKF BEARING - 6308 NR/C3"/>
    <x v="3"/>
    <s v="SKF Eurotrade AB"/>
    <n v="380.15"/>
    <n v="10"/>
    <n v="10"/>
    <n v="0"/>
    <x v="0"/>
    <x v="4"/>
  </r>
  <r>
    <n v="1000020603"/>
    <s v="SKF BEARING - 6300-2RSH/C3"/>
    <x v="3"/>
    <s v="SKF Eurotrade AB"/>
    <n v="380"/>
    <n v="50"/>
    <n v="50"/>
    <n v="0"/>
    <x v="0"/>
    <x v="4"/>
  </r>
  <r>
    <n v="1000020300"/>
    <s v="SKF BEARING - 6016/C3"/>
    <x v="3"/>
    <s v="SKF Eurotrade AB"/>
    <n v="379.88"/>
    <n v="4"/>
    <n v="4"/>
    <n v="0"/>
    <x v="0"/>
    <x v="4"/>
  </r>
  <r>
    <n v="1000020771"/>
    <s v="SKF BEARING - 6413/C3"/>
    <x v="3"/>
    <s v="SKF Eurotrade AB"/>
    <n v="379.61439272525701"/>
    <n v="1"/>
    <n v="1"/>
    <n v="0"/>
    <x v="0"/>
    <x v="4"/>
  </r>
  <r>
    <n v="1000020934"/>
    <s v="SKF BEARING - NJ 2310 ECML/C3"/>
    <x v="3"/>
    <s v="SKF Eurotrade AB"/>
    <n v="378.89"/>
    <n v="1"/>
    <n v="1"/>
    <n v="0"/>
    <x v="0"/>
    <x v="4"/>
  </r>
  <r>
    <n v="1000105833"/>
    <s v="Weidmuller Product; EK 10; P/N: 354660000"/>
    <x v="3"/>
    <s v="Weidmuller Middle East (FZE)"/>
    <n v="378.84"/>
    <n v="30"/>
    <n v="30"/>
    <n v="0"/>
    <x v="0"/>
    <x v="3"/>
  </r>
  <r>
    <n v="1000103196"/>
    <s v="SKF Product; FY 55 TR"/>
    <x v="3"/>
    <s v="SKF Eurotrade AB"/>
    <n v="378"/>
    <n v="2"/>
    <n v="2"/>
    <n v="0"/>
    <x v="0"/>
    <x v="4"/>
  </r>
  <r>
    <n v="1000020261"/>
    <s v="SKF BEARING - 6007-2Z/C3"/>
    <x v="3"/>
    <s v="SKF Eurotrade AB"/>
    <n v="377.58"/>
    <n v="31"/>
    <n v="25"/>
    <n v="6"/>
    <x v="3"/>
    <x v="4"/>
  </r>
  <r>
    <n v="1000020207"/>
    <s v="SKF BEARING - 33211/Q"/>
    <x v="3"/>
    <s v="SKF Eurotrade AB"/>
    <n v="377.2"/>
    <n v="4"/>
    <n v="4"/>
    <n v="0"/>
    <x v="0"/>
    <x v="4"/>
  </r>
  <r>
    <n v="2500008264"/>
    <s v="VALVE ASSY PR.RELIEF 1&quot; P N A010107"/>
    <x v="0"/>
    <s v="ELGI Gulf FZE"/>
    <n v="376.69"/>
    <n v="4"/>
    <n v="4"/>
    <n v="0"/>
    <x v="0"/>
    <x v="0"/>
  </r>
  <r>
    <n v="2200000286"/>
    <s v="O-Ring Repair Kit  PN-RKORP802UA87DB252"/>
    <x v="2"/>
    <s v="Sundyne International S.A."/>
    <n v="375.59"/>
    <n v="1"/>
    <n v="1"/>
    <n v="0"/>
    <x v="0"/>
    <x v="2"/>
  </r>
  <r>
    <n v="1000098459"/>
    <s v="SKF BEARING-21314 E"/>
    <x v="3"/>
    <s v="SKF Eurotrade AB"/>
    <n v="375.45"/>
    <n v="1"/>
    <n v="1"/>
    <n v="0"/>
    <x v="0"/>
    <x v="4"/>
  </r>
  <r>
    <n v="2500008283"/>
    <s v="DCV 3.0&quot; ASSEMBLY PN A970027"/>
    <x v="0"/>
    <s v="ELGI Gulf FZE"/>
    <n v="375"/>
    <n v="1"/>
    <n v="1"/>
    <n v="0"/>
    <x v="0"/>
    <x v="0"/>
  </r>
  <r>
    <n v="1000020819"/>
    <s v="SKF BEARING - 7218 BECBP"/>
    <x v="3"/>
    <s v="SKF Eurotrade AB"/>
    <n v="373.61"/>
    <n v="1"/>
    <n v="1"/>
    <n v="0"/>
    <x v="0"/>
    <x v="4"/>
  </r>
  <r>
    <n v="1000103528"/>
    <s v="SKF Product; 6204-2Z/VA201"/>
    <x v="3"/>
    <s v="SKF Eurotrade AB"/>
    <n v="373.50400000000002"/>
    <n v="4"/>
    <n v="4"/>
    <n v="0"/>
    <x v="0"/>
    <x v="4"/>
  </r>
  <r>
    <n v="1000106594"/>
    <s v="P+F Mounting Kit; SMK 4"/>
    <x v="3"/>
    <s v="Pepperl+Fuchs (ME) FZE"/>
    <n v="372.19333333333299"/>
    <n v="4"/>
    <n v="4"/>
    <n v="0"/>
    <x v="0"/>
    <x v="5"/>
  </r>
  <r>
    <n v="1000020309"/>
    <s v="SKF BEARING - 6017-Z"/>
    <x v="3"/>
    <s v="SKF Eurotrade AB"/>
    <n v="372.03"/>
    <n v="3"/>
    <n v="3"/>
    <n v="0"/>
    <x v="0"/>
    <x v="4"/>
  </r>
  <r>
    <n v="1000020625"/>
    <s v="SKF BEARING - 6304-Z"/>
    <x v="3"/>
    <s v="SKF Eurotrade AB"/>
    <n v="371.73"/>
    <n v="29"/>
    <n v="29"/>
    <n v="0"/>
    <x v="0"/>
    <x v="4"/>
  </r>
  <r>
    <n v="1000098524"/>
    <s v="SKF BEARING-3208 A-2RS1TN9/C3MT33"/>
    <x v="3"/>
    <s v="SKF Eurotrade AB"/>
    <n v="370.89600000000002"/>
    <n v="3"/>
    <n v="3"/>
    <n v="0"/>
    <x v="0"/>
    <x v="4"/>
  </r>
  <r>
    <n v="1000020286"/>
    <s v="SKF BEARING - 6012-2RS1/C3"/>
    <x v="3"/>
    <s v="SKF Eurotrade AB"/>
    <n v="370.7"/>
    <n v="10"/>
    <n v="10"/>
    <n v="0"/>
    <x v="0"/>
    <x v="4"/>
  </r>
  <r>
    <n v="1000020327"/>
    <s v="SKF BEARING - 6024/C3"/>
    <x v="3"/>
    <s v="SKF Eurotrade AB"/>
    <n v="370.52"/>
    <n v="2"/>
    <n v="2"/>
    <n v="0"/>
    <x v="0"/>
    <x v="4"/>
  </r>
  <r>
    <n v="1000020530"/>
    <s v="SKF BEARING - 6217 M/C3"/>
    <x v="3"/>
    <s v="SKF Eurotrade AB"/>
    <n v="370.48"/>
    <n v="1"/>
    <n v="1"/>
    <n v="0"/>
    <x v="0"/>
    <x v="4"/>
  </r>
  <r>
    <n v="1000020694"/>
    <s v="SKF BEARING - 6311-Z/C3"/>
    <x v="3"/>
    <s v="SKF Eurotrade AB"/>
    <n v="370.32"/>
    <n v="4"/>
    <n v="4"/>
    <n v="0"/>
    <x v="0"/>
    <x v="4"/>
  </r>
  <r>
    <n v="1000106189"/>
    <s v="Weidmuller Product; WQV 120/3; P/N: 106340000"/>
    <x v="3"/>
    <s v="Weidmuller Middle East (FZE)"/>
    <n v="369.53"/>
    <n v="4"/>
    <n v="4"/>
    <n v="0"/>
    <x v="0"/>
    <x v="3"/>
  </r>
  <r>
    <n v="1000021190"/>
    <s v="SKF BEARING - H 318"/>
    <x v="3"/>
    <s v="Universal Bearings Company"/>
    <n v="367.65"/>
    <n v="3"/>
    <n v="3"/>
    <n v="0"/>
    <x v="0"/>
    <x v="4"/>
  </r>
  <r>
    <n v="1000021194"/>
    <s v="SKF BEARING - 22205 E"/>
    <x v="3"/>
    <s v="SKF Eurotrade AB"/>
    <n v="366.24"/>
    <n v="4"/>
    <n v="4"/>
    <n v="0"/>
    <x v="0"/>
    <x v="4"/>
  </r>
  <r>
    <n v="1000020927"/>
    <s v="SKF BEARING - NJ 2307 ECP"/>
    <x v="3"/>
    <s v="SKF Eurotrade AB"/>
    <n v="365.37"/>
    <n v="3"/>
    <n v="3"/>
    <n v="0"/>
    <x v="0"/>
    <x v="4"/>
  </r>
  <r>
    <n v="2500008232"/>
    <s v="PIPE COUPLING 2 IN STY12  PN B005602930001"/>
    <x v="0"/>
    <s v="ELGI Gulf FZE"/>
    <n v="365.20499999999998"/>
    <n v="7"/>
    <n v="7"/>
    <n v="0"/>
    <x v="0"/>
    <x v="0"/>
  </r>
  <r>
    <n v="1000098703"/>
    <s v="SKF BEARING -NU 2212 ECJ/C3"/>
    <x v="3"/>
    <s v="SKF Eurotrade AB"/>
    <n v="364.42"/>
    <n v="2"/>
    <n v="2"/>
    <n v="0"/>
    <x v="0"/>
    <x v="4"/>
  </r>
  <r>
    <n v="1000103148"/>
    <s v="SKF Products; SNL 518-615"/>
    <x v="3"/>
    <s v="Universal Bearings Company"/>
    <n v="363.94"/>
    <n v="1"/>
    <n v="1"/>
    <n v="0"/>
    <x v="0"/>
    <x v="4"/>
  </r>
  <r>
    <n v="1000021013"/>
    <s v="SKF BEARING - NU 215 ECP"/>
    <x v="3"/>
    <s v="SKF Eurotrade AB"/>
    <n v="362.2"/>
    <n v="2"/>
    <n v="2"/>
    <n v="0"/>
    <x v="0"/>
    <x v="4"/>
  </r>
  <r>
    <n v="1000021014"/>
    <s v="SKF BEARING - NU 215 ECP/C3"/>
    <x v="3"/>
    <s v="SKF Eurotrade AB"/>
    <n v="362.2"/>
    <n v="2"/>
    <n v="2"/>
    <n v="0"/>
    <x v="0"/>
    <x v="4"/>
  </r>
  <r>
    <n v="1000020483"/>
    <s v="SKF BEARING - 6210/C4"/>
    <x v="3"/>
    <s v="SKF Eurotrade AB"/>
    <n v="360.98467391304303"/>
    <n v="7"/>
    <n v="7"/>
    <n v="0"/>
    <x v="0"/>
    <x v="4"/>
  </r>
  <r>
    <n v="2500008375"/>
    <s v="Vacuflex(SUCTION HOSE) P N B010406260003"/>
    <x v="0"/>
    <s v="ELGI Gulf FZE"/>
    <n v="360"/>
    <n v="1"/>
    <n v="1"/>
    <n v="0"/>
    <x v="0"/>
    <x v="0"/>
  </r>
  <r>
    <n v="1000108371"/>
    <s v="Weidmuller Product; VG M32 - MS 68; P/N:17722"/>
    <x v="3"/>
    <s v="Weidmuller Middle East (FZE)"/>
    <n v="358.99"/>
    <n v="8"/>
    <n v="8"/>
    <n v="0"/>
    <x v="0"/>
    <x v="3"/>
  </r>
  <r>
    <n v="1000021071"/>
    <s v="SKF BEARING - NU 2310 ECP/C3"/>
    <x v="3"/>
    <s v="SKF Eurotrade AB"/>
    <n v="357.14"/>
    <n v="2"/>
    <n v="2"/>
    <n v="0"/>
    <x v="0"/>
    <x v="4"/>
  </r>
  <r>
    <n v="1000020136"/>
    <s v="SKF BEARING - 30204 J2/Q"/>
    <x v="3"/>
    <s v="SKF Eurotrade AB"/>
    <n v="357"/>
    <n v="20"/>
    <n v="20"/>
    <n v="0"/>
    <x v="0"/>
    <x v="4"/>
  </r>
  <r>
    <n v="2500008213"/>
    <s v="AUTO DRAIN FLOAT TYPE PN B001305630001"/>
    <x v="0"/>
    <s v="ELGI Gulf FZE"/>
    <n v="354.75"/>
    <n v="3"/>
    <n v="3"/>
    <n v="0"/>
    <x v="0"/>
    <x v="0"/>
  </r>
  <r>
    <n v="1000098603"/>
    <s v="SKF BEARING -7311 BEGAP"/>
    <x v="3"/>
    <s v="SKF Eurotrade AB"/>
    <n v="353.48"/>
    <n v="2"/>
    <n v="2"/>
    <n v="0"/>
    <x v="0"/>
    <x v="4"/>
  </r>
  <r>
    <n v="1000098669"/>
    <s v="SKF BEARING -KM 32"/>
    <x v="3"/>
    <s v="SKF Eurotrade AB"/>
    <n v="353.33333333333297"/>
    <n v="2"/>
    <n v="2"/>
    <n v="0"/>
    <x v="0"/>
    <x v="4"/>
  </r>
  <r>
    <n v="1000096240"/>
    <s v="SKF BEARING -6314/C4"/>
    <x v="3"/>
    <s v="SKF Eurotrade AB"/>
    <n v="351.14166666666603"/>
    <n v="2"/>
    <n v="2"/>
    <n v="0"/>
    <x v="0"/>
    <x v="4"/>
  </r>
  <r>
    <n v="1000020920"/>
    <s v="SKF BEARING - NJ 2210 ECJ/C3"/>
    <x v="3"/>
    <s v="SKF Eurotrade AB"/>
    <n v="349.96"/>
    <n v="2"/>
    <n v="2"/>
    <n v="0"/>
    <x v="0"/>
    <x v="4"/>
  </r>
  <r>
    <n v="1000106052"/>
    <s v="P&amp;F Background suppression sensor; OBD200-18G"/>
    <x v="3"/>
    <s v="Pepperl+Fuchs (ME) FZE"/>
    <n v="349.92"/>
    <n v="2"/>
    <n v="2"/>
    <n v="0"/>
    <x v="0"/>
    <x v="5"/>
  </r>
  <r>
    <n v="1000102177"/>
    <s v="Weidmuller; Model No. TRS 24-230VUC 2CO AU;  "/>
    <x v="3"/>
    <s v="Weidmuller Middle East (FZE)"/>
    <n v="349.69499999999999"/>
    <n v="5"/>
    <n v="5"/>
    <n v="0"/>
    <x v="0"/>
    <x v="3"/>
  </r>
  <r>
    <n v="1000108976"/>
    <s v="Weidmuller Product MCZ R 24VDC; P/N:836598000"/>
    <x v="3"/>
    <s v="Weidmuller Middle East (FZE)"/>
    <n v="349.23"/>
    <n v="9"/>
    <n v="9"/>
    <n v="0"/>
    <x v="0"/>
    <x v="3"/>
  </r>
  <r>
    <n v="1000020096"/>
    <s v="SKF BEARING - 3308 A-2RS1/C3"/>
    <x v="3"/>
    <s v="SKF Eurotrade AB"/>
    <n v="348.98"/>
    <n v="2"/>
    <n v="2"/>
    <n v="0"/>
    <x v="0"/>
    <x v="4"/>
  </r>
  <r>
    <n v="1000020345"/>
    <s v="SKF BEARING - 61801-2RS1"/>
    <x v="3"/>
    <s v="SKF Eurotrade AB"/>
    <n v="348.67190384615299"/>
    <n v="17"/>
    <n v="17"/>
    <n v="0"/>
    <x v="0"/>
    <x v="4"/>
  </r>
  <r>
    <n v="1000093664"/>
    <s v="Weidmuller; Terminal Blocks &amp; Accessories; P/"/>
    <x v="3"/>
    <s v="Weidmuller Middle East (FZE)"/>
    <n v="347.31679203577602"/>
    <n v="121"/>
    <n v="121"/>
    <n v="0"/>
    <x v="0"/>
    <x v="3"/>
  </r>
  <r>
    <n v="1000021001"/>
    <s v="SKF BEARING - NU 212 ECM"/>
    <x v="3"/>
    <s v="SKF Eurotrade AB"/>
    <n v="346.54"/>
    <n v="1"/>
    <n v="1"/>
    <n v="0"/>
    <x v="0"/>
    <x v="4"/>
  </r>
  <r>
    <n v="1000020315"/>
    <s v="SKF BEARING - 6019-2Z/C3"/>
    <x v="3"/>
    <s v="SKF Eurotrade AB"/>
    <n v="346.02"/>
    <n v="2"/>
    <n v="2"/>
    <n v="0"/>
    <x v="0"/>
    <x v="4"/>
  </r>
  <r>
    <n v="1000021103"/>
    <s v="SKF BEARING - NU 311 ECM"/>
    <x v="3"/>
    <s v="SKF Eurotrade AB"/>
    <n v="345.91"/>
    <n v="1"/>
    <n v="1"/>
    <n v="0"/>
    <x v="0"/>
    <x v="4"/>
  </r>
  <r>
    <n v="1000106070"/>
    <s v="P&amp;F Diffuse mode Sensor; OBD200-18GM60-E5-IR-"/>
    <x v="3"/>
    <s v="Pepperl+Fuchs (ME) FZE"/>
    <n v="345.24"/>
    <n v="2"/>
    <n v="2"/>
    <n v="0"/>
    <x v="0"/>
    <x v="5"/>
  </r>
  <r>
    <n v="1000099286"/>
    <s v="SKF BEARING - NUP 217 ECP"/>
    <x v="3"/>
    <s v="SKF Eurotrade AB"/>
    <n v="343.69"/>
    <n v="1"/>
    <n v="1"/>
    <n v="0"/>
    <x v="0"/>
    <x v="4"/>
  </r>
  <r>
    <n v="1000099335"/>
    <s v="P+F, Inductive Sensor Model No. SC3,5-G-N0  P"/>
    <x v="3"/>
    <s v="Pepperl+Fuchs (ME) FZE"/>
    <n v="342"/>
    <n v="3"/>
    <n v="3"/>
    <n v="0"/>
    <x v="0"/>
    <x v="5"/>
  </r>
  <r>
    <n v="1000020394"/>
    <s v="SKF BEARING - 61911-2RS1"/>
    <x v="3"/>
    <s v="SKF Eurotrade AB"/>
    <n v="341.82"/>
    <n v="3"/>
    <n v="3"/>
    <n v="0"/>
    <x v="0"/>
    <x v="4"/>
  </r>
  <r>
    <n v="1000101488"/>
    <s v="Weidmuller; Model:WDU 10 SL"/>
    <x v="3"/>
    <s v="Weidmuller Middle East (FZE)"/>
    <n v="341.4"/>
    <n v="100"/>
    <n v="100"/>
    <n v="0"/>
    <x v="0"/>
    <x v="3"/>
  </r>
  <r>
    <n v="1000021104"/>
    <s v="SKF BEARING - NU 311 ECM/C3"/>
    <x v="3"/>
    <s v="SKF Eurotrade AB"/>
    <n v="340.33499999999998"/>
    <n v="1"/>
    <n v="1"/>
    <n v="0"/>
    <x v="0"/>
    <x v="4"/>
  </r>
  <r>
    <n v="1000020082"/>
    <s v="SKF BEARING - 3305 A-2Z/C3"/>
    <x v="3"/>
    <s v="SKF Eurotrade AB"/>
    <n v="340.23"/>
    <n v="3"/>
    <n v="3"/>
    <n v="0"/>
    <x v="0"/>
    <x v="4"/>
  </r>
  <r>
    <n v="1000110716"/>
    <s v="PLUG 757 -1/2&quot; NPT EXD/EXE N.PLTD HEX HD STOP"/>
    <x v="3"/>
    <s v="Khereiji Showrooms  CO Ltd"/>
    <n v="340"/>
    <n v="25"/>
    <n v="25"/>
    <n v="0"/>
    <x v="2"/>
    <x v="7"/>
  </r>
  <r>
    <n v="1000101747"/>
    <s v="P+F,Inductive Sensor; Model:NCB1,5-8GM25-N0-V"/>
    <x v="3"/>
    <s v="Pepperl+Fuchs (ME) FZE"/>
    <n v="339.65199999999999"/>
    <n v="2"/>
    <n v="2"/>
    <n v="0"/>
    <x v="0"/>
    <x v="5"/>
  </r>
  <r>
    <n v="1000020047"/>
    <s v="SKF BEARING - 81108 TN"/>
    <x v="3"/>
    <s v="SKF Eurotrade AB"/>
    <n v="339.64"/>
    <n v="4"/>
    <n v="4"/>
    <n v="0"/>
    <x v="0"/>
    <x v="4"/>
  </r>
  <r>
    <n v="1000020063"/>
    <s v="SKF BEARING - 6302"/>
    <x v="3"/>
    <s v="Universal Bearings Company"/>
    <n v="339.38"/>
    <n v="50"/>
    <n v="50"/>
    <n v="0"/>
    <x v="0"/>
    <x v="4"/>
  </r>
  <r>
    <n v="1000021075"/>
    <s v="SKF BEARING - NU 2313 ECP/C3"/>
    <x v="3"/>
    <s v="SKF Eurotrade AB"/>
    <n v="339.15"/>
    <n v="1"/>
    <n v="1"/>
    <n v="0"/>
    <x v="0"/>
    <x v="4"/>
  </r>
  <r>
    <n v="1000106397"/>
    <s v="Weidmuller Product; VSSC6TRCLFG24VAC/DC0.5A; "/>
    <x v="3"/>
    <s v="Weidmuller Middle East (FZE)"/>
    <n v="338.86031250000002"/>
    <n v="6"/>
    <n v="6"/>
    <n v="0"/>
    <x v="0"/>
    <x v="3"/>
  </r>
  <r>
    <n v="1000098445"/>
    <s v="SKF BEARING-32207"/>
    <x v="3"/>
    <s v="SKF Eurotrade AB"/>
    <n v="337.45"/>
    <n v="10"/>
    <n v="10"/>
    <n v="0"/>
    <x v="0"/>
    <x v="4"/>
  </r>
  <r>
    <n v="1000098731"/>
    <s v="SKF BEARING -W 14"/>
    <x v="3"/>
    <s v="SKF Eurotrade AB"/>
    <n v="336.17887179487099"/>
    <n v="32"/>
    <n v="32"/>
    <n v="0"/>
    <x v="0"/>
    <x v="4"/>
  </r>
  <r>
    <n v="1000020425"/>
    <s v="SKF BEARING - 6204-2Z/C3GJN"/>
    <x v="3"/>
    <s v="SKF Eurotrade AB"/>
    <n v="335.8"/>
    <n v="20"/>
    <n v="20"/>
    <n v="0"/>
    <x v="0"/>
    <x v="4"/>
  </r>
  <r>
    <n v="1000020563"/>
    <s v="SKF BEARING - 62208-2RS1"/>
    <x v="3"/>
    <s v="SKF Eurotrade AB"/>
    <n v="335.50799999999998"/>
    <n v="6"/>
    <n v="6"/>
    <n v="0"/>
    <x v="0"/>
    <x v="4"/>
  </r>
  <r>
    <n v="1000020312"/>
    <s v="SKF BEARING - 6018-2RS1/C3"/>
    <x v="3"/>
    <s v="SKF Eurotrade AB"/>
    <n v="335.16"/>
    <n v="3"/>
    <n v="3"/>
    <n v="0"/>
    <x v="0"/>
    <x v="4"/>
  </r>
  <r>
    <n v="1000020729"/>
    <s v="SKF BEARING - 6316-2RS1/C3"/>
    <x v="3"/>
    <s v="SKF Eurotrade AB"/>
    <n v="334.15"/>
    <n v="1"/>
    <n v="1"/>
    <n v="0"/>
    <x v="0"/>
    <x v="4"/>
  </r>
  <r>
    <n v="1000102883"/>
    <s v="SKF BEARING; TMMR 120F"/>
    <x v="3"/>
    <s v="SKF Eurotrade AB"/>
    <n v="334.11360000000002"/>
    <n v="1"/>
    <n v="1"/>
    <n v="0"/>
    <x v="0"/>
    <x v="4"/>
  </r>
  <r>
    <n v="1000021294"/>
    <s v="SKF BEARING - H 2316"/>
    <x v="3"/>
    <s v="SKF Eurotrade AB"/>
    <n v="333.94204967320201"/>
    <n v="3"/>
    <n v="3"/>
    <n v="0"/>
    <x v="0"/>
    <x v="4"/>
  </r>
  <r>
    <n v="1000021443"/>
    <s v="SKF BEARING - 21310 E"/>
    <x v="3"/>
    <s v="SKF Eurotrade AB"/>
    <n v="331.46"/>
    <n v="2"/>
    <n v="2"/>
    <n v="0"/>
    <x v="0"/>
    <x v="4"/>
  </r>
  <r>
    <n v="1000020085"/>
    <s v="SKF BEARING - 3306 A-2RS1"/>
    <x v="3"/>
    <s v="SKF Eurotrade AB"/>
    <n v="330.85142857142802"/>
    <n v="3"/>
    <n v="3"/>
    <n v="0"/>
    <x v="0"/>
    <x v="4"/>
  </r>
  <r>
    <n v="2500009190"/>
    <s v="Desc:64320FF082-COND.DRAIN SOLENOID| P/N:B000"/>
    <x v="0"/>
    <s v="ELGI Gulf FZE"/>
    <n v="330.75"/>
    <n v="1"/>
    <n v="1"/>
    <n v="0"/>
    <x v="0"/>
    <x v="0"/>
  </r>
  <r>
    <n v="1000020465"/>
    <s v="SKF BEARING - 6208-2Z/GJN"/>
    <x v="3"/>
    <s v="SKF Eurotrade AB"/>
    <n v="330.71"/>
    <n v="8"/>
    <n v="0"/>
    <n v="8"/>
    <x v="3"/>
    <x v="4"/>
  </r>
  <r>
    <n v="1000020986"/>
    <s v="SKF BEARING - NU 207 ECP/C3"/>
    <x v="3"/>
    <s v="SKF Eurotrade AB"/>
    <n v="330.7"/>
    <n v="5"/>
    <n v="5"/>
    <n v="0"/>
    <x v="0"/>
    <x v="4"/>
  </r>
  <r>
    <n v="2500008247"/>
    <s v="SK239A - EXHA VALVE SPARE KIT PN B01500011016"/>
    <x v="0"/>
    <s v="ELGI Equipments Limited"/>
    <n v="330"/>
    <n v="2"/>
    <n v="2"/>
    <n v="0"/>
    <x v="0"/>
    <x v="0"/>
  </r>
  <r>
    <n v="2500009413"/>
    <s v="DESCRIPTION : L GUIDE 2 | Part No: PRD 12 118"/>
    <x v="0"/>
    <s v="PARANTHAMAN EXPORTERS"/>
    <n v="330"/>
    <n v="8"/>
    <n v="8"/>
    <n v="0"/>
    <x v="0"/>
    <x v="0"/>
  </r>
  <r>
    <n v="1000020911"/>
    <s v="SKF BEARING - NJ 2206 ECP"/>
    <x v="3"/>
    <s v="SKF Eurotrade AB"/>
    <n v="329.6"/>
    <n v="4"/>
    <n v="4"/>
    <n v="0"/>
    <x v="0"/>
    <x v="4"/>
  </r>
  <r>
    <n v="1000020228"/>
    <s v="SKF BEARING - 6001-2Z/C3"/>
    <x v="3"/>
    <s v="SKF Eurotrade AB"/>
    <n v="327.60000000000002"/>
    <n v="60"/>
    <n v="60"/>
    <n v="0"/>
    <x v="0"/>
    <x v="4"/>
  </r>
  <r>
    <n v="1000020347"/>
    <s v="SKF BEARING - 61804-2RS1"/>
    <x v="3"/>
    <s v="SKF Eurotrade AB"/>
    <n v="326.01214285714201"/>
    <n v="13"/>
    <n v="13"/>
    <n v="0"/>
    <x v="0"/>
    <x v="4"/>
  </r>
  <r>
    <n v="1000020160"/>
    <s v="SKF BEARING - 31311 J2/Q"/>
    <x v="3"/>
    <s v="Universal Bearings Company"/>
    <n v="325.74"/>
    <n v="2"/>
    <n v="2"/>
    <n v="0"/>
    <x v="0"/>
    <x v="4"/>
  </r>
  <r>
    <n v="1000109023"/>
    <s v="Weidmuller Product; WTR 2.5 GR; P/N: 10482200"/>
    <x v="3"/>
    <s v="Weidmuller Middle East (FZE)"/>
    <n v="324.74"/>
    <n v="70"/>
    <n v="70"/>
    <n v="0"/>
    <x v="0"/>
    <x v="3"/>
  </r>
  <r>
    <n v="1000020281"/>
    <s v="SKF BEARING - 6011-2RS1/C3"/>
    <x v="3"/>
    <s v="SKF Eurotrade AB"/>
    <n v="323.5"/>
    <n v="10"/>
    <n v="10"/>
    <n v="0"/>
    <x v="0"/>
    <x v="4"/>
  </r>
  <r>
    <n v="1000021036"/>
    <s v="SKF BEARING - NU 2210 ECJ/C3"/>
    <x v="3"/>
    <s v="SKF Eurotrade AB"/>
    <n v="322.64"/>
    <n v="2"/>
    <n v="2"/>
    <n v="0"/>
    <x v="0"/>
    <x v="4"/>
  </r>
  <r>
    <n v="1000020982"/>
    <s v="SKF BEARING - NU 206 ECJ"/>
    <x v="3"/>
    <s v="SKF Eurotrade AB"/>
    <n v="322.3125"/>
    <n v="3"/>
    <n v="3"/>
    <n v="0"/>
    <x v="0"/>
    <x v="4"/>
  </r>
  <r>
    <n v="1000098461"/>
    <s v="SKF BEARING-2207 EKTN9"/>
    <x v="3"/>
    <s v="SKF Eurotrade AB"/>
    <n v="322.10000000000002"/>
    <n v="5"/>
    <n v="5"/>
    <n v="0"/>
    <x v="0"/>
    <x v="4"/>
  </r>
  <r>
    <n v="1000107110"/>
    <s v="Weidmuller Product; RCL214730; P/N:8693300000"/>
    <x v="3"/>
    <s v="Weidmuller Middle East (FZE)"/>
    <n v="321.3"/>
    <n v="20"/>
    <n v="20"/>
    <n v="0"/>
    <x v="0"/>
    <x v="3"/>
  </r>
  <r>
    <n v="1000109796"/>
    <s v="WDU 35 SW  PN:1020510000"/>
    <x v="3"/>
    <s v="Weidmuller Middle East (FZE)"/>
    <n v="320.10000000000002"/>
    <n v="34"/>
    <n v="34"/>
    <n v="0"/>
    <x v="0"/>
    <x v="3"/>
  </r>
  <r>
    <n v="1000021392"/>
    <s v="SKF BEARING - SY 508M"/>
    <x v="3"/>
    <s v="SKF Eurotrade AB"/>
    <n v="319.18402380952301"/>
    <n v="8"/>
    <n v="8"/>
    <n v="0"/>
    <x v="0"/>
    <x v="4"/>
  </r>
  <r>
    <n v="1000096123"/>
    <s v="Weidmuller; P/N:1143020000  Model No.WMF 2.5 "/>
    <x v="3"/>
    <s v="Weidmuller Middle East (FZE)"/>
    <n v="318.75"/>
    <n v="50"/>
    <n v="50"/>
    <n v="0"/>
    <x v="0"/>
    <x v="3"/>
  </r>
  <r>
    <n v="1000020506"/>
    <s v="SKF BEARING - 6213/C3"/>
    <x v="3"/>
    <s v="SKF Eurotrade AB"/>
    <n v="318.16627956989203"/>
    <n v="4"/>
    <n v="4"/>
    <n v="0"/>
    <x v="0"/>
    <x v="4"/>
  </r>
  <r>
    <n v="1000020993"/>
    <s v="SKF BEARING - NU 210 ECM"/>
    <x v="3"/>
    <s v="SKF Eurotrade AB"/>
    <n v="318.02999999999997"/>
    <n v="1"/>
    <n v="1"/>
    <n v="0"/>
    <x v="0"/>
    <x v="4"/>
  </r>
  <r>
    <n v="1000021095"/>
    <s v="SKF BEARING - NU 309 ECP/C3"/>
    <x v="3"/>
    <s v="SKF Eurotrade AB"/>
    <n v="317.43"/>
    <n v="3"/>
    <n v="3"/>
    <n v="0"/>
    <x v="0"/>
    <x v="4"/>
  </r>
  <r>
    <n v="1000098542"/>
    <s v="SKF BEARING-6018-Z"/>
    <x v="3"/>
    <s v="SKF Eurotrade AB"/>
    <n v="317.23"/>
    <n v="2"/>
    <n v="2"/>
    <n v="0"/>
    <x v="0"/>
    <x v="4"/>
  </r>
  <r>
    <n v="1000094203"/>
    <s v="Weidmuller Blank Terminal markers P/N:2007110"/>
    <x v="3"/>
    <s v="Weidmuller Middle East (FZE)"/>
    <n v="316.8"/>
    <n v="2400"/>
    <n v="2400"/>
    <n v="0"/>
    <x v="0"/>
    <x v="3"/>
  </r>
  <r>
    <n v="1000099488"/>
    <s v="SKF BEARING-1209 EKTN9"/>
    <x v="3"/>
    <s v="SKF Eurotrade AB"/>
    <n v="315.375"/>
    <n v="5"/>
    <n v="5"/>
    <n v="0"/>
    <x v="0"/>
    <x v="4"/>
  </r>
  <r>
    <n v="1000096817"/>
    <s v="Weidmueller,Product:1055460000;WQV 35/4"/>
    <x v="3"/>
    <s v="Weidmuller Middle East (FZE)"/>
    <n v="315.06"/>
    <n v="49"/>
    <n v="49"/>
    <n v="0"/>
    <x v="0"/>
    <x v="3"/>
  </r>
  <r>
    <n v="2500001780"/>
    <s v="SLEEVE WEAR - AXIS 159 PN 13436256"/>
    <x v="0"/>
    <s v="ELGI Gulf FZE"/>
    <n v="313.61500000000001"/>
    <n v="2"/>
    <n v="2"/>
    <n v="0"/>
    <x v="0"/>
    <x v="0"/>
  </r>
  <r>
    <n v="1000020780"/>
    <s v="SKF BEARING - 51114"/>
    <x v="3"/>
    <s v="SKF Eurotrade AB"/>
    <n v="313.3"/>
    <n v="5"/>
    <n v="5"/>
    <n v="0"/>
    <x v="0"/>
    <x v="4"/>
  </r>
  <r>
    <n v="1000096819"/>
    <s v="Weidmueller,Product:9512240000;WQV 70N/2"/>
    <x v="3"/>
    <s v="Weidmuller Middle East (FZE)"/>
    <n v="312.31885057471197"/>
    <n v="23"/>
    <n v="23"/>
    <n v="0"/>
    <x v="0"/>
    <x v="3"/>
  </r>
  <r>
    <n v="1000098454"/>
    <s v="SKF BEARING-34282"/>
    <x v="3"/>
    <s v="SKF Eurotrade AB"/>
    <n v="311.61"/>
    <n v="10"/>
    <n v="10"/>
    <n v="0"/>
    <x v="0"/>
    <x v="4"/>
  </r>
  <r>
    <n v="1000020044"/>
    <s v="SKF BEARING - 6404"/>
    <x v="3"/>
    <s v="SKF Eurotrade AB"/>
    <n v="311.25"/>
    <n v="5"/>
    <n v="5"/>
    <n v="0"/>
    <x v="0"/>
    <x v="4"/>
  </r>
  <r>
    <n v="1000109795"/>
    <s v="WDU 35 RT  PN:1298080000"/>
    <x v="3"/>
    <s v="Weidmuller Middle East (FZE)"/>
    <n v="311.083529411764"/>
    <n v="34"/>
    <n v="34"/>
    <n v="0"/>
    <x v="0"/>
    <x v="3"/>
  </r>
  <r>
    <n v="1000103527"/>
    <s v="SKF Product; 30311"/>
    <x v="3"/>
    <s v="SKF Eurotrade AB"/>
    <n v="309.38"/>
    <n v="3"/>
    <n v="3"/>
    <n v="0"/>
    <x v="0"/>
    <x v="4"/>
  </r>
  <r>
    <n v="1000098572"/>
    <s v="SKF BEARING -6202-ZTN9/VT808"/>
    <x v="3"/>
    <s v="SKF Eurotrade AB"/>
    <n v="308.99"/>
    <n v="50"/>
    <n v="50"/>
    <n v="0"/>
    <x v="0"/>
    <x v="4"/>
  </r>
  <r>
    <n v="1000020221"/>
    <s v="SKF BEARING - 6000-2RSH/C3"/>
    <x v="3"/>
    <s v="SKF Eurotrade AB"/>
    <n v="308.26665552584598"/>
    <n v="50"/>
    <n v="50"/>
    <n v="0"/>
    <x v="0"/>
    <x v="4"/>
  </r>
  <r>
    <n v="1000020227"/>
    <s v="SKF BEARING - 6001-2RSH/C3"/>
    <x v="3"/>
    <s v="SKF Eurotrade AB"/>
    <n v="308"/>
    <n v="50"/>
    <n v="50"/>
    <n v="0"/>
    <x v="0"/>
    <x v="4"/>
  </r>
  <r>
    <n v="1000100318"/>
    <s v="SKF Product NUP 309 ECP"/>
    <x v="3"/>
    <s v="SKF Eurotrade AB"/>
    <n v="307.35000000000002"/>
    <n v="2"/>
    <n v="2"/>
    <n v="0"/>
    <x v="0"/>
    <x v="4"/>
  </r>
  <r>
    <n v="1000020762"/>
    <s v="SKF BEARING - 6405/C3"/>
    <x v="3"/>
    <s v="SKF Eurotrade AB"/>
    <n v="306.55"/>
    <n v="5"/>
    <n v="5"/>
    <n v="0"/>
    <x v="0"/>
    <x v="4"/>
  </r>
  <r>
    <n v="1000020834"/>
    <s v="SKF BEARING - 7306 BECBP"/>
    <x v="3"/>
    <s v="SKF Eurotrade AB"/>
    <n v="304.3125"/>
    <n v="3"/>
    <n v="3"/>
    <n v="0"/>
    <x v="0"/>
    <x v="4"/>
  </r>
  <r>
    <n v="1000020186"/>
    <s v="SKF BEARING - 32310 J2/Q"/>
    <x v="3"/>
    <s v="SKF Eurotrade AB"/>
    <n v="304.23"/>
    <n v="3"/>
    <n v="3"/>
    <n v="0"/>
    <x v="0"/>
    <x v="4"/>
  </r>
  <r>
    <n v="1000020241"/>
    <s v="SKF BEARING - 6004-2RSH"/>
    <x v="3"/>
    <s v="SKF Eurotrade AB"/>
    <n v="304.21805128205102"/>
    <n v="69"/>
    <n v="69"/>
    <n v="0"/>
    <x v="0"/>
    <x v="4"/>
  </r>
  <r>
    <n v="1000102832"/>
    <s v="Weidmuller Item; P/N 1720950000; ZPEA 2.5-2"/>
    <x v="3"/>
    <s v="Weidmuller Middle East (FZE)"/>
    <n v="303.68"/>
    <n v="100"/>
    <n v="100"/>
    <n v="0"/>
    <x v="0"/>
    <x v="3"/>
  </r>
  <r>
    <n v="1000020480"/>
    <s v="SKF BEARING - 6210"/>
    <x v="3"/>
    <s v="SKF Eurotrade AB"/>
    <n v="303.60000000000002"/>
    <n v="8"/>
    <n v="8"/>
    <n v="0"/>
    <x v="0"/>
    <x v="4"/>
  </r>
  <r>
    <n v="1000020613"/>
    <s v="SKF BEARING - 6301-2Z/C3"/>
    <x v="3"/>
    <s v="SKF Eurotrade AB"/>
    <n v="303.60000000000002"/>
    <n v="44"/>
    <n v="44"/>
    <n v="0"/>
    <x v="0"/>
    <x v="4"/>
  </r>
  <r>
    <n v="1000020956"/>
    <s v="SKF BEARING - NJ 308 ECM"/>
    <x v="3"/>
    <s v="SKF Eurotrade AB"/>
    <n v="303.20999999999998"/>
    <n v="1"/>
    <n v="1"/>
    <n v="0"/>
    <x v="0"/>
    <x v="4"/>
  </r>
  <r>
    <n v="1000020949"/>
    <s v="SKF BEARING - NJ 306 ECJ/C3"/>
    <x v="3"/>
    <s v="SKF Eurotrade AB"/>
    <n v="302.8"/>
    <n v="2"/>
    <n v="2"/>
    <n v="0"/>
    <x v="0"/>
    <x v="4"/>
  </r>
  <r>
    <n v="1000101570"/>
    <s v="SKF BEARING; PN:HA 210"/>
    <x v="3"/>
    <s v="SKF Eurotrade AB"/>
    <n v="302.44"/>
    <n v="1"/>
    <n v="1"/>
    <n v="0"/>
    <x v="0"/>
    <x v="4"/>
  </r>
  <r>
    <n v="1000096104"/>
    <s v="P+F, Inductive sensor; NCB10-30GM40-N0; P/N: "/>
    <x v="3"/>
    <s v="Pepperl+Fuchs (ME) FZE"/>
    <n v="302.11933333333297"/>
    <n v="1"/>
    <n v="1"/>
    <n v="0"/>
    <x v="0"/>
    <x v="5"/>
  </r>
  <r>
    <n v="1000100323"/>
    <s v="SKF Product N 07"/>
    <x v="3"/>
    <s v="SKF Eurotrade AB"/>
    <n v="302.07"/>
    <n v="20"/>
    <n v="20"/>
    <n v="0"/>
    <x v="0"/>
    <x v="4"/>
  </r>
  <r>
    <n v="1000095431"/>
    <s v="SKF BEARING-7218 BEP"/>
    <x v="3"/>
    <s v="SKF Eurotrade AB"/>
    <n v="301.274"/>
    <n v="1"/>
    <n v="1"/>
    <n v="0"/>
    <x v="0"/>
    <x v="4"/>
  </r>
  <r>
    <n v="1000020391"/>
    <s v="SKF BEARING - 61908-2RZ"/>
    <x v="3"/>
    <s v="SKF Eurotrade AB"/>
    <n v="301.16000000000003"/>
    <n v="4"/>
    <n v="4"/>
    <n v="0"/>
    <x v="0"/>
    <x v="4"/>
  </r>
  <r>
    <n v="2500009406"/>
    <s v="DESCRIPTION : FIBRE L PIECE(OZ) | Part No: PR"/>
    <x v="0"/>
    <s v="PARANTHAMAN EXPORTERS"/>
    <n v="300"/>
    <n v="8"/>
    <n v="8"/>
    <n v="0"/>
    <x v="0"/>
    <x v="0"/>
  </r>
  <r>
    <n v="1000100366"/>
    <s v="SKF Product N 14"/>
    <x v="3"/>
    <s v="SKF Eurotrade AB"/>
    <n v="299.14333333333298"/>
    <n v="6"/>
    <n v="6"/>
    <n v="0"/>
    <x v="0"/>
    <x v="4"/>
  </r>
  <r>
    <n v="1000020609"/>
    <s v="SKF BEARING - 6301/C3"/>
    <x v="3"/>
    <s v="SKF Eurotrade AB"/>
    <n v="298.02"/>
    <n v="42"/>
    <n v="42"/>
    <n v="0"/>
    <x v="0"/>
    <x v="4"/>
  </r>
  <r>
    <n v="1000103526"/>
    <s v="SKF Product; NU 203 ECP/C3"/>
    <x v="3"/>
    <s v="SKF Eurotrade AB"/>
    <n v="297.94"/>
    <n v="5"/>
    <n v="5"/>
    <n v="0"/>
    <x v="0"/>
    <x v="4"/>
  </r>
  <r>
    <n v="2500008437"/>
    <s v="Suction Hose Pre filter Box to Air filter, PN"/>
    <x v="0"/>
    <s v="ELGI Gulf FZE"/>
    <n v="297"/>
    <n v="1"/>
    <n v="1"/>
    <n v="0"/>
    <x v="0"/>
    <x v="0"/>
  </r>
  <r>
    <n v="1000020446"/>
    <s v="SKF BEARING - 6206-Z/C3"/>
    <x v="3"/>
    <s v="SKF Eurotrade AB"/>
    <n v="296.952826666666"/>
    <n v="12"/>
    <n v="12"/>
    <n v="0"/>
    <x v="0"/>
    <x v="4"/>
  </r>
  <r>
    <n v="1000020781"/>
    <s v="SKF BEARING - 51118"/>
    <x v="3"/>
    <s v="SKF Eurotrade AB"/>
    <n v="296.94"/>
    <n v="3"/>
    <n v="3"/>
    <n v="0"/>
    <x v="0"/>
    <x v="4"/>
  </r>
  <r>
    <n v="1000020544"/>
    <s v="SKF BEARING - 6219-Z/C3"/>
    <x v="3"/>
    <s v="SKF Eurotrade AB"/>
    <n v="296.77"/>
    <n v="1"/>
    <n v="1"/>
    <n v="0"/>
    <x v="0"/>
    <x v="4"/>
  </r>
  <r>
    <n v="1000098538"/>
    <s v="SKF BEARING-6009-Z"/>
    <x v="3"/>
    <s v="SKF Eurotrade AB"/>
    <n v="295.88"/>
    <n v="10"/>
    <n v="10"/>
    <n v="0"/>
    <x v="0"/>
    <x v="4"/>
  </r>
  <r>
    <n v="1000098532"/>
    <s v="SKF BEARING-3308 ATN9"/>
    <x v="3"/>
    <s v="SKF Eurotrade AB"/>
    <n v="295.36"/>
    <n v="2"/>
    <n v="2"/>
    <n v="0"/>
    <x v="0"/>
    <x v="4"/>
  </r>
  <r>
    <n v="1000020368"/>
    <s v="SKF BEARING - 61816-2RS1"/>
    <x v="3"/>
    <s v="SKF Eurotrade AB"/>
    <n v="295.18"/>
    <n v="2"/>
    <n v="2"/>
    <n v="0"/>
    <x v="0"/>
    <x v="4"/>
  </r>
  <r>
    <n v="1000020546"/>
    <s v="SKF BEARING - 6220/C3"/>
    <x v="3"/>
    <s v="SKF Eurotrade AB"/>
    <n v="294.85987179487103"/>
    <n v="1"/>
    <n v="0"/>
    <n v="1"/>
    <x v="3"/>
    <x v="4"/>
  </r>
  <r>
    <n v="1000020205"/>
    <s v="SKF BEARING - 33209/Q"/>
    <x v="3"/>
    <s v="SKF Eurotrade AB"/>
    <n v="294.83999999999997"/>
    <n v="4"/>
    <n v="4"/>
    <n v="0"/>
    <x v="0"/>
    <x v="4"/>
  </r>
  <r>
    <n v="2500008239"/>
    <s v="THERMAL ELEMENT PN B008706030003"/>
    <x v="0"/>
    <s v="ELGI Gulf FZE"/>
    <n v="294.63799999999998"/>
    <n v="1"/>
    <n v="1"/>
    <n v="0"/>
    <x v="0"/>
    <x v="0"/>
  </r>
  <r>
    <n v="1000020502"/>
    <s v="SKF BEARING - 6212-Z"/>
    <x v="3"/>
    <s v="SKF Eurotrade AB"/>
    <n v="294.22666666666601"/>
    <n v="4"/>
    <n v="4"/>
    <n v="0"/>
    <x v="0"/>
    <x v="4"/>
  </r>
  <r>
    <n v="1000107037"/>
    <s v="Weidmuller Product; QB 75/6.2/9/WI; P/N:52640"/>
    <x v="3"/>
    <s v="Weidmuller Middle East (FZE)"/>
    <n v="293.76100000000002"/>
    <n v="15"/>
    <n v="15"/>
    <n v="0"/>
    <x v="0"/>
    <x v="3"/>
  </r>
  <r>
    <n v="1000098473"/>
    <s v="SKF BEARING-2310 E-2RS1TN9"/>
    <x v="3"/>
    <s v="SKF Eurotrade AB"/>
    <n v="293.40800000000002"/>
    <n v="2"/>
    <n v="2"/>
    <n v="0"/>
    <x v="0"/>
    <x v="4"/>
  </r>
  <r>
    <n v="1000098523"/>
    <s v="SKF BEARING-308/C3"/>
    <x v="3"/>
    <s v="SKF Eurotrade AB"/>
    <n v="292.88"/>
    <n v="5"/>
    <n v="5"/>
    <n v="0"/>
    <x v="0"/>
    <x v="4"/>
  </r>
  <r>
    <n v="2500008599"/>
    <s v="Oil Filter Element, B004800770004"/>
    <x v="0"/>
    <s v="ELGI Gulf FZE"/>
    <n v="292.5"/>
    <n v="2"/>
    <n v="2"/>
    <n v="0"/>
    <x v="0"/>
    <x v="0"/>
  </r>
  <r>
    <n v="1000097196"/>
    <s v="Weidmuller; Model No: WTL 6 SL; PN:1161690000"/>
    <x v="3"/>
    <s v="Weidmuller Middle East (FZE)"/>
    <n v="292.237879598662"/>
    <n v="37"/>
    <n v="37"/>
    <n v="0"/>
    <x v="0"/>
    <x v="3"/>
  </r>
  <r>
    <n v="1000020990"/>
    <s v="SKF BEARING - NU 209 ECJ"/>
    <x v="3"/>
    <s v="SKF Eurotrade AB"/>
    <n v="289.98"/>
    <n v="3"/>
    <n v="1"/>
    <n v="2"/>
    <x v="3"/>
    <x v="4"/>
  </r>
  <r>
    <n v="1000020909"/>
    <s v="SKF BEARING - NJ 218 ECP/C3"/>
    <x v="3"/>
    <s v="SKF Eurotrade AB"/>
    <n v="289.98"/>
    <n v="1"/>
    <n v="1"/>
    <n v="0"/>
    <x v="0"/>
    <x v="4"/>
  </r>
  <r>
    <n v="1000020662"/>
    <s v="SKF BEARING - 6308-Z/C3"/>
    <x v="3"/>
    <s v="SKF Eurotrade AB"/>
    <n v="289.682894736842"/>
    <n v="8"/>
    <n v="8"/>
    <n v="0"/>
    <x v="0"/>
    <x v="4"/>
  </r>
  <r>
    <n v="1000010113"/>
    <s v="Pepperl+Fuchs Inductive Sensor (NBB4-12GM50-E"/>
    <x v="3"/>
    <s v="Pepperl+Fuchs (ME) FZE"/>
    <n v="289.34399999999999"/>
    <n v="8"/>
    <n v="8"/>
    <n v="0"/>
    <x v="0"/>
    <x v="5"/>
  </r>
  <r>
    <n v="1000021149"/>
    <s v="SKF BEARING - 21309 E/C3"/>
    <x v="3"/>
    <s v="SKF Eurotrade AB"/>
    <n v="289.33999999999997"/>
    <n v="2"/>
    <n v="2"/>
    <n v="0"/>
    <x v="0"/>
    <x v="4"/>
  </r>
  <r>
    <n v="1000020267"/>
    <s v="SKF BEARING - 6008-RS1"/>
    <x v="3"/>
    <s v="SKF Eurotrade AB"/>
    <n v="289.19074999999998"/>
    <n v="11"/>
    <n v="11"/>
    <n v="0"/>
    <x v="0"/>
    <x v="4"/>
  </r>
  <r>
    <n v="1000098641"/>
    <s v="SKF BEARING -GEG 40 ES"/>
    <x v="3"/>
    <s v="SKF Eurotrade AB"/>
    <n v="289.14"/>
    <n v="5"/>
    <n v="5"/>
    <n v="0"/>
    <x v="0"/>
    <x v="4"/>
  </r>
  <r>
    <n v="1000103023"/>
    <s v="SKF BEARING; 6312-2Z/C3LHT23"/>
    <x v="3"/>
    <s v="SKF Eurotrade AB"/>
    <n v="289.01"/>
    <n v="1"/>
    <n v="1"/>
    <n v="0"/>
    <x v="0"/>
    <x v="4"/>
  </r>
  <r>
    <n v="1000020030"/>
    <s v="SKF BEARING - 32308"/>
    <x v="3"/>
    <s v="SKF Eurotrade AB"/>
    <n v="288.512"/>
    <n v="8"/>
    <n v="8"/>
    <n v="0"/>
    <x v="0"/>
    <x v="4"/>
  </r>
  <r>
    <n v="1000095665"/>
    <s v="RIBBON MM 76/360 SW, P/N 2005080000"/>
    <x v="3"/>
    <s v="Weidmuller Middle East (FZE)"/>
    <n v="287.96499999999997"/>
    <n v="1"/>
    <n v="1"/>
    <n v="0"/>
    <x v="0"/>
    <x v="3"/>
  </r>
  <r>
    <n v="2500005726"/>
    <s v="Oil Filter 25lpm, EN73s PN B004800610004"/>
    <x v="0"/>
    <s v="ELGI Gulf FZE"/>
    <n v="287.84482758620601"/>
    <n v="6"/>
    <n v="6"/>
    <n v="0"/>
    <x v="0"/>
    <x v="0"/>
  </r>
  <r>
    <n v="1000106059"/>
    <s v="P&amp;F Female cordset; V1-G-15M-PUR-ABG; P/N: 20"/>
    <x v="3"/>
    <s v="Pepperl+Fuchs (ME) FZE"/>
    <n v="287.7"/>
    <n v="2"/>
    <n v="2"/>
    <n v="0"/>
    <x v="0"/>
    <x v="5"/>
  </r>
  <r>
    <n v="1000096577"/>
    <s v="SKF BEARING - 3214 A; Matl:196706"/>
    <x v="3"/>
    <s v="SKF Eurotrade AB"/>
    <n v="285.54500000000002"/>
    <n v="1"/>
    <n v="1"/>
    <n v="0"/>
    <x v="0"/>
    <x v="4"/>
  </r>
  <r>
    <n v="1000104227"/>
    <s v="SKF BEARING; LAGD 125/HQ2"/>
    <x v="3"/>
    <s v="SKF Eurotrade AB"/>
    <n v="284.27815068493101"/>
    <n v="3"/>
    <n v="3"/>
    <n v="0"/>
    <x v="0"/>
    <x v="4"/>
  </r>
  <r>
    <n v="1000103429"/>
    <s v="SKF Product; 63/22/C3"/>
    <x v="3"/>
    <s v="SKF Eurotrade AB"/>
    <n v="282.56"/>
    <n v="5"/>
    <n v="5"/>
    <n v="0"/>
    <x v="0"/>
    <x v="4"/>
  </r>
  <r>
    <n v="1000010122"/>
    <s v="Pepperl+Fuchs Inductive Sensor (NJ4-12GK-N)  "/>
    <x v="3"/>
    <s v="Pepperl+Fuchs (ME) FZE"/>
    <n v="282.10399999999998"/>
    <n v="2"/>
    <n v="2"/>
    <n v="0"/>
    <x v="0"/>
    <x v="5"/>
  </r>
  <r>
    <n v="1000020142"/>
    <s v="SKF BEARING - 30211 J2/Q"/>
    <x v="3"/>
    <s v="SKF Eurotrade AB"/>
    <n v="281.60000000000002"/>
    <n v="5"/>
    <n v="5"/>
    <n v="0"/>
    <x v="0"/>
    <x v="4"/>
  </r>
  <r>
    <n v="1000098462"/>
    <s v="SKF BEARING-2212 EKTN9/C3"/>
    <x v="3"/>
    <s v="SKF Eurotrade AB"/>
    <n v="281.57"/>
    <n v="2"/>
    <n v="2"/>
    <n v="0"/>
    <x v="0"/>
    <x v="4"/>
  </r>
  <r>
    <n v="1000021226"/>
    <s v="SKF BEARING - H 315"/>
    <x v="3"/>
    <s v="SKF Eurotrade AB"/>
    <n v="281.25"/>
    <n v="3"/>
    <n v="3"/>
    <n v="0"/>
    <x v="0"/>
    <x v="4"/>
  </r>
  <r>
    <n v="2500008366"/>
    <s v="STUD COUPLING G 1/8 MALE P N  B009606780004"/>
    <x v="0"/>
    <s v="ELGI Gulf FZE"/>
    <n v="281.25"/>
    <n v="15"/>
    <n v="15"/>
    <n v="0"/>
    <x v="0"/>
    <x v="0"/>
  </r>
  <r>
    <n v="1000021024"/>
    <s v="SKF BEARING - NU 218 ECP/C3"/>
    <x v="3"/>
    <s v="SKF Eurotrade AB"/>
    <n v="280.79000000000002"/>
    <n v="1"/>
    <n v="1"/>
    <n v="0"/>
    <x v="0"/>
    <x v="4"/>
  </r>
  <r>
    <n v="2500008219"/>
    <s v="TEMPERATURE SENSOR PN 18400079"/>
    <x v="0"/>
    <s v="ELGI Gulf FZE"/>
    <n v="280.62266666666602"/>
    <n v="2"/>
    <n v="2"/>
    <n v="0"/>
    <x v="0"/>
    <x v="0"/>
  </r>
  <r>
    <n v="1000020453"/>
    <s v="SKF BEARING - 6207-2RS1/C3"/>
    <x v="3"/>
    <s v="SKF Eurotrade AB"/>
    <n v="280.48"/>
    <n v="16"/>
    <n v="16"/>
    <n v="0"/>
    <x v="0"/>
    <x v="4"/>
  </r>
  <r>
    <n v="1000101489"/>
    <s v="Weidmuller; PN:396360000 Model:DK 4/35 1D GET"/>
    <x v="3"/>
    <s v="Weidmuller Middle East (FZE)"/>
    <n v="279.75"/>
    <n v="25"/>
    <n v="25"/>
    <n v="0"/>
    <x v="0"/>
    <x v="3"/>
  </r>
  <r>
    <n v="1000010157"/>
    <s v="P+F, Inductive Sensor Model No.: NCB10-30GM40"/>
    <x v="3"/>
    <s v="Pepperl+Fuchs (ME) FZE"/>
    <n v="278.80500000000001"/>
    <n v="1"/>
    <n v="1"/>
    <n v="0"/>
    <x v="0"/>
    <x v="5"/>
  </r>
  <r>
    <n v="1000102370"/>
    <s v="P+F; Inductive Sensor;NCB4-12GM40-N0;  PN:701"/>
    <x v="3"/>
    <s v="Pepperl+Fuchs (ME) FZE"/>
    <n v="278.66399999999999"/>
    <n v="2"/>
    <n v="2"/>
    <n v="0"/>
    <x v="0"/>
    <x v="5"/>
  </r>
  <r>
    <n v="1000020597"/>
    <s v="SKF BEARING - 629-2RSH"/>
    <x v="3"/>
    <s v="SKF Eurotrade AB"/>
    <n v="278"/>
    <n v="50"/>
    <n v="50"/>
    <n v="0"/>
    <x v="0"/>
    <x v="4"/>
  </r>
  <r>
    <n v="1000020145"/>
    <s v="SKF BEARING - 30217 J2/Q"/>
    <x v="3"/>
    <s v="SKF Eurotrade AB"/>
    <n v="277.94"/>
    <n v="2"/>
    <n v="2"/>
    <n v="0"/>
    <x v="0"/>
    <x v="4"/>
  </r>
  <r>
    <n v="2500008432"/>
    <s v="MPV kit 2&quot;  P N 220371399"/>
    <x v="0"/>
    <s v="ELGI Gulf FZE"/>
    <n v="277.31"/>
    <n v="2"/>
    <n v="2"/>
    <n v="0"/>
    <x v="0"/>
    <x v="0"/>
  </r>
  <r>
    <n v="1000021081"/>
    <s v="SKF BEARING - NU 306 ECP"/>
    <x v="3"/>
    <s v="SKF Eurotrade AB"/>
    <n v="276.8"/>
    <n v="4"/>
    <n v="4"/>
    <n v="0"/>
    <x v="0"/>
    <x v="4"/>
  </r>
  <r>
    <n v="1000103069"/>
    <s v="SKF Products; PHG SPA1557"/>
    <x v="3"/>
    <s v="SKF Eurotrade AB"/>
    <n v="275.85000000000002"/>
    <n v="21"/>
    <n v="21"/>
    <n v="0"/>
    <x v="0"/>
    <x v="4"/>
  </r>
  <r>
    <n v="1000020318"/>
    <s v="SKF BEARING - 6020-2RS1/C3"/>
    <x v="3"/>
    <s v="SKF Eurotrade AB"/>
    <n v="275.76"/>
    <n v="2"/>
    <n v="2"/>
    <n v="0"/>
    <x v="0"/>
    <x v="4"/>
  </r>
  <r>
    <n v="1000020795"/>
    <s v="SKF BEARING - 7206 BECBP"/>
    <x v="3"/>
    <s v="SKF Eurotrade AB"/>
    <n v="275.20400000000001"/>
    <n v="4"/>
    <n v="4"/>
    <n v="0"/>
    <x v="0"/>
    <x v="4"/>
  </r>
  <r>
    <n v="1000020999"/>
    <s v="SKF BEARING - NU 212 ECJ"/>
    <x v="3"/>
    <s v="SKF Eurotrade AB"/>
    <n v="274.7"/>
    <n v="2"/>
    <n v="2"/>
    <n v="0"/>
    <x v="0"/>
    <x v="4"/>
  </r>
  <r>
    <n v="2500008215"/>
    <s v="Pre Filter-PN B005506160003"/>
    <x v="0"/>
    <s v="ELGI Gulf FZE"/>
    <n v="274.5"/>
    <n v="5"/>
    <n v="5"/>
    <n v="0"/>
    <x v="0"/>
    <x v="0"/>
  </r>
  <r>
    <n v="1000100741"/>
    <s v="SKF BEARING - 3206 ATN9"/>
    <x v="3"/>
    <s v="Universal Bearings Company"/>
    <n v="274.27499999999998"/>
    <n v="3"/>
    <n v="3"/>
    <n v="0"/>
    <x v="0"/>
    <x v="4"/>
  </r>
  <r>
    <n v="1000020090"/>
    <s v="SKF BEARING - 3307 A-2RS1"/>
    <x v="3"/>
    <s v="SKF Eurotrade AB"/>
    <n v="274"/>
    <n v="2"/>
    <n v="2"/>
    <n v="0"/>
    <x v="0"/>
    <x v="4"/>
  </r>
  <r>
    <n v="1000020091"/>
    <s v="SKF BEARING - 3307 A-2RS1/C3"/>
    <x v="3"/>
    <s v="SKF Eurotrade AB"/>
    <n v="274"/>
    <n v="2"/>
    <n v="2"/>
    <n v="0"/>
    <x v="0"/>
    <x v="4"/>
  </r>
  <r>
    <n v="2300000011"/>
    <s v="RETAINER RING OIL SEAL BULLGR. PN # P27J161"/>
    <x v="4"/>
    <s v="FS-Elliott Co., LLC"/>
    <n v="273.23316452991401"/>
    <n v="1"/>
    <n v="0"/>
    <n v="1"/>
    <x v="4"/>
    <x v="2"/>
  </r>
  <r>
    <n v="1000098593"/>
    <s v="SKF BEARING -6316/C4"/>
    <x v="3"/>
    <s v="SKF Eurotrade AB"/>
    <n v="272.07666666666597"/>
    <n v="1"/>
    <n v="1"/>
    <n v="0"/>
    <x v="0"/>
    <x v="4"/>
  </r>
  <r>
    <n v="1000021415"/>
    <s v="SKF BEARING - 6316 C4"/>
    <x v="3"/>
    <s v="SKF Eurotrade AB"/>
    <n v="271.73599999999999"/>
    <n v="1"/>
    <n v="1"/>
    <n v="0"/>
    <x v="0"/>
    <x v="4"/>
  </r>
  <r>
    <n v="1000021084"/>
    <s v="SKF BEARING - NU 307 ECJ/C3"/>
    <x v="3"/>
    <s v="SKF Eurotrade AB"/>
    <n v="271.58999999999997"/>
    <n v="3"/>
    <n v="3"/>
    <n v="0"/>
    <x v="0"/>
    <x v="4"/>
  </r>
  <r>
    <n v="1000020995"/>
    <s v="SKF BEARING - NU 210 ECP/C3"/>
    <x v="3"/>
    <s v="SKF Eurotrade AB"/>
    <n v="271.58999999999997"/>
    <n v="3"/>
    <n v="3"/>
    <n v="0"/>
    <x v="0"/>
    <x v="4"/>
  </r>
  <r>
    <n v="1000020195"/>
    <s v="SKF BEARING - 33013/Q"/>
    <x v="3"/>
    <s v="SKF Eurotrade AB"/>
    <n v="271.18"/>
    <n v="2"/>
    <n v="2"/>
    <n v="0"/>
    <x v="0"/>
    <x v="4"/>
  </r>
  <r>
    <n v="1000020612"/>
    <s v="SKF BEARING - 6301-2Z"/>
    <x v="3"/>
    <s v="SKF Eurotrade AB"/>
    <n v="271.06188571428498"/>
    <n v="34"/>
    <n v="34"/>
    <n v="0"/>
    <x v="0"/>
    <x v="4"/>
  </r>
  <r>
    <n v="1000021383"/>
    <s v="SKF BEARING - 3206 A"/>
    <x v="3"/>
    <s v="SKF Eurotrade AB"/>
    <n v="269.214"/>
    <n v="3"/>
    <n v="3"/>
    <n v="0"/>
    <x v="0"/>
    <x v="4"/>
  </r>
  <r>
    <n v="1000020143"/>
    <s v="SKF BEARING - 30212 J2/Q"/>
    <x v="3"/>
    <s v="SKF Eurotrade AB"/>
    <n v="268.8"/>
    <n v="4"/>
    <n v="4"/>
    <n v="0"/>
    <x v="0"/>
    <x v="4"/>
  </r>
  <r>
    <n v="1000020355"/>
    <s v="SKF BEARING - 61808-2RZ"/>
    <x v="3"/>
    <s v="SKF Eurotrade AB"/>
    <n v="268.75"/>
    <n v="5"/>
    <n v="5"/>
    <n v="0"/>
    <x v="0"/>
    <x v="4"/>
  </r>
  <r>
    <n v="1000094819"/>
    <s v="P+F,Inductive Sensor; Model:NCB2-12GM35-N0-V1"/>
    <x v="3"/>
    <s v="Pepperl+Fuchs (ME) FZE"/>
    <n v="267.47541666666598"/>
    <n v="2"/>
    <n v="2"/>
    <n v="0"/>
    <x v="0"/>
    <x v="5"/>
  </r>
  <r>
    <n v="1000095831"/>
    <s v="Weidmueller,Product:1053160000,Part No: WQV 3"/>
    <x v="3"/>
    <s v="Weidmuller Middle East (FZE)"/>
    <n v="267.27247706422003"/>
    <n v="19"/>
    <n v="19"/>
    <n v="0"/>
    <x v="0"/>
    <x v="3"/>
  </r>
  <r>
    <n v="1000020257"/>
    <s v="SKF BEARING - 6007"/>
    <x v="3"/>
    <s v="SKF Eurotrade AB"/>
    <n v="266.93299444444398"/>
    <n v="24"/>
    <n v="24"/>
    <n v="0"/>
    <x v="0"/>
    <x v="4"/>
  </r>
  <r>
    <n v="1000020464"/>
    <s v="SKF BEARING - 6208-2Z/C3HT"/>
    <x v="3"/>
    <s v="SKF Eurotrade AB"/>
    <n v="266.81"/>
    <n v="5"/>
    <n v="5"/>
    <n v="0"/>
    <x v="0"/>
    <x v="4"/>
  </r>
  <r>
    <n v="1000021244"/>
    <s v="SKF BEARING - H 319"/>
    <x v="3"/>
    <s v="SKF Eurotrade AB"/>
    <n v="266.26"/>
    <n v="2"/>
    <n v="2"/>
    <n v="0"/>
    <x v="0"/>
    <x v="4"/>
  </r>
  <r>
    <n v="1000097687"/>
    <s v="Weidmuller; TERMINAL BLOCK; P/N: 1640740000; "/>
    <x v="3"/>
    <s v="Weidmuller Middle East (FZE)"/>
    <n v="265.52999999999997"/>
    <n v="1440"/>
    <n v="1440"/>
    <n v="0"/>
    <x v="0"/>
    <x v="3"/>
  </r>
  <r>
    <n v="1000021032"/>
    <s v="SKF BEARING - NU 2208 ECJ/C3"/>
    <x v="3"/>
    <s v="SKF Eurotrade AB"/>
    <n v="264.14"/>
    <n v="2"/>
    <n v="2"/>
    <n v="0"/>
    <x v="0"/>
    <x v="4"/>
  </r>
  <r>
    <n v="1000099506"/>
    <s v="SKF BEARING - 32304"/>
    <x v="3"/>
    <s v="SKF Eurotrade AB"/>
    <n v="263.8175"/>
    <n v="7"/>
    <n v="7"/>
    <n v="0"/>
    <x v="0"/>
    <x v="4"/>
  </r>
  <r>
    <n v="1000020083"/>
    <s v="SKF BEARING - 3305 A-2Z/C3MT33"/>
    <x v="3"/>
    <s v="SKF Eurotrade AB"/>
    <n v="263.44"/>
    <n v="2"/>
    <n v="2"/>
    <n v="0"/>
    <x v="0"/>
    <x v="4"/>
  </r>
  <r>
    <n v="1000094868"/>
    <s v="Weidmuller Feed Through ZDU 2.5 DRK/BE;   Mat"/>
    <x v="3"/>
    <s v="Weidmuller Middle East (FZE)"/>
    <n v="263.229166666666"/>
    <n v="95"/>
    <n v="95"/>
    <n v="0"/>
    <x v="0"/>
    <x v="3"/>
  </r>
  <r>
    <n v="1000020229"/>
    <s v="SKF BEARING - 6002-2RSH"/>
    <x v="3"/>
    <s v="SKF Eurotrade AB"/>
    <n v="263.08080000000001"/>
    <n v="36"/>
    <n v="36"/>
    <n v="0"/>
    <x v="0"/>
    <x v="4"/>
  </r>
  <r>
    <n v="2500008357"/>
    <s v="SERVICE KIT FOR ACUATOR HB P N B009401070001"/>
    <x v="0"/>
    <s v="QURUM Technical Company"/>
    <n v="262.5"/>
    <n v="2"/>
    <n v="2"/>
    <n v="0"/>
    <x v="0"/>
    <x v="0"/>
  </r>
  <r>
    <n v="1000020906"/>
    <s v="SKF BEARING - NJ 216 ECJ/C3"/>
    <x v="3"/>
    <s v="SKF Eurotrade AB"/>
    <n v="261.57"/>
    <n v="1"/>
    <n v="1"/>
    <n v="0"/>
    <x v="0"/>
    <x v="4"/>
  </r>
  <r>
    <n v="1000020224"/>
    <s v="SKF BEARING - 6000-ZTN9"/>
    <x v="3"/>
    <s v="SKF Eurotrade AB"/>
    <n v="260.5"/>
    <n v="50"/>
    <n v="50"/>
    <n v="0"/>
    <x v="0"/>
    <x v="4"/>
  </r>
  <r>
    <n v="1000104555"/>
    <s v="WeidMuller Product; IE-BI-RJ45-FJ-P; P/N:1963"/>
    <x v="3"/>
    <s v="Weidmuller Middle East (FZE)"/>
    <n v="260.39999999999998"/>
    <n v="5"/>
    <n v="5"/>
    <n v="0"/>
    <x v="0"/>
    <x v="3"/>
  </r>
  <r>
    <n v="1000102356"/>
    <s v="Weidmuller Product; Q 10 SAK2.5;  PN:36870000"/>
    <x v="3"/>
    <s v="Weidmuller Middle East (FZE)"/>
    <n v="260.15413793103397"/>
    <n v="31"/>
    <n v="31"/>
    <n v="0"/>
    <x v="0"/>
    <x v="3"/>
  </r>
  <r>
    <n v="1000020204"/>
    <s v="SKF BEARING - 33208/Q"/>
    <x v="3"/>
    <s v="SKF Eurotrade AB"/>
    <n v="259.76"/>
    <n v="4"/>
    <n v="4"/>
    <n v="0"/>
    <x v="0"/>
    <x v="4"/>
  </r>
  <r>
    <n v="1000020423"/>
    <s v="SKF BEARING - 6204-2Z"/>
    <x v="3"/>
    <s v="Universal Bearings Company"/>
    <n v="258.87258364430397"/>
    <n v="33"/>
    <n v="33"/>
    <n v="0"/>
    <x v="0"/>
    <x v="4"/>
  </r>
  <r>
    <n v="1000097146"/>
    <s v="SKF BEARING -YAR 208-108-2F"/>
    <x v="3"/>
    <s v="SKF Eurotrade AB"/>
    <n v="258.43"/>
    <n v="5"/>
    <n v="5"/>
    <n v="0"/>
    <x v="0"/>
    <x v="4"/>
  </r>
  <r>
    <n v="1000098487"/>
    <s v="Filter; For Head Tank or Sand Filter:K9332NN"/>
    <x v="5"/>
    <s v="Yokogawa Middle East &amp; Africa B.S.C. Â©"/>
    <n v="258"/>
    <n v="2"/>
    <n v="2"/>
    <n v="0"/>
    <x v="0"/>
    <x v="6"/>
  </r>
  <r>
    <n v="1000020282"/>
    <s v="SKF BEARING - 6011-2Z/C3"/>
    <x v="3"/>
    <s v="SKF Eurotrade AB"/>
    <n v="257.58"/>
    <n v="9"/>
    <n v="9"/>
    <n v="0"/>
    <x v="0"/>
    <x v="4"/>
  </r>
  <r>
    <n v="1000101411"/>
    <s v="SKF Bearing; N 05"/>
    <x v="3"/>
    <s v="SKF Eurotrade AB"/>
    <n v="257.38631578947297"/>
    <n v="18"/>
    <n v="18"/>
    <n v="0"/>
    <x v="0"/>
    <x v="4"/>
  </r>
  <r>
    <n v="2500008151"/>
    <s v="KIT BLOW DOWN VALVE MDL DT 750-125, 650-200, "/>
    <x v="0"/>
    <s v="ELGI Gulf FZE"/>
    <n v="256.875"/>
    <n v="4"/>
    <n v="4"/>
    <n v="0"/>
    <x v="0"/>
    <x v="0"/>
  </r>
  <r>
    <n v="2500008358"/>
    <s v="DCV KIT P N 220311539"/>
    <x v="0"/>
    <s v="QURUM Technical Company"/>
    <n v="256.60000000000002"/>
    <n v="2"/>
    <n v="2"/>
    <n v="0"/>
    <x v="0"/>
    <x v="0"/>
  </r>
  <r>
    <n v="1000095552"/>
    <s v="P+F;Inductive sensor:V1-W-N-5M-PUR PN:033596"/>
    <x v="3"/>
    <s v="Pepperl+Fuchs (ME) FZE"/>
    <n v="256.47199999999998"/>
    <n v="4"/>
    <n v="4"/>
    <n v="0"/>
    <x v="0"/>
    <x v="5"/>
  </r>
  <r>
    <n v="1000020354"/>
    <s v="SKF BEARING - 61808-2RS1"/>
    <x v="3"/>
    <s v="SKF Eurotrade AB"/>
    <n v="256.45"/>
    <n v="5"/>
    <n v="5"/>
    <n v="0"/>
    <x v="0"/>
    <x v="4"/>
  </r>
  <r>
    <n v="1000098471"/>
    <s v="SKF BEARING-2308 EKTN9"/>
    <x v="3"/>
    <s v="SKF Eurotrade AB"/>
    <n v="256.33"/>
    <n v="2"/>
    <n v="2"/>
    <n v="0"/>
    <x v="0"/>
    <x v="4"/>
  </r>
  <r>
    <n v="1000020236"/>
    <s v="SKF BEARING - 6003-2Z"/>
    <x v="3"/>
    <s v="SKF Eurotrade AB"/>
    <n v="255.87"/>
    <n v="36"/>
    <n v="36"/>
    <n v="0"/>
    <x v="0"/>
    <x v="4"/>
  </r>
  <r>
    <n v="1000100394"/>
    <s v="SKF Product TSN 511 S"/>
    <x v="3"/>
    <s v="SKF Eurotrade AB"/>
    <n v="255.75"/>
    <n v="2"/>
    <n v="2"/>
    <n v="0"/>
    <x v="0"/>
    <x v="4"/>
  </r>
  <r>
    <n v="1000104339"/>
    <s v="SKF Product; 52X68X8 HMSA10 RG"/>
    <x v="3"/>
    <s v="SKF Eurotrade AB"/>
    <n v="255.6"/>
    <n v="48"/>
    <n v="0"/>
    <n v="48"/>
    <x v="2"/>
    <x v="4"/>
  </r>
  <r>
    <n v="1000101390"/>
    <s v="SKF BEARING - NU 214 ECJ/C3"/>
    <x v="3"/>
    <s v="SKF Eurotrade AB"/>
    <n v="255.45"/>
    <n v="1"/>
    <n v="1"/>
    <n v="0"/>
    <x v="0"/>
    <x v="4"/>
  </r>
  <r>
    <n v="2500009165"/>
    <s v="Closed Air Filter, EN73s| PN:3"/>
    <x v="0"/>
    <s v="ELGI Gulf FZE"/>
    <n v="255.15"/>
    <n v="3"/>
    <n v="3"/>
    <n v="0"/>
    <x v="0"/>
    <x v="0"/>
  </r>
  <r>
    <n v="1000095522"/>
    <s v="EPG60-DIE;EPG60-DIE HEX,CRIMP DIE 300(FOR EPG"/>
    <x v="3"/>
    <s v="Weidmuller Middle East (FZE)"/>
    <n v="255"/>
    <n v="1"/>
    <n v="1"/>
    <n v="0"/>
    <x v="0"/>
    <x v="3"/>
  </r>
  <r>
    <n v="2500008245"/>
    <s v="SOL. AMISCO 24V  PN B015000110086"/>
    <x v="0"/>
    <s v="ELGI Equipments Limited"/>
    <n v="255"/>
    <n v="2"/>
    <n v="2"/>
    <n v="0"/>
    <x v="0"/>
    <x v="0"/>
  </r>
  <r>
    <n v="1000107208"/>
    <s v="P&amp;F Product; NBB20-U1K-N0; P/N:70133099"/>
    <x v="3"/>
    <s v="Pepperl+Fuchs (ME) FZE"/>
    <n v="254.328"/>
    <n v="1"/>
    <n v="1"/>
    <n v="0"/>
    <x v="0"/>
    <x v="5"/>
  </r>
  <r>
    <n v="1000020010"/>
    <s v="SKF BEARING - 30210 J2/Q"/>
    <x v="3"/>
    <s v="SKF Eurotrade AB"/>
    <n v="253.8"/>
    <n v="5"/>
    <n v="5"/>
    <n v="0"/>
    <x v="0"/>
    <x v="4"/>
  </r>
  <r>
    <n v="1000096396"/>
    <s v="GP-12-NON-ELC-05;CC-M 85/54 4X3 ST LABEL(54X8"/>
    <x v="3"/>
    <s v="Weidmuller Middle East (FZE)"/>
    <n v="253.7"/>
    <n v="20"/>
    <n v="20"/>
    <n v="0"/>
    <x v="0"/>
    <x v="3"/>
  </r>
  <r>
    <n v="1000020194"/>
    <s v="SKF BEARING - 33012/Q"/>
    <x v="3"/>
    <s v="SKF Eurotrade AB"/>
    <n v="253.52"/>
    <n v="2"/>
    <n v="2"/>
    <n v="0"/>
    <x v="0"/>
    <x v="4"/>
  </r>
  <r>
    <n v="1000021034"/>
    <s v="SKF BEARING - NU 2209 ECJ/C3"/>
    <x v="3"/>
    <s v="SKF Eurotrade AB"/>
    <n v="252.96"/>
    <n v="2"/>
    <n v="2"/>
    <n v="0"/>
    <x v="0"/>
    <x v="4"/>
  </r>
  <r>
    <n v="2500003544"/>
    <s v="KIT,VALVE BLOW DOWN,1/2&quot;NPT PN 220371089"/>
    <x v="0"/>
    <s v="ELGI Gulf FZE"/>
    <n v="252.81523809523799"/>
    <n v="3"/>
    <n v="3"/>
    <n v="0"/>
    <x v="0"/>
    <x v="0"/>
  </r>
  <r>
    <n v="1000108595"/>
    <s v="SKF Product; 7313 BEP"/>
    <x v="3"/>
    <s v="SKF Eurotrade AB"/>
    <n v="252.5625"/>
    <n v="1"/>
    <n v="1"/>
    <n v="0"/>
    <x v="0"/>
    <x v="4"/>
  </r>
  <r>
    <n v="1000020029"/>
    <s v="SKF BEARING - BC1-0313"/>
    <x v="3"/>
    <s v="SKF Eurotrade AB"/>
    <n v="252.48599999999999"/>
    <n v="3"/>
    <n v="3"/>
    <n v="0"/>
    <x v="0"/>
    <x v="4"/>
  </r>
  <r>
    <n v="1000020520"/>
    <s v="SKF BEARING - 6215-2RS1"/>
    <x v="3"/>
    <s v="SKF Eurotrade AB"/>
    <n v="252.36428571428499"/>
    <n v="3"/>
    <n v="3"/>
    <n v="0"/>
    <x v="0"/>
    <x v="4"/>
  </r>
  <r>
    <n v="1000096825"/>
    <s v="P+F; Inductive Sensor;NCB4-12GM40-N0-V1;   PN"/>
    <x v="3"/>
    <s v="Pepperl+Fuchs (ME) FZE"/>
    <n v="251.9288"/>
    <n v="2"/>
    <n v="2"/>
    <n v="0"/>
    <x v="0"/>
    <x v="5"/>
  </r>
  <r>
    <n v="1000098472"/>
    <s v="SKF BEARING-2308 ETN9/C3"/>
    <x v="3"/>
    <s v="SKF Eurotrade AB"/>
    <n v="251.46"/>
    <n v="2"/>
    <n v="2"/>
    <n v="0"/>
    <x v="0"/>
    <x v="4"/>
  </r>
  <r>
    <n v="2500009331"/>
    <s v="DESCRIPTION : COUPLING FOR LINDE MOTOR| Part "/>
    <x v="0"/>
    <s v="PARANTHAMAN EXPORTERS"/>
    <n v="251.25"/>
    <n v="1"/>
    <n v="1"/>
    <n v="0"/>
    <x v="0"/>
    <x v="0"/>
  </r>
  <r>
    <n v="1000020978"/>
    <s v="SKF BEARING - NU 202 ECP"/>
    <x v="3"/>
    <s v="SKF Eurotrade AB"/>
    <n v="250.26"/>
    <n v="6"/>
    <n v="6"/>
    <n v="0"/>
    <x v="0"/>
    <x v="4"/>
  </r>
  <r>
    <n v="1000021164"/>
    <s v="SKF BEARING - 2203 E-2RS1TN9"/>
    <x v="3"/>
    <s v="SKF Eurotrade AB"/>
    <n v="249.9"/>
    <n v="5"/>
    <n v="5"/>
    <n v="0"/>
    <x v="0"/>
    <x v="4"/>
  </r>
  <r>
    <n v="1000102592"/>
    <s v="Weidmuller; Model No. TS 32X15 2M/CRN;   PN:2"/>
    <x v="3"/>
    <s v="Weidmuller Middle East (FZE)"/>
    <n v="249.73"/>
    <n v="2"/>
    <n v="2"/>
    <n v="0"/>
    <x v="0"/>
    <x v="3"/>
  </r>
  <r>
    <n v="1000098586"/>
    <s v="SKF BEARING -6310-2Z/GJN"/>
    <x v="3"/>
    <s v="SKF Eurotrade AB"/>
    <n v="249.44"/>
    <n v="2"/>
    <n v="2"/>
    <n v="0"/>
    <x v="0"/>
    <x v="4"/>
  </r>
  <r>
    <n v="1000108051"/>
    <s v="Weidmuller Product; TRZ 230VUC 1CO; P/N: 1122"/>
    <x v="3"/>
    <s v="Weidmuller Middle East (FZE)"/>
    <n v="249.07"/>
    <n v="9"/>
    <n v="9"/>
    <n v="0"/>
    <x v="0"/>
    <x v="3"/>
  </r>
  <r>
    <n v="1000101344"/>
    <s v="Weidmueller,Product:1775480000;   PN:ZDU 1.5"/>
    <x v="3"/>
    <s v="Weidmuller Middle East (FZE)"/>
    <n v="248.993168"/>
    <n v="200"/>
    <n v="200"/>
    <n v="0"/>
    <x v="0"/>
    <x v="3"/>
  </r>
  <r>
    <n v="1000020278"/>
    <s v="SKF BEARING - 6011"/>
    <x v="3"/>
    <s v="SKF Eurotrade AB"/>
    <n v="248.9"/>
    <n v="10"/>
    <n v="10"/>
    <n v="0"/>
    <x v="0"/>
    <x v="4"/>
  </r>
  <r>
    <n v="1000095548"/>
    <s v="SKF PRODUCTS:TSN 518 L;Matl#69771"/>
    <x v="3"/>
    <s v="SKF Eurotrade AB"/>
    <n v="248.63499999999999"/>
    <n v="6"/>
    <n v="6"/>
    <n v="0"/>
    <x v="0"/>
    <x v="4"/>
  </r>
  <r>
    <n v="1000093604"/>
    <s v="Weidmuller; MARKER HORIZONTAL; P/N: 160990000"/>
    <x v="3"/>
    <s v="Weidmuller Middle East (FZE)"/>
    <n v="247.91844003447"/>
    <n v="1672"/>
    <n v="1672"/>
    <n v="0"/>
    <x v="0"/>
    <x v="3"/>
  </r>
  <r>
    <n v="2500008397"/>
    <s v="VALVE, DCV, PUSH PULL, G1/4 PN B003801070001"/>
    <x v="0"/>
    <s v="ELGI Gulf FZE"/>
    <n v="247.83"/>
    <n v="2"/>
    <n v="2"/>
    <n v="0"/>
    <x v="0"/>
    <x v="0"/>
  </r>
  <r>
    <n v="1000020086"/>
    <s v="SKF BEARING - 3306 A-2RS1/C3"/>
    <x v="3"/>
    <s v="SKF Eurotrade AB"/>
    <n v="247.8"/>
    <n v="2"/>
    <n v="2"/>
    <n v="0"/>
    <x v="0"/>
    <x v="4"/>
  </r>
  <r>
    <n v="2500008246"/>
    <s v="VALVE SOLENOID E1 PN B015000110080"/>
    <x v="0"/>
    <s v="ELGI Equipments Limited"/>
    <n v="247.5"/>
    <n v="2"/>
    <n v="2"/>
    <n v="0"/>
    <x v="0"/>
    <x v="0"/>
  </r>
  <r>
    <n v="1000097306"/>
    <s v="SKF BEARING - 7204 BEP"/>
    <x v="3"/>
    <s v="SKF Eurotrade AB"/>
    <n v="247.19"/>
    <n v="8"/>
    <n v="8"/>
    <n v="0"/>
    <x v="0"/>
    <x v="4"/>
  </r>
  <r>
    <n v="1000100387"/>
    <s v="SKF Product 3307 ATN9"/>
    <x v="3"/>
    <s v="SKF Eurotrade AB"/>
    <n v="246.23"/>
    <n v="2"/>
    <n v="2"/>
    <n v="0"/>
    <x v="0"/>
    <x v="4"/>
  </r>
  <r>
    <n v="2500008821"/>
    <s v="Argon flowmeter regulator P/N-900 3100680"/>
    <x v="0"/>
    <s v="OKI BERING MIDDLE EAST FZE"/>
    <n v="245.91111111111101"/>
    <n v="2"/>
    <n v="0"/>
    <n v="2"/>
    <x v="1"/>
    <x v="0"/>
  </r>
  <r>
    <n v="1000020042"/>
    <s v="SKF BEARING - 1210 EKTN9"/>
    <x v="3"/>
    <s v="SKF Eurotrade AB"/>
    <n v="245.89"/>
    <n v="3"/>
    <n v="3"/>
    <n v="0"/>
    <x v="0"/>
    <x v="4"/>
  </r>
  <r>
    <n v="1000020352"/>
    <s v="SKF BEARING - 61807-2RZ"/>
    <x v="3"/>
    <s v="SKF Eurotrade AB"/>
    <n v="245.85"/>
    <n v="5"/>
    <n v="5"/>
    <n v="0"/>
    <x v="0"/>
    <x v="4"/>
  </r>
  <r>
    <n v="1000021486"/>
    <s v="SKF BEARING - GE 35 ES-2RS"/>
    <x v="3"/>
    <s v="SKF Eurotrade AB"/>
    <n v="245.69"/>
    <n v="5"/>
    <n v="5"/>
    <n v="0"/>
    <x v="0"/>
    <x v="4"/>
  </r>
  <r>
    <n v="1000098691"/>
    <s v="SKF BEARING -NJ 211 ECP/C3"/>
    <x v="3"/>
    <s v="SKF Eurotrade AB"/>
    <n v="245.47"/>
    <n v="2"/>
    <n v="2"/>
    <n v="0"/>
    <x v="0"/>
    <x v="4"/>
  </r>
  <r>
    <n v="1000020211"/>
    <s v="SKF BEARING - 33216/Q"/>
    <x v="3"/>
    <s v="SKF Eurotrade AB"/>
    <n v="245.2"/>
    <n v="1"/>
    <n v="1"/>
    <n v="0"/>
    <x v="0"/>
    <x v="4"/>
  </r>
  <r>
    <n v="1000010097"/>
    <s v="P+F, Female Connector"/>
    <x v="3"/>
    <s v="Pepperl+Fuchs (ME) FZE"/>
    <n v="243.75"/>
    <n v="10"/>
    <n v="10"/>
    <n v="0"/>
    <x v="0"/>
    <x v="5"/>
  </r>
  <r>
    <n v="1000020928"/>
    <s v="SKF BEARING - NJ 2307 ECP/C3"/>
    <x v="3"/>
    <s v="SKF Eurotrade AB"/>
    <n v="243.58"/>
    <n v="2"/>
    <n v="2"/>
    <n v="0"/>
    <x v="0"/>
    <x v="4"/>
  </r>
  <r>
    <n v="1000098571"/>
    <s v="SKF BEARING -6202-ZTN9"/>
    <x v="3"/>
    <s v="SKF Eurotrade AB"/>
    <n v="243.45"/>
    <n v="50"/>
    <n v="50"/>
    <n v="0"/>
    <x v="0"/>
    <x v="4"/>
  </r>
  <r>
    <n v="1000020961"/>
    <s v="SKF BEARING - NJ 311 ECJ/C3"/>
    <x v="3"/>
    <s v="SKF Eurotrade AB"/>
    <n v="241.82"/>
    <n v="1"/>
    <n v="1"/>
    <n v="0"/>
    <x v="0"/>
    <x v="4"/>
  </r>
  <r>
    <n v="1000020451"/>
    <s v="SKF BEARING - 6207/C4"/>
    <x v="3"/>
    <s v="SKF Eurotrade AB"/>
    <n v="241.8"/>
    <n v="10"/>
    <n v="10"/>
    <n v="0"/>
    <x v="0"/>
    <x v="4"/>
  </r>
  <r>
    <n v="1000098588"/>
    <s v="SKF BEARING -6312-2Z/C3GJN"/>
    <x v="3"/>
    <s v="SKF Eurotrade AB"/>
    <n v="240.52"/>
    <n v="2"/>
    <n v="2"/>
    <n v="0"/>
    <x v="0"/>
    <x v="4"/>
  </r>
  <r>
    <n v="1000102571"/>
    <s v="SKF BEARING; 6202-RSH"/>
    <x v="3"/>
    <s v="SKF Eurotrade AB"/>
    <n v="240.11250000000001"/>
    <n v="19"/>
    <n v="19"/>
    <n v="0"/>
    <x v="0"/>
    <x v="4"/>
  </r>
  <r>
    <n v="1000020923"/>
    <s v="SKF BEARING - NJ 2213 ECJ/C3"/>
    <x v="3"/>
    <s v="SKF Eurotrade AB"/>
    <n v="240.1"/>
    <n v="1"/>
    <n v="1"/>
    <n v="0"/>
    <x v="0"/>
    <x v="4"/>
  </r>
  <r>
    <n v="2500005581"/>
    <s v="PRE FILTER-EG 55 kW PN B000606250001"/>
    <x v="0"/>
    <s v="ELGI Gulf FZE"/>
    <n v="240"/>
    <n v="16"/>
    <n v="16"/>
    <n v="0"/>
    <x v="0"/>
    <x v="0"/>
  </r>
  <r>
    <n v="1000020251"/>
    <s v="SKF BEARING - 6005-2Z/C3"/>
    <x v="3"/>
    <s v="SKF Eurotrade AB"/>
    <n v="239.7"/>
    <n v="30"/>
    <n v="30"/>
    <n v="0"/>
    <x v="0"/>
    <x v="4"/>
  </r>
  <r>
    <n v="1000020372"/>
    <s v="SKF BEARING - 61818-2RZ"/>
    <x v="3"/>
    <s v="SKF Eurotrade AB"/>
    <n v="239.01"/>
    <n v="1"/>
    <n v="1"/>
    <n v="0"/>
    <x v="0"/>
    <x v="4"/>
  </r>
  <r>
    <n v="1000020322"/>
    <s v="SKF BEARING - 6021-2Z/C3"/>
    <x v="3"/>
    <s v="SKF Eurotrade AB"/>
    <n v="238.83"/>
    <n v="1"/>
    <n v="1"/>
    <n v="0"/>
    <x v="0"/>
    <x v="4"/>
  </r>
  <r>
    <n v="2500008210"/>
    <s v="AUTO DRAIN VALVE INTERNAL PN B001305480003"/>
    <x v="0"/>
    <s v="ELGI Gulf FZE"/>
    <n v="238.5"/>
    <n v="1"/>
    <n v="1"/>
    <n v="0"/>
    <x v="0"/>
    <x v="0"/>
  </r>
  <r>
    <n v="1000021175"/>
    <s v="SKF BEARING - 2207 E-2RS1TN9"/>
    <x v="3"/>
    <s v="SKF Eurotrade AB"/>
    <n v="237.6"/>
    <n v="3"/>
    <n v="3"/>
    <n v="0"/>
    <x v="0"/>
    <x v="4"/>
  </r>
  <r>
    <n v="2500009336"/>
    <s v="DESCRIPTION : VALVE BALL AW1122BCD| Part no. "/>
    <x v="0"/>
    <s v="PARANTHAMAN EXPORTERS"/>
    <n v="236.25"/>
    <n v="23"/>
    <n v="23"/>
    <n v="0"/>
    <x v="0"/>
    <x v="0"/>
  </r>
  <r>
    <n v="2500008076"/>
    <s v="5259157_BELT V RIBBED PN B013603500580"/>
    <x v="0"/>
    <s v="ELGI Gulf FZE"/>
    <n v="235.33110047846799"/>
    <n v="4"/>
    <n v="1"/>
    <n v="3"/>
    <x v="5"/>
    <x v="0"/>
  </r>
  <r>
    <n v="1000098732"/>
    <s v="SKF BEARING -W 22"/>
    <x v="3"/>
    <s v="SKF Eurotrade AB"/>
    <n v="235.172"/>
    <n v="7"/>
    <n v="7"/>
    <n v="0"/>
    <x v="0"/>
    <x v="4"/>
  </r>
  <r>
    <n v="1000021086"/>
    <s v="SKF BEARING - NU 307 ECP/C3"/>
    <x v="3"/>
    <s v="SKF Eurotrade AB"/>
    <n v="235.08"/>
    <n v="3"/>
    <n v="3"/>
    <n v="0"/>
    <x v="0"/>
    <x v="4"/>
  </r>
  <r>
    <n v="1000096424"/>
    <s v="Weidmuller;TRZ 24VDC 2CO;P/N:1123610000;"/>
    <x v="3"/>
    <s v="Weidmuller Middle East (FZE)"/>
    <n v="234.8"/>
    <n v="10"/>
    <n v="10"/>
    <n v="0"/>
    <x v="0"/>
    <x v="3"/>
  </r>
  <r>
    <n v="1000100413"/>
    <s v="SKF Product FY 50 FM"/>
    <x v="3"/>
    <s v="SKF Eurotrade AB"/>
    <n v="234.23"/>
    <n v="2"/>
    <n v="2"/>
    <n v="0"/>
    <x v="0"/>
    <x v="4"/>
  </r>
  <r>
    <n v="1000020336"/>
    <s v="SKF BEARING - 607-2Z/C3"/>
    <x v="3"/>
    <s v="SKF Eurotrade AB"/>
    <n v="234"/>
    <n v="50"/>
    <n v="50"/>
    <n v="0"/>
    <x v="0"/>
    <x v="4"/>
  </r>
  <r>
    <n v="1000021434"/>
    <s v="SKF BEARING - MB 17"/>
    <x v="3"/>
    <s v="SKF Eurotrade AB"/>
    <n v="233.41176470588201"/>
    <n v="40"/>
    <n v="40"/>
    <n v="0"/>
    <x v="0"/>
    <x v="4"/>
  </r>
  <r>
    <n v="1000109953"/>
    <s v="Cross-connector (terminal)  WQV 95N/120N/4 PN"/>
    <x v="3"/>
    <s v="Weidmuller Middle East (FZE)"/>
    <n v="233.387"/>
    <n v="2"/>
    <n v="2"/>
    <n v="0"/>
    <x v="0"/>
    <x v="3"/>
  </r>
  <r>
    <n v="2500008394"/>
    <s v="Flexible Hose PN B010406260006"/>
    <x v="0"/>
    <s v="ELGI Gulf FZE"/>
    <n v="232.5"/>
    <n v="1"/>
    <n v="1"/>
    <n v="0"/>
    <x v="0"/>
    <x v="0"/>
  </r>
  <r>
    <n v="1000098455"/>
    <s v="SKF BEARING-51214"/>
    <x v="3"/>
    <s v="SKF Eurotrade AB"/>
    <n v="232.36"/>
    <n v="2"/>
    <n v="2"/>
    <n v="0"/>
    <x v="0"/>
    <x v="4"/>
  </r>
  <r>
    <n v="1000021120"/>
    <s v="SKF BEARING - NU 314 ECP"/>
    <x v="3"/>
    <s v="SKF Eurotrade AB"/>
    <n v="231.96666666666599"/>
    <n v="1"/>
    <n v="1"/>
    <n v="0"/>
    <x v="0"/>
    <x v="4"/>
  </r>
  <r>
    <n v="1000095823"/>
    <s v="Weidmueller,Product :625220000,Part No: BK 6 "/>
    <x v="3"/>
    <s v="Weidmuller Middle East (FZE)"/>
    <n v="231.96215784753301"/>
    <n v="54"/>
    <n v="54"/>
    <n v="0"/>
    <x v="0"/>
    <x v="3"/>
  </r>
  <r>
    <n v="1000020602"/>
    <s v="SKF BEARING - 63002-2RS1"/>
    <x v="3"/>
    <s v="SKF Eurotrade AB"/>
    <n v="231.6"/>
    <n v="10"/>
    <n v="10"/>
    <n v="0"/>
    <x v="0"/>
    <x v="4"/>
  </r>
  <r>
    <n v="1000094257"/>
    <s v="Weidmuller; Terminal Blocks &amp; Accessories; P/"/>
    <x v="3"/>
    <s v="Weidmuller Middle East (FZE)"/>
    <n v="231"/>
    <n v="70"/>
    <n v="70"/>
    <n v="0"/>
    <x v="0"/>
    <x v="3"/>
  </r>
  <r>
    <n v="1000021299"/>
    <s v="SKF BEARING - H 2317"/>
    <x v="3"/>
    <s v="SKF Eurotrade AB"/>
    <n v="229.78"/>
    <n v="2"/>
    <n v="2"/>
    <n v="0"/>
    <x v="0"/>
    <x v="4"/>
  </r>
  <r>
    <n v="1000095549"/>
    <s v="SKF PRODUCTS:22310 EK"/>
    <x v="3"/>
    <s v="SKF Eurotrade AB"/>
    <n v="229.42500000000001"/>
    <n v="1"/>
    <n v="1"/>
    <n v="0"/>
    <x v="0"/>
    <x v="4"/>
  </r>
  <r>
    <n v="1000020557"/>
    <s v="SKF BEARING - 62205-2RS1"/>
    <x v="3"/>
    <s v="SKF Eurotrade AB"/>
    <n v="229.2"/>
    <n v="8"/>
    <n v="8"/>
    <n v="0"/>
    <x v="0"/>
    <x v="4"/>
  </r>
  <r>
    <n v="1000020596"/>
    <s v="SKF BEARING - 627-2Z/C3"/>
    <x v="3"/>
    <s v="SKF Eurotrade AB"/>
    <n v="229"/>
    <n v="50"/>
    <n v="50"/>
    <n v="0"/>
    <x v="0"/>
    <x v="4"/>
  </r>
  <r>
    <n v="1000020290"/>
    <s v="SKF BEARING - 6013-2RS1"/>
    <x v="3"/>
    <s v="SKF Eurotrade AB"/>
    <n v="229"/>
    <n v="5"/>
    <n v="5"/>
    <n v="0"/>
    <x v="0"/>
    <x v="4"/>
  </r>
  <r>
    <n v="2700000234"/>
    <s v="O-RING 14-128UA"/>
    <x v="2"/>
    <s v="Sundyne International S.A."/>
    <n v="227.84795"/>
    <n v="3"/>
    <n v="3"/>
    <n v="0"/>
    <x v="0"/>
    <x v="2"/>
  </r>
  <r>
    <n v="2500008159"/>
    <s v="BDV Assembly MDL E11 - E160 PN A010345"/>
    <x v="0"/>
    <s v="ELGI Gulf FZE"/>
    <n v="226.845"/>
    <n v="2"/>
    <n v="2"/>
    <n v="0"/>
    <x v="0"/>
    <x v="0"/>
  </r>
  <r>
    <n v="1000021063"/>
    <s v="SKF BEARING - NU 2307 ECP/C3"/>
    <x v="3"/>
    <s v="SKF Eurotrade AB"/>
    <n v="225.84"/>
    <n v="2"/>
    <n v="2"/>
    <n v="0"/>
    <x v="0"/>
    <x v="4"/>
  </r>
  <r>
    <n v="1000020888"/>
    <s v="SKF BEARING - NJ 205 ECP/C3"/>
    <x v="3"/>
    <s v="SKF Eurotrade AB"/>
    <n v="223.88"/>
    <n v="4"/>
    <n v="4"/>
    <n v="0"/>
    <x v="0"/>
    <x v="4"/>
  </r>
  <r>
    <n v="1000020373"/>
    <s v="SKF BEARING - 61819-2RS1/C3"/>
    <x v="3"/>
    <s v="SKF Eurotrade AB"/>
    <n v="223.2"/>
    <n v="1"/>
    <n v="1"/>
    <n v="0"/>
    <x v="0"/>
    <x v="4"/>
  </r>
  <r>
    <n v="1000098453"/>
    <s v="SKF BEARING-33210"/>
    <x v="3"/>
    <s v="SKF Eurotrade AB"/>
    <n v="222.47399999999999"/>
    <n v="3"/>
    <n v="3"/>
    <n v="0"/>
    <x v="0"/>
    <x v="4"/>
  </r>
  <r>
    <n v="1000021044"/>
    <s v="SKF BEARING - NU 2213 ECJ/C3"/>
    <x v="3"/>
    <s v="SKF Eurotrade AB"/>
    <n v="222.18"/>
    <n v="1"/>
    <n v="1"/>
    <n v="0"/>
    <x v="0"/>
    <x v="4"/>
  </r>
  <r>
    <n v="1000102434"/>
    <s v="SKF Product; 32016 X"/>
    <x v="3"/>
    <s v="SKF Eurotrade AB"/>
    <n v="222.15"/>
    <n v="2"/>
    <n v="2"/>
    <n v="0"/>
    <x v="0"/>
    <x v="4"/>
  </r>
  <r>
    <n v="1000098580"/>
    <s v="SKF BEARING -629-2RSL"/>
    <x v="3"/>
    <s v="SKF Eurotrade AB"/>
    <n v="220.97"/>
    <n v="25"/>
    <n v="25"/>
    <n v="0"/>
    <x v="0"/>
    <x v="4"/>
  </r>
  <r>
    <n v="1000100305"/>
    <s v="SKF Product NJ 308 ECP"/>
    <x v="3"/>
    <s v="SKF Eurotrade AB"/>
    <n v="220.65"/>
    <n v="2"/>
    <n v="2"/>
    <n v="0"/>
    <x v="0"/>
    <x v="4"/>
  </r>
  <r>
    <n v="1000020517"/>
    <s v="SKF BEARING - 6214-Z/C3"/>
    <x v="3"/>
    <s v="SKF Eurotrade AB"/>
    <n v="220.42"/>
    <n v="2"/>
    <n v="2"/>
    <n v="0"/>
    <x v="0"/>
    <x v="4"/>
  </r>
  <r>
    <n v="1000020295"/>
    <s v="SKF BEARING - 6014-2RS1/C3"/>
    <x v="3"/>
    <s v="SKF Eurotrade AB"/>
    <n v="219.71250000000001"/>
    <n v="3"/>
    <n v="3"/>
    <n v="0"/>
    <x v="0"/>
    <x v="4"/>
  </r>
  <r>
    <n v="1000101099"/>
    <s v="Weidmuller; Mainboard; Model No: PJ ADV EL 2"/>
    <x v="3"/>
    <s v="Weidmuller Saudi Arabia Factory LLC"/>
    <n v="219.56"/>
    <n v="1"/>
    <n v="1"/>
    <n v="0"/>
    <x v="0"/>
    <x v="3"/>
  </r>
  <r>
    <n v="1000096308"/>
    <s v="SKF BEARING - ASNA 522-619"/>
    <x v="3"/>
    <s v="SKF Eurotrade AB"/>
    <n v="218.95124999999999"/>
    <n v="7"/>
    <n v="7"/>
    <n v="0"/>
    <x v="0"/>
    <x v="4"/>
  </r>
  <r>
    <n v="1000020303"/>
    <s v="SKF BEARING - 6016-2Z/C3"/>
    <x v="3"/>
    <s v="SKF Eurotrade AB"/>
    <n v="218.74"/>
    <n v="2"/>
    <n v="2"/>
    <n v="0"/>
    <x v="0"/>
    <x v="4"/>
  </r>
  <r>
    <n v="1000020361"/>
    <s v="SKF BEARING - 61813-2RS1"/>
    <x v="3"/>
    <s v="SKF Eurotrade AB"/>
    <n v="218.32"/>
    <n v="2"/>
    <n v="2"/>
    <n v="0"/>
    <x v="0"/>
    <x v="4"/>
  </r>
  <r>
    <n v="1000020570"/>
    <s v="SKF BEARING - 62211-2RS1"/>
    <x v="3"/>
    <s v="SKF Eurotrade AB"/>
    <n v="218.32"/>
    <n v="2"/>
    <n v="2"/>
    <n v="0"/>
    <x v="0"/>
    <x v="4"/>
  </r>
  <r>
    <n v="1000020415"/>
    <s v="SKF BEARING - 6203-2RSH/C3"/>
    <x v="3"/>
    <s v="SKF Eurotrade AB"/>
    <n v="217.5"/>
    <n v="30"/>
    <n v="30"/>
    <n v="0"/>
    <x v="0"/>
    <x v="4"/>
  </r>
  <r>
    <n v="1000107034"/>
    <s v="Weidmuller Product; TRS 24VUC 1CO AGSNO; P/N:"/>
    <x v="3"/>
    <s v="Weidmuller Middle East (FZE)"/>
    <n v="216.01"/>
    <n v="10"/>
    <n v="10"/>
    <n v="0"/>
    <x v="0"/>
    <x v="3"/>
  </r>
  <r>
    <n v="1000020807"/>
    <s v="SKF BEARING - 7214 BECBJ"/>
    <x v="3"/>
    <s v="SKF Eurotrade AB"/>
    <n v="215.71"/>
    <n v="1"/>
    <n v="1"/>
    <n v="0"/>
    <x v="5"/>
    <x v="4"/>
  </r>
  <r>
    <n v="1000010219"/>
    <s v="P+F, Cable Connector  Model No. V1-W-N-2M-PUR"/>
    <x v="3"/>
    <s v="Pepperl+Fuchs (ME) FZE"/>
    <n v="215.671875"/>
    <n v="5"/>
    <n v="5"/>
    <n v="0"/>
    <x v="0"/>
    <x v="5"/>
  </r>
  <r>
    <n v="2500009356"/>
    <s v="DESCRIPTION :DRIVE COUPLING INSERT UCW 280 | "/>
    <x v="0"/>
    <s v="ELGI Gulf FZE"/>
    <n v="215.03"/>
    <n v="1"/>
    <n v="1"/>
    <n v="0"/>
    <x v="0"/>
    <x v="0"/>
  </r>
  <r>
    <n v="1000020269"/>
    <s v="SKF BEARING - 6009/C3"/>
    <x v="3"/>
    <s v="SKF Eurotrade AB"/>
    <n v="213.73"/>
    <n v="11"/>
    <n v="11"/>
    <n v="0"/>
    <x v="0"/>
    <x v="4"/>
  </r>
  <r>
    <n v="1000100865"/>
    <s v="Weidmuller; Terminal Blocks &amp; Accessories   P"/>
    <x v="3"/>
    <s v="Weidmuller Middle East (FZE)"/>
    <n v="213.64"/>
    <n v="25"/>
    <n v="25"/>
    <n v="0"/>
    <x v="0"/>
    <x v="3"/>
  </r>
  <r>
    <n v="1000020406"/>
    <s v="SKF BEARING - 6202/C3"/>
    <x v="3"/>
    <s v="SKF Eurotrade AB"/>
    <n v="213.14409937888101"/>
    <n v="39"/>
    <n v="39"/>
    <n v="0"/>
    <x v="0"/>
    <x v="4"/>
  </r>
  <r>
    <n v="1000020371"/>
    <s v="SKF BEARING - 61818-2RS1"/>
    <x v="3"/>
    <s v="SKF Eurotrade AB"/>
    <n v="212.57"/>
    <n v="1"/>
    <n v="1"/>
    <n v="0"/>
    <x v="0"/>
    <x v="4"/>
  </r>
  <r>
    <n v="1000102786"/>
    <s v="Weidmuller Item; RCIKIT 24VDC 1CO LD; P/N 887"/>
    <x v="3"/>
    <s v="Weidmuller Middle East (FZE)"/>
    <n v="212.03"/>
    <n v="7"/>
    <n v="0"/>
    <n v="7"/>
    <x v="5"/>
    <x v="3"/>
  </r>
  <r>
    <n v="1000021052"/>
    <s v="SKF BEARING - NU 2216 ECP"/>
    <x v="3"/>
    <s v="SKF Eurotrade AB"/>
    <n v="211.73"/>
    <n v="1"/>
    <n v="1"/>
    <n v="0"/>
    <x v="0"/>
    <x v="4"/>
  </r>
  <r>
    <n v="1000020786"/>
    <s v="SKF BEARING - 51208"/>
    <x v="3"/>
    <s v="SKF Eurotrade AB"/>
    <n v="210.92"/>
    <n v="4"/>
    <n v="4"/>
    <n v="0"/>
    <x v="0"/>
    <x v="4"/>
  </r>
  <r>
    <n v="1000020573"/>
    <s v="SKF BEARING - 62214-2RS1"/>
    <x v="3"/>
    <s v="SKF Eurotrade AB"/>
    <n v="210.81"/>
    <n v="1"/>
    <n v="1"/>
    <n v="0"/>
    <x v="0"/>
    <x v="4"/>
  </r>
  <r>
    <n v="1000020450"/>
    <s v="SKF BEARING - 6207/C3"/>
    <x v="3"/>
    <s v="SKF Eurotrade AB"/>
    <n v="210.49552071154099"/>
    <n v="15"/>
    <n v="15"/>
    <n v="0"/>
    <x v="0"/>
    <x v="4"/>
  </r>
  <r>
    <n v="1000102207"/>
    <s v="SKF BEARINGS - AXK 3047"/>
    <x v="3"/>
    <s v="SKF Eurotrade AB"/>
    <n v="210.38"/>
    <n v="30"/>
    <n v="30"/>
    <n v="0"/>
    <x v="0"/>
    <x v="4"/>
  </r>
  <r>
    <n v="1000020216"/>
    <s v="SKF BEARING - 4214 ATN9"/>
    <x v="3"/>
    <s v="SKF Eurotrade AB"/>
    <n v="209.65"/>
    <n v="1"/>
    <n v="1"/>
    <n v="0"/>
    <x v="0"/>
    <x v="4"/>
  </r>
  <r>
    <n v="2500008169"/>
    <s v="Coupling Element EG18-E22 PN B011201170002"/>
    <x v="0"/>
    <s v="ELGI Gulf FZE"/>
    <n v="209.54729166666601"/>
    <n v="1"/>
    <n v="1"/>
    <n v="0"/>
    <x v="0"/>
    <x v="0"/>
  </r>
  <r>
    <n v="1000021201"/>
    <s v="SKF BEARING - 22208 EK"/>
    <x v="3"/>
    <s v="SKF Eurotrade AB"/>
    <n v="209.22"/>
    <n v="2"/>
    <n v="2"/>
    <n v="0"/>
    <x v="0"/>
    <x v="4"/>
  </r>
  <r>
    <n v="1000020979"/>
    <s v="SKF BEARING - NU 202 ECP/C3"/>
    <x v="3"/>
    <s v="SKF Eurotrade AB"/>
    <n v="208.55"/>
    <n v="5"/>
    <n v="5"/>
    <n v="0"/>
    <x v="0"/>
    <x v="4"/>
  </r>
  <r>
    <n v="1000020154"/>
    <s v="SKF BEARING - 30312 J2/Q"/>
    <x v="3"/>
    <s v="SKF Eurotrade AB"/>
    <n v="207.76"/>
    <n v="2"/>
    <n v="2"/>
    <n v="0"/>
    <x v="0"/>
    <x v="4"/>
  </r>
  <r>
    <n v="1000020370"/>
    <s v="SKF BEARING - 61817-2RZ"/>
    <x v="3"/>
    <s v="SKF Eurotrade AB"/>
    <n v="207.61"/>
    <n v="1"/>
    <n v="1"/>
    <n v="0"/>
    <x v="0"/>
    <x v="4"/>
  </r>
  <r>
    <n v="1000108816"/>
    <s v="Weidmuller Product; SAKR/35; P/N: 172160000"/>
    <x v="3"/>
    <s v="Weidmuller Middle East (FZE)"/>
    <n v="206.92405309090901"/>
    <n v="20"/>
    <n v="20"/>
    <n v="0"/>
    <x v="0"/>
    <x v="3"/>
  </r>
  <r>
    <n v="1000110379"/>
    <s v="WQV 70N/4  Cross-connector (terminal) PN:9531"/>
    <x v="3"/>
    <s v="Weidmuller Middle East (FZE)"/>
    <n v="206.8"/>
    <n v="4"/>
    <n v="4"/>
    <n v="0"/>
    <x v="0"/>
    <x v="3"/>
  </r>
  <r>
    <n v="1000020793"/>
    <s v="SKF BEARING - 7205 BECBP"/>
    <x v="3"/>
    <s v="SKF Eurotrade AB"/>
    <n v="206.7"/>
    <n v="4"/>
    <n v="4"/>
    <n v="0"/>
    <x v="0"/>
    <x v="4"/>
  </r>
  <r>
    <n v="1000098576"/>
    <s v="SKF BEARING -6211-RS1"/>
    <x v="3"/>
    <s v="SKF Eurotrade AB"/>
    <n v="206.63"/>
    <n v="3"/>
    <n v="3"/>
    <n v="0"/>
    <x v="0"/>
    <x v="4"/>
  </r>
  <r>
    <n v="1000020259"/>
    <s v="SKF BEARING - 6007-2RS1"/>
    <x v="3"/>
    <s v="SKF Eurotrade AB"/>
    <n v="206.4"/>
    <n v="15"/>
    <n v="15"/>
    <n v="0"/>
    <x v="0"/>
    <x v="4"/>
  </r>
  <r>
    <n v="1000106038"/>
    <s v="P&amp;F Product;Connector Lug Female cordset,; V1"/>
    <x v="3"/>
    <s v="Pepperl+Fuchs (ME) FZE"/>
    <n v="205.57816"/>
    <n v="3"/>
    <n v="3"/>
    <n v="0"/>
    <x v="0"/>
    <x v="5"/>
  </r>
  <r>
    <n v="1000021108"/>
    <s v="SKF BEARING - NU 312 ECJ/C3"/>
    <x v="3"/>
    <s v="SKF Eurotrade AB"/>
    <n v="205.53"/>
    <n v="1"/>
    <n v="1"/>
    <n v="0"/>
    <x v="0"/>
    <x v="4"/>
  </r>
  <r>
    <n v="1000098537"/>
    <s v="SKF BEARING-6007-RS1"/>
    <x v="3"/>
    <s v="SKF Eurotrade AB"/>
    <n v="205.24"/>
    <n v="10"/>
    <n v="10"/>
    <n v="0"/>
    <x v="0"/>
    <x v="4"/>
  </r>
  <r>
    <n v="1000020176"/>
    <s v="SKF BEARING - 32207 J2/Q"/>
    <x v="3"/>
    <s v="SKF Eurotrade AB"/>
    <n v="205.24"/>
    <n v="7"/>
    <n v="7"/>
    <n v="0"/>
    <x v="0"/>
    <x v="4"/>
  </r>
  <r>
    <n v="1000020179"/>
    <s v="SKF BEARING - 32211 J2/Q"/>
    <x v="3"/>
    <s v="SKF Eurotrade AB"/>
    <n v="204.44"/>
    <n v="4"/>
    <n v="4"/>
    <n v="0"/>
    <x v="0"/>
    <x v="4"/>
  </r>
  <r>
    <n v="1000020156"/>
    <s v="SKF BEARING - 30314 J2/Q"/>
    <x v="3"/>
    <s v="SKF Eurotrade AB"/>
    <n v="203.77"/>
    <n v="1"/>
    <n v="1"/>
    <n v="0"/>
    <x v="0"/>
    <x v="4"/>
  </r>
  <r>
    <n v="1000103067"/>
    <s v="SKF Products; PHG BX50EP"/>
    <x v="3"/>
    <s v="SKF Eurotrade AB"/>
    <n v="203.71"/>
    <n v="9"/>
    <n v="9"/>
    <n v="0"/>
    <x v="0"/>
    <x v="4"/>
  </r>
  <r>
    <n v="1000100237"/>
    <s v="SKF WASHER - MB 8"/>
    <x v="3"/>
    <s v="SKF Eurotrade AB"/>
    <n v="202.91110574601601"/>
    <n v="104"/>
    <n v="104"/>
    <n v="0"/>
    <x v="0"/>
    <x v="4"/>
  </r>
  <r>
    <n v="1000100404"/>
    <s v="SKF WASHER - PCMW 426601.5M"/>
    <x v="3"/>
    <s v="SKF Eurotrade AB"/>
    <n v="202.574285714285"/>
    <n v="6"/>
    <n v="6"/>
    <n v="0"/>
    <x v="0"/>
    <x v="4"/>
  </r>
  <r>
    <n v="1000099024"/>
    <s v="SKF BEARING -MB 48"/>
    <x v="3"/>
    <s v="SKF Eurotrade AB"/>
    <n v="201.98"/>
    <n v="1"/>
    <n v="1"/>
    <n v="0"/>
    <x v="0"/>
    <x v="4"/>
  </r>
  <r>
    <n v="1000010178"/>
    <s v="P+F, Inductive Sensor Model No.: NCN8-18GM40-"/>
    <x v="3"/>
    <s v="Pepperl+Fuchs (ME) FZE"/>
    <n v="201.09666666666601"/>
    <n v="1"/>
    <n v="1"/>
    <n v="0"/>
    <x v="0"/>
    <x v="5"/>
  </r>
  <r>
    <n v="1000020675"/>
    <s v="SKF BEARING - 6309-RS1"/>
    <x v="3"/>
    <s v="SKF Eurotrade AB"/>
    <n v="201.08"/>
    <n v="4"/>
    <n v="4"/>
    <n v="0"/>
    <x v="0"/>
    <x v="4"/>
  </r>
  <r>
    <n v="1000020198"/>
    <s v="SKF BEARING - 33116/Q"/>
    <x v="3"/>
    <s v="SKF Eurotrade AB"/>
    <n v="199.83"/>
    <n v="1"/>
    <n v="1"/>
    <n v="0"/>
    <x v="0"/>
    <x v="4"/>
  </r>
  <r>
    <n v="1000021176"/>
    <s v="SKF BEARING - 2207 EKTN9/C3"/>
    <x v="3"/>
    <s v="SKF Eurotrade AB"/>
    <n v="199.26"/>
    <n v="3"/>
    <n v="3"/>
    <n v="0"/>
    <x v="0"/>
    <x v="4"/>
  </r>
  <r>
    <n v="1000020053"/>
    <s v="SKF BEARING - PCM 303430 E"/>
    <x v="3"/>
    <s v="SKF Eurotrade AB"/>
    <n v="199.2"/>
    <n v="25"/>
    <n v="25"/>
    <n v="0"/>
    <x v="0"/>
    <x v="4"/>
  </r>
  <r>
    <n v="1000100201"/>
    <s v="SKF WASHER - MB 7"/>
    <x v="3"/>
    <s v="SKF Eurotrade AB"/>
    <n v="198.76932330827"/>
    <n v="127"/>
    <n v="127"/>
    <n v="0"/>
    <x v="0"/>
    <x v="4"/>
  </r>
  <r>
    <n v="1000102781"/>
    <s v="Weidmuller Item; WDU 6 SW; P/N 1020210000"/>
    <x v="3"/>
    <s v="Weidmuller Middle East (FZE)"/>
    <n v="198.57599999999999"/>
    <n v="70"/>
    <n v="70"/>
    <n v="0"/>
    <x v="0"/>
    <x v="3"/>
  </r>
  <r>
    <n v="1000098829"/>
    <s v="SKF BEARING - AHX 3122"/>
    <x v="3"/>
    <s v="SKF Eurotrade AB"/>
    <n v="198.1875"/>
    <n v="1"/>
    <n v="1"/>
    <n v="0"/>
    <x v="0"/>
    <x v="4"/>
  </r>
  <r>
    <n v="1000098735"/>
    <s v="SKF BEARING -YAR 212-2F"/>
    <x v="3"/>
    <s v="SKF Eurotrade AB"/>
    <n v="197.9"/>
    <n v="2"/>
    <n v="2"/>
    <n v="0"/>
    <x v="0"/>
    <x v="4"/>
  </r>
  <r>
    <n v="1000020420"/>
    <s v="SKF BEARING - 6204/C3"/>
    <x v="3"/>
    <s v="SKF Eurotrade AB"/>
    <n v="197.34399999999999"/>
    <n v="28"/>
    <n v="28"/>
    <n v="0"/>
    <x v="0"/>
    <x v="4"/>
  </r>
  <r>
    <n v="1000021094"/>
    <s v="SKF BEARING - NU 309 ECP"/>
    <x v="3"/>
    <s v="SKF Eurotrade AB"/>
    <n v="196.94333333333299"/>
    <n v="2"/>
    <n v="2"/>
    <n v="0"/>
    <x v="0"/>
    <x v="4"/>
  </r>
  <r>
    <n v="1000100382"/>
    <s v="SKF Product W 05"/>
    <x v="3"/>
    <s v="SKF Eurotrade AB"/>
    <n v="196"/>
    <n v="28"/>
    <n v="28"/>
    <n v="0"/>
    <x v="0"/>
    <x v="4"/>
  </r>
  <r>
    <n v="1000021222"/>
    <s v="SKF BEARING - 22214 EK/C3"/>
    <x v="3"/>
    <s v="SKF Eurotrade AB"/>
    <n v="195.82"/>
    <n v="1"/>
    <n v="1"/>
    <n v="0"/>
    <x v="0"/>
    <x v="4"/>
  </r>
  <r>
    <n v="1000096705"/>
    <s v="Feed Through terminal blocks,4mm2,beige;PN:16"/>
    <x v="3"/>
    <s v="Weidmuller Middle East (FZE)"/>
    <n v="195.67"/>
    <n v="100"/>
    <n v="100"/>
    <n v="0"/>
    <x v="0"/>
    <x v="3"/>
  </r>
  <r>
    <n v="1000095695"/>
    <s v="SKF BEARING TSN 612 L"/>
    <x v="3"/>
    <s v="SKF Eurotrade AB"/>
    <n v="194.88"/>
    <n v="6"/>
    <n v="6"/>
    <n v="0"/>
    <x v="0"/>
    <x v="4"/>
  </r>
  <r>
    <n v="1000107233"/>
    <s v="Weidmuller Product; WQV 70/95/2; P/N:10635000"/>
    <x v="3"/>
    <s v="Weidmuller Middle East (FZE)"/>
    <n v="193.62"/>
    <n v="4"/>
    <n v="4"/>
    <n v="0"/>
    <x v="0"/>
    <x v="3"/>
  </r>
  <r>
    <n v="1000106505"/>
    <s v="Weidmuller Product; WTR 2.5 D- 2STB 6.9/2.3; "/>
    <x v="3"/>
    <s v="Weidmuller Middle East (FZE)"/>
    <n v="193.37263157894699"/>
    <n v="16"/>
    <n v="16"/>
    <n v="0"/>
    <x v="0"/>
    <x v="3"/>
  </r>
  <r>
    <n v="1000020684"/>
    <s v="SKF BEARING - 6310-2Z/C3GJN"/>
    <x v="3"/>
    <s v="SKF Eurotrade AB"/>
    <n v="193.1"/>
    <n v="2"/>
    <n v="2"/>
    <n v="0"/>
    <x v="0"/>
    <x v="4"/>
  </r>
  <r>
    <n v="1000020359"/>
    <s v="SKF BEARING - 61812-2RS1"/>
    <x v="3"/>
    <s v="SKF Eurotrade AB"/>
    <n v="192.4"/>
    <n v="2"/>
    <n v="2"/>
    <n v="0"/>
    <x v="0"/>
    <x v="4"/>
  </r>
  <r>
    <n v="1000020528"/>
    <s v="SKF BEARING - 6216-2Z"/>
    <x v="3"/>
    <s v="SKF Eurotrade AB"/>
    <n v="192.35560606060599"/>
    <n v="1"/>
    <n v="1"/>
    <n v="0"/>
    <x v="0"/>
    <x v="4"/>
  </r>
  <r>
    <n v="1000096773"/>
    <s v="Weidmueller Product PN:697180000; AKZ 2.5 BL"/>
    <x v="3"/>
    <s v="Weidmuller Middle East (FZE)"/>
    <n v="192.35"/>
    <n v="72"/>
    <n v="72"/>
    <n v="0"/>
    <x v="0"/>
    <x v="3"/>
  </r>
  <r>
    <n v="1000020572"/>
    <s v="SKF BEARING - 62213-2RS1"/>
    <x v="3"/>
    <s v="SKF Eurotrade AB"/>
    <n v="191.91"/>
    <n v="1"/>
    <n v="1"/>
    <n v="0"/>
    <x v="0"/>
    <x v="4"/>
  </r>
  <r>
    <n v="1000020403"/>
    <s v="SKF BEARING - 6201-2RSH"/>
    <x v="3"/>
    <s v="SKF Eurotrade AB"/>
    <n v="191.36"/>
    <n v="32"/>
    <n v="32"/>
    <n v="0"/>
    <x v="0"/>
    <x v="4"/>
  </r>
  <r>
    <n v="2500008395"/>
    <s v="2 1 /2&quot; PIPE COUPLING PN B56XX05"/>
    <x v="0"/>
    <s v="ELGI Gulf FZE"/>
    <n v="191.25333333333299"/>
    <n v="4"/>
    <n v="4"/>
    <n v="0"/>
    <x v="0"/>
    <x v="0"/>
  </r>
  <r>
    <n v="1000106504"/>
    <s v="Weidmuller Product; WFS 4 100-250V; P/N:25619"/>
    <x v="3"/>
    <s v="Weidmuller Middle East (FZE)"/>
    <n v="191.15850347540899"/>
    <n v="22"/>
    <n v="22"/>
    <n v="0"/>
    <x v="0"/>
    <x v="3"/>
  </r>
  <r>
    <n v="1000020784"/>
    <s v="SKF BEARING - 51206"/>
    <x v="3"/>
    <s v="SKF Eurotrade AB"/>
    <n v="190.45"/>
    <n v="5"/>
    <n v="5"/>
    <n v="0"/>
    <x v="0"/>
    <x v="4"/>
  </r>
  <r>
    <n v="1000098437"/>
    <s v="SKF BEARING-30209"/>
    <x v="3"/>
    <s v="SKF Eurotrade AB"/>
    <n v="190.45"/>
    <n v="5"/>
    <n v="5"/>
    <n v="0"/>
    <x v="0"/>
    <x v="4"/>
  </r>
  <r>
    <n v="1000020899"/>
    <s v="SKF BEARING - NJ 213 ECJ/C3"/>
    <x v="3"/>
    <s v="SKF Eurotrade AB"/>
    <n v="190.26"/>
    <n v="1"/>
    <n v="1"/>
    <n v="0"/>
    <x v="0"/>
    <x v="4"/>
  </r>
  <r>
    <n v="1000020202"/>
    <s v="SKF BEARING - 33206/Q"/>
    <x v="3"/>
    <s v="SKF Eurotrade AB"/>
    <n v="189.64"/>
    <n v="4"/>
    <n v="4"/>
    <n v="0"/>
    <x v="0"/>
    <x v="4"/>
  </r>
  <r>
    <n v="1000099480"/>
    <s v="Weidmuller; Accessories Cross Connector; P/N:"/>
    <x v="3"/>
    <s v="Weidmuller Middle East (FZE)"/>
    <n v="189.2"/>
    <n v="2"/>
    <n v="2"/>
    <n v="0"/>
    <x v="0"/>
    <x v="3"/>
  </r>
  <r>
    <n v="1000097612"/>
    <s v="SKF BEARING - 6306 NR"/>
    <x v="3"/>
    <s v="SKF Eurotrade AB"/>
    <n v="188.98671999999999"/>
    <n v="4"/>
    <n v="4"/>
    <n v="0"/>
    <x v="0"/>
    <x v="4"/>
  </r>
  <r>
    <n v="1000096236"/>
    <s v="Weidmuller; Cable duct; P/N:2589330000;Model "/>
    <x v="3"/>
    <s v="Weidmuller Middle East (FZE)"/>
    <n v="188.7925625"/>
    <n v="4"/>
    <n v="4"/>
    <n v="0"/>
    <x v="0"/>
    <x v="3"/>
  </r>
  <r>
    <n v="1000021171"/>
    <s v="SKF BEARING - 2205 ETN9/C3"/>
    <x v="3"/>
    <s v="SKF Eurotrade AB"/>
    <n v="188.52"/>
    <n v="4"/>
    <n v="4"/>
    <n v="0"/>
    <x v="0"/>
    <x v="4"/>
  </r>
  <r>
    <n v="1000021031"/>
    <s v="SKF BEARING - NU 2205 ECP"/>
    <x v="3"/>
    <s v="SKF Eurotrade AB"/>
    <n v="188.49"/>
    <n v="3"/>
    <n v="3"/>
    <n v="0"/>
    <x v="0"/>
    <x v="4"/>
  </r>
  <r>
    <n v="1000020285"/>
    <s v="SKF BEARING - 6012/W64"/>
    <x v="3"/>
    <s v="SKF Eurotrade AB"/>
    <n v="188.25"/>
    <n v="1"/>
    <n v="1"/>
    <n v="0"/>
    <x v="0"/>
    <x v="4"/>
  </r>
  <r>
    <n v="1000020901"/>
    <s v="SKF BEARING - NJ 214 ECP"/>
    <x v="3"/>
    <s v="SKF Eurotrade AB"/>
    <n v="188.21"/>
    <n v="1"/>
    <n v="1"/>
    <n v="0"/>
    <x v="0"/>
    <x v="4"/>
  </r>
  <r>
    <n v="1000020785"/>
    <s v="SKF BEARING - 51207"/>
    <x v="3"/>
    <s v="SKF Eurotrade AB"/>
    <n v="187.96"/>
    <n v="4"/>
    <n v="4"/>
    <n v="0"/>
    <x v="0"/>
    <x v="4"/>
  </r>
  <r>
    <n v="1000020393"/>
    <s v="SKF BEARING - 61910-2RS1"/>
    <x v="3"/>
    <s v="SKF Eurotrade AB"/>
    <n v="187.9"/>
    <n v="2"/>
    <n v="2"/>
    <n v="0"/>
    <x v="0"/>
    <x v="4"/>
  </r>
  <r>
    <n v="1000020293"/>
    <s v="SKF BEARING - 6013-Z"/>
    <x v="3"/>
    <s v="SKF Eurotrade AB"/>
    <n v="187.86"/>
    <n v="3"/>
    <n v="3"/>
    <n v="0"/>
    <x v="0"/>
    <x v="4"/>
  </r>
  <r>
    <n v="1000093563"/>
    <s v="Weidmuller; Model No. HDC-C-HE-SM2.5AG; Descr"/>
    <x v="3"/>
    <s v="Weidmuller Middle East (FZE)"/>
    <n v="187.33035764705801"/>
    <n v="280"/>
    <n v="280"/>
    <n v="0"/>
    <x v="0"/>
    <x v="3"/>
  </r>
  <r>
    <n v="1000020240"/>
    <s v="SKF BEARING - 6004/C3"/>
    <x v="3"/>
    <s v="SKF Eurotrade AB"/>
    <n v="187.2"/>
    <n v="26"/>
    <n v="26"/>
    <n v="0"/>
    <x v="0"/>
    <x v="4"/>
  </r>
  <r>
    <n v="1000101487"/>
    <s v="Weidmuller; PN:460660001 Model:DEK 5 FS2 1-10"/>
    <x v="3"/>
    <s v="Weidmuller Middle East (FZE)"/>
    <n v="187.04159999999999"/>
    <n v="2000"/>
    <n v="2000"/>
    <n v="0"/>
    <x v="0"/>
    <x v="3"/>
  </r>
  <r>
    <n v="1000100422"/>
    <s v="SKF Product GE 50 ES-2RS/C2"/>
    <x v="3"/>
    <s v="SKF Eurotrade AB"/>
    <n v="186.97499999999999"/>
    <n v="2"/>
    <n v="2"/>
    <n v="0"/>
    <x v="0"/>
    <x v="4"/>
  </r>
  <r>
    <n v="1000020608"/>
    <s v="SKF BEARING - 63008-2RS1"/>
    <x v="3"/>
    <s v="SKF Eurotrade AB"/>
    <n v="186.84"/>
    <n v="4"/>
    <n v="4"/>
    <n v="0"/>
    <x v="0"/>
    <x v="4"/>
  </r>
  <r>
    <n v="1000106064"/>
    <s v="P&amp;F Female cordset, NAMUR; V1-G-N-15M-PUR; P/"/>
    <x v="3"/>
    <s v="Pepperl+Fuchs (ME) FZE"/>
    <n v="186.34"/>
    <n v="2"/>
    <n v="2"/>
    <n v="0"/>
    <x v="0"/>
    <x v="5"/>
  </r>
  <r>
    <n v="1000106058"/>
    <s v="P&amp;F Female cordset, NAMUR; V1-G-N-10M-PUR; P/"/>
    <x v="3"/>
    <s v="Pepperl+Fuchs (ME) FZE"/>
    <n v="185.85"/>
    <n v="3"/>
    <n v="3"/>
    <n v="0"/>
    <x v="0"/>
    <x v="5"/>
  </r>
  <r>
    <n v="1000020387"/>
    <s v="SKF BEARING - 61906-2RS1"/>
    <x v="3"/>
    <s v="SKF Eurotrade AB"/>
    <n v="185.7"/>
    <n v="5"/>
    <n v="5"/>
    <n v="0"/>
    <x v="0"/>
    <x v="4"/>
  </r>
  <r>
    <n v="2500008146"/>
    <s v="2/5 DETENT VALVE MDL PG 400-150,300-100,300-1"/>
    <x v="0"/>
    <s v="ELGI Gulf FZE"/>
    <n v="185.62666666666601"/>
    <n v="1"/>
    <n v="1"/>
    <n v="0"/>
    <x v="0"/>
    <x v="0"/>
  </r>
  <r>
    <n v="1000020321"/>
    <s v="SKF BEARING - 6021-2RS1"/>
    <x v="3"/>
    <s v="SKF Eurotrade AB"/>
    <n v="185.61"/>
    <n v="1"/>
    <n v="1"/>
    <n v="0"/>
    <x v="0"/>
    <x v="4"/>
  </r>
  <r>
    <n v="1000107109"/>
    <s v="Weidmuller Product; RCL114024; P/N:8693180000"/>
    <x v="3"/>
    <s v="Weidmuller Middle East (FZE)"/>
    <n v="185.49"/>
    <n v="20"/>
    <n v="20"/>
    <n v="0"/>
    <x v="0"/>
    <x v="3"/>
  </r>
  <r>
    <n v="1000020326"/>
    <s v="SKF BEARING - 6024"/>
    <x v="3"/>
    <s v="SKF Eurotrade AB"/>
    <n v="185.26"/>
    <n v="1"/>
    <n v="1"/>
    <n v="0"/>
    <x v="0"/>
    <x v="4"/>
  </r>
  <r>
    <n v="1000021195"/>
    <s v="SKF BEARING - 22206 E"/>
    <x v="3"/>
    <s v="SKF Eurotrade AB"/>
    <n v="185.02"/>
    <n v="2"/>
    <n v="2"/>
    <n v="0"/>
    <x v="0"/>
    <x v="4"/>
  </r>
  <r>
    <n v="2500009197"/>
    <s v="ELBOW RUBBER | P/N- 15318798"/>
    <x v="0"/>
    <s v="ELGI Gulf FZE"/>
    <n v="184.69"/>
    <n v="2"/>
    <n v="2"/>
    <n v="0"/>
    <x v="0"/>
    <x v="0"/>
  </r>
  <r>
    <n v="1000100415"/>
    <s v="SKF Product 1216 K/C3"/>
    <x v="3"/>
    <s v="SKF Eurotrade AB"/>
    <n v="184.428"/>
    <n v="1"/>
    <n v="1"/>
    <n v="0"/>
    <x v="0"/>
    <x v="4"/>
  </r>
  <r>
    <n v="1000020801"/>
    <s v="SKF BEARING - 7209 BECBP"/>
    <x v="3"/>
    <s v="SKF Eurotrade AB"/>
    <n v="184.24"/>
    <n v="2"/>
    <n v="2"/>
    <n v="0"/>
    <x v="0"/>
    <x v="4"/>
  </r>
  <r>
    <n v="1000020799"/>
    <s v="SKF BEARING - 7208 BECBP"/>
    <x v="3"/>
    <s v="SKF Eurotrade AB"/>
    <n v="183.88"/>
    <n v="2"/>
    <n v="2"/>
    <n v="0"/>
    <x v="0"/>
    <x v="4"/>
  </r>
  <r>
    <n v="1000020174"/>
    <s v="SKF BEARING - 32015 X/Q"/>
    <x v="3"/>
    <s v="SKF Eurotrade AB"/>
    <n v="182.82"/>
    <n v="2"/>
    <n v="2"/>
    <n v="0"/>
    <x v="0"/>
    <x v="4"/>
  </r>
  <r>
    <n v="1000020761"/>
    <s v="SKF BEARING - 6405"/>
    <x v="3"/>
    <s v="SKF Eurotrade AB"/>
    <n v="182.28"/>
    <n v="3"/>
    <n v="3"/>
    <n v="0"/>
    <x v="0"/>
    <x v="4"/>
  </r>
  <r>
    <n v="1000107581"/>
    <s v="Weidmuller Product; WAP WSI4/2; P/N: 18804500"/>
    <x v="3"/>
    <s v="Weidmuller Middle East (FZE)"/>
    <n v="182.23"/>
    <n v="100"/>
    <n v="100"/>
    <n v="0"/>
    <x v="0"/>
    <x v="3"/>
  </r>
  <r>
    <n v="1000020050"/>
    <s v="SKF BEARING - 6010-2RS1"/>
    <x v="3"/>
    <s v="SKF Eurotrade AB"/>
    <n v="181.476566666666"/>
    <n v="7"/>
    <n v="7"/>
    <n v="0"/>
    <x v="0"/>
    <x v="4"/>
  </r>
  <r>
    <n v="1000106685"/>
    <s v="Weidmuller Product; PJ CON WASTE PAD; P/N:271"/>
    <x v="3"/>
    <s v="Weidmuller Middle East (FZE)"/>
    <n v="181.3802"/>
    <n v="1"/>
    <n v="1"/>
    <n v="0"/>
    <x v="0"/>
    <x v="3"/>
  </r>
  <r>
    <n v="1000097613"/>
    <s v="SKF BEARING - NU 214 ECJ"/>
    <x v="3"/>
    <s v="SKF Eurotrade AB"/>
    <n v="179.66"/>
    <n v="1"/>
    <n v="1"/>
    <n v="0"/>
    <x v="0"/>
    <x v="4"/>
  </r>
  <r>
    <n v="1000020299"/>
    <s v="SKF BEARING - 6015-2Z/C3"/>
    <x v="3"/>
    <s v="SKF Eurotrade AB"/>
    <n v="179.52"/>
    <n v="2"/>
    <n v="2"/>
    <n v="0"/>
    <x v="0"/>
    <x v="4"/>
  </r>
  <r>
    <n v="1000095751"/>
    <s v="SKF Product,PART NO: TSN 517L"/>
    <x v="3"/>
    <s v="SKF Eurotrade AB"/>
    <n v="179.19"/>
    <n v="4"/>
    <n v="4"/>
    <n v="0"/>
    <x v="0"/>
    <x v="4"/>
  </r>
  <r>
    <n v="1000100871"/>
    <s v="SKF BEARING -AXK 2035"/>
    <x v="3"/>
    <s v="SKF Eurotrade AB"/>
    <n v="178.88"/>
    <n v="30"/>
    <n v="30"/>
    <n v="0"/>
    <x v="0"/>
    <x v="4"/>
  </r>
  <r>
    <n v="1000020789"/>
    <s v="SKF BEARING - 7203 BECBM"/>
    <x v="3"/>
    <s v="SKF Eurotrade AB"/>
    <n v="178.54"/>
    <n v="2"/>
    <n v="2"/>
    <n v="0"/>
    <x v="0"/>
    <x v="4"/>
  </r>
  <r>
    <n v="1000095004"/>
    <s v="Weidmuller; RELAY;P/N:8870320000  Model No.RC"/>
    <x v="3"/>
    <s v="Weidmuller Middle East (FZE)"/>
    <n v="178.19"/>
    <n v="8"/>
    <n v="8"/>
    <n v="0"/>
    <x v="0"/>
    <x v="3"/>
  </r>
  <r>
    <n v="1000020146"/>
    <s v="SKF BEARING - 30304 J2/Q"/>
    <x v="3"/>
    <s v="SKF Eurotrade AB"/>
    <n v="178.15"/>
    <n v="7"/>
    <n v="7"/>
    <n v="0"/>
    <x v="0"/>
    <x v="4"/>
  </r>
  <r>
    <n v="1000020178"/>
    <s v="SKF BEARING - 32209 J2/Q"/>
    <x v="3"/>
    <s v="SKF Eurotrade AB"/>
    <n v="178.12"/>
    <n v="4"/>
    <n v="4"/>
    <n v="0"/>
    <x v="0"/>
    <x v="4"/>
  </r>
  <r>
    <n v="1000099479"/>
    <s v="Weidmuller; Accessories Cross Connector; P/N:"/>
    <x v="3"/>
    <s v="Weidmuller Middle East (FZE)"/>
    <n v="177.07"/>
    <n v="2"/>
    <n v="2"/>
    <n v="0"/>
    <x v="0"/>
    <x v="3"/>
  </r>
  <r>
    <n v="1000020350"/>
    <s v="SKF BEARING - 61806-2RS1"/>
    <x v="3"/>
    <s v="SKF Eurotrade AB"/>
    <n v="176"/>
    <n v="5"/>
    <n v="5"/>
    <n v="0"/>
    <x v="0"/>
    <x v="4"/>
  </r>
  <r>
    <n v="1000020569"/>
    <s v="SKF BEARING - 62210-2RS1/C3"/>
    <x v="3"/>
    <s v="SKF Eurotrade AB"/>
    <n v="175.02"/>
    <n v="2"/>
    <n v="2"/>
    <n v="0"/>
    <x v="0"/>
    <x v="4"/>
  </r>
  <r>
    <n v="1000020958"/>
    <s v="SKF BEARING - NJ 309 ECJ/C3"/>
    <x v="3"/>
    <s v="SKF Eurotrade AB"/>
    <n v="174.98"/>
    <n v="1"/>
    <n v="1"/>
    <n v="0"/>
    <x v="0"/>
    <x v="4"/>
  </r>
  <r>
    <n v="1000020021"/>
    <s v="SKF BEARING - FYJ 40 TF"/>
    <x v="3"/>
    <s v="SKF Eurotrade AB"/>
    <n v="174.55"/>
    <n v="2"/>
    <n v="2"/>
    <n v="0"/>
    <x v="0"/>
    <x v="4"/>
  </r>
  <r>
    <n v="1000020056"/>
    <s v="SKF BEARING - W 10"/>
    <x v="3"/>
    <s v="SKF Eurotrade AB"/>
    <n v="174.548557037389"/>
    <n v="27"/>
    <n v="27"/>
    <n v="0"/>
    <x v="0"/>
    <x v="4"/>
  </r>
  <r>
    <n v="1000020353"/>
    <s v="SKF BEARING - 61808"/>
    <x v="3"/>
    <s v="SKF Eurotrade AB"/>
    <n v="174.32"/>
    <n v="4"/>
    <n v="4"/>
    <n v="0"/>
    <x v="0"/>
    <x v="4"/>
  </r>
  <r>
    <n v="1000020409"/>
    <s v="SKF BEARING - 6202-2Z"/>
    <x v="3"/>
    <s v="SKF Eurotrade AB"/>
    <n v="173.25"/>
    <n v="28"/>
    <n v="28"/>
    <n v="0"/>
    <x v="0"/>
    <x v="4"/>
  </r>
  <r>
    <n v="1000020078"/>
    <s v="SKF BEARING - 3304 A-2RS1TN9/MT33"/>
    <x v="3"/>
    <s v="SKF Eurotrade AB"/>
    <n v="173.12"/>
    <n v="2"/>
    <n v="2"/>
    <n v="0"/>
    <x v="0"/>
    <x v="4"/>
  </r>
  <r>
    <n v="1000020710"/>
    <s v="SKF BEARING - 6313-ZNR"/>
    <x v="3"/>
    <s v="SKF Eurotrade AB"/>
    <n v="173.04"/>
    <n v="1"/>
    <n v="1"/>
    <n v="0"/>
    <x v="0"/>
    <x v="4"/>
  </r>
  <r>
    <n v="1000020929"/>
    <s v="SKF BEARING - NJ 2308 ECJ"/>
    <x v="3"/>
    <s v="SKF Eurotrade AB"/>
    <n v="173.04"/>
    <n v="1"/>
    <n v="1"/>
    <n v="0"/>
    <x v="0"/>
    <x v="4"/>
  </r>
  <r>
    <n v="2500008221"/>
    <s v="Belt PN B014606410051"/>
    <x v="0"/>
    <s v="ELGI Gulf FZE"/>
    <n v="173"/>
    <n v="2"/>
    <n v="2"/>
    <n v="0"/>
    <x v="0"/>
    <x v="0"/>
  </r>
  <r>
    <n v="1000020893"/>
    <s v="SKF BEARING - NJ 208 ECP/C3"/>
    <x v="3"/>
    <s v="SKF Eurotrade AB"/>
    <n v="172.98"/>
    <n v="2"/>
    <n v="2"/>
    <n v="0"/>
    <x v="0"/>
    <x v="4"/>
  </r>
  <r>
    <n v="1000020892"/>
    <s v="SKF BEARING - NJ 208 ECP"/>
    <x v="3"/>
    <s v="SKF Eurotrade AB"/>
    <n v="172.98"/>
    <n v="2"/>
    <n v="2"/>
    <n v="0"/>
    <x v="0"/>
    <x v="4"/>
  </r>
  <r>
    <n v="1000100385"/>
    <s v="SKF Product 220X250X15 HMSA10 V"/>
    <x v="3"/>
    <s v="SKF Eurotrade AB"/>
    <n v="172.2"/>
    <n v="1"/>
    <n v="1"/>
    <n v="0"/>
    <x v="3"/>
    <x v="4"/>
  </r>
  <r>
    <n v="1000020401"/>
    <s v="SKF BEARING - 6200-2RSH/C3"/>
    <x v="3"/>
    <s v="SKF Eurotrade AB"/>
    <n v="172.2"/>
    <n v="30"/>
    <n v="30"/>
    <n v="0"/>
    <x v="0"/>
    <x v="4"/>
  </r>
  <r>
    <n v="1000101339"/>
    <s v="Weidmueller,Product:1608800000;   PN:ZAP/TW 3"/>
    <x v="3"/>
    <s v="Weidmuller Middle East (FZE)"/>
    <n v="172.13"/>
    <n v="250"/>
    <n v="250"/>
    <n v="0"/>
    <x v="0"/>
    <x v="3"/>
  </r>
  <r>
    <n v="1000092380"/>
    <s v="SKF - BELT, VEE, PART# B83   Model No. PHG B8"/>
    <x v="3"/>
    <s v="SKF Eurotrade AB"/>
    <n v="172.1"/>
    <n v="11"/>
    <n v="11"/>
    <n v="0"/>
    <x v="0"/>
    <x v="4"/>
  </r>
  <r>
    <n v="1000021033"/>
    <s v="SKF BEARING - NU 2208 ECP/C3"/>
    <x v="3"/>
    <s v="SKF Eurotrade AB"/>
    <n v="172.06"/>
    <n v="2"/>
    <n v="2"/>
    <n v="0"/>
    <x v="0"/>
    <x v="4"/>
  </r>
  <r>
    <n v="1000098539"/>
    <s v="SKF BEARING-6010-Z"/>
    <x v="3"/>
    <s v="SKF Eurotrade AB"/>
    <n v="171.54"/>
    <n v="5"/>
    <n v="5"/>
    <n v="0"/>
    <x v="0"/>
    <x v="4"/>
  </r>
  <r>
    <n v="1000020953"/>
    <s v="SKF BEARING - NJ 307 ECP/C3"/>
    <x v="3"/>
    <s v="SKF Eurotrade AB"/>
    <n v="170.94"/>
    <n v="2"/>
    <n v="2"/>
    <n v="0"/>
    <x v="0"/>
    <x v="4"/>
  </r>
  <r>
    <n v="1000020098"/>
    <s v="SKF BEARING - 3308 A-2Z/C3"/>
    <x v="3"/>
    <s v="SKF Eurotrade AB"/>
    <n v="170.54"/>
    <n v="1"/>
    <n v="1"/>
    <n v="0"/>
    <x v="0"/>
    <x v="4"/>
  </r>
  <r>
    <n v="1000096884"/>
    <s v="Weidmueller,Product2537700000;WIL-BM-SK-M12-3"/>
    <x v="3"/>
    <s v="Weidmuller Middle East (FZE)"/>
    <n v="170"/>
    <n v="2"/>
    <n v="2"/>
    <n v="0"/>
    <x v="0"/>
    <x v="3"/>
  </r>
  <r>
    <n v="1000021188"/>
    <s v="SKF BEARING - H 313"/>
    <x v="3"/>
    <s v="SKF Eurotrade AB"/>
    <n v="169.98750000000001"/>
    <n v="3"/>
    <n v="3"/>
    <n v="0"/>
    <x v="0"/>
    <x v="4"/>
  </r>
  <r>
    <n v="1000020203"/>
    <s v="SKF BEARING - 33207/Q"/>
    <x v="3"/>
    <s v="SKF Eurotrade AB"/>
    <n v="169.8"/>
    <n v="3"/>
    <n v="3"/>
    <n v="0"/>
    <x v="0"/>
    <x v="4"/>
  </r>
  <r>
    <n v="1000096395"/>
    <s v="GP-12-NON-ELC-05;CC-M 85/54 ST LABEL(54X85)SS"/>
    <x v="3"/>
    <s v="Weidmuller Middle East (FZE)"/>
    <n v="169.15"/>
    <n v="20"/>
    <n v="20"/>
    <n v="0"/>
    <x v="0"/>
    <x v="3"/>
  </r>
  <r>
    <n v="1000020992"/>
    <s v="SKF BEARING - NU 209 ECP/C3"/>
    <x v="3"/>
    <s v="SKF Eurotrade AB"/>
    <n v="168.88"/>
    <n v="2"/>
    <n v="2"/>
    <n v="0"/>
    <x v="0"/>
    <x v="4"/>
  </r>
  <r>
    <n v="1000020783"/>
    <s v="SKF BEARING - 51205"/>
    <x v="3"/>
    <s v="SKF Eurotrade AB"/>
    <n v="168.6"/>
    <n v="5"/>
    <n v="5"/>
    <n v="0"/>
    <x v="0"/>
    <x v="4"/>
  </r>
  <r>
    <n v="1000020604"/>
    <s v="SKF BEARING - 6300-2Z/C3"/>
    <x v="3"/>
    <s v="SKF Eurotrade AB"/>
    <n v="168"/>
    <n v="25"/>
    <n v="25"/>
    <n v="0"/>
    <x v="0"/>
    <x v="4"/>
  </r>
  <r>
    <n v="1000020388"/>
    <s v="SKF BEARING - 61906-2RZ"/>
    <x v="3"/>
    <s v="SKF Eurotrade AB"/>
    <n v="167.2"/>
    <n v="5"/>
    <n v="5"/>
    <n v="0"/>
    <x v="0"/>
    <x v="4"/>
  </r>
  <r>
    <n v="2500009299"/>
    <s v="TEMP.SENSOR;0-150DEG;KTY10 18400077"/>
    <x v="0"/>
    <s v="ELGI Gulf FZE"/>
    <n v="167.06"/>
    <n v="1"/>
    <n v="1"/>
    <n v="0"/>
    <x v="0"/>
    <x v="0"/>
  </r>
  <r>
    <n v="1000101105"/>
    <s v="SKF BEARING - 361204 R"/>
    <x v="3"/>
    <s v="SKF Eurotrade AB"/>
    <n v="166.92"/>
    <n v="5"/>
    <n v="5"/>
    <n v="0"/>
    <x v="0"/>
    <x v="4"/>
  </r>
  <r>
    <n v="1000110983"/>
    <s v="SKF PRODUCT 6205-2Z/C3GJN"/>
    <x v="3"/>
    <s v="SKF Eurotrade AB"/>
    <n v="166.875"/>
    <n v="10"/>
    <n v="10"/>
    <n v="0"/>
    <x v="0"/>
    <x v="4"/>
  </r>
  <r>
    <n v="1000102787"/>
    <s v="Weidmuller Item; G 25/2.00A/F BL; P/N 1927000"/>
    <x v="3"/>
    <s v="Weidmuller Middle East (FZE)"/>
    <n v="166.83"/>
    <n v="30"/>
    <n v="30"/>
    <n v="0"/>
    <x v="0"/>
    <x v="3"/>
  </r>
  <r>
    <n v="1000102581"/>
    <s v="SKF BEARING; 53210"/>
    <x v="3"/>
    <s v="SKF Eurotrade AB"/>
    <n v="166.8"/>
    <n v="1"/>
    <n v="1"/>
    <n v="0"/>
    <x v="0"/>
    <x v="4"/>
  </r>
  <r>
    <n v="1000020048"/>
    <s v="SKF BEARING - 6304 ETN9"/>
    <x v="3"/>
    <s v="SKF Eurotrade AB"/>
    <n v="166.62"/>
    <n v="5"/>
    <n v="5"/>
    <n v="0"/>
    <x v="0"/>
    <x v="4"/>
  </r>
  <r>
    <n v="1000021039"/>
    <s v="SKF BEARING - NU 2211 ECJ/C3"/>
    <x v="3"/>
    <s v="SKF Eurotrade AB"/>
    <n v="166.53"/>
    <n v="1"/>
    <n v="1"/>
    <n v="0"/>
    <x v="0"/>
    <x v="4"/>
  </r>
  <r>
    <n v="1000021047"/>
    <s v="SKF BEARING - NU 2214 ECP/C3"/>
    <x v="3"/>
    <s v="SKF Eurotrade AB"/>
    <n v="166.39"/>
    <n v="1"/>
    <n v="1"/>
    <n v="0"/>
    <x v="0"/>
    <x v="4"/>
  </r>
  <r>
    <n v="1000020254"/>
    <s v="SKF BEARING - 6006-2RS1/C3"/>
    <x v="3"/>
    <s v="SKF Eurotrade AB"/>
    <n v="166.35"/>
    <n v="15"/>
    <n v="15"/>
    <n v="0"/>
    <x v="0"/>
    <x v="4"/>
  </r>
  <r>
    <n v="1000021467"/>
    <s v="SKF BEARING - 7304 BEP"/>
    <x v="3"/>
    <s v="SKF Eurotrade AB"/>
    <n v="165.54"/>
    <n v="5"/>
    <n v="5"/>
    <n v="0"/>
    <x v="0"/>
    <x v="4"/>
  </r>
  <r>
    <n v="1000095898"/>
    <s v="P+F, Inductive Sensor Model No. (NBB4-12GM50-"/>
    <x v="3"/>
    <s v="Pepperl+Fuchs (ME) FZE"/>
    <n v="165.376"/>
    <n v="1"/>
    <n v="1"/>
    <n v="0"/>
    <x v="0"/>
    <x v="5"/>
  </r>
  <r>
    <n v="2500009403"/>
    <s v="DESCRIPTION : L WEAR PLATE_UHMWPE | Part No: "/>
    <x v="0"/>
    <s v="PARANTHAMAN EXPORTERS"/>
    <n v="165"/>
    <n v="1"/>
    <n v="1"/>
    <n v="0"/>
    <x v="0"/>
    <x v="0"/>
  </r>
  <r>
    <n v="1000020985"/>
    <s v="SKF BEARING - NU 207 ECJ"/>
    <x v="3"/>
    <s v="SKF Eurotrade AB"/>
    <n v="164.8"/>
    <n v="2"/>
    <n v="2"/>
    <n v="0"/>
    <x v="0"/>
    <x v="4"/>
  </r>
  <r>
    <n v="1000098692"/>
    <s v="SKF BEARING -NJ 309 ECJ"/>
    <x v="3"/>
    <s v="SKF Eurotrade AB"/>
    <n v="163.55799999999999"/>
    <n v="1"/>
    <n v="1"/>
    <n v="0"/>
    <x v="0"/>
    <x v="4"/>
  </r>
  <r>
    <n v="1000020645"/>
    <s v="SKF BEARING - 6307"/>
    <x v="3"/>
    <s v="SKF Eurotrade AB"/>
    <n v="162.64564285714201"/>
    <n v="7"/>
    <n v="7"/>
    <n v="0"/>
    <x v="0"/>
    <x v="4"/>
  </r>
  <r>
    <n v="1000098452"/>
    <s v="SKF BEARING-33207"/>
    <x v="3"/>
    <s v="SKF Eurotrade AB"/>
    <n v="161.91"/>
    <n v="3"/>
    <n v="3"/>
    <n v="0"/>
    <x v="0"/>
    <x v="4"/>
  </r>
  <r>
    <n v="1000020301"/>
    <s v="SKF BEARING - 6016-2RS1/C3"/>
    <x v="3"/>
    <s v="SKF Eurotrade AB"/>
    <n v="161.84"/>
    <n v="2"/>
    <n v="2"/>
    <n v="0"/>
    <x v="0"/>
    <x v="4"/>
  </r>
  <r>
    <n v="1000020149"/>
    <s v="SKF BEARING - 30307 J2/Q"/>
    <x v="3"/>
    <s v="SKF Eurotrade AB"/>
    <n v="161.76"/>
    <n v="4"/>
    <n v="4"/>
    <n v="0"/>
    <x v="0"/>
    <x v="4"/>
  </r>
  <r>
    <n v="1000020289"/>
    <s v="SKF BEARING - 6013/C3"/>
    <x v="3"/>
    <s v="SKF Eurotrade AB"/>
    <n v="161.04"/>
    <n v="3"/>
    <n v="3"/>
    <n v="0"/>
    <x v="0"/>
    <x v="4"/>
  </r>
  <r>
    <n v="1000021096"/>
    <s v="SKF BEARING - NU 310 ECJ"/>
    <x v="3"/>
    <s v="SKF Eurotrade AB"/>
    <n v="160.76"/>
    <n v="1"/>
    <n v="1"/>
    <n v="0"/>
    <x v="0"/>
    <x v="4"/>
  </r>
  <r>
    <n v="1000101064"/>
    <s v="SKF BEARING - 6003-2Z/VA208"/>
    <x v="3"/>
    <s v="SKF Eurotrade AB"/>
    <n v="160.69"/>
    <n v="1"/>
    <n v="1"/>
    <n v="0"/>
    <x v="0"/>
    <x v="4"/>
  </r>
  <r>
    <n v="1000020797"/>
    <s v="SKF BEARING - 7207 BECBP"/>
    <x v="3"/>
    <s v="SKF Eurotrade AB"/>
    <n v="160.52000000000001"/>
    <n v="2"/>
    <n v="2"/>
    <n v="0"/>
    <x v="0"/>
    <x v="4"/>
  </r>
  <r>
    <n v="1000103147"/>
    <s v="SKF Products; SY 25 TF"/>
    <x v="3"/>
    <s v="SKF Eurotrade AB"/>
    <n v="160.49"/>
    <n v="3"/>
    <n v="3"/>
    <n v="0"/>
    <x v="0"/>
    <x v="4"/>
  </r>
  <r>
    <n v="1000103010"/>
    <s v="SKF PRODUCT; PHG SPA1657"/>
    <x v="3"/>
    <s v="SKF Eurotrade AB"/>
    <n v="160.43"/>
    <n v="12"/>
    <n v="12"/>
    <n v="0"/>
    <x v="0"/>
    <x v="4"/>
  </r>
  <r>
    <n v="1000020094"/>
    <s v="SKF BEARING - 3308 A/C3"/>
    <x v="3"/>
    <s v="Universal Bearings Company"/>
    <n v="159.338333333333"/>
    <n v="1"/>
    <n v="1"/>
    <n v="0"/>
    <x v="0"/>
    <x v="4"/>
  </r>
  <r>
    <n v="1000101284"/>
    <s v="Weidmuller; WQB A/24; P/N: 1579000000"/>
    <x v="3"/>
    <s v="Weidmuller Middle East (FZE)"/>
    <n v="159.2959275"/>
    <n v="15"/>
    <n v="15"/>
    <n v="0"/>
    <x v="0"/>
    <x v="3"/>
  </r>
  <r>
    <n v="1000020620"/>
    <s v="SKF BEARING - 6304"/>
    <x v="3"/>
    <s v="Universal Bearings Company"/>
    <n v="158.95881843381801"/>
    <n v="14"/>
    <n v="14"/>
    <n v="0"/>
    <x v="0"/>
    <x v="4"/>
  </r>
  <r>
    <n v="1000020779"/>
    <s v="SKF BEARING - 51112"/>
    <x v="3"/>
    <s v="SKF Eurotrade AB"/>
    <n v="158.94"/>
    <n v="3"/>
    <n v="3"/>
    <n v="0"/>
    <x v="0"/>
    <x v="4"/>
  </r>
  <r>
    <n v="1000096126"/>
    <s v="Weidmuller; P/N:380660000  Model No.SAK 16/35"/>
    <x v="3"/>
    <s v="Weidmuller Middle East (FZE)"/>
    <n v="158.87"/>
    <n v="25"/>
    <n v="25"/>
    <n v="0"/>
    <x v="0"/>
    <x v="3"/>
  </r>
  <r>
    <n v="1000021380"/>
    <s v="SKF BEARING - AN 16"/>
    <x v="3"/>
    <s v="SKF Eurotrade AB"/>
    <n v="158.756"/>
    <n v="2"/>
    <n v="2"/>
    <n v="0"/>
    <x v="0"/>
    <x v="4"/>
  </r>
  <r>
    <n v="1000020501"/>
    <s v="SKF BEARING - 6212-RS1/C3"/>
    <x v="3"/>
    <s v="SKF Eurotrade AB"/>
    <n v="157.9"/>
    <n v="2"/>
    <n v="2"/>
    <n v="0"/>
    <x v="0"/>
    <x v="4"/>
  </r>
  <r>
    <n v="1000098728"/>
    <s v="SKF BEARING -SY 40 FM"/>
    <x v="3"/>
    <s v="SKF Eurotrade AB"/>
    <n v="157.75299999999999"/>
    <n v="2"/>
    <n v="2"/>
    <n v="0"/>
    <x v="0"/>
    <x v="4"/>
  </r>
  <r>
    <n v="1000020012"/>
    <s v="SKF BEARING - 6007-Z"/>
    <x v="3"/>
    <s v="SKF Eurotrade AB"/>
    <n v="157.376"/>
    <n v="8"/>
    <n v="8"/>
    <n v="0"/>
    <x v="0"/>
    <x v="4"/>
  </r>
  <r>
    <n v="1000092381"/>
    <s v="SKF - BLOCK, PLUMMER, PART# UCP207    Model N"/>
    <x v="3"/>
    <s v="Universal Bearings Company"/>
    <n v="157.02000000000001"/>
    <n v="2"/>
    <n v="2"/>
    <n v="0"/>
    <x v="0"/>
    <x v="4"/>
  </r>
  <r>
    <n v="1000100235"/>
    <s v="SKF BEARINGS - Model No. FS 190"/>
    <x v="3"/>
    <s v="SKF Eurotrade AB"/>
    <n v="156.9468"/>
    <n v="93"/>
    <n v="93"/>
    <n v="0"/>
    <x v="0"/>
    <x v="4"/>
  </r>
  <r>
    <n v="1000101569"/>
    <s v="Weidmueller;RCMKIT-I-115VAC 4CO LD, PN:892105"/>
    <x v="3"/>
    <s v="Weidmuller Middle East (FZE)"/>
    <n v="155.976"/>
    <n v="3"/>
    <n v="3"/>
    <n v="0"/>
    <x v="0"/>
    <x v="3"/>
  </r>
  <r>
    <n v="1000103011"/>
    <s v="SKF PRODUCT; PHG SPA1432"/>
    <x v="3"/>
    <s v="SKF Eurotrade AB"/>
    <n v="155.75933333333299"/>
    <n v="14"/>
    <n v="14"/>
    <n v="0"/>
    <x v="0"/>
    <x v="4"/>
  </r>
  <r>
    <n v="1000020397"/>
    <s v="SKF BEARING - 61916-2RS1"/>
    <x v="3"/>
    <s v="SKF Eurotrade AB"/>
    <n v="155.41"/>
    <n v="1"/>
    <n v="1"/>
    <n v="0"/>
    <x v="0"/>
    <x v="4"/>
  </r>
  <r>
    <n v="1000103207"/>
    <s v="SKF Product; 140 VA R"/>
    <x v="3"/>
    <s v="SKF Eurotrade AB"/>
    <n v="155.25"/>
    <n v="10"/>
    <n v="10"/>
    <n v="0"/>
    <x v="0"/>
    <x v="4"/>
  </r>
  <r>
    <n v="1000096394"/>
    <s v="GP-12-NON-ELC-05;CC-M 85/54 4X3 AL LABEL (54X"/>
    <x v="3"/>
    <s v="Weidmuller Middle East (FZE)"/>
    <n v="154.80000000000001"/>
    <n v="20"/>
    <n v="20"/>
    <n v="0"/>
    <x v="0"/>
    <x v="3"/>
  </r>
  <r>
    <n v="1000020208"/>
    <s v="SKF BEARING - 33212/Q"/>
    <x v="3"/>
    <s v="SKF Eurotrade AB"/>
    <n v="154.63"/>
    <n v="1"/>
    <n v="1"/>
    <n v="0"/>
    <x v="0"/>
    <x v="4"/>
  </r>
  <r>
    <n v="1000098668"/>
    <s v="SKF BEARING -KM 30"/>
    <x v="3"/>
    <s v="SKF Eurotrade AB"/>
    <n v="154.23333333333301"/>
    <n v="1"/>
    <n v="1"/>
    <n v="0"/>
    <x v="0"/>
    <x v="4"/>
  </r>
  <r>
    <n v="1000020900"/>
    <s v="SKF BEARING - NJ 213 ECP/C3"/>
    <x v="3"/>
    <s v="SKF Eurotrade AB"/>
    <n v="153.65"/>
    <n v="1"/>
    <n v="1"/>
    <n v="0"/>
    <x v="0"/>
    <x v="4"/>
  </r>
  <r>
    <n v="1000020152"/>
    <s v="SKF BEARING - 30310 J2/Q"/>
    <x v="3"/>
    <s v="SKF Eurotrade AB"/>
    <n v="153.47999999999999"/>
    <n v="2"/>
    <n v="2"/>
    <n v="0"/>
    <x v="0"/>
    <x v="4"/>
  </r>
  <r>
    <n v="1000021180"/>
    <s v="SKF BEARING - 2208 EKTN9"/>
    <x v="3"/>
    <s v="SKF Eurotrade AB"/>
    <n v="151.63999999999999"/>
    <n v="2"/>
    <n v="2"/>
    <n v="0"/>
    <x v="0"/>
    <x v="4"/>
  </r>
  <r>
    <n v="1000020467"/>
    <s v="SKF BEARING - 6208-RS1"/>
    <x v="3"/>
    <s v="SKF Eurotrade AB"/>
    <n v="151.63999999999999"/>
    <n v="4"/>
    <n v="4"/>
    <n v="0"/>
    <x v="0"/>
    <x v="4"/>
  </r>
  <r>
    <n v="2500008258"/>
    <s v="OIL SEAL NH1X PN 41041X017"/>
    <x v="0"/>
    <s v="ELGI Gulf FZE"/>
    <n v="151.43"/>
    <n v="1"/>
    <n v="1"/>
    <n v="0"/>
    <x v="0"/>
    <x v="0"/>
  </r>
  <r>
    <n v="2500008077"/>
    <s v="KEY IGNITION SWITCH PN 38400013"/>
    <x v="0"/>
    <s v="ELGI Gulf FZE"/>
    <n v="150.64000007499999"/>
    <n v="3"/>
    <n v="3"/>
    <n v="0"/>
    <x v="0"/>
    <x v="0"/>
  </r>
  <r>
    <n v="1000020478"/>
    <s v="SKF BEARING - 6209-Z"/>
    <x v="3"/>
    <s v="SKF Eurotrade AB"/>
    <n v="150.17953125"/>
    <n v="3"/>
    <n v="3"/>
    <n v="0"/>
    <x v="0"/>
    <x v="4"/>
  </r>
  <r>
    <n v="2500008624"/>
    <s v="MTRL : SPARE KIT - ARV PART NO: 324000149"/>
    <x v="0"/>
    <s v="ELGI Gulf FZE"/>
    <n v="150"/>
    <n v="1"/>
    <n v="1"/>
    <n v="0"/>
    <x v="0"/>
    <x v="0"/>
  </r>
  <r>
    <n v="1000020981"/>
    <s v="SKF BEARING - NU 205 ECP/C3"/>
    <x v="3"/>
    <s v="SKF Eurotrade AB"/>
    <n v="149.52000000000001"/>
    <n v="3"/>
    <n v="3"/>
    <n v="0"/>
    <x v="0"/>
    <x v="4"/>
  </r>
  <r>
    <n v="1000107189"/>
    <s v="Weidmuller Product; WS 10/5 M MC NE WS; P/N:1"/>
    <x v="3"/>
    <s v="Weidmuller Middle East (FZE)"/>
    <n v="148.9"/>
    <n v="720"/>
    <n v="720"/>
    <n v="0"/>
    <x v="0"/>
    <x v="3"/>
  </r>
  <r>
    <n v="1000020351"/>
    <s v="SKF BEARING - 61806-2RZ"/>
    <x v="3"/>
    <s v="SKF Eurotrade AB"/>
    <n v="148.9"/>
    <n v="5"/>
    <n v="5"/>
    <n v="0"/>
    <x v="0"/>
    <x v="4"/>
  </r>
  <r>
    <n v="1000021187"/>
    <s v="SKF BEARING - 2213 EKTN9/C3"/>
    <x v="3"/>
    <s v="SKF Eurotrade AB"/>
    <n v="148.86000000000001"/>
    <n v="1"/>
    <n v="1"/>
    <n v="0"/>
    <x v="0"/>
    <x v="4"/>
  </r>
  <r>
    <n v="1000103788"/>
    <s v="Weidmuller Product; WQV 16-4/6; P/N:106400000"/>
    <x v="3"/>
    <s v="Weidmuller Middle East (FZE)"/>
    <n v="148.38"/>
    <n v="25"/>
    <n v="25"/>
    <n v="0"/>
    <x v="0"/>
    <x v="3"/>
  </r>
  <r>
    <n v="1000021504"/>
    <s v="SKF BEARING - NU 206 ECP"/>
    <x v="3"/>
    <s v="SKF Eurotrade AB"/>
    <n v="148.31399999999999"/>
    <n v="3"/>
    <n v="3"/>
    <n v="0"/>
    <x v="0"/>
    <x v="4"/>
  </r>
  <r>
    <n v="1000110388"/>
    <s v="MK 6/6/E Single- and multi-pole terminal stri"/>
    <x v="3"/>
    <s v="Weidmuller Middle East (FZE)"/>
    <n v="147.84"/>
    <n v="6"/>
    <n v="6"/>
    <n v="0"/>
    <x v="0"/>
    <x v="3"/>
  </r>
  <r>
    <n v="2500008335"/>
    <s v="ORING KIT EN 73 V3  P N 12476669"/>
    <x v="0"/>
    <s v="ELGI Gulf FZE"/>
    <n v="147.5"/>
    <n v="2"/>
    <n v="2"/>
    <n v="0"/>
    <x v="0"/>
    <x v="0"/>
  </r>
  <r>
    <n v="1000098600"/>
    <s v="SKF BEARING -7306 BECBY"/>
    <x v="3"/>
    <s v="SKF Eurotrade AB"/>
    <n v="147.07499999999999"/>
    <n v="1"/>
    <n v="1"/>
    <n v="0"/>
    <x v="0"/>
    <x v="4"/>
  </r>
  <r>
    <n v="1000020172"/>
    <s v="SKF BEARING - 32013 X/Q"/>
    <x v="3"/>
    <s v="SKF Eurotrade AB"/>
    <n v="146.72"/>
    <n v="2"/>
    <n v="2"/>
    <n v="0"/>
    <x v="0"/>
    <x v="4"/>
  </r>
  <r>
    <n v="1000020231"/>
    <s v="SKF BEARING - 6002-2Z"/>
    <x v="3"/>
    <s v="SKF Eurotrade AB"/>
    <n v="146.356394864414"/>
    <n v="25"/>
    <n v="25"/>
    <n v="0"/>
    <x v="0"/>
    <x v="4"/>
  </r>
  <r>
    <n v="1000020313"/>
    <s v="SKF BEARING - 6018-2Z"/>
    <x v="3"/>
    <s v="SKF Eurotrade AB"/>
    <n v="145.47999999999999"/>
    <n v="1"/>
    <n v="1"/>
    <n v="0"/>
    <x v="0"/>
    <x v="4"/>
  </r>
  <r>
    <n v="1000021213"/>
    <s v="SKF BEARING - 22212 EK"/>
    <x v="3"/>
    <s v="SKF Eurotrade AB"/>
    <n v="145.47999999999999"/>
    <n v="1"/>
    <n v="1"/>
    <n v="0"/>
    <x v="0"/>
    <x v="4"/>
  </r>
  <r>
    <n v="1000020168"/>
    <s v="SKF BEARING - 32008 X/Q"/>
    <x v="3"/>
    <s v="SKF Eurotrade AB"/>
    <n v="144.65"/>
    <n v="5"/>
    <n v="5"/>
    <n v="0"/>
    <x v="0"/>
    <x v="4"/>
  </r>
  <r>
    <n v="1000021148"/>
    <s v="SKF BEARING - 21309 E"/>
    <x v="3"/>
    <s v="SKF Eurotrade AB"/>
    <n v="144.34"/>
    <n v="1"/>
    <n v="1"/>
    <n v="0"/>
    <x v="0"/>
    <x v="4"/>
  </r>
  <r>
    <n v="1000098725"/>
    <s v="SKF BEARING -QJ 306 MA"/>
    <x v="3"/>
    <s v="SKF Eurotrade AB"/>
    <n v="144.08199999999999"/>
    <n v="1"/>
    <n v="1"/>
    <n v="0"/>
    <x v="0"/>
    <x v="4"/>
  </r>
  <r>
    <n v="1000021172"/>
    <s v="SKF BEARING - 2207 E-2RS1KTN9"/>
    <x v="3"/>
    <s v="SKF Eurotrade AB"/>
    <n v="143.82"/>
    <n v="2"/>
    <n v="2"/>
    <n v="0"/>
    <x v="0"/>
    <x v="4"/>
  </r>
  <r>
    <n v="1000098737"/>
    <s v="SKF BEARING -YET 210"/>
    <x v="3"/>
    <s v="SKF Eurotrade AB"/>
    <n v="143.07"/>
    <n v="2"/>
    <n v="2"/>
    <n v="0"/>
    <x v="0"/>
    <x v="4"/>
  </r>
  <r>
    <n v="1000020367"/>
    <s v="SKF BEARING - 61815-2RZ"/>
    <x v="3"/>
    <s v="SKF Eurotrade AB"/>
    <n v="142.56"/>
    <n v="1"/>
    <n v="1"/>
    <n v="0"/>
    <x v="0"/>
    <x v="4"/>
  </r>
  <r>
    <n v="2500008136"/>
    <s v="Rubber Elbow, 4&quot; MDL 300/100 PN 220375400"/>
    <x v="0"/>
    <s v="ELGI Gulf FZE"/>
    <n v="142.5"/>
    <n v="2"/>
    <n v="2"/>
    <n v="0"/>
    <x v="0"/>
    <x v="0"/>
  </r>
  <r>
    <n v="1000020581"/>
    <s v="SKF BEARING - 62303-2RS1"/>
    <x v="3"/>
    <s v="SKF Eurotrade AB"/>
    <n v="142.05000000000001"/>
    <n v="5"/>
    <n v="5"/>
    <n v="0"/>
    <x v="0"/>
    <x v="4"/>
  </r>
  <r>
    <n v="2500008259"/>
    <s v="SLEEVE GREASE PN 410420118"/>
    <x v="0"/>
    <s v="ELGI Gulf FZE"/>
    <n v="141.86000000000001"/>
    <n v="1"/>
    <n v="1"/>
    <n v="0"/>
    <x v="0"/>
    <x v="0"/>
  </r>
  <r>
    <n v="1000098589"/>
    <s v="SKF BEARING -6312-RS1/C3"/>
    <x v="3"/>
    <s v="SKF Eurotrade AB"/>
    <n v="141.34666666666601"/>
    <n v="1"/>
    <n v="1"/>
    <n v="0"/>
    <x v="0"/>
    <x v="4"/>
  </r>
  <r>
    <n v="1000098960"/>
    <s v="Weidmuller; Terminal Blocks &amp; Accessories, P/"/>
    <x v="3"/>
    <s v="Weidmuller Middle East (FZE)"/>
    <n v="140.61820576131601"/>
    <n v="10"/>
    <n v="10"/>
    <n v="0"/>
    <x v="0"/>
    <x v="3"/>
  </r>
  <r>
    <n v="1000020668"/>
    <s v="SKF BEARING - 6309/C3"/>
    <x v="3"/>
    <s v="SKF Eurotrade AB"/>
    <n v="139.980213732062"/>
    <n v="3"/>
    <n v="0"/>
    <n v="3"/>
    <x v="3"/>
    <x v="4"/>
  </r>
  <r>
    <n v="1000020385"/>
    <s v="SKF BEARING - 61905-2RS1"/>
    <x v="3"/>
    <s v="SKF Eurotrade AB"/>
    <n v="139.4"/>
    <n v="10"/>
    <n v="10"/>
    <n v="0"/>
    <x v="0"/>
    <x v="4"/>
  </r>
  <r>
    <n v="2500008250"/>
    <s v="Non return valve 1/8&quot;  PN B004100170001"/>
    <x v="0"/>
    <s v="ELGI Gulf FZE"/>
    <n v="138.6455"/>
    <n v="2"/>
    <n v="2"/>
    <n v="0"/>
    <x v="0"/>
    <x v="0"/>
  </r>
  <r>
    <n v="1000021082"/>
    <s v="SKF BEARING - NU 306 ECP/C3"/>
    <x v="3"/>
    <s v="SKF Eurotrade AB"/>
    <n v="138.4"/>
    <n v="2"/>
    <n v="2"/>
    <n v="0"/>
    <x v="0"/>
    <x v="4"/>
  </r>
  <r>
    <n v="1000020897"/>
    <s v="SKF BEARING - NJ 212 ECP/C3"/>
    <x v="3"/>
    <s v="SKF Eurotrade AB"/>
    <n v="137.35"/>
    <n v="1"/>
    <n v="1"/>
    <n v="0"/>
    <x v="0"/>
    <x v="4"/>
  </r>
  <r>
    <n v="1000100396"/>
    <s v="SKF Product KM 26"/>
    <x v="3"/>
    <s v="SKF Eurotrade AB"/>
    <n v="136.94999999999999"/>
    <n v="1"/>
    <n v="1"/>
    <n v="0"/>
    <x v="0"/>
    <x v="4"/>
  </r>
  <r>
    <n v="2700000166"/>
    <s v="O-RING 14-024UD"/>
    <x v="2"/>
    <s v="Sundyne International S.A."/>
    <n v="136.71"/>
    <n v="3"/>
    <n v="3"/>
    <n v="0"/>
    <x v="0"/>
    <x v="2"/>
  </r>
  <r>
    <n v="1000020294"/>
    <s v="SKF BEARING - 6014/C3"/>
    <x v="3"/>
    <s v="SKF Eurotrade AB"/>
    <n v="136.22"/>
    <n v="2"/>
    <n v="2"/>
    <n v="0"/>
    <x v="0"/>
    <x v="4"/>
  </r>
  <r>
    <n v="1000096899"/>
    <s v="Weidmuller - PRO ECO 72W 24V 3A; P/N#14694700"/>
    <x v="3"/>
    <s v="Weidmuller Middle East (FZE)"/>
    <n v="136"/>
    <n v="1"/>
    <n v="1"/>
    <n v="0"/>
    <x v="0"/>
    <x v="3"/>
  </r>
  <r>
    <n v="1000093599"/>
    <s v="Weidmuller; TERMINAL BLOCK; P/N: 9512200000; "/>
    <x v="3"/>
    <s v="Weidmuller Middle East (FZE)"/>
    <n v="135.28215720758001"/>
    <n v="4"/>
    <n v="4"/>
    <n v="0"/>
    <x v="0"/>
    <x v="3"/>
  </r>
  <r>
    <n v="1000109367"/>
    <s v="0-50003-001700  Bartec Component"/>
    <x v="3"/>
    <s v="Bartec Middle East LLC"/>
    <n v="135.24"/>
    <n v="3"/>
    <n v="0"/>
    <n v="3"/>
    <x v="2"/>
    <x v="7"/>
  </r>
  <r>
    <n v="1000097186"/>
    <s v="SKF;BEARING- BC1-0312"/>
    <x v="3"/>
    <s v="SKF Eurotrade AB"/>
    <n v="134.38"/>
    <n v="2"/>
    <n v="2"/>
    <n v="0"/>
    <x v="0"/>
    <x v="4"/>
  </r>
  <r>
    <n v="1000020027"/>
    <s v="SKF BEARING - W 12"/>
    <x v="3"/>
    <s v="SKF Eurotrade AB"/>
    <n v="134.274"/>
    <n v="15"/>
    <n v="15"/>
    <n v="0"/>
    <x v="0"/>
    <x v="4"/>
  </r>
  <r>
    <n v="1000096171"/>
    <s v="SKF BEARING FYTJ 506"/>
    <x v="3"/>
    <s v="SKF Eurotrade AB"/>
    <n v="133.97999999999999"/>
    <n v="4"/>
    <n v="4"/>
    <n v="0"/>
    <x v="0"/>
    <x v="4"/>
  </r>
  <r>
    <n v="1000103747"/>
    <s v="Weidmuller Product;Q 3 AKZ4;PN:336500000"/>
    <x v="3"/>
    <s v="Weidmuller Middle East (FZE)"/>
    <n v="133.58000000000001"/>
    <n v="50"/>
    <n v="50"/>
    <n v="0"/>
    <x v="0"/>
    <x v="3"/>
  </r>
  <r>
    <n v="1000010224"/>
    <s v="P+F, Reflector   Model No. REF-C110-2"/>
    <x v="3"/>
    <s v="Pepperl+Fuchs (ME) FZE"/>
    <n v="133.46010000000001"/>
    <n v="3"/>
    <n v="3"/>
    <n v="0"/>
    <x v="0"/>
    <x v="5"/>
  </r>
  <r>
    <n v="1000096245"/>
    <s v="SKF BEARING -KM 5"/>
    <x v="3"/>
    <s v="SKF Eurotrade AB"/>
    <n v="133.40600000000001"/>
    <n v="13"/>
    <n v="13"/>
    <n v="0"/>
    <x v="0"/>
    <x v="4"/>
  </r>
  <r>
    <n v="1000020366"/>
    <s v="SKF BEARING - 61815-2RS1"/>
    <x v="3"/>
    <s v="SKF Eurotrade AB"/>
    <n v="133.37"/>
    <n v="1"/>
    <n v="1"/>
    <n v="0"/>
    <x v="0"/>
    <x v="4"/>
  </r>
  <r>
    <n v="1000107652"/>
    <s v="Weidmuller Product; WQV 6/5; P/N:1062660000"/>
    <x v="3"/>
    <s v="Weidmuller Middle East (FZE)"/>
    <n v="133"/>
    <n v="25"/>
    <n v="25"/>
    <n v="0"/>
    <x v="0"/>
    <x v="3"/>
  </r>
  <r>
    <n v="1000097873"/>
    <s v="O-Ring for YTA series (1 pack = 10 pcs), F916"/>
    <x v="8"/>
    <s v="Yokogawa Middle East &amp; Africa B.S.C. Â©"/>
    <n v="132.79872222222201"/>
    <n v="12"/>
    <n v="12"/>
    <n v="0"/>
    <x v="0"/>
    <x v="6"/>
  </r>
  <r>
    <n v="1000020439"/>
    <s v="SKF BEARING - 6206/C3"/>
    <x v="3"/>
    <s v="SKF Eurotrade AB"/>
    <n v="132.71250000000001"/>
    <n v="11"/>
    <n v="11"/>
    <n v="0"/>
    <x v="0"/>
    <x v="4"/>
  </r>
  <r>
    <n v="1000100350"/>
    <s v="SKF BEARING - 6207-N"/>
    <x v="3"/>
    <s v="SKF Eurotrade AB"/>
    <n v="132.30000000000001"/>
    <n v="4"/>
    <n v="4"/>
    <n v="0"/>
    <x v="0"/>
    <x v="4"/>
  </r>
  <r>
    <n v="1000020594"/>
    <s v="SKF BEARING - 627-2RSH"/>
    <x v="3"/>
    <s v="SKF Eurotrade AB"/>
    <n v="132"/>
    <n v="25"/>
    <n v="25"/>
    <n v="0"/>
    <x v="0"/>
    <x v="4"/>
  </r>
  <r>
    <n v="1000020588"/>
    <s v="SKF BEARING - 624-2Z"/>
    <x v="3"/>
    <s v="SKF Eurotrade AB"/>
    <n v="132"/>
    <n v="25"/>
    <n v="25"/>
    <n v="0"/>
    <x v="0"/>
    <x v="4"/>
  </r>
  <r>
    <n v="1000100383"/>
    <s v="SKF Product W 07"/>
    <x v="3"/>
    <s v="SKF Eurotrade AB"/>
    <n v="131.95966666666601"/>
    <n v="29"/>
    <n v="29"/>
    <n v="0"/>
    <x v="0"/>
    <x v="4"/>
  </r>
  <r>
    <n v="1000020307"/>
    <s v="SKF BEARING - 6017-2Z"/>
    <x v="3"/>
    <s v="SKF Eurotrade AB"/>
    <n v="131.92500000000001"/>
    <n v="1"/>
    <n v="1"/>
    <n v="0"/>
    <x v="0"/>
    <x v="4"/>
  </r>
  <r>
    <n v="1000020469"/>
    <s v="SKF BEARING - 6208-Z"/>
    <x v="3"/>
    <s v="SKF Eurotrade AB"/>
    <n v="131.52000000000001"/>
    <n v="4"/>
    <n v="4"/>
    <n v="0"/>
    <x v="0"/>
    <x v="4"/>
  </r>
  <r>
    <n v="1000021100"/>
    <s v="SKF BEARING - NU 310 ECP/C3"/>
    <x v="3"/>
    <s v="SKF Eurotrade AB"/>
    <n v="131.26"/>
    <n v="1"/>
    <n v="1"/>
    <n v="0"/>
    <x v="0"/>
    <x v="4"/>
  </r>
  <r>
    <n v="1000020672"/>
    <s v="SKF BEARING - 6309-2RS1/C3"/>
    <x v="3"/>
    <s v="SKF Eurotrade AB"/>
    <n v="131.25"/>
    <n v="3"/>
    <n v="3"/>
    <n v="0"/>
    <x v="0"/>
    <x v="4"/>
  </r>
  <r>
    <n v="1000097873"/>
    <s v="O-Ring for YTA series (1 pack = 10 pcs), F916"/>
    <x v="5"/>
    <s v="Yokogawa Middle East &amp; Africa B.S.C. Â©"/>
    <n v="131.02500000000001"/>
    <n v="5"/>
    <n v="5"/>
    <n v="0"/>
    <x v="0"/>
    <x v="6"/>
  </r>
  <r>
    <n v="1000110824"/>
    <s v="Cross-connector  WQV 50N/4 PN: 1834080000"/>
    <x v="3"/>
    <s v="Weidmuller Middle East (FZE)"/>
    <n v="130.07320000000001"/>
    <n v="4"/>
    <n v="4"/>
    <n v="0"/>
    <x v="0"/>
    <x v="3"/>
  </r>
  <r>
    <n v="2500008456"/>
    <s v="FILTER ELEMENT EN102 P N B005700770016"/>
    <x v="0"/>
    <s v="ELGI Gulf FZE"/>
    <n v="129.9375"/>
    <n v="1"/>
    <n v="1"/>
    <n v="0"/>
    <x v="0"/>
    <x v="0"/>
  </r>
  <r>
    <n v="1000099505"/>
    <s v="SKF BEARING - 6200"/>
    <x v="3"/>
    <s v="SKF Eurotrade AB"/>
    <n v="129.88"/>
    <n v="29"/>
    <n v="29"/>
    <n v="0"/>
    <x v="0"/>
    <x v="4"/>
  </r>
  <r>
    <n v="1000020997"/>
    <s v="SKF BEARING - NU 211 ECP"/>
    <x v="3"/>
    <s v="SKF Eurotrade AB"/>
    <n v="129.47615384615301"/>
    <n v="1"/>
    <n v="1"/>
    <n v="0"/>
    <x v="0"/>
    <x v="4"/>
  </r>
  <r>
    <n v="1000020921"/>
    <s v="SKF BEARING - NJ 2210 ECP"/>
    <x v="3"/>
    <s v="SKF Eurotrade AB"/>
    <n v="129.22"/>
    <n v="1"/>
    <n v="1"/>
    <n v="0"/>
    <x v="0"/>
    <x v="4"/>
  </r>
  <r>
    <n v="1000100311"/>
    <s v="SKF Product FRB 10/110"/>
    <x v="3"/>
    <s v="SKF Eurotrade AB"/>
    <n v="129.15"/>
    <n v="12"/>
    <n v="12"/>
    <n v="0"/>
    <x v="0"/>
    <x v="4"/>
  </r>
  <r>
    <n v="2500008446"/>
    <s v="P1301640_SECONDARY ELEMENT MIC  P N B01360305"/>
    <x v="0"/>
    <s v="ELGI Gulf FZE"/>
    <n v="129.107143169642"/>
    <n v="5"/>
    <n v="5"/>
    <n v="0"/>
    <x v="0"/>
    <x v="0"/>
  </r>
  <r>
    <n v="1000096411"/>
    <s v="Weidmuller;HSS 4.2-12.7 EL W13M;P/N: 14896700"/>
    <x v="3"/>
    <s v="Weidmuller Middle East (FZE)"/>
    <n v="128.69"/>
    <n v="1"/>
    <n v="1"/>
    <n v="0"/>
    <x v="0"/>
    <x v="3"/>
  </r>
  <r>
    <n v="1000020226"/>
    <s v="SKF BEARING - 6001-2RSH"/>
    <x v="3"/>
    <s v="SKF Eurotrade AB"/>
    <n v="127.84"/>
    <n v="20"/>
    <n v="20"/>
    <n v="0"/>
    <x v="0"/>
    <x v="4"/>
  </r>
  <r>
    <n v="1000099723"/>
    <s v="SKF AN 22"/>
    <x v="3"/>
    <s v="SKF Eurotrade AB"/>
    <n v="127.84"/>
    <n v="1"/>
    <n v="1"/>
    <n v="0"/>
    <x v="0"/>
    <x v="4"/>
  </r>
  <r>
    <n v="2500008371"/>
    <s v="Safety valve assembly  P N B010506360054"/>
    <x v="0"/>
    <s v="ELGI Gulf FZE"/>
    <n v="127.67"/>
    <n v="2"/>
    <n v="2"/>
    <n v="0"/>
    <x v="0"/>
    <x v="0"/>
  </r>
  <r>
    <n v="1000095832"/>
    <s v="Weidmueller,Product:9004500000,Part No: WAW 1"/>
    <x v="3"/>
    <s v="Weidmuller Middle East (FZE)"/>
    <n v="127.5"/>
    <n v="1"/>
    <n v="1"/>
    <n v="0"/>
    <x v="0"/>
    <x v="3"/>
  </r>
  <r>
    <n v="2500009420"/>
    <s v="DESCRIPTION : BLOW UP STOPPER_FOR METZKE | Pa"/>
    <x v="0"/>
    <s v="PARANTHAMAN EXPORTERS"/>
    <n v="127.5"/>
    <n v="1"/>
    <n v="1"/>
    <n v="0"/>
    <x v="0"/>
    <x v="0"/>
  </r>
  <r>
    <n v="2500009340"/>
    <s v="DESCRIPTION : SUCTION STRAINER LARGE| Part no"/>
    <x v="0"/>
    <s v="PARANTHAMAN EXPORTERS"/>
    <n v="127.5"/>
    <n v="2"/>
    <n v="2"/>
    <n v="0"/>
    <x v="0"/>
    <x v="0"/>
  </r>
  <r>
    <n v="1000095771"/>
    <s v="Cable Lug,Product Id:1496600000,Part No: KRN-"/>
    <x v="3"/>
    <s v="Weidmuller Middle East (FZE)"/>
    <n v="127.49"/>
    <n v="50"/>
    <n v="50"/>
    <n v="0"/>
    <x v="0"/>
    <x v="3"/>
  </r>
  <r>
    <n v="1000110661"/>
    <s v="SKF PRODUCT 30X60X8 CRW1 R"/>
    <x v="3"/>
    <s v="SKF Eurotrade AB"/>
    <n v="126.9"/>
    <n v="6"/>
    <n v="0"/>
    <n v="6"/>
    <x v="2"/>
    <x v="4"/>
  </r>
  <r>
    <n v="1000020057"/>
    <s v="SKF BEARING - N 06"/>
    <x v="3"/>
    <s v="SKF Eurotrade AB"/>
    <n v="126.627519230769"/>
    <n v="9"/>
    <n v="0"/>
    <n v="9"/>
    <x v="3"/>
    <x v="4"/>
  </r>
  <r>
    <n v="1000096300"/>
    <s v="Weidmuller;DK 4/35 2D GET.SCH.A1;P/N:39660000"/>
    <x v="3"/>
    <s v="Weidmuller Middle East (FZE)"/>
    <n v="126.0252"/>
    <n v="9"/>
    <n v="9"/>
    <n v="0"/>
    <x v="0"/>
    <x v="3"/>
  </r>
  <r>
    <n v="1000020167"/>
    <s v="SKF BEARING - 32007 X/Q"/>
    <x v="3"/>
    <s v="SKF Eurotrade AB"/>
    <n v="125.85"/>
    <n v="5"/>
    <n v="5"/>
    <n v="0"/>
    <x v="0"/>
    <x v="4"/>
  </r>
  <r>
    <n v="1000102228"/>
    <s v="SKF BEARINGS - 6205-RSH"/>
    <x v="3"/>
    <s v="SKF Eurotrade AB"/>
    <n v="125.85"/>
    <n v="6"/>
    <n v="6"/>
    <n v="0"/>
    <x v="0"/>
    <x v="4"/>
  </r>
  <r>
    <n v="1000020466"/>
    <s v="SKF BEARING - 6208-2ZNR"/>
    <x v="3"/>
    <s v="SKF Eurotrade AB"/>
    <n v="125.67"/>
    <n v="3"/>
    <n v="3"/>
    <n v="0"/>
    <x v="0"/>
    <x v="4"/>
  </r>
  <r>
    <n v="1000020787"/>
    <s v="SKF BEARING - 7202 BEGAP"/>
    <x v="3"/>
    <s v="SKF Eurotrade AB"/>
    <n v="125.46"/>
    <n v="2"/>
    <n v="2"/>
    <n v="0"/>
    <x v="0"/>
    <x v="4"/>
  </r>
  <r>
    <n v="1000020364"/>
    <s v="SKF BEARING - 61814-2RZ"/>
    <x v="3"/>
    <s v="SKF Eurotrade AB"/>
    <n v="124.89"/>
    <n v="1"/>
    <n v="1"/>
    <n v="0"/>
    <x v="0"/>
    <x v="4"/>
  </r>
  <r>
    <n v="2500009163"/>
    <s v="Prefilter 30kW EN102| PN:1"/>
    <x v="0"/>
    <s v="ELGI Gulf FZE"/>
    <n v="124.88"/>
    <n v="1"/>
    <n v="1"/>
    <n v="0"/>
    <x v="0"/>
    <x v="0"/>
  </r>
  <r>
    <n v="1000020651"/>
    <s v="SKF BEARING - 6307-Z"/>
    <x v="3"/>
    <s v="SKF Eurotrade AB"/>
    <n v="124.76"/>
    <n v="4"/>
    <n v="4"/>
    <n v="0"/>
    <x v="0"/>
    <x v="4"/>
  </r>
  <r>
    <n v="2200001952"/>
    <s v="O-RING, SN- 97400076/77, PN- 14-070UA"/>
    <x v="2"/>
    <s v="Sundyne International S.A."/>
    <n v="124.74"/>
    <n v="5"/>
    <n v="5"/>
    <n v="0"/>
    <x v="0"/>
    <x v="1"/>
  </r>
  <r>
    <n v="1000020348"/>
    <s v="SKF BEARING - 61804-2RZ"/>
    <x v="3"/>
    <s v="SKF Eurotrade AB"/>
    <n v="124.25"/>
    <n v="5"/>
    <n v="5"/>
    <n v="0"/>
    <x v="0"/>
    <x v="4"/>
  </r>
  <r>
    <n v="1000094819"/>
    <s v="P+F,Inductive Sensor; Model:NCB2-12GM35-N0-V1"/>
    <x v="10"/>
    <s v="Pepperl+Fuchs (ME) FZE"/>
    <n v="123.92462500000001"/>
    <n v="1"/>
    <n v="1"/>
    <n v="0"/>
    <x v="0"/>
    <x v="5"/>
  </r>
  <r>
    <n v="1000095005"/>
    <s v="Weidmuller; BASE RELAY;P/N:8869490000  Model "/>
    <x v="3"/>
    <s v="Weidmuller Middle East (FZE)"/>
    <n v="123.84"/>
    <n v="8"/>
    <n v="8"/>
    <n v="0"/>
    <x v="0"/>
    <x v="3"/>
  </r>
  <r>
    <n v="1000103740"/>
    <s v="Weidmuller Product;WTW WFF120;PN:1067300000"/>
    <x v="3"/>
    <s v="Weidmuller Middle East (FZE)"/>
    <n v="123.65600000000001"/>
    <n v="8"/>
    <n v="8"/>
    <n v="0"/>
    <x v="0"/>
    <x v="3"/>
  </r>
  <r>
    <n v="1000020088"/>
    <s v="SKF BEARING - 3306 A-2Z/C3"/>
    <x v="3"/>
    <s v="SKF Eurotrade AB"/>
    <n v="123.62"/>
    <n v="1"/>
    <n v="1"/>
    <n v="0"/>
    <x v="0"/>
    <x v="4"/>
  </r>
  <r>
    <n v="1000001398"/>
    <s v="O-Ring, F9300AJ"/>
    <x v="5"/>
    <s v="Yokogawa Middle East &amp; Africa B.S.C. Â©"/>
    <n v="123.42683270944001"/>
    <n v="8"/>
    <n v="8"/>
    <n v="0"/>
    <x v="0"/>
    <x v="6"/>
  </r>
  <r>
    <n v="1000101493"/>
    <s v="Weidmuller; Model:SO SH1  PN:401460000"/>
    <x v="3"/>
    <s v="Weidmuller Middle East (FZE)"/>
    <n v="123.38581000000001"/>
    <n v="114"/>
    <n v="114"/>
    <n v="0"/>
    <x v="0"/>
    <x v="3"/>
  </r>
  <r>
    <n v="1000098686"/>
    <s v="SKF BEARING -NATR 10 PPA"/>
    <x v="3"/>
    <s v="SKF Eurotrade AB"/>
    <n v="123.07"/>
    <n v="2"/>
    <n v="2"/>
    <n v="0"/>
    <x v="0"/>
    <x v="4"/>
  </r>
  <r>
    <n v="1000020711"/>
    <s v="SKF BEARING - 6314"/>
    <x v="3"/>
    <s v="SKF Eurotrade AB"/>
    <n v="122.411428571428"/>
    <n v="1"/>
    <n v="1"/>
    <n v="0"/>
    <x v="0"/>
    <x v="4"/>
  </r>
  <r>
    <n v="1000093594"/>
    <s v="Weidmuller; TERMINAL BLOCK; P/N: 1820840000; "/>
    <x v="3"/>
    <s v="Weidmuller Middle East (FZE)"/>
    <n v="122.276"/>
    <n v="7"/>
    <n v="7"/>
    <n v="0"/>
    <x v="0"/>
    <x v="3"/>
  </r>
  <r>
    <n v="1000020599"/>
    <s v="SKF BEARING - 629-2Z/C3"/>
    <x v="3"/>
    <s v="SKF Eurotrade AB"/>
    <n v="122.25"/>
    <n v="25"/>
    <n v="25"/>
    <n v="0"/>
    <x v="0"/>
    <x v="4"/>
  </r>
  <r>
    <n v="1000095225"/>
    <s v="Cross connector ZQV 2.5N/10GE 169380000"/>
    <x v="3"/>
    <s v="Weidmuller Middle East (FZE)"/>
    <n v="122.247"/>
    <n v="204"/>
    <n v="204"/>
    <n v="0"/>
    <x v="0"/>
    <x v="3"/>
  </r>
  <r>
    <n v="1000020213"/>
    <s v="SKF BEARING - 4205 ATN9"/>
    <x v="3"/>
    <s v="SKF Eurotrade AB"/>
    <n v="121.56"/>
    <n v="3"/>
    <n v="3"/>
    <n v="0"/>
    <x v="0"/>
    <x v="4"/>
  </r>
  <r>
    <n v="1000097355"/>
    <s v="SKF BEARING - 6001-RSH"/>
    <x v="3"/>
    <s v="SKF Eurotrade AB"/>
    <n v="120.600666666666"/>
    <n v="14"/>
    <n v="14"/>
    <n v="0"/>
    <x v="0"/>
    <x v="4"/>
  </r>
  <r>
    <n v="1000020074"/>
    <s v="SKF BEARING - 6201/C3"/>
    <x v="3"/>
    <s v="SKF Eurotrade AB"/>
    <n v="120.534545454545"/>
    <n v="24"/>
    <n v="24"/>
    <n v="0"/>
    <x v="0"/>
    <x v="4"/>
  </r>
  <r>
    <n v="1000020365"/>
    <s v="SKF BEARING - 61815/C3"/>
    <x v="3"/>
    <s v="SKF Eurotrade AB"/>
    <n v="120.24"/>
    <n v="1"/>
    <n v="1"/>
    <n v="0"/>
    <x v="0"/>
    <x v="4"/>
  </r>
  <r>
    <n v="1000010066"/>
    <s v="Pepperl+Fuchs Inductive Sensor NBB2-V3-E2; Pa"/>
    <x v="3"/>
    <s v="Pepperl+Fuchs (ME) FZE"/>
    <n v="120.07838333333299"/>
    <n v="1"/>
    <n v="1"/>
    <n v="0"/>
    <x v="0"/>
    <x v="5"/>
  </r>
  <r>
    <n v="1000020022"/>
    <s v="SKF BEARING - MB 11"/>
    <x v="3"/>
    <s v="SKF Eurotrade AB"/>
    <n v="120.028793311999"/>
    <n v="55"/>
    <n v="55"/>
    <n v="0"/>
    <x v="0"/>
    <x v="4"/>
  </r>
  <r>
    <n v="2500008231"/>
    <s v="O Ring PN 10453920"/>
    <x v="0"/>
    <s v="ELGI Gulf FZE"/>
    <n v="120"/>
    <n v="10"/>
    <n v="10"/>
    <n v="0"/>
    <x v="0"/>
    <x v="0"/>
  </r>
  <r>
    <n v="1000020141"/>
    <s v="SKF BEARING - 30209 J2/Q"/>
    <x v="3"/>
    <s v="SKF Eurotrade AB"/>
    <n v="119.85"/>
    <n v="3"/>
    <n v="3"/>
    <n v="0"/>
    <x v="0"/>
    <x v="4"/>
  </r>
  <r>
    <n v="1000020791"/>
    <s v="SKF BEARING - 7204 BECBP"/>
    <x v="3"/>
    <s v="SKF Eurotrade AB"/>
    <n v="119.46"/>
    <n v="2"/>
    <n v="2"/>
    <n v="0"/>
    <x v="0"/>
    <x v="4"/>
  </r>
  <r>
    <n v="1000020177"/>
    <s v="SKF BEARING - 32208 J2/Q"/>
    <x v="3"/>
    <s v="SKF Eurotrade AB"/>
    <n v="119.34"/>
    <n v="3"/>
    <n v="3"/>
    <n v="0"/>
    <x v="0"/>
    <x v="4"/>
  </r>
  <r>
    <n v="1000021384"/>
    <s v="SKF BEARING - 6010"/>
    <x v="3"/>
    <s v="SKF Eurotrade AB"/>
    <n v="119.0625"/>
    <n v="5"/>
    <n v="5"/>
    <n v="0"/>
    <x v="0"/>
    <x v="4"/>
  </r>
  <r>
    <n v="1000021379"/>
    <s v="SKF BEARING - MB 5"/>
    <x v="3"/>
    <s v="SKF Eurotrade AB"/>
    <n v="118.6512"/>
    <n v="96"/>
    <n v="96"/>
    <n v="0"/>
    <x v="0"/>
    <x v="4"/>
  </r>
  <r>
    <n v="1000099434"/>
    <s v="SKF BEARINGS - Model No. 1206 ETN9"/>
    <x v="3"/>
    <s v="SKF Eurotrade AB"/>
    <n v="118.46"/>
    <n v="3"/>
    <n v="3"/>
    <n v="0"/>
    <x v="0"/>
    <x v="4"/>
  </r>
  <r>
    <n v="1000102641"/>
    <s v="Weidmuller; WAP WDK2.5; P/N 1059100000"/>
    <x v="3"/>
    <s v="Weidmuller Middle East (FZE)"/>
    <n v="118.36799999999999"/>
    <n v="90"/>
    <n v="90"/>
    <n v="0"/>
    <x v="0"/>
    <x v="3"/>
  </r>
  <r>
    <n v="1000020984"/>
    <s v="SKF BEARING - NU 206 ECP/C3"/>
    <x v="3"/>
    <s v="SKF Eurotrade AB"/>
    <n v="118.13"/>
    <n v="2"/>
    <n v="2"/>
    <n v="0"/>
    <x v="0"/>
    <x v="4"/>
  </r>
  <r>
    <n v="1000020916"/>
    <s v="SKF BEARING - NJ 2208 ECJ"/>
    <x v="3"/>
    <s v="SKF Eurotrade AB"/>
    <n v="118.03"/>
    <n v="1"/>
    <n v="1"/>
    <n v="0"/>
    <x v="0"/>
    <x v="4"/>
  </r>
  <r>
    <n v="1000020494"/>
    <s v="SKF BEARING - 6212"/>
    <x v="3"/>
    <s v="SKF Eurotrade AB"/>
    <n v="117.97799999999999"/>
    <n v="3"/>
    <n v="3"/>
    <n v="0"/>
    <x v="0"/>
    <x v="4"/>
  </r>
  <r>
    <n v="1000020268"/>
    <s v="SKF BEARING - 6009"/>
    <x v="3"/>
    <s v="SKF Eurotrade AB"/>
    <n v="117.81"/>
    <n v="7"/>
    <n v="7"/>
    <n v="0"/>
    <x v="0"/>
    <x v="4"/>
  </r>
  <r>
    <n v="1000020473"/>
    <s v="SKF BEARING - 6209/C4"/>
    <x v="3"/>
    <s v="SKF Eurotrade AB"/>
    <n v="117.75"/>
    <n v="3"/>
    <n v="3"/>
    <n v="0"/>
    <x v="0"/>
    <x v="4"/>
  </r>
  <r>
    <n v="1000020917"/>
    <s v="SKF BEARING - NJ 2208 ECJ/C3"/>
    <x v="3"/>
    <s v="SKF Eurotrade AB"/>
    <n v="117.74"/>
    <n v="1"/>
    <n v="1"/>
    <n v="0"/>
    <x v="0"/>
    <x v="4"/>
  </r>
  <r>
    <n v="1000020165"/>
    <s v="SKF BEARING - 32006 X/Q"/>
    <x v="3"/>
    <s v="SKF Eurotrade AB"/>
    <n v="117.05"/>
    <n v="5"/>
    <n v="5"/>
    <n v="0"/>
    <x v="0"/>
    <x v="4"/>
  </r>
  <r>
    <n v="1000020363"/>
    <s v="SKF BEARING - 61814-2RS1"/>
    <x v="3"/>
    <s v="SKF Eurotrade AB"/>
    <n v="116.83"/>
    <n v="1"/>
    <n v="1"/>
    <n v="0"/>
    <x v="0"/>
    <x v="4"/>
  </r>
  <r>
    <n v="1000093954"/>
    <s v="SKF BEARING - 6201-2Z"/>
    <x v="3"/>
    <s v="SKF Eurotrade AB"/>
    <n v="116.506759259259"/>
    <n v="19"/>
    <n v="19"/>
    <n v="0"/>
    <x v="0"/>
    <x v="4"/>
  </r>
  <r>
    <n v="1000102225"/>
    <s v="SKF BEARINGS - 6209-RS1/C3"/>
    <x v="3"/>
    <s v="SKF Eurotrade AB"/>
    <n v="116.41"/>
    <n v="2"/>
    <n v="2"/>
    <n v="0"/>
    <x v="0"/>
    <x v="4"/>
  </r>
  <r>
    <n v="1000020642"/>
    <s v="SKF BEARING - 6306-Z"/>
    <x v="3"/>
    <s v="SKF Eurotrade AB"/>
    <n v="116.35"/>
    <n v="5"/>
    <n v="5"/>
    <n v="0"/>
    <x v="0"/>
    <x v="4"/>
  </r>
  <r>
    <n v="1000099379"/>
    <s v="SKF BEARING:SYF 45 TF"/>
    <x v="3"/>
    <s v="SKF Eurotrade AB"/>
    <n v="115.65"/>
    <n v="1"/>
    <n v="1"/>
    <n v="0"/>
    <x v="0"/>
    <x v="4"/>
  </r>
  <r>
    <n v="1000020778"/>
    <s v="SKF BEARING - 51110"/>
    <x v="3"/>
    <s v="SKF Eurotrade AB"/>
    <n v="115.32"/>
    <n v="3"/>
    <n v="3"/>
    <n v="0"/>
    <x v="0"/>
    <x v="4"/>
  </r>
  <r>
    <n v="1000109596"/>
    <s v="WQB B/2             PN:1579010000 weidmuller"/>
    <x v="3"/>
    <s v="Weidmuller Middle East (FZE)"/>
    <n v="114.78740000000001"/>
    <n v="49"/>
    <n v="49"/>
    <n v="0"/>
    <x v="0"/>
    <x v="3"/>
  </r>
  <r>
    <n v="1000020616"/>
    <s v="SKF BEARING - 6303-2RSH"/>
    <x v="3"/>
    <s v="SKF Eurotrade AB"/>
    <n v="114.375"/>
    <n v="10"/>
    <n v="10"/>
    <n v="0"/>
    <x v="0"/>
    <x v="4"/>
  </r>
  <r>
    <n v="1000020395"/>
    <s v="SKF BEARING - 61912-2RS1"/>
    <x v="3"/>
    <s v="SKF Eurotrade AB"/>
    <n v="114.26"/>
    <n v="1"/>
    <n v="1"/>
    <n v="0"/>
    <x v="0"/>
    <x v="4"/>
  </r>
  <r>
    <n v="1000020766"/>
    <s v="SKF BEARING - 6408/C3"/>
    <x v="3"/>
    <s v="SKF Eurotrade AB"/>
    <n v="114.19"/>
    <n v="1"/>
    <n v="1"/>
    <n v="0"/>
    <x v="0"/>
    <x v="4"/>
  </r>
  <r>
    <n v="1000020062"/>
    <s v="SKF BEARING - N 09"/>
    <x v="3"/>
    <s v="SKF Eurotrade AB"/>
    <n v="113.439206349682"/>
    <n v="5"/>
    <n v="5"/>
    <n v="0"/>
    <x v="0"/>
    <x v="4"/>
  </r>
  <r>
    <n v="1000020952"/>
    <s v="SKF BEARING - NJ 307 ECJ/C3"/>
    <x v="3"/>
    <s v="SKF Eurotrade AB"/>
    <n v="113.41"/>
    <n v="1"/>
    <n v="1"/>
    <n v="0"/>
    <x v="0"/>
    <x v="4"/>
  </r>
  <r>
    <n v="1000020274"/>
    <s v="SKF BEARING - 6010 NR"/>
    <x v="3"/>
    <s v="SKF Eurotrade AB"/>
    <n v="113.28"/>
    <n v="2"/>
    <n v="2"/>
    <n v="0"/>
    <x v="0"/>
    <x v="4"/>
  </r>
  <r>
    <n v="1000020362"/>
    <s v="SKF BEARING - 61813-2RZ"/>
    <x v="3"/>
    <s v="SKF Eurotrade AB"/>
    <n v="113.2"/>
    <n v="1"/>
    <n v="1"/>
    <n v="0"/>
    <x v="0"/>
    <x v="4"/>
  </r>
  <r>
    <n v="1000095581"/>
    <s v="SKF BEARING -W 619/5-2Z"/>
    <x v="3"/>
    <s v="SKF Eurotrade AB"/>
    <n v="112.8"/>
    <n v="4"/>
    <n v="4"/>
    <n v="0"/>
    <x v="0"/>
    <x v="4"/>
  </r>
  <r>
    <n v="2500009077"/>
    <s v="GAUGE_OIL PRESSURE (0-100 KG/CM) 0-1500PSI, I"/>
    <x v="0"/>
    <s v="PARANTHAMAN EXPORTERS"/>
    <n v="112.5"/>
    <n v="3"/>
    <n v="3"/>
    <n v="0"/>
    <x v="0"/>
    <x v="0"/>
  </r>
  <r>
    <n v="1000104360"/>
    <s v="SKF Product; NIL.6205 AV"/>
    <x v="3"/>
    <s v="SKF Eurotrade AB"/>
    <n v="112.2"/>
    <n v="8"/>
    <n v="8"/>
    <n v="0"/>
    <x v="0"/>
    <x v="4"/>
  </r>
  <r>
    <n v="1000096818"/>
    <s v="Weidmueller,Product:9512190000;WDU 70N/35"/>
    <x v="3"/>
    <s v="Weidmuller Middle East (FZE)"/>
    <n v="111.936353515064"/>
    <n v="4"/>
    <n v="4"/>
    <n v="0"/>
    <x v="0"/>
    <x v="3"/>
  </r>
  <r>
    <n v="1000097022"/>
    <s v="SKF BEARING;PN:FY 50 TF"/>
    <x v="3"/>
    <s v="SKF Eurotrade AB"/>
    <n v="110.66500000000001"/>
    <n v="1"/>
    <n v="1"/>
    <n v="0"/>
    <x v="0"/>
    <x v="4"/>
  </r>
  <r>
    <n v="1000108817"/>
    <s v="Weidmuller Product; WQB B/24; P/N: 1579060000"/>
    <x v="3"/>
    <s v="Weidmuller Middle East (FZE)"/>
    <n v="110.296363636363"/>
    <n v="10"/>
    <n v="10"/>
    <n v="0"/>
    <x v="0"/>
    <x v="3"/>
  </r>
  <r>
    <n v="1000020302"/>
    <s v="SKF BEARING - 6016-2Z"/>
    <x v="3"/>
    <s v="SKF Eurotrade AB"/>
    <n v="109.37"/>
    <n v="1"/>
    <n v="1"/>
    <n v="0"/>
    <x v="0"/>
    <x v="4"/>
  </r>
  <r>
    <n v="1000102601"/>
    <s v="Weidmuller Items; LIP 1,5R12 V"/>
    <x v="3"/>
    <s v="Weidmuller Middle East (FZE)"/>
    <n v="109.11750000000001"/>
    <n v="180"/>
    <n v="180"/>
    <n v="0"/>
    <x v="0"/>
    <x v="3"/>
  </r>
  <r>
    <n v="1000020891"/>
    <s v="SKF BEARING - NJ 208 ECJ/C3"/>
    <x v="3"/>
    <s v="SKF Eurotrade AB"/>
    <n v="108.84"/>
    <n v="1"/>
    <n v="1"/>
    <n v="0"/>
    <x v="0"/>
    <x v="4"/>
  </r>
  <r>
    <n v="1000020138"/>
    <s v="SKF BEARING - 30206 J2/Q"/>
    <x v="3"/>
    <s v="SKF Eurotrade AB"/>
    <n v="108.75"/>
    <n v="5"/>
    <n v="5"/>
    <n v="0"/>
    <x v="0"/>
    <x v="4"/>
  </r>
  <r>
    <n v="1000020551"/>
    <s v="SKF BEARING - 62202-2RS1/C3"/>
    <x v="3"/>
    <s v="SKF Eurotrade AB"/>
    <n v="108.6"/>
    <n v="5"/>
    <n v="5"/>
    <n v="0"/>
    <x v="0"/>
    <x v="4"/>
  </r>
  <r>
    <n v="1000097117"/>
    <s v="Mounting Flange;BF 18,Part No: 000050"/>
    <x v="3"/>
    <s v="Pepperl+Fuchs (ME) FZE"/>
    <n v="108.21"/>
    <n v="5"/>
    <n v="5"/>
    <n v="0"/>
    <x v="0"/>
    <x v="5"/>
  </r>
  <r>
    <n v="1000102617"/>
    <s v="Weidmuller; Model TS 32X15 2M/ST/ZN;  PN:1228"/>
    <x v="3"/>
    <s v="Weidmuller Middle East (FZE)"/>
    <n v="108.2"/>
    <n v="8"/>
    <n v="8"/>
    <n v="0"/>
    <x v="0"/>
    <x v="3"/>
  </r>
  <r>
    <n v="1000106681"/>
    <s v="Weidmuller Product; TOS 24VDC 230VAC1A; P/N:1"/>
    <x v="3"/>
    <s v="Weidmuller Middle East (FZE)"/>
    <n v="107.6108"/>
    <n v="2"/>
    <n v="2"/>
    <n v="0"/>
    <x v="0"/>
    <x v="3"/>
  </r>
  <r>
    <n v="1000094969"/>
    <s v="Fuse Low Voltage;  Model:F9802JB"/>
    <x v="5"/>
    <s v="Yokogawa Middle East &amp; Africa B.S.C. Â©"/>
    <n v="107.440406999426"/>
    <n v="9"/>
    <n v="9"/>
    <n v="0"/>
    <x v="0"/>
    <x v="6"/>
  </r>
  <r>
    <n v="1000098463"/>
    <s v="SKF BEARING-22209 EK/C3"/>
    <x v="3"/>
    <s v="SKF Eurotrade AB"/>
    <n v="107.22799999999999"/>
    <n v="1"/>
    <n v="1"/>
    <n v="0"/>
    <x v="0"/>
    <x v="4"/>
  </r>
  <r>
    <n v="1000021198"/>
    <s v="SKF BEARING - H 307"/>
    <x v="3"/>
    <s v="SKF Eurotrade AB"/>
    <n v="107"/>
    <n v="4"/>
    <n v="4"/>
    <n v="0"/>
    <x v="0"/>
    <x v="4"/>
  </r>
  <r>
    <n v="1000020794"/>
    <s v="SKF BEARING - 7206 BECBM"/>
    <x v="3"/>
    <s v="SKF Eurotrade AB"/>
    <n v="106.94"/>
    <n v="1"/>
    <n v="1"/>
    <n v="0"/>
    <x v="0"/>
    <x v="4"/>
  </r>
  <r>
    <n v="1000020957"/>
    <s v="SKF BEARING - NJ 308 ECP/C3"/>
    <x v="3"/>
    <s v="SKF Eurotrade AB"/>
    <n v="106.83"/>
    <n v="1"/>
    <n v="1"/>
    <n v="0"/>
    <x v="0"/>
    <x v="4"/>
  </r>
  <r>
    <n v="1000020918"/>
    <s v="SKF BEARING - NJ 2208 ECP/C3"/>
    <x v="3"/>
    <s v="SKF Eurotrade AB"/>
    <n v="106.83"/>
    <n v="1"/>
    <n v="1"/>
    <n v="0"/>
    <x v="0"/>
    <x v="4"/>
  </r>
  <r>
    <n v="1000020304"/>
    <s v="SKF BEARING - 6017"/>
    <x v="3"/>
    <s v="SKF Eurotrade AB"/>
    <n v="106.48"/>
    <n v="1"/>
    <n v="1"/>
    <n v="0"/>
    <x v="0"/>
    <x v="4"/>
  </r>
  <r>
    <n v="1000106638"/>
    <s v="Weidmuller Product; TW SAK35; P/N:304360000"/>
    <x v="3"/>
    <s v="Weidmuller Middle East (FZE)"/>
    <n v="106.07"/>
    <n v="40"/>
    <n v="40"/>
    <n v="0"/>
    <x v="0"/>
    <x v="3"/>
  </r>
  <r>
    <n v="1000102211"/>
    <s v="SKF BEARINGS -  FYJ 45 TF"/>
    <x v="3"/>
    <s v="SKF Eurotrade AB"/>
    <n v="105.75"/>
    <n v="1"/>
    <n v="1"/>
    <n v="0"/>
    <x v="0"/>
    <x v="4"/>
  </r>
  <r>
    <n v="1000098443"/>
    <s v="SKF BEARING-30308"/>
    <x v="3"/>
    <s v="SKF Eurotrade AB"/>
    <n v="105.39"/>
    <n v="2"/>
    <n v="2"/>
    <n v="0"/>
    <x v="0"/>
    <x v="4"/>
  </r>
  <r>
    <n v="1000021166"/>
    <s v="SKF BEARING - 2205 E-2RS1KTN9/C3"/>
    <x v="3"/>
    <s v="SKF Eurotrade AB"/>
    <n v="104.96"/>
    <n v="2"/>
    <n v="2"/>
    <n v="0"/>
    <x v="0"/>
    <x v="4"/>
  </r>
  <r>
    <n v="1000020591"/>
    <s v="SKF BEARING - 626-2RSH"/>
    <x v="3"/>
    <s v="SKF Eurotrade AB"/>
    <n v="104.8"/>
    <n v="20"/>
    <n v="20"/>
    <n v="0"/>
    <x v="0"/>
    <x v="4"/>
  </r>
  <r>
    <n v="1000093568"/>
    <s v="Weidmuller; Model No. HDC-C-HE-BM2.5AG; Descr"/>
    <x v="3"/>
    <s v="Weidmuller Middle East (FZE)"/>
    <n v="103.698235294117"/>
    <n v="140"/>
    <n v="140"/>
    <n v="0"/>
    <x v="0"/>
    <x v="3"/>
  </r>
  <r>
    <n v="1000020220"/>
    <s v="SKF BEARING - 6000-2RSH"/>
    <x v="3"/>
    <s v="SKF Eurotrade AB"/>
    <n v="103.32"/>
    <n v="18"/>
    <n v="18"/>
    <n v="0"/>
    <x v="0"/>
    <x v="4"/>
  </r>
  <r>
    <n v="1000020382"/>
    <s v="SKF BEARING - 61903-2Z"/>
    <x v="3"/>
    <s v="SKF Eurotrade AB"/>
    <n v="103.3"/>
    <n v="5"/>
    <n v="5"/>
    <n v="0"/>
    <x v="0"/>
    <x v="4"/>
  </r>
  <r>
    <n v="1000020381"/>
    <s v="SKF BEARING - 61903-2RS1"/>
    <x v="3"/>
    <s v="SKF Eurotrade AB"/>
    <n v="103.3"/>
    <n v="5"/>
    <n v="5"/>
    <n v="0"/>
    <x v="0"/>
    <x v="4"/>
  </r>
  <r>
    <n v="1000020360"/>
    <s v="SKF BEARING - 61812-2RZ"/>
    <x v="3"/>
    <s v="SKF Eurotrade AB"/>
    <n v="103.24"/>
    <n v="1"/>
    <n v="1"/>
    <n v="0"/>
    <x v="0"/>
    <x v="4"/>
  </r>
  <r>
    <n v="1000020035"/>
    <s v="SKF BEARING - PCM 303425 E"/>
    <x v="3"/>
    <s v="SKF Eurotrade AB"/>
    <n v="102.91840000000001"/>
    <n v="16"/>
    <n v="16"/>
    <n v="0"/>
    <x v="0"/>
    <x v="4"/>
  </r>
  <r>
    <n v="1000020163"/>
    <s v="SKF BEARING - 32004 X/Q"/>
    <x v="3"/>
    <s v="SKF Eurotrade AB"/>
    <n v="102.8"/>
    <n v="5"/>
    <n v="5"/>
    <n v="0"/>
    <x v="0"/>
    <x v="4"/>
  </r>
  <r>
    <n v="1000100420"/>
    <s v="SKF Product 32306"/>
    <x v="3"/>
    <s v="SKF Eurotrade AB"/>
    <n v="102.68"/>
    <n v="2"/>
    <n v="2"/>
    <n v="0"/>
    <x v="0"/>
    <x v="4"/>
  </r>
  <r>
    <n v="1000020249"/>
    <s v="SKF BEARING - 6005-2RSHNR"/>
    <x v="3"/>
    <s v="SKF Eurotrade AB"/>
    <n v="102.6"/>
    <n v="5"/>
    <n v="5"/>
    <n v="0"/>
    <x v="0"/>
    <x v="4"/>
  </r>
  <r>
    <n v="2500009193"/>
    <s v="Desc:VALVE ASSY ;NON RETURN 1/4&quot;| P/N:B441701"/>
    <x v="0"/>
    <s v="ELGI Gulf FZE"/>
    <n v="102.6"/>
    <n v="2"/>
    <n v="2"/>
    <n v="0"/>
    <x v="0"/>
    <x v="0"/>
  </r>
  <r>
    <n v="1000021168"/>
    <s v="SKF BEARING - 2205 E-2RS1TN9"/>
    <x v="3"/>
    <s v="SKF Eurotrade AB"/>
    <n v="102.261666666666"/>
    <n v="2"/>
    <n v="2"/>
    <n v="0"/>
    <x v="0"/>
    <x v="4"/>
  </r>
  <r>
    <n v="1000097510"/>
    <s v="Seat Valve, K9041HC"/>
    <x v="5"/>
    <s v="Yokogawa Middle East &amp; Africa B.S.C. Â©"/>
    <n v="102"/>
    <n v="2"/>
    <n v="2"/>
    <n v="0"/>
    <x v="0"/>
    <x v="6"/>
  </r>
  <r>
    <n v="1000021186"/>
    <s v="SKF BEARING - 2211 ETN9"/>
    <x v="3"/>
    <s v="SKF Eurotrade AB"/>
    <n v="101.73"/>
    <n v="1"/>
    <n v="1"/>
    <n v="0"/>
    <x v="0"/>
    <x v="4"/>
  </r>
  <r>
    <n v="1000021184"/>
    <s v="SKF BEARING - 2211 EKTN9"/>
    <x v="3"/>
    <s v="SKF Eurotrade AB"/>
    <n v="101.73"/>
    <n v="1"/>
    <n v="1"/>
    <n v="0"/>
    <x v="0"/>
    <x v="4"/>
  </r>
  <r>
    <n v="1000020222"/>
    <s v="SKF BEARING - 6000-2Z"/>
    <x v="3"/>
    <s v="Universal Bearings Company"/>
    <n v="101.4"/>
    <n v="20"/>
    <n v="20"/>
    <n v="0"/>
    <x v="0"/>
    <x v="4"/>
  </r>
  <r>
    <n v="1000020181"/>
    <s v="SKF BEARING - 32213 J2/Q"/>
    <x v="3"/>
    <s v="SKF Eurotrade AB"/>
    <n v="101.31"/>
    <n v="1"/>
    <n v="1"/>
    <n v="0"/>
    <x v="0"/>
    <x v="4"/>
  </r>
  <r>
    <n v="1000001222"/>
    <s v="Glass Beads, K9332ZJ"/>
    <x v="5"/>
    <s v="Yokogawa Middle East &amp; Africa B.S.C. Â©"/>
    <n v="101.255"/>
    <n v="2"/>
    <n v="2"/>
    <n v="0"/>
    <x v="0"/>
    <x v="6"/>
  </r>
  <r>
    <n v="2500009335"/>
    <s v="DESCRIPTION : VALVE SEAT AW1122BCD| Part no. "/>
    <x v="0"/>
    <s v="PARANTHAMAN EXPORTERS"/>
    <n v="101.25"/>
    <n v="3"/>
    <n v="3"/>
    <n v="0"/>
    <x v="0"/>
    <x v="0"/>
  </r>
  <r>
    <n v="1000105809"/>
    <s v="Weidmuller Product; WQV 4/4; P/N: 1054660000"/>
    <x v="3"/>
    <s v="Weidmuller Middle East (FZE)"/>
    <n v="101.2"/>
    <n v="25"/>
    <n v="25"/>
    <n v="0"/>
    <x v="0"/>
    <x v="3"/>
  </r>
  <r>
    <n v="1000020379"/>
    <s v="SKF BEARING - 61902-2RS1"/>
    <x v="3"/>
    <s v="SKF Eurotrade AB"/>
    <n v="100.85"/>
    <n v="5"/>
    <n v="5"/>
    <n v="0"/>
    <x v="0"/>
    <x v="4"/>
  </r>
  <r>
    <n v="1000020894"/>
    <s v="SKF BEARING - NJ 210 ECP/C3"/>
    <x v="3"/>
    <s v="SKF Eurotrade AB"/>
    <n v="100.71"/>
    <n v="1"/>
    <n v="1"/>
    <n v="0"/>
    <x v="0"/>
    <x v="4"/>
  </r>
  <r>
    <n v="1000093330"/>
    <s v="SKF BEARING - FRB 13.5/200"/>
    <x v="3"/>
    <s v="SKF Eurotrade AB"/>
    <n v="100.575"/>
    <n v="2"/>
    <n v="0"/>
    <n v="2"/>
    <x v="3"/>
    <x v="4"/>
  </r>
  <r>
    <n v="1000020676"/>
    <s v="SKF BEARING - 6309-RS1/C3"/>
    <x v="3"/>
    <s v="SKF Eurotrade AB"/>
    <n v="100.54"/>
    <n v="2"/>
    <n v="2"/>
    <n v="0"/>
    <x v="0"/>
    <x v="4"/>
  </r>
  <r>
    <n v="1000094724"/>
    <s v="SKF PRODUCTS :  Model No. N 10  Matl#:429474"/>
    <x v="3"/>
    <s v="Universal Bearings Company"/>
    <n v="100.008333333333"/>
    <n v="4"/>
    <n v="4"/>
    <n v="0"/>
    <x v="0"/>
    <x v="4"/>
  </r>
  <r>
    <n v="1000020774"/>
    <s v="SKF BEARING - 51102"/>
    <x v="3"/>
    <s v="SKF Eurotrade AB"/>
    <n v="99.8"/>
    <n v="5"/>
    <n v="5"/>
    <n v="0"/>
    <x v="0"/>
    <x v="4"/>
  </r>
  <r>
    <n v="1000020980"/>
    <s v="SKF BEARING - NU 205 ECP"/>
    <x v="3"/>
    <s v="SKF Eurotrade AB"/>
    <n v="99.68"/>
    <n v="2"/>
    <n v="2"/>
    <n v="0"/>
    <x v="0"/>
    <x v="4"/>
  </r>
  <r>
    <n v="1000020150"/>
    <s v="SKF BEARING - 30308 J2/Q"/>
    <x v="3"/>
    <s v="SKF Eurotrade AB"/>
    <n v="99.48"/>
    <n v="2"/>
    <n v="2"/>
    <n v="0"/>
    <x v="0"/>
    <x v="4"/>
  </r>
  <r>
    <n v="1000020414"/>
    <s v="SKF BEARING - 6203-2RSH"/>
    <x v="3"/>
    <s v="SKF Eurotrade AB"/>
    <n v="98.922352941176399"/>
    <n v="14"/>
    <n v="14"/>
    <n v="0"/>
    <x v="0"/>
    <x v="4"/>
  </r>
  <r>
    <n v="1000020137"/>
    <s v="SKF BEARING - 30205 J2/Q"/>
    <x v="3"/>
    <s v="SKF Eurotrade AB"/>
    <n v="98.9"/>
    <n v="5"/>
    <n v="5"/>
    <n v="0"/>
    <x v="0"/>
    <x v="4"/>
  </r>
  <r>
    <n v="1000104754"/>
    <s v="P&amp;F Product; P/N: 000051; Mtrl: 1047365; BF30"/>
    <x v="3"/>
    <s v="Pepperl+Fuchs (ME) FZE"/>
    <n v="98.64"/>
    <n v="4"/>
    <n v="4"/>
    <n v="0"/>
    <x v="0"/>
    <x v="5"/>
  </r>
  <r>
    <n v="1000021178"/>
    <s v="SKF BEARING - 2208 E-2RS1KTN9/C3"/>
    <x v="3"/>
    <s v="SKF Eurotrade AB"/>
    <n v="98.52"/>
    <n v="1"/>
    <n v="1"/>
    <n v="0"/>
    <x v="0"/>
    <x v="4"/>
  </r>
  <r>
    <n v="1000020632"/>
    <s v="SKF BEARING - 6305-RS1"/>
    <x v="3"/>
    <s v="SKF Eurotrade AB"/>
    <n v="97.85"/>
    <n v="5"/>
    <n v="5"/>
    <n v="0"/>
    <x v="0"/>
    <x v="4"/>
  </r>
  <r>
    <n v="1000021182"/>
    <s v="SKF BEARING - 2210 EKTN9/C3"/>
    <x v="3"/>
    <s v="SKF Eurotrade AB"/>
    <n v="97.64"/>
    <n v="1"/>
    <n v="1"/>
    <n v="0"/>
    <x v="0"/>
    <x v="4"/>
  </r>
  <r>
    <n v="1000100419"/>
    <s v="SKF Product 6303/C3"/>
    <x v="3"/>
    <s v="Universal Bearings Company"/>
    <n v="97.474999999999994"/>
    <n v="14"/>
    <n v="14"/>
    <n v="0"/>
    <x v="0"/>
    <x v="4"/>
  </r>
  <r>
    <n v="1000095694"/>
    <s v="SKF BEARING TSN 511 L"/>
    <x v="3"/>
    <s v="SKF Eurotrade AB"/>
    <n v="97.442250000000001"/>
    <n v="3"/>
    <n v="3"/>
    <n v="0"/>
    <x v="0"/>
    <x v="4"/>
  </r>
  <r>
    <n v="1000020343"/>
    <s v="SKF BEARING - 609-2Z/C3"/>
    <x v="3"/>
    <s v="SKF Eurotrade AB"/>
    <n v="97.2"/>
    <n v="20"/>
    <n v="20"/>
    <n v="0"/>
    <x v="0"/>
    <x v="4"/>
  </r>
  <r>
    <n v="1000020280"/>
    <s v="SKF BEARING - 6011-2RS1"/>
    <x v="3"/>
    <s v="SKF Eurotrade AB"/>
    <n v="97.05"/>
    <n v="3"/>
    <n v="3"/>
    <n v="0"/>
    <x v="0"/>
    <x v="4"/>
  </r>
  <r>
    <n v="1000094123"/>
    <s v="SKF BERAINGS; Model No. 6212-2RS1"/>
    <x v="3"/>
    <s v="SKF Eurotrade AB"/>
    <n v="96.855000000000004"/>
    <n v="2"/>
    <n v="2"/>
    <n v="0"/>
    <x v="0"/>
    <x v="4"/>
  </r>
  <r>
    <n v="1000020915"/>
    <s v="SKF BEARING - NJ 2207 ECP/C3"/>
    <x v="3"/>
    <s v="SKF Eurotrade AB"/>
    <n v="96.66"/>
    <n v="1"/>
    <n v="1"/>
    <n v="0"/>
    <x v="0"/>
    <x v="4"/>
  </r>
  <r>
    <n v="1000020914"/>
    <s v="SKF BEARING - NJ 2207 ECP"/>
    <x v="3"/>
    <s v="SKF Eurotrade AB"/>
    <n v="96.66"/>
    <n v="1"/>
    <n v="1"/>
    <n v="0"/>
    <x v="0"/>
    <x v="4"/>
  </r>
  <r>
    <n v="1000100425"/>
    <s v="SKF Product NJ 203 ECP"/>
    <x v="3"/>
    <s v="SKF Eurotrade AB"/>
    <n v="96.6"/>
    <n v="2"/>
    <n v="2"/>
    <n v="0"/>
    <x v="0"/>
    <x v="4"/>
  </r>
  <r>
    <n v="1000020380"/>
    <s v="SKF BEARING - 61902-2Z"/>
    <x v="3"/>
    <s v="SKF Eurotrade AB"/>
    <n v="96.45"/>
    <n v="5"/>
    <n v="5"/>
    <n v="0"/>
    <x v="0"/>
    <x v="4"/>
  </r>
  <r>
    <n v="1000101360"/>
    <s v="Weidmuller; Model No:AP MCZ1.5 1674;   PN:838"/>
    <x v="3"/>
    <s v="Weidmuller Middle East (FZE)"/>
    <n v="96.038829688421004"/>
    <n v="42"/>
    <n v="42"/>
    <n v="0"/>
    <x v="0"/>
    <x v="3"/>
  </r>
  <r>
    <n v="1000020561"/>
    <s v="SKF BEARING - 62207-2RS1"/>
    <x v="3"/>
    <s v="SKF Eurotrade AB"/>
    <n v="96.02"/>
    <n v="2"/>
    <n v="2"/>
    <n v="0"/>
    <x v="0"/>
    <x v="4"/>
  </r>
  <r>
    <n v="1000020455"/>
    <s v="SKF BEARING - 6207-2Z/C3"/>
    <x v="3"/>
    <s v="SKF Eurotrade AB"/>
    <n v="95.729413514662099"/>
    <n v="6"/>
    <n v="6"/>
    <n v="0"/>
    <x v="0"/>
    <x v="4"/>
  </r>
  <r>
    <n v="1000020792"/>
    <s v="SKF BEARING - 7205 BECBM"/>
    <x v="3"/>
    <s v="SKF Eurotrade AB"/>
    <n v="95.197500000000005"/>
    <n v="1"/>
    <n v="1"/>
    <n v="0"/>
    <x v="0"/>
    <x v="4"/>
  </r>
  <r>
    <n v="1000099285"/>
    <s v="SKF BEARING - NA 4910"/>
    <x v="3"/>
    <s v="SKF Eurotrade AB"/>
    <n v="95.14"/>
    <n v="1"/>
    <n v="1"/>
    <n v="0"/>
    <x v="0"/>
    <x v="4"/>
  </r>
  <r>
    <n v="1000020358"/>
    <s v="SKF BEARING - 61811-2RZ"/>
    <x v="3"/>
    <s v="SKF Eurotrade AB"/>
    <n v="94.86"/>
    <n v="1"/>
    <n v="1"/>
    <n v="0"/>
    <x v="0"/>
    <x v="4"/>
  </r>
  <r>
    <n v="1000098601"/>
    <s v="SKF BEARING -7306 BEP"/>
    <x v="3"/>
    <s v="SKF Eurotrade AB"/>
    <n v="94.61"/>
    <n v="2"/>
    <n v="2"/>
    <n v="0"/>
    <x v="0"/>
    <x v="4"/>
  </r>
  <r>
    <n v="1000020239"/>
    <s v="SKF BEARING - 6004 NR"/>
    <x v="3"/>
    <s v="SKF Eurotrade AB"/>
    <n v="93.8"/>
    <n v="5"/>
    <n v="5"/>
    <n v="0"/>
    <x v="0"/>
    <x v="4"/>
  </r>
  <r>
    <n v="2500009459"/>
    <s v="DESCRIPTION : FLOW CONTROL VALVE | Part No: P"/>
    <x v="0"/>
    <s v="PARANTHAMAN EXPORTERS"/>
    <n v="93.75"/>
    <n v="1"/>
    <n v="1"/>
    <n v="0"/>
    <x v="0"/>
    <x v="0"/>
  </r>
  <r>
    <n v="2500005579"/>
    <s v="PREFILTER-F4-75 kW PN B000606160002"/>
    <x v="0"/>
    <s v="ELGI Gulf FZE"/>
    <n v="93.64"/>
    <n v="6"/>
    <n v="6"/>
    <n v="0"/>
    <x v="0"/>
    <x v="0"/>
  </r>
  <r>
    <n v="1000098734"/>
    <s v="SKF BEARING -YAR 204-2F"/>
    <x v="3"/>
    <s v="SKF Eurotrade AB"/>
    <n v="93.487499999999997"/>
    <n v="3"/>
    <n v="3"/>
    <n v="0"/>
    <x v="0"/>
    <x v="4"/>
  </r>
  <r>
    <n v="1000020346"/>
    <s v="SKF BEARING - 61801-2Z"/>
    <x v="3"/>
    <s v="SKF Eurotrade AB"/>
    <n v="93.1"/>
    <n v="5"/>
    <n v="5"/>
    <n v="0"/>
    <x v="0"/>
    <x v="4"/>
  </r>
  <r>
    <n v="1000107869"/>
    <s v="Weidmuller Product; DRM570024LT; P/N: 7760056"/>
    <x v="3"/>
    <s v="Weidmuller Middle East (FZE)"/>
    <n v="92.88"/>
    <n v="10"/>
    <n v="10"/>
    <n v="0"/>
    <x v="0"/>
    <x v="3"/>
  </r>
  <r>
    <n v="1000103068"/>
    <s v="SKF Products; PHG AX46EP"/>
    <x v="3"/>
    <s v="SKF Eurotrade AB"/>
    <n v="92.822000044250004"/>
    <n v="8"/>
    <n v="8"/>
    <n v="0"/>
    <x v="0"/>
    <x v="4"/>
  </r>
  <r>
    <n v="1000102427"/>
    <s v="Weidmuller Product; Model:WQV 50N/2; PN:18340"/>
    <x v="3"/>
    <s v="Weidmuller Middle East (FZE)"/>
    <n v="92.81635"/>
    <n v="11"/>
    <n v="11"/>
    <n v="0"/>
    <x v="0"/>
    <x v="3"/>
  </r>
  <r>
    <n v="1000020449"/>
    <s v="SKF BEARING - 6207 NR/C3"/>
    <x v="3"/>
    <s v="SKF Eurotrade AB"/>
    <n v="92.73"/>
    <n v="3"/>
    <n v="3"/>
    <n v="0"/>
    <x v="0"/>
    <x v="4"/>
  </r>
  <r>
    <n v="1000020243"/>
    <s v="SKF BEARING - 6004-2RSHNR"/>
    <x v="3"/>
    <s v="SKF Eurotrade AB"/>
    <n v="92.4"/>
    <n v="5"/>
    <n v="5"/>
    <n v="0"/>
    <x v="0"/>
    <x v="4"/>
  </r>
  <r>
    <n v="1000102600"/>
    <s v="Weidmuller Items; LIR2,5M3 V"/>
    <x v="3"/>
    <s v="Weidmuller Middle East (FZE)"/>
    <n v="92.39"/>
    <n v="180"/>
    <n v="180"/>
    <n v="0"/>
    <x v="0"/>
    <x v="3"/>
  </r>
  <r>
    <n v="1000020007"/>
    <s v="SKF BEARING - 6303"/>
    <x v="3"/>
    <s v="SKF Eurotrade AB"/>
    <n v="92.2173913043478"/>
    <n v="14"/>
    <n v="14"/>
    <n v="0"/>
    <x v="0"/>
    <x v="4"/>
  </r>
  <r>
    <n v="1000020377"/>
    <s v="SKF BEARING - 61901-2RS1"/>
    <x v="3"/>
    <s v="SKF Eurotrade AB"/>
    <n v="92.2"/>
    <n v="5"/>
    <n v="5"/>
    <n v="0"/>
    <x v="0"/>
    <x v="4"/>
  </r>
  <r>
    <n v="1000101100"/>
    <s v="Weidmuller; Mainboard; Model No: PJ ADV EL 3"/>
    <x v="3"/>
    <s v="Weidmuller Saudi Arabia Factory LLC"/>
    <n v="92.18"/>
    <n v="1"/>
    <n v="1"/>
    <n v="0"/>
    <x v="0"/>
    <x v="3"/>
  </r>
  <r>
    <n v="1000093562"/>
    <s v="Weidmuller; Model No. HDC HEE 32 MC; Descript"/>
    <x v="3"/>
    <s v="Weidmuller Middle East (FZE)"/>
    <n v="91.941821759999996"/>
    <n v="2"/>
    <n v="2"/>
    <n v="0"/>
    <x v="0"/>
    <x v="3"/>
  </r>
  <r>
    <n v="1000103238"/>
    <s v="Weidmuller Product; SAK HP4ADP3 P/N:048586000"/>
    <x v="3"/>
    <s v="Weidmuller Middle East (FZE)"/>
    <n v="91.84"/>
    <n v="20"/>
    <n v="20"/>
    <n v="0"/>
    <x v="0"/>
    <x v="3"/>
  </r>
  <r>
    <n v="1000097610"/>
    <s v="FIXING SCREW FOR DKSUE;P/N:WDM#0296700000"/>
    <x v="3"/>
    <s v="Weidmuller Middle East (FZE)"/>
    <n v="91.8"/>
    <n v="500"/>
    <n v="500"/>
    <n v="0"/>
    <x v="0"/>
    <x v="3"/>
  </r>
  <r>
    <n v="1000101148"/>
    <s v="Weidmuller; Incremental Strip; Model No: PJ A"/>
    <x v="3"/>
    <s v="Weidmuller Saudi Arabia Factory LLC"/>
    <n v="91.2"/>
    <n v="2"/>
    <n v="2"/>
    <n v="0"/>
    <x v="0"/>
    <x v="3"/>
  </r>
  <r>
    <n v="1000095838"/>
    <s v="Weidmueller,Product:1019700000,Part No: WPE 1"/>
    <x v="3"/>
    <s v="Weidmuller Middle East (FZE)"/>
    <n v="91.048297096188705"/>
    <n v="1"/>
    <n v="1"/>
    <n v="0"/>
    <x v="0"/>
    <x v="3"/>
  </r>
  <r>
    <n v="1000021163"/>
    <s v="SKF BEARING - 2200 E-2RS1TN9"/>
    <x v="3"/>
    <s v="SKF Eurotrade AB"/>
    <n v="90.46"/>
    <n v="2"/>
    <n v="2"/>
    <n v="0"/>
    <x v="0"/>
    <x v="4"/>
  </r>
  <r>
    <n v="2500008380"/>
    <s v="PIPE MPV TO COOLER P N 15401649"/>
    <x v="0"/>
    <s v="ELGI Gulf FZE"/>
    <n v="90.12"/>
    <n v="1"/>
    <n v="1"/>
    <n v="0"/>
    <x v="0"/>
    <x v="0"/>
  </r>
  <r>
    <n v="2500009407"/>
    <s v="DESCRIPTION : OIL SEAL_130X160X12 | Part No: "/>
    <x v="0"/>
    <s v="PARANTHAMAN EXPORTERS"/>
    <n v="90"/>
    <n v="8"/>
    <n v="8"/>
    <n v="0"/>
    <x v="0"/>
    <x v="0"/>
  </r>
  <r>
    <n v="2500009415"/>
    <s v="DESCRIPTION : OIL SEAL_130X160X12 | Part No: "/>
    <x v="0"/>
    <s v="PARANTHAMAN EXPORTERS"/>
    <n v="90"/>
    <n v="8"/>
    <n v="8"/>
    <n v="0"/>
    <x v="0"/>
    <x v="0"/>
  </r>
  <r>
    <n v="1000095900"/>
    <s v="SKF Product,Part No: H 216"/>
    <x v="3"/>
    <s v="SKF Eurotrade AB"/>
    <n v="89.59"/>
    <n v="1"/>
    <n v="1"/>
    <n v="0"/>
    <x v="0"/>
    <x v="4"/>
  </r>
  <r>
    <n v="1000020396"/>
    <s v="SKF BEARING - 61913/C3"/>
    <x v="3"/>
    <s v="SKF Eurotrade AB"/>
    <n v="88.04"/>
    <n v="1"/>
    <n v="1"/>
    <n v="0"/>
    <x v="0"/>
    <x v="4"/>
  </r>
  <r>
    <n v="1000108046"/>
    <s v="Weidmuller Product; WDU 2.5 SW; P/N: 10200100"/>
    <x v="3"/>
    <s v="Weidmuller Middle East (FZE)"/>
    <n v="87.676666666666605"/>
    <n v="50"/>
    <n v="50"/>
    <n v="0"/>
    <x v="0"/>
    <x v="3"/>
  </r>
  <r>
    <n v="1000100325"/>
    <s v="SKF Product 1308 ETN9"/>
    <x v="3"/>
    <s v="SKF Eurotrade AB"/>
    <n v="87.5625"/>
    <n v="1"/>
    <n v="1"/>
    <n v="0"/>
    <x v="0"/>
    <x v="4"/>
  </r>
  <r>
    <n v="1000098584"/>
    <s v="SKF BEARING -6307-2RS1/C3GJN"/>
    <x v="3"/>
    <s v="SKF Eurotrade AB"/>
    <n v="87.34"/>
    <n v="2"/>
    <n v="2"/>
    <n v="0"/>
    <x v="0"/>
    <x v="4"/>
  </r>
  <r>
    <n v="1000093026"/>
    <s v="SKF V-RING   Model No. 32 VA R"/>
    <x v="3"/>
    <s v="SKF Eurotrade AB"/>
    <n v="87.08"/>
    <n v="25"/>
    <n v="25"/>
    <n v="0"/>
    <x v="0"/>
    <x v="4"/>
  </r>
  <r>
    <n v="1000105909"/>
    <s v="Weidmuller Product; TRZ 24VDC 1CO; P/N:112288"/>
    <x v="3"/>
    <s v="Weidmuller Middle East (FZE)"/>
    <n v="86.6115921090733"/>
    <n v="5"/>
    <n v="5"/>
    <n v="0"/>
    <x v="0"/>
    <x v="3"/>
  </r>
  <r>
    <n v="1000021165"/>
    <s v="SKF BEARING - 2203 ETN9"/>
    <x v="3"/>
    <s v="SKF Eurotrade AB"/>
    <n v="86.24"/>
    <n v="2"/>
    <n v="2"/>
    <n v="0"/>
    <x v="0"/>
    <x v="4"/>
  </r>
  <r>
    <n v="2500001185"/>
    <s v="OIL FILTER KIT 10 MICRONS PN 10440229"/>
    <x v="0"/>
    <s v="ELGI Gulf FZE"/>
    <n v="85.394943819199995"/>
    <n v="2"/>
    <n v="2"/>
    <n v="0"/>
    <x v="0"/>
    <x v="0"/>
  </r>
  <r>
    <n v="1000093561"/>
    <s v="Weidmuller; Model No. HDC 40D TOBU 1M32G; Des"/>
    <x v="3"/>
    <s v="Weidmuller Middle East (FZE)"/>
    <n v="85.19"/>
    <n v="2"/>
    <n v="2"/>
    <n v="0"/>
    <x v="0"/>
    <x v="3"/>
  </r>
  <r>
    <n v="1000020349"/>
    <s v="SKF BEARING - 61805-2RS1"/>
    <x v="3"/>
    <s v="SKF Eurotrade AB"/>
    <n v="85.11"/>
    <n v="3"/>
    <n v="3"/>
    <n v="0"/>
    <x v="0"/>
    <x v="4"/>
  </r>
  <r>
    <n v="1000020215"/>
    <s v="SKF BEARING - 4210 ATN9"/>
    <x v="3"/>
    <s v="SKF Eurotrade AB"/>
    <n v="85.08"/>
    <n v="1"/>
    <n v="1"/>
    <n v="0"/>
    <x v="0"/>
    <x v="4"/>
  </r>
  <r>
    <n v="1000020660"/>
    <s v="SKF BEARING - 6308-2Z/C3HT"/>
    <x v="3"/>
    <s v="SKF Eurotrade AB"/>
    <n v="84.68"/>
    <n v="2"/>
    <n v="2"/>
    <n v="0"/>
    <x v="0"/>
    <x v="4"/>
  </r>
  <r>
    <n v="1000100308"/>
    <s v="SKF Product SY 510 M"/>
    <x v="3"/>
    <s v="SKF Eurotrade AB"/>
    <n v="84.6"/>
    <n v="2"/>
    <n v="2"/>
    <n v="0"/>
    <x v="0"/>
    <x v="4"/>
  </r>
  <r>
    <n v="1000099381"/>
    <s v="SKF WASHER - W 15"/>
    <x v="3"/>
    <s v="SKF Eurotrade AB"/>
    <n v="84.42"/>
    <n v="7"/>
    <n v="7"/>
    <n v="0"/>
    <x v="0"/>
    <x v="4"/>
  </r>
  <r>
    <n v="2300010064"/>
    <s v="&quot;MATL: 1000147256, NUT,HEXAGON;3/8 IN,16TPI,S"/>
    <x v="1"/>
    <s v="SPX MIDDLE EAST FZE"/>
    <n v="84.373333333333306"/>
    <n v="4"/>
    <n v="4"/>
    <n v="0"/>
    <x v="0"/>
    <x v="1"/>
  </r>
  <r>
    <n v="1000020646"/>
    <s v="SKF BEARING - 6307 NR"/>
    <x v="3"/>
    <s v="SKF Eurotrade AB"/>
    <n v="84.34"/>
    <n v="2"/>
    <n v="2"/>
    <n v="0"/>
    <x v="0"/>
    <x v="4"/>
  </r>
  <r>
    <n v="1000101704"/>
    <s v="Weidmuller Product; Model:WF 6/2BZ;  P/N:1789"/>
    <x v="3"/>
    <s v="Weidmuller Middle East (FZE)"/>
    <n v="84.23"/>
    <n v="5"/>
    <n v="5"/>
    <n v="0"/>
    <x v="0"/>
    <x v="3"/>
  </r>
  <r>
    <n v="1000104019"/>
    <s v="Weidmuller Product; WS 12/8 PLUS MC NE WS; P/"/>
    <x v="3"/>
    <s v="Weidmuller Middle East (FZE)"/>
    <n v="84.132790296228094"/>
    <n v="440"/>
    <n v="440"/>
    <n v="0"/>
    <x v="0"/>
    <x v="3"/>
  </r>
  <r>
    <n v="1000107156"/>
    <s v="SKF Product; 45X60X10 HMSA10 RG"/>
    <x v="3"/>
    <s v="SKF Eurotrade AB"/>
    <n v="84"/>
    <n v="20"/>
    <n v="20"/>
    <n v="0"/>
    <x v="0"/>
    <x v="4"/>
  </r>
  <r>
    <n v="1000020166"/>
    <s v="SKF BEARING - 32007 J2/Q"/>
    <x v="3"/>
    <s v="SKF Eurotrade AB"/>
    <n v="83.64"/>
    <n v="2"/>
    <n v="2"/>
    <n v="0"/>
    <x v="0"/>
    <x v="4"/>
  </r>
  <r>
    <n v="1000020386"/>
    <s v="SKF BEARING - 61905-2RZ"/>
    <x v="3"/>
    <s v="SKF Eurotrade AB"/>
    <n v="83.05"/>
    <n v="5"/>
    <n v="5"/>
    <n v="0"/>
    <x v="0"/>
    <x v="4"/>
  </r>
  <r>
    <n v="1000020072"/>
    <s v="SKF BEARING - 6207-2Z/HT"/>
    <x v="3"/>
    <s v="SKF Eurotrade AB"/>
    <n v="82.795000000000002"/>
    <n v="3"/>
    <n v="3"/>
    <n v="0"/>
    <x v="0"/>
    <x v="4"/>
  </r>
  <r>
    <n v="1000020912"/>
    <s v="SKF BEARING - NJ 2206 ECP/C3"/>
    <x v="3"/>
    <s v="SKF Eurotrade AB"/>
    <n v="82.4"/>
    <n v="1"/>
    <n v="1"/>
    <n v="0"/>
    <x v="0"/>
    <x v="4"/>
  </r>
  <r>
    <n v="1000020043"/>
    <s v="SKF BEARING - 1210 EKTN9/C3"/>
    <x v="3"/>
    <s v="SKF Eurotrade AB"/>
    <n v="81.963333333333296"/>
    <n v="1"/>
    <n v="1"/>
    <n v="0"/>
    <x v="0"/>
    <x v="4"/>
  </r>
  <r>
    <n v="1000020757"/>
    <s v="SKF BEARING - 6403"/>
    <x v="3"/>
    <s v="SKF Eurotrade AB"/>
    <n v="81.599999999999994"/>
    <n v="2"/>
    <n v="2"/>
    <n v="0"/>
    <x v="0"/>
    <x v="4"/>
  </r>
  <r>
    <n v="1000109991"/>
    <s v="W2C 4 FT Feed-through terminal block PN:28926"/>
    <x v="3"/>
    <s v="Weidmuller Middle East (FZE)"/>
    <n v="81.400000000000006"/>
    <n v="50"/>
    <n v="50"/>
    <n v="0"/>
    <x v="0"/>
    <x v="3"/>
  </r>
  <r>
    <n v="1000109992"/>
    <s v="W2C 4 FT BK Feed-through terminal block PN:28"/>
    <x v="3"/>
    <s v="Weidmuller Middle East (FZE)"/>
    <n v="81.400000000000006"/>
    <n v="50"/>
    <n v="50"/>
    <n v="0"/>
    <x v="0"/>
    <x v="3"/>
  </r>
  <r>
    <n v="1000020689"/>
    <s v="SKF BEARING - 6311/C4"/>
    <x v="3"/>
    <s v="SKF Eurotrade AB"/>
    <n v="80.680000000000007"/>
    <n v="1"/>
    <n v="1"/>
    <n v="0"/>
    <x v="0"/>
    <x v="4"/>
  </r>
  <r>
    <n v="1000101149"/>
    <s v="Weidmuller; Ind Dike; Model No: PJ ADV TNAW 2"/>
    <x v="3"/>
    <s v="Weidmuller Saudi Arabia Factory LLC"/>
    <n v="80.510000000000005"/>
    <n v="1"/>
    <n v="1"/>
    <n v="0"/>
    <x v="0"/>
    <x v="3"/>
  </r>
  <r>
    <n v="2500008147"/>
    <s v="CABLE SET CONTROL MDL 300/100 PN 35302579"/>
    <x v="0"/>
    <s v="ELGI Gulf FZE"/>
    <n v="80.34"/>
    <n v="2"/>
    <n v="2"/>
    <n v="0"/>
    <x v="0"/>
    <x v="0"/>
  </r>
  <r>
    <n v="1000020250"/>
    <s v="SKF BEARING - 6005-2Z"/>
    <x v="3"/>
    <s v="SKF Eurotrade AB"/>
    <n v="79.900000000000006"/>
    <n v="10"/>
    <n v="10"/>
    <n v="0"/>
    <x v="0"/>
    <x v="4"/>
  </r>
  <r>
    <n v="1000106343"/>
    <s v="Weidmuller Product; LL 5.00/03/90 3.2SN OR BX"/>
    <x v="3"/>
    <s v="Weidmuller Middle East (FZE)"/>
    <n v="79.704800000000006"/>
    <n v="14"/>
    <n v="14"/>
    <n v="0"/>
    <x v="0"/>
    <x v="3"/>
  </r>
  <r>
    <n v="1000020357"/>
    <s v="SKF BEARING - 61810-2RZ"/>
    <x v="3"/>
    <s v="SKF Eurotrade AB"/>
    <n v="77.97"/>
    <n v="1"/>
    <n v="1"/>
    <n v="0"/>
    <x v="0"/>
    <x v="4"/>
  </r>
  <r>
    <n v="1000099507"/>
    <s v="SKF BEARING -6207-2RS1K"/>
    <x v="3"/>
    <s v="SKF Eurotrade AB"/>
    <n v="76.69"/>
    <n v="1"/>
    <n v="1"/>
    <n v="0"/>
    <x v="0"/>
    <x v="4"/>
  </r>
  <r>
    <n v="1000020887"/>
    <s v="SKF BEARING - NJ 205 ECJ"/>
    <x v="3"/>
    <s v="SKF Eurotrade AB"/>
    <n v="76.31"/>
    <n v="1"/>
    <n v="1"/>
    <n v="0"/>
    <x v="0"/>
    <x v="4"/>
  </r>
  <r>
    <n v="1000020950"/>
    <s v="SKF BEARING - NJ 306 ECP"/>
    <x v="3"/>
    <s v="SKF Eurotrade AB"/>
    <n v="76.31"/>
    <n v="1"/>
    <n v="1"/>
    <n v="0"/>
    <x v="0"/>
    <x v="4"/>
  </r>
  <r>
    <n v="1000093782"/>
    <s v="SKF BEARING NUT : Model No. KM 13"/>
    <x v="3"/>
    <s v="SKF Eurotrade AB"/>
    <n v="76.034045652773003"/>
    <n v="3"/>
    <n v="3"/>
    <n v="0"/>
    <x v="0"/>
    <x v="4"/>
  </r>
  <r>
    <n v="1000020344"/>
    <s v="SKF BEARING - 61800-2Z"/>
    <x v="3"/>
    <s v="SKF Eurotrade AB"/>
    <n v="75.7"/>
    <n v="5"/>
    <n v="5"/>
    <n v="0"/>
    <x v="0"/>
    <x v="4"/>
  </r>
  <r>
    <n v="1000020246"/>
    <s v="SKF BEARING - 6004-2ZNR"/>
    <x v="3"/>
    <s v="SKF Eurotrade AB"/>
    <n v="75.5"/>
    <n v="5"/>
    <n v="5"/>
    <n v="0"/>
    <x v="0"/>
    <x v="4"/>
  </r>
  <r>
    <n v="1000098736"/>
    <s v="SKF BEARING -YEL 205-2F"/>
    <x v="3"/>
    <s v="SKF Eurotrade AB"/>
    <n v="75.13"/>
    <n v="2"/>
    <n v="2"/>
    <n v="0"/>
    <x v="0"/>
    <x v="4"/>
  </r>
  <r>
    <n v="1000020430"/>
    <s v="SKF BEARING - 6205 NR"/>
    <x v="3"/>
    <s v="SKF Eurotrade AB"/>
    <n v="74.760000000000005"/>
    <n v="4"/>
    <n v="4"/>
    <n v="0"/>
    <x v="0"/>
    <x v="4"/>
  </r>
  <r>
    <n v="1000020565"/>
    <s v="SKF BEARING - 62209-2RS1"/>
    <x v="3"/>
    <s v="SKF Eurotrade AB"/>
    <n v="74.06"/>
    <n v="1"/>
    <n v="1"/>
    <n v="0"/>
    <x v="0"/>
    <x v="4"/>
  </r>
  <r>
    <n v="1000020383"/>
    <s v="SKF BEARING - 61904-2RS1"/>
    <x v="3"/>
    <s v="SKF Eurotrade AB"/>
    <n v="74.040000000000006"/>
    <n v="3"/>
    <n v="3"/>
    <n v="0"/>
    <x v="0"/>
    <x v="4"/>
  </r>
  <r>
    <n v="1000020375"/>
    <s v="SKF BEARING - 61900-2RS1"/>
    <x v="3"/>
    <s v="SKF Eurotrade AB"/>
    <n v="73.900000000000006"/>
    <n v="5"/>
    <n v="5"/>
    <n v="0"/>
    <x v="0"/>
    <x v="4"/>
  </r>
  <r>
    <n v="1000110981"/>
    <s v="SKF PRODUCT 50 VS V"/>
    <x v="3"/>
    <s v="SKF Eurotrade AB"/>
    <n v="73.650000000000006"/>
    <n v="2"/>
    <n v="2"/>
    <n v="0"/>
    <x v="0"/>
    <x v="4"/>
  </r>
  <r>
    <n v="1000021393"/>
    <s v="SKF BEARING - SY 507M"/>
    <x v="3"/>
    <s v="SKF Eurotrade AB"/>
    <n v="73.459999999999994"/>
    <n v="2"/>
    <n v="2"/>
    <n v="0"/>
    <x v="0"/>
    <x v="4"/>
  </r>
  <r>
    <n v="1000020605"/>
    <s v="SKF BEARING - 63004-2RS1"/>
    <x v="3"/>
    <s v="SKF Eurotrade AB"/>
    <n v="73.36"/>
    <n v="4"/>
    <n v="4"/>
    <n v="0"/>
    <x v="0"/>
    <x v="4"/>
  </r>
  <r>
    <n v="1000020392"/>
    <s v="SKF BEARING - 61909-2RS1"/>
    <x v="3"/>
    <s v="SKF Eurotrade AB"/>
    <n v="73.040000000000006"/>
    <n v="1"/>
    <n v="1"/>
    <n v="0"/>
    <x v="0"/>
    <x v="4"/>
  </r>
  <r>
    <n v="1000020633"/>
    <s v="SKF BEARING - 6305-Z"/>
    <x v="3"/>
    <s v="SKF Eurotrade AB"/>
    <n v="72.535384615384601"/>
    <n v="4"/>
    <n v="4"/>
    <n v="0"/>
    <x v="0"/>
    <x v="4"/>
  </r>
  <r>
    <n v="1000020890"/>
    <s v="SKF BEARING - NJ 207 ECP/C3"/>
    <x v="3"/>
    <s v="SKF Eurotrade AB"/>
    <n v="72.23"/>
    <n v="1"/>
    <n v="1"/>
    <n v="0"/>
    <x v="0"/>
    <x v="4"/>
  </r>
  <r>
    <n v="1000021381"/>
    <s v="SKF BEARING - W 16"/>
    <x v="3"/>
    <s v="SKF Eurotrade AB"/>
    <n v="72.114000000000004"/>
    <n v="3"/>
    <n v="3"/>
    <n v="0"/>
    <x v="0"/>
    <x v="4"/>
  </r>
  <r>
    <n v="1000020390"/>
    <s v="SKF BEARING - 61908-2RS1"/>
    <x v="3"/>
    <s v="SKF Eurotrade AB"/>
    <n v="72.05"/>
    <n v="1"/>
    <n v="1"/>
    <n v="0"/>
    <x v="0"/>
    <x v="4"/>
  </r>
  <r>
    <n v="1000021174"/>
    <s v="SKF BEARING - 2207 E-2RS1KTN9/C3"/>
    <x v="3"/>
    <s v="SKF Eurotrade AB"/>
    <n v="71.91"/>
    <n v="1"/>
    <n v="1"/>
    <n v="0"/>
    <x v="0"/>
    <x v="4"/>
  </r>
  <r>
    <n v="1000020024"/>
    <s v="SKF BEARING - SY 30 FM"/>
    <x v="3"/>
    <s v="SKF Eurotrade AB"/>
    <n v="71.474999999999994"/>
    <n v="1"/>
    <n v="1"/>
    <n v="0"/>
    <x v="0"/>
    <x v="4"/>
  </r>
  <r>
    <n v="1000093977"/>
    <s v="SKF BEARINGS - Model No. TSN 509 L"/>
    <x v="3"/>
    <s v="SKF Eurotrade AB"/>
    <n v="71.311999999999998"/>
    <n v="4"/>
    <n v="4"/>
    <n v="0"/>
    <x v="4"/>
    <x v="4"/>
  </r>
  <r>
    <n v="1000021368"/>
    <s v="SKF BEARING - FRB 12/180"/>
    <x v="3"/>
    <s v="SKF Eurotrade AB"/>
    <n v="71.099999999999994"/>
    <n v="3"/>
    <n v="3"/>
    <n v="0"/>
    <x v="0"/>
    <x v="4"/>
  </r>
  <r>
    <n v="1000105722"/>
    <s v="Weidmuller Product; WEP 2C 4; P/N: 2894210000"/>
    <x v="3"/>
    <s v="Weidmuller Middle East (FZE)"/>
    <n v="70.204392989690703"/>
    <n v="123"/>
    <n v="123"/>
    <n v="0"/>
    <x v="0"/>
    <x v="3"/>
  </r>
  <r>
    <n v="1000020595"/>
    <s v="SKF BEARING - 627-2Z"/>
    <x v="3"/>
    <s v="SKF Eurotrade AB"/>
    <n v="68.7"/>
    <n v="15"/>
    <n v="15"/>
    <n v="0"/>
    <x v="0"/>
    <x v="4"/>
  </r>
  <r>
    <n v="1000098583"/>
    <s v="SKF BEARING -6306-2Z/C4WT"/>
    <x v="3"/>
    <s v="SKF Eurotrade AB"/>
    <n v="68.688000000000002"/>
    <n v="2"/>
    <n v="2"/>
    <n v="0"/>
    <x v="0"/>
    <x v="4"/>
  </r>
  <r>
    <n v="1000020376"/>
    <s v="SKF BEARING - 61900-2Z"/>
    <x v="3"/>
    <s v="SKF Eurotrade AB"/>
    <n v="68.650000000000006"/>
    <n v="5"/>
    <n v="5"/>
    <n v="0"/>
    <x v="0"/>
    <x v="4"/>
  </r>
  <r>
    <n v="1000020356"/>
    <s v="SKF BEARING - 61809-2RZ"/>
    <x v="3"/>
    <s v="SKF Eurotrade AB"/>
    <n v="68.5"/>
    <n v="1"/>
    <n v="1"/>
    <n v="0"/>
    <x v="0"/>
    <x v="4"/>
  </r>
  <r>
    <n v="1000093983"/>
    <s v="SKF BEARINGS - Model No. 6208-2RS1"/>
    <x v="3"/>
    <s v="SKF Eurotrade AB"/>
    <n v="68.424857142857107"/>
    <n v="3"/>
    <n v="3"/>
    <n v="0"/>
    <x v="0"/>
    <x v="4"/>
  </r>
  <r>
    <n v="2500008892"/>
    <s v="PRE FILTER EG200-250 P/N-B016306250001"/>
    <x v="0"/>
    <s v="ELGI Gulf FZE"/>
    <n v="67.5"/>
    <n v="4"/>
    <n v="4"/>
    <n v="0"/>
    <x v="0"/>
    <x v="0"/>
  </r>
  <r>
    <n v="1000098082"/>
    <s v="SKF LOCKNUT -KM 7"/>
    <x v="3"/>
    <s v="SKF Eurotrade AB"/>
    <n v="67.263999999999996"/>
    <n v="4"/>
    <n v="4"/>
    <n v="0"/>
    <x v="0"/>
    <x v="4"/>
  </r>
  <r>
    <n v="1000096882"/>
    <s v="Weidmueller,Product2557070000;EF 10 54 GY"/>
    <x v="3"/>
    <s v="Weidmuller Middle East (FZE)"/>
    <n v="66.73"/>
    <n v="2"/>
    <n v="2"/>
    <n v="0"/>
    <x v="0"/>
    <x v="3"/>
  </r>
  <r>
    <n v="1000102217"/>
    <s v="SKF BEARINGS -  6206-2Z/C3WT"/>
    <x v="3"/>
    <s v="SKF Eurotrade AB"/>
    <n v="66.23"/>
    <n v="2"/>
    <n v="2"/>
    <n v="0"/>
    <x v="0"/>
    <x v="4"/>
  </r>
  <r>
    <n v="1000020948"/>
    <s v="SKF BEARING - NJ 305 ECP"/>
    <x v="3"/>
    <s v="SKF Eurotrade AB"/>
    <n v="66.14"/>
    <n v="1"/>
    <n v="1"/>
    <n v="0"/>
    <x v="0"/>
    <x v="4"/>
  </r>
  <r>
    <n v="1000020058"/>
    <s v="SKF BEARING - N 08"/>
    <x v="3"/>
    <s v="SKF Eurotrade AB"/>
    <n v="66.03"/>
    <n v="3"/>
    <n v="3"/>
    <n v="0"/>
    <x v="0"/>
    <x v="4"/>
  </r>
  <r>
    <n v="1000110028"/>
    <s v="DEK 5 GW ERDE Dekafix, Terminal marker PN:057"/>
    <x v="3"/>
    <s v="Weidmuller Middle East (FZE)"/>
    <n v="66"/>
    <n v="500"/>
    <n v="500"/>
    <n v="0"/>
    <x v="0"/>
    <x v="3"/>
  </r>
  <r>
    <n v="1000110026"/>
    <s v="DEK 5 GW L Dekafix, Terminal marker PN:052276"/>
    <x v="3"/>
    <s v="Weidmuller Middle East (FZE)"/>
    <n v="66"/>
    <n v="500"/>
    <n v="500"/>
    <n v="0"/>
    <x v="0"/>
    <x v="3"/>
  </r>
  <r>
    <n v="1000110029"/>
    <s v="DEK 5 GW S Dekafix, Terminal marker PN:052276"/>
    <x v="3"/>
    <s v="Weidmuller Middle East (FZE)"/>
    <n v="66"/>
    <n v="500"/>
    <n v="500"/>
    <n v="0"/>
    <x v="0"/>
    <x v="3"/>
  </r>
  <r>
    <n v="1000110027"/>
    <s v="DEK 5 GW N Dekafix, Terminal marker PN:052276"/>
    <x v="3"/>
    <s v="Weidmuller Middle East (FZE)"/>
    <n v="66"/>
    <n v="500"/>
    <n v="500"/>
    <n v="0"/>
    <x v="0"/>
    <x v="3"/>
  </r>
  <r>
    <n v="1000102283"/>
    <s v="Weidmuller; Model No. WSI 25/2  CC; PN:196604"/>
    <x v="3"/>
    <s v="Weidmuller Middle East (FZE)"/>
    <n v="65.97"/>
    <n v="2"/>
    <n v="2"/>
    <n v="0"/>
    <x v="0"/>
    <x v="3"/>
  </r>
  <r>
    <n v="1000020270"/>
    <s v="SKF BEARING - 6009-2RS1"/>
    <x v="3"/>
    <s v="SKF Eurotrade AB"/>
    <n v="65.58"/>
    <n v="3"/>
    <n v="3"/>
    <n v="0"/>
    <x v="0"/>
    <x v="4"/>
  </r>
  <r>
    <n v="1000020491"/>
    <s v="SKF BEARING - 6211-2Z"/>
    <x v="3"/>
    <s v="Universal Bearings Company"/>
    <n v="65.184090909090898"/>
    <n v="1"/>
    <n v="1"/>
    <n v="0"/>
    <x v="0"/>
    <x v="4"/>
  </r>
  <r>
    <n v="2500008257"/>
    <s v="SWITCH REVERSE ROTATION PN 8941151"/>
    <x v="0"/>
    <s v="ELGI Gulf FZE"/>
    <n v="64.8"/>
    <n v="1"/>
    <n v="1"/>
    <n v="0"/>
    <x v="0"/>
    <x v="0"/>
  </r>
  <r>
    <n v="1000020691"/>
    <s v="SKF BEARING - 6311-2Z"/>
    <x v="3"/>
    <s v="SKF Eurotrade AB"/>
    <n v="64.708571428571403"/>
    <n v="1"/>
    <n v="1"/>
    <n v="0"/>
    <x v="0"/>
    <x v="4"/>
  </r>
  <r>
    <n v="1000105233"/>
    <s v="Weidmuller; AP VSSC4; P/N:1063120000"/>
    <x v="3"/>
    <s v="Weidmuller Middle East (FZE)"/>
    <n v="64.290000000000006"/>
    <n v="49"/>
    <n v="49"/>
    <n v="0"/>
    <x v="0"/>
    <x v="3"/>
  </r>
  <r>
    <n v="1000103212"/>
    <s v="SKF Product; 6002-2RSL"/>
    <x v="3"/>
    <s v="SKF Eurotrade AB"/>
    <n v="64.064999999999998"/>
    <n v="5"/>
    <n v="5"/>
    <n v="0"/>
    <x v="0"/>
    <x v="4"/>
  </r>
  <r>
    <n v="1000098649"/>
    <s v="SKF BEARING -K 81106 TN"/>
    <x v="3"/>
    <s v="SKF Eurotrade AB"/>
    <n v="63.67"/>
    <n v="2"/>
    <n v="2"/>
    <n v="0"/>
    <x v="0"/>
    <x v="4"/>
  </r>
  <r>
    <n v="1000020624"/>
    <s v="SKF BEARING - 6304-RSH"/>
    <x v="3"/>
    <s v="SKF Eurotrade AB"/>
    <n v="62.08"/>
    <n v="4"/>
    <n v="4"/>
    <n v="0"/>
    <x v="0"/>
    <x v="4"/>
  </r>
  <r>
    <n v="1000020059"/>
    <s v="SKF BEARING - W 06"/>
    <x v="3"/>
    <s v="SKF Eurotrade AB"/>
    <n v="62.061999999999998"/>
    <n v="7"/>
    <n v="7"/>
    <n v="0"/>
    <x v="0"/>
    <x v="4"/>
  </r>
  <r>
    <n v="1000020664"/>
    <s v="SKF BEARING - 6309 2ZJEM"/>
    <x v="3"/>
    <s v="SKF Eurotrade AB"/>
    <n v="61.88"/>
    <n v="1"/>
    <n v="1"/>
    <n v="0"/>
    <x v="0"/>
    <x v="4"/>
  </r>
  <r>
    <n v="1000020659"/>
    <s v="SKF BEARING - 6308-2Z/C3GJN"/>
    <x v="3"/>
    <s v="SKF Eurotrade AB"/>
    <n v="61.46"/>
    <n v="1"/>
    <n v="1"/>
    <n v="0"/>
    <x v="0"/>
    <x v="4"/>
  </r>
  <r>
    <n v="2500008143"/>
    <s v="PRESSURE GAUGE 0-16 Kg/cm2 MD PG400/150 PN B0"/>
    <x v="0"/>
    <s v="ELGI Gulf FZE"/>
    <n v="60.56"/>
    <n v="1"/>
    <n v="1"/>
    <n v="0"/>
    <x v="0"/>
    <x v="0"/>
  </r>
  <r>
    <n v="2500008369"/>
    <s v="OIL INLET PIPE P N 35400845"/>
    <x v="0"/>
    <s v="ELGI Gulf FZE"/>
    <n v="60.08"/>
    <n v="2"/>
    <n v="2"/>
    <n v="0"/>
    <x v="0"/>
    <x v="0"/>
  </r>
  <r>
    <n v="1000020946"/>
    <s v="SKF BEARING - NJ 304 ECP"/>
    <x v="3"/>
    <s v="SKF Eurotrade AB"/>
    <n v="60.02"/>
    <n v="1"/>
    <n v="1"/>
    <n v="0"/>
    <x v="0"/>
    <x v="4"/>
  </r>
  <r>
    <n v="2500009339"/>
    <s v="DESCRIPTION : SUCTION STRAINER SMALL| Part no"/>
    <x v="0"/>
    <s v="PARANTHAMAN EXPORTERS"/>
    <n v="60"/>
    <n v="2"/>
    <n v="2"/>
    <n v="0"/>
    <x v="0"/>
    <x v="0"/>
  </r>
  <r>
    <n v="2500008600"/>
    <s v="OIL ELGI AIRLUBE RAC 1 Ltr, 998044"/>
    <x v="0"/>
    <s v="ELGI Gulf FZE"/>
    <n v="60"/>
    <n v="4"/>
    <n v="4"/>
    <n v="0"/>
    <x v="0"/>
    <x v="0"/>
  </r>
  <r>
    <n v="1000099659"/>
    <s v="Weidmuller; Terminal Block; Model No. WAH 185"/>
    <x v="3"/>
    <s v="Weidmuller Middle East (FZE)"/>
    <n v="59.972727272727198"/>
    <n v="10"/>
    <n v="10"/>
    <n v="0"/>
    <x v="0"/>
    <x v="3"/>
  </r>
  <r>
    <n v="1000020052"/>
    <s v="SKF BEARING - PCM 353920 E"/>
    <x v="3"/>
    <s v="SKF Eurotrade AB"/>
    <n v="59.76"/>
    <n v="10"/>
    <n v="10"/>
    <n v="0"/>
    <x v="0"/>
    <x v="4"/>
  </r>
  <r>
    <n v="1000096783"/>
    <s v="Fuse Low Voltage;A1113EF"/>
    <x v="5"/>
    <s v="Yokogawa Middle East &amp; Africa B.S.C. Â©"/>
    <n v="59.633333333333297"/>
    <n v="3"/>
    <n v="3"/>
    <n v="0"/>
    <x v="0"/>
    <x v="6"/>
  </r>
  <r>
    <n v="1000093332"/>
    <s v="SKF BEARING - PCM 404430 M"/>
    <x v="3"/>
    <s v="SKF Eurotrade AB"/>
    <n v="59.3"/>
    <n v="7"/>
    <n v="7"/>
    <n v="0"/>
    <x v="0"/>
    <x v="4"/>
  </r>
  <r>
    <n v="1000020013"/>
    <s v="SKF BEARING - 6202"/>
    <x v="3"/>
    <s v="SKF Eurotrade AB"/>
    <n v="59.292749999999998"/>
    <n v="11"/>
    <n v="11"/>
    <n v="0"/>
    <x v="0"/>
    <x v="4"/>
  </r>
  <r>
    <n v="1000096799"/>
    <s v="2562070000;WFS 4; FUSE TB 4sqmm with LED"/>
    <x v="3"/>
    <s v="Weidmuller Middle East (FZE)"/>
    <n v="59.086273970925703"/>
    <n v="7"/>
    <n v="7"/>
    <n v="0"/>
    <x v="0"/>
    <x v="3"/>
  </r>
  <r>
    <n v="2100006471"/>
    <s v="SCREW, M6X20, A 2-70| P/N-BL100234"/>
    <x v="2"/>
    <s v="SPX MIDDLE EAST FZE"/>
    <n v="58.87"/>
    <n v="12"/>
    <n v="12"/>
    <n v="0"/>
    <x v="0"/>
    <x v="1"/>
  </r>
  <r>
    <n v="1000101361"/>
    <s v="Weidmuller; Model No:WSI 4/LD 10-36V AC/DC;  "/>
    <x v="3"/>
    <s v="Weidmuller Middle East (FZE)"/>
    <n v="58.253279999999997"/>
    <n v="6"/>
    <n v="6"/>
    <n v="0"/>
    <x v="0"/>
    <x v="3"/>
  </r>
  <r>
    <n v="1000102430"/>
    <s v="Weidmuller Product; Model:WQV 2.5/3; PN:10537"/>
    <x v="3"/>
    <s v="Weidmuller Middle East (FZE)"/>
    <n v="57.9054"/>
    <n v="35"/>
    <n v="35"/>
    <n v="0"/>
    <x v="0"/>
    <x v="3"/>
  </r>
  <r>
    <n v="1000020135"/>
    <s v="SKF BEARING - 30203 J2"/>
    <x v="3"/>
    <s v="SKF Eurotrade AB"/>
    <n v="57.75"/>
    <n v="3"/>
    <n v="3"/>
    <n v="0"/>
    <x v="0"/>
    <x v="4"/>
  </r>
  <r>
    <n v="2500008214"/>
    <s v="Kit inlet air cleaner dry PN 22400929"/>
    <x v="0"/>
    <s v="ELGI Gulf FZE"/>
    <n v="56.25"/>
    <n v="4"/>
    <n v="4"/>
    <n v="0"/>
    <x v="0"/>
    <x v="0"/>
  </r>
  <r>
    <n v="2500009461"/>
    <s v="DESCRIPTION : 6-BANK VALVE SEAL KIT | Part No"/>
    <x v="0"/>
    <s v="PARANTHAMAN EXPORTERS"/>
    <n v="56.25"/>
    <n v="3"/>
    <n v="3"/>
    <n v="0"/>
    <x v="0"/>
    <x v="0"/>
  </r>
  <r>
    <n v="1000020427"/>
    <s v="SKF BEARING - 6204-RSH"/>
    <x v="3"/>
    <s v="SKF Eurotrade AB"/>
    <n v="56.04"/>
    <n v="4"/>
    <n v="4"/>
    <n v="0"/>
    <x v="0"/>
    <x v="4"/>
  </r>
  <r>
    <n v="1000099197"/>
    <s v="Weidmuller; Blank Terminal Markers; P/N: 1046"/>
    <x v="3"/>
    <s v="Weidmuller Middle East (FZE)"/>
    <n v="56.04"/>
    <n v="640"/>
    <n v="640"/>
    <n v="0"/>
    <x v="0"/>
    <x v="3"/>
  </r>
  <r>
    <n v="1000109177"/>
    <s v="SKF Product; 608"/>
    <x v="3"/>
    <s v="SKF Eurotrade AB"/>
    <n v="56.02"/>
    <n v="9"/>
    <n v="9"/>
    <n v="0"/>
    <x v="0"/>
    <x v="4"/>
  </r>
  <r>
    <n v="1000020151"/>
    <s v="SKF BEARING - 30309 J2/Q"/>
    <x v="3"/>
    <s v="SKF Eurotrade AB"/>
    <n v="55.55"/>
    <n v="1"/>
    <n v="1"/>
    <n v="0"/>
    <x v="0"/>
    <x v="4"/>
  </r>
  <r>
    <n v="1000094033"/>
    <s v="SKF BEARINGS - Model No. FRB 12/180"/>
    <x v="3"/>
    <s v="SKF Eurotrade AB"/>
    <n v="55.42"/>
    <n v="2"/>
    <n v="2"/>
    <n v="0"/>
    <x v="0"/>
    <x v="4"/>
  </r>
  <r>
    <n v="1000102404"/>
    <s v="SKF BEARING; PCM 141615 M"/>
    <x v="3"/>
    <s v="SKF Eurotrade AB"/>
    <n v="55.271578947368397"/>
    <n v="16"/>
    <n v="16"/>
    <n v="0"/>
    <x v="0"/>
    <x v="4"/>
  </r>
  <r>
    <n v="1000020073"/>
    <s v="SKF BEARING - YAT 204"/>
    <x v="3"/>
    <s v="SKF Eurotrade AB"/>
    <n v="54.408000000000001"/>
    <n v="3"/>
    <n v="3"/>
    <n v="0"/>
    <x v="0"/>
    <x v="4"/>
  </r>
  <r>
    <n v="1000020481"/>
    <s v="SKF BEARING - 6210 NR/C3"/>
    <x v="3"/>
    <s v="SKF Eurotrade AB"/>
    <n v="54.35"/>
    <n v="1"/>
    <n v="1"/>
    <n v="0"/>
    <x v="0"/>
    <x v="4"/>
  </r>
  <r>
    <n v="1000101098"/>
    <s v="Weidmuller; Steel Belt; Model No: PJ ADV STRE"/>
    <x v="3"/>
    <s v="Weidmuller Saudi Arabia Factory LLC"/>
    <n v="53.7"/>
    <n v="2"/>
    <n v="2"/>
    <n v="0"/>
    <x v="0"/>
    <x v="3"/>
  </r>
  <r>
    <n v="1000020589"/>
    <s v="SKF BEARING - 625-2RS1"/>
    <x v="3"/>
    <s v="SKF Eurotrade AB"/>
    <n v="53.2"/>
    <n v="10"/>
    <n v="10"/>
    <n v="0"/>
    <x v="0"/>
    <x v="4"/>
  </r>
  <r>
    <n v="1000020258"/>
    <s v="SKF BEARING - 6007/C3"/>
    <x v="3"/>
    <s v="SKF Eurotrade AB"/>
    <n v="53"/>
    <n v="5"/>
    <n v="5"/>
    <n v="0"/>
    <x v="0"/>
    <x v="4"/>
  </r>
  <r>
    <n v="1000103213"/>
    <s v="SKF Product; 6303 JEM"/>
    <x v="3"/>
    <s v="SKF Eurotrade AB"/>
    <n v="52.88"/>
    <n v="5"/>
    <n v="5"/>
    <n v="0"/>
    <x v="0"/>
    <x v="4"/>
  </r>
  <r>
    <n v="1000098609"/>
    <s v="SKF BEARING -AXK 1528"/>
    <x v="3"/>
    <s v="SKF Eurotrade AB"/>
    <n v="52.808888888888802"/>
    <n v="10"/>
    <n v="10"/>
    <n v="0"/>
    <x v="0"/>
    <x v="4"/>
  </r>
  <r>
    <n v="1000020760"/>
    <s v="SKF BEARING - 6404/C3"/>
    <x v="3"/>
    <s v="SKF Eurotrade AB"/>
    <n v="52.8"/>
    <n v="1"/>
    <n v="1"/>
    <n v="0"/>
    <x v="0"/>
    <x v="4"/>
  </r>
  <r>
    <n v="1000020666"/>
    <s v="SKF BEARING - 6309 NR"/>
    <x v="3"/>
    <s v="SKF Eurotrade AB"/>
    <n v="52.76"/>
    <n v="1"/>
    <n v="1"/>
    <n v="0"/>
    <x v="0"/>
    <x v="4"/>
  </r>
  <r>
    <n v="2500008370"/>
    <s v="HOSE 1-1/4 P N 35303627"/>
    <x v="0"/>
    <s v="ELGI Gulf FZE"/>
    <n v="52.57"/>
    <n v="2"/>
    <n v="2"/>
    <n v="0"/>
    <x v="0"/>
    <x v="0"/>
  </r>
  <r>
    <n v="2500008329"/>
    <s v="MPV KIT ENCAP P N  A990288"/>
    <x v="0"/>
    <s v="ELGI Gulf FZE"/>
    <n v="52.503333333333302"/>
    <n v="3"/>
    <n v="3"/>
    <n v="0"/>
    <x v="0"/>
    <x v="0"/>
  </r>
  <r>
    <n v="2500009457"/>
    <s v="DESCRIPTION : PULL DOWN VALVE | Part No: PRD "/>
    <x v="0"/>
    <s v="PARANTHAMAN EXPORTERS"/>
    <n v="52.5"/>
    <n v="1"/>
    <n v="1"/>
    <n v="0"/>
    <x v="0"/>
    <x v="0"/>
  </r>
  <r>
    <n v="1000021169"/>
    <s v="SKF BEARING - 2205 E-2RS1TN9/C3"/>
    <x v="3"/>
    <s v="SKF Eurotrade AB"/>
    <n v="52.48"/>
    <n v="1"/>
    <n v="1"/>
    <n v="0"/>
    <x v="0"/>
    <x v="4"/>
  </r>
  <r>
    <n v="1000020641"/>
    <s v="SKF BEARING - 6306-RS1/C3"/>
    <x v="3"/>
    <s v="SKF Eurotrade AB"/>
    <n v="52.44"/>
    <n v="2"/>
    <n v="2"/>
    <n v="0"/>
    <x v="0"/>
    <x v="4"/>
  </r>
  <r>
    <n v="1000020006"/>
    <s v="SKF BEARING - 6305"/>
    <x v="3"/>
    <s v="SKF Eurotrade AB"/>
    <n v="52.3333333333333"/>
    <n v="5"/>
    <n v="5"/>
    <n v="0"/>
    <x v="0"/>
    <x v="4"/>
  </r>
  <r>
    <n v="1000101698"/>
    <s v="Weidmuller Product; Model:APP 2;  P/N:2489090"/>
    <x v="3"/>
    <s v="Weidmuller Middle East (FZE)"/>
    <n v="52.047499999999999"/>
    <n v="40"/>
    <n v="40"/>
    <n v="0"/>
    <x v="0"/>
    <x v="3"/>
  </r>
  <r>
    <n v="1000103787"/>
    <s v="Weidmuller Product; WQV 35-4/6; P/N:106420000"/>
    <x v="3"/>
    <s v="Weidmuller Middle East (FZE)"/>
    <n v="51.95"/>
    <n v="8"/>
    <n v="8"/>
    <n v="0"/>
    <x v="0"/>
    <x v="3"/>
  </r>
  <r>
    <n v="1000020262"/>
    <s v="SKF BEARING - 6008"/>
    <x v="3"/>
    <s v="SKF Eurotrade AB"/>
    <n v="51.8"/>
    <n v="4"/>
    <n v="4"/>
    <n v="0"/>
    <x v="0"/>
    <x v="4"/>
  </r>
  <r>
    <n v="1000020652"/>
    <s v="SKF BEARING - 6308 TN9/C3"/>
    <x v="3"/>
    <s v="SKF Eurotrade AB"/>
    <n v="51.497999999999998"/>
    <n v="1"/>
    <n v="1"/>
    <n v="0"/>
    <x v="0"/>
    <x v="4"/>
  </r>
  <r>
    <n v="2500008139"/>
    <s v="GASKET MDL 300/100 PN 35400013"/>
    <x v="0"/>
    <s v="ELGI Gulf FZE"/>
    <n v="51.125"/>
    <n v="2"/>
    <n v="2"/>
    <n v="0"/>
    <x v="0"/>
    <x v="0"/>
  </r>
  <r>
    <n v="1000020252"/>
    <s v="SKF BEARING - 6006"/>
    <x v="3"/>
    <s v="SKF Eurotrade AB"/>
    <n v="51.12"/>
    <n v="6"/>
    <n v="6"/>
    <n v="0"/>
    <x v="0"/>
    <x v="4"/>
  </r>
  <r>
    <n v="1000108972"/>
    <s v="Weidmuller Product; WSI 6/2/LD 10-36V DC/AC; "/>
    <x v="3"/>
    <s v="Weidmuller Middle East (FZE)"/>
    <n v="50.963721476266599"/>
    <n v="3"/>
    <n v="3"/>
    <n v="0"/>
    <x v="0"/>
    <x v="3"/>
  </r>
  <r>
    <n v="1000095812"/>
    <s v="Weidmueller,Product :1739700000, Part No: ZQV"/>
    <x v="3"/>
    <s v="Weidmuller Middle East (FZE)"/>
    <n v="49.951666666666597"/>
    <n v="20"/>
    <n v="20"/>
    <n v="0"/>
    <x v="0"/>
    <x v="3"/>
  </r>
  <r>
    <n v="1000099812"/>
    <s v="SKF BEARING - HK 1015"/>
    <x v="3"/>
    <s v="SKF Eurotrade AB"/>
    <n v="49.89"/>
    <n v="7"/>
    <n v="7"/>
    <n v="0"/>
    <x v="0"/>
    <x v="4"/>
  </r>
  <r>
    <n v="1000100779"/>
    <s v="SKF PRODUCT - N 11"/>
    <x v="3"/>
    <s v="SKF Eurotrade AB"/>
    <n v="49.618749999999999"/>
    <n v="2"/>
    <n v="2"/>
    <n v="0"/>
    <x v="0"/>
    <x v="4"/>
  </r>
  <r>
    <n v="1000020548"/>
    <s v="SKF BEARING - 62200-2RS1"/>
    <x v="3"/>
    <s v="SKF Eurotrade AB"/>
    <n v="48.99"/>
    <n v="3"/>
    <n v="3"/>
    <n v="0"/>
    <x v="0"/>
    <x v="4"/>
  </r>
  <r>
    <n v="1000020436"/>
    <s v="SKF BEARING - 6205-Z/C3"/>
    <x v="3"/>
    <s v="SKF Eurotrade AB"/>
    <n v="48.4557"/>
    <n v="3"/>
    <n v="3"/>
    <n v="0"/>
    <x v="0"/>
    <x v="4"/>
  </r>
  <r>
    <n v="1000020669"/>
    <s v="SKF BEARING - 6309/C4"/>
    <x v="3"/>
    <s v="SKF Eurotrade AB"/>
    <n v="48.44"/>
    <n v="1"/>
    <n v="1"/>
    <n v="0"/>
    <x v="0"/>
    <x v="4"/>
  </r>
  <r>
    <n v="1000020255"/>
    <s v="SKF BEARING - 6006-2Z"/>
    <x v="3"/>
    <s v="SKF Eurotrade AB"/>
    <n v="48.259374999999999"/>
    <n v="5"/>
    <n v="5"/>
    <n v="0"/>
    <x v="0"/>
    <x v="4"/>
  </r>
  <r>
    <n v="1000020678"/>
    <s v="SKF BEARING - 6309-ZNR"/>
    <x v="3"/>
    <s v="SKF Eurotrade AB"/>
    <n v="47.73"/>
    <n v="1"/>
    <n v="1"/>
    <n v="0"/>
    <x v="0"/>
    <x v="4"/>
  </r>
  <r>
    <n v="1000020667"/>
    <s v="SKF BEARING - 6309 NR/C3"/>
    <x v="3"/>
    <s v="SKF Eurotrade AB"/>
    <n v="47.31"/>
    <n v="1"/>
    <n v="1"/>
    <n v="0"/>
    <x v="0"/>
    <x v="4"/>
  </r>
  <r>
    <n v="1000020214"/>
    <s v="SKF BEARING - 4206 ATN9"/>
    <x v="3"/>
    <s v="SKF Eurotrade AB"/>
    <n v="46.85"/>
    <n v="1"/>
    <n v="1"/>
    <n v="0"/>
    <x v="0"/>
    <x v="4"/>
  </r>
  <r>
    <n v="1000020389"/>
    <s v="SKF BEARING - 61907-2RZ"/>
    <x v="3"/>
    <s v="SKF Eurotrade AB"/>
    <n v="46.57"/>
    <n v="1"/>
    <n v="1"/>
    <n v="0"/>
    <x v="0"/>
    <x v="4"/>
  </r>
  <r>
    <n v="1000093567"/>
    <s v="Weidmuller; Model No. HDC HEE 32 FC; Descript"/>
    <x v="3"/>
    <s v="Weidmuller Middle East (FZE)"/>
    <n v="46.411910880000001"/>
    <n v="1"/>
    <n v="1"/>
    <n v="0"/>
    <x v="0"/>
    <x v="3"/>
  </r>
  <r>
    <n v="1000108554"/>
    <s v="Weidmuller product; ADP 2/HP2 1M; P/N: 485300"/>
    <x v="3"/>
    <s v="Weidmuller Middle East (FZE)"/>
    <n v="46.01"/>
    <n v="1"/>
    <n v="1"/>
    <n v="0"/>
    <x v="0"/>
    <x v="3"/>
  </r>
  <r>
    <n v="1000102149"/>
    <s v="SKF BEARING W 12"/>
    <x v="3"/>
    <s v="SKF Eurotrade AB"/>
    <n v="45.72"/>
    <n v="4"/>
    <n v="4"/>
    <n v="0"/>
    <x v="0"/>
    <x v="4"/>
  </r>
  <r>
    <n v="1000020654"/>
    <s v="SKF BEARING - 6308/C4"/>
    <x v="3"/>
    <s v="SKF Eurotrade AB"/>
    <n v="45.6175"/>
    <n v="1"/>
    <n v="1"/>
    <n v="0"/>
    <x v="0"/>
    <x v="4"/>
  </r>
  <r>
    <n v="1000098890"/>
    <s v="SKF BEARING - 6203/C3"/>
    <x v="3"/>
    <s v="SKF Eurotrade AB"/>
    <n v="45.185000000000002"/>
    <n v="7"/>
    <n v="7"/>
    <n v="0"/>
    <x v="0"/>
    <x v="4"/>
  </r>
  <r>
    <n v="1000092378"/>
    <s v="SKF - PHF TB2517X2.125 Model No. PHP TB2517X2"/>
    <x v="3"/>
    <s v="SKF Eurotrade AB"/>
    <n v="44.99"/>
    <n v="2"/>
    <n v="2"/>
    <n v="0"/>
    <x v="0"/>
    <x v="4"/>
  </r>
  <r>
    <n v="1000100766"/>
    <s v="Electrical Items / Relay, D-Series DRM, Socke"/>
    <x v="3"/>
    <s v="Weidmuller Middle East (FZE)"/>
    <n v="44.77"/>
    <n v="5"/>
    <n v="5"/>
    <n v="0"/>
    <x v="0"/>
    <x v="3"/>
  </r>
  <r>
    <n v="1000098585"/>
    <s v="SKF BEARING -6307-Z/C3"/>
    <x v="3"/>
    <s v="SKF Eurotrade AB"/>
    <n v="43.701428571428501"/>
    <n v="1"/>
    <n v="1"/>
    <n v="0"/>
    <x v="0"/>
    <x v="4"/>
  </r>
  <r>
    <n v="1000017163"/>
    <s v="Weidmuller Terminal P/N 1020100000 block; Mod"/>
    <x v="3"/>
    <s v="Weidmuller Middle East (FZE)"/>
    <n v="43.475474791657298"/>
    <n v="47"/>
    <n v="47"/>
    <n v="0"/>
    <x v="0"/>
    <x v="3"/>
  </r>
  <r>
    <n v="1000020550"/>
    <s v="SKF BEARING - 62202-2RS1"/>
    <x v="3"/>
    <s v="SKF Eurotrade AB"/>
    <n v="43.44"/>
    <n v="2"/>
    <n v="2"/>
    <n v="0"/>
    <x v="0"/>
    <x v="4"/>
  </r>
  <r>
    <n v="1000101097"/>
    <s v="Weidmuller; Tooth Belt; Model No: PJ ADV ZHRE"/>
    <x v="3"/>
    <s v="Weidmuller Saudi Arabia Factory LLC"/>
    <n v="43.13"/>
    <n v="2"/>
    <n v="2"/>
    <n v="0"/>
    <x v="0"/>
    <x v="3"/>
  </r>
  <r>
    <n v="1000021433"/>
    <s v="SKF BEARING - KM 17"/>
    <x v="3"/>
    <s v="SKF Eurotrade AB"/>
    <n v="42.975000000000001"/>
    <n v="1"/>
    <n v="1"/>
    <n v="0"/>
    <x v="0"/>
    <x v="4"/>
  </r>
  <r>
    <n v="1000102129"/>
    <s v="Weidmuller; Model No. HDC 16B DODQ 4BO;  P/N:"/>
    <x v="3"/>
    <s v="Weidmuller Middle East (FZE)"/>
    <n v="42.376978428800001"/>
    <n v="1"/>
    <n v="1"/>
    <n v="0"/>
    <x v="0"/>
    <x v="3"/>
  </r>
  <r>
    <n v="1000106054"/>
    <s v="P&amp;F Inductive Sensor; V3-WM-2M-PUR; P/N: 1040"/>
    <x v="3"/>
    <s v="Pepperl+Fuchs (ME) FZE"/>
    <n v="41.93"/>
    <n v="2"/>
    <n v="2"/>
    <n v="0"/>
    <x v="0"/>
    <x v="5"/>
  </r>
  <r>
    <n v="1000101695"/>
    <s v="Weidmuller Product; Model:AEB 35 SC/1;  P/N:1"/>
    <x v="3"/>
    <s v="Weidmuller Middle East (FZE)"/>
    <n v="40.954285714285703"/>
    <n v="30"/>
    <n v="30"/>
    <n v="0"/>
    <x v="0"/>
    <x v="3"/>
  </r>
  <r>
    <n v="1000020758"/>
    <s v="SKF BEARING - 6403/C3"/>
    <x v="3"/>
    <s v="SKF Eurotrade AB"/>
    <n v="40.799999999999997"/>
    <n v="1"/>
    <n v="1"/>
    <n v="0"/>
    <x v="0"/>
    <x v="4"/>
  </r>
  <r>
    <n v="1000098083"/>
    <s v="SKF BEARING - 6205-2RSL"/>
    <x v="3"/>
    <s v="SKF Eurotrade AB"/>
    <n v="40.6"/>
    <n v="2"/>
    <n v="2"/>
    <n v="0"/>
    <x v="0"/>
    <x v="4"/>
  </r>
  <r>
    <n v="1000094099"/>
    <s v="Weidmuller; Terminal Marker; P/N: 0468760001 "/>
    <x v="3"/>
    <s v="Weidmuller Middle East (FZE)"/>
    <n v="39.6"/>
    <n v="300"/>
    <n v="300"/>
    <n v="0"/>
    <x v="0"/>
    <x v="3"/>
  </r>
  <r>
    <n v="1000107559"/>
    <s v="Weidmuller Product; WAH 70 BE; P/N: 106456000"/>
    <x v="3"/>
    <s v="Weidmuller Middle East (FZE)"/>
    <n v="39.299999999999997"/>
    <n v="12"/>
    <n v="12"/>
    <n v="0"/>
    <x v="0"/>
    <x v="3"/>
  </r>
  <r>
    <n v="2500008379"/>
    <s v="O RING-62.5x55.5x3.5 P N 10451120"/>
    <x v="0"/>
    <s v="ELGI Gulf FZE"/>
    <n v="39.167777777777701"/>
    <n v="4"/>
    <n v="4"/>
    <n v="0"/>
    <x v="0"/>
    <x v="0"/>
  </r>
  <r>
    <n v="1000096704"/>
    <s v="End plate;PN:1608740000"/>
    <x v="3"/>
    <s v="Weidmuller Middle East (FZE)"/>
    <n v="38.950000000000003"/>
    <n v="50"/>
    <n v="50"/>
    <n v="0"/>
    <x v="0"/>
    <x v="3"/>
  </r>
  <r>
    <n v="1000093566"/>
    <s v="Weidmuller; Model No. HDC 16B ABU; Descriptio"/>
    <x v="3"/>
    <s v="Weidmuller Middle East (FZE)"/>
    <n v="38.651555413333298"/>
    <n v="1"/>
    <n v="1"/>
    <n v="0"/>
    <x v="0"/>
    <x v="3"/>
  </r>
  <r>
    <n v="1000020407"/>
    <s v="SKF BEARING - 6202-2RSH"/>
    <x v="3"/>
    <s v="SKF Eurotrade AB"/>
    <n v="38.4375"/>
    <n v="5"/>
    <n v="5"/>
    <n v="0"/>
    <x v="0"/>
    <x v="4"/>
  </r>
  <r>
    <n v="1000107038"/>
    <s v="Weidmuller Product; ISPF QB75 SW; P/N:5267000"/>
    <x v="3"/>
    <s v="Weidmuller Middle East (FZE)"/>
    <n v="38.277799999999999"/>
    <n v="15"/>
    <n v="15"/>
    <n v="0"/>
    <x v="0"/>
    <x v="3"/>
  </r>
  <r>
    <n v="1000020644"/>
    <s v="SKF BEARING - 6306-ZNR"/>
    <x v="3"/>
    <s v="SKF Eurotrade AB"/>
    <n v="37.6"/>
    <n v="2"/>
    <n v="2"/>
    <n v="0"/>
    <x v="0"/>
    <x v="4"/>
  </r>
  <r>
    <n v="2500009416"/>
    <s v="DESCRIPTION : CHEVRON SEAL_60X80X40 | Part No"/>
    <x v="0"/>
    <s v="PARANTHAMAN EXPORTERS"/>
    <n v="37.5"/>
    <n v="2"/>
    <n v="2"/>
    <n v="0"/>
    <x v="0"/>
    <x v="0"/>
  </r>
  <r>
    <n v="1000096345"/>
    <s v="Weidmuller; Tools; P/N: 9203610000;Model No. "/>
    <x v="3"/>
    <s v="Weidmuller Middle East (FZE)"/>
    <n v="37.49"/>
    <n v="200"/>
    <n v="200"/>
    <n v="0"/>
    <x v="0"/>
    <x v="3"/>
  </r>
  <r>
    <n v="1000106683"/>
    <s v="Weidmuller Product; S-1L-210/16; P/N:26579800"/>
    <x v="3"/>
    <s v="Weidmuller Middle East (FZE)"/>
    <n v="37.380000000000003"/>
    <n v="10"/>
    <n v="10"/>
    <n v="0"/>
    <x v="0"/>
    <x v="3"/>
  </r>
  <r>
    <n v="1000020384"/>
    <s v="SKF BEARING - 61905"/>
    <x v="3"/>
    <s v="SKF Eurotrade AB"/>
    <n v="37.08"/>
    <n v="3"/>
    <n v="0"/>
    <n v="3"/>
    <x v="3"/>
    <x v="4"/>
  </r>
  <r>
    <n v="1000105591"/>
    <s v="Weidmueller Product; DEK 6 FSZ 1-10; P/N: 133"/>
    <x v="3"/>
    <s v="Weidmuller Middle East (FZE)"/>
    <n v="36.94"/>
    <n v="300"/>
    <n v="300"/>
    <n v="0"/>
    <x v="0"/>
    <x v="3"/>
  </r>
  <r>
    <n v="1000105777"/>
    <s v="Weidmuller Product; QL 10 SAK6N; P/N:33830000"/>
    <x v="3"/>
    <s v="Weidmuller Middle East (FZE)"/>
    <n v="36.686666666666603"/>
    <n v="15"/>
    <n v="15"/>
    <n v="0"/>
    <x v="0"/>
    <x v="3"/>
  </r>
  <r>
    <n v="1000093027"/>
    <s v="SKF V-RING   Model No. 32 VA V"/>
    <x v="3"/>
    <s v="SKF Eurotrade AB"/>
    <n v="36.46"/>
    <n v="2"/>
    <n v="2"/>
    <n v="0"/>
    <x v="0"/>
    <x v="4"/>
  </r>
  <r>
    <n v="1000102198"/>
    <s v="SKF BEARINGS - Model No. 6207 N"/>
    <x v="3"/>
    <s v="SKF Eurotrade AB"/>
    <n v="36.450000000000003"/>
    <n v="1"/>
    <n v="1"/>
    <n v="0"/>
    <x v="0"/>
    <x v="4"/>
  </r>
  <r>
    <n v="1000020428"/>
    <s v="SKF BEARING - 6204-Z/C3"/>
    <x v="3"/>
    <s v="SKF Eurotrade AB"/>
    <n v="36.04"/>
    <n v="4"/>
    <n v="4"/>
    <n v="0"/>
    <x v="0"/>
    <x v="4"/>
  </r>
  <r>
    <n v="1000101696"/>
    <s v="Weidmuller Product; Model:ZQV 1.5N/2;  P/N:19"/>
    <x v="3"/>
    <s v="Weidmuller Middle East (FZE)"/>
    <n v="34.826999999999998"/>
    <n v="47"/>
    <n v="47"/>
    <n v="0"/>
    <x v="0"/>
    <x v="3"/>
  </r>
  <r>
    <n v="1000020656"/>
    <s v="SKF BEARING - 6308-2RS1/C3"/>
    <x v="3"/>
    <s v="SKF Eurotrade AB"/>
    <n v="34.71"/>
    <n v="1"/>
    <n v="1"/>
    <n v="0"/>
    <x v="0"/>
    <x v="4"/>
  </r>
  <r>
    <n v="1000020283"/>
    <s v="SKF BEARING - 6012"/>
    <x v="3"/>
    <s v="SKF Eurotrade AB"/>
    <n v="34.300946629439999"/>
    <n v="1"/>
    <n v="1"/>
    <n v="0"/>
    <x v="0"/>
    <x v="4"/>
  </r>
  <r>
    <n v="1000102788"/>
    <s v="Weidmuller Item; HP 4 ADP3; P/N 485860000"/>
    <x v="3"/>
    <s v="Weidmuller Middle East (FZE)"/>
    <n v="34.289744865211098"/>
    <n v="7"/>
    <n v="7"/>
    <n v="0"/>
    <x v="0"/>
    <x v="3"/>
  </r>
  <r>
    <n v="1000101147"/>
    <s v="Weidmuller; Ind Dike; Model No: PJ ADV TNAW 3"/>
    <x v="3"/>
    <s v="Weidmuller Saudi Arabia Factory LLC"/>
    <n v="34.200000000000003"/>
    <n v="1"/>
    <n v="1"/>
    <n v="0"/>
    <x v="0"/>
    <x v="3"/>
  </r>
  <r>
    <n v="2500009453"/>
    <s v="DESCRIPTION : OIL SEAL | Part No: PRD GB 01 9"/>
    <x v="0"/>
    <s v="PARANTHAMAN EXPORTERS"/>
    <n v="33.75"/>
    <n v="1"/>
    <n v="1"/>
    <n v="0"/>
    <x v="0"/>
    <x v="0"/>
  </r>
  <r>
    <n v="1000105937"/>
    <s v="Weidmuller product, ZGB 30 P/N: 1611930000"/>
    <x v="3"/>
    <s v="Weidmuller Middle East (FZE)"/>
    <n v="33.619999999999997"/>
    <n v="20"/>
    <n v="20"/>
    <n v="0"/>
    <x v="0"/>
    <x v="3"/>
  </r>
  <r>
    <n v="2500002325"/>
    <s v="PRE FILTER PN 15403266"/>
    <x v="0"/>
    <s v="ELGI Gulf FZE"/>
    <n v="33"/>
    <n v="4"/>
    <n v="4"/>
    <n v="0"/>
    <x v="0"/>
    <x v="0"/>
  </r>
  <r>
    <n v="1000020635"/>
    <s v="SKF BEARING - 6306 JEM"/>
    <x v="3"/>
    <s v="SKF Eurotrade AB"/>
    <n v="32.49"/>
    <n v="1"/>
    <n v="1"/>
    <n v="0"/>
    <x v="0"/>
    <x v="4"/>
  </r>
  <r>
    <n v="1000107411"/>
    <s v="Weidmuller Product; MK 3/12; P/N: 243520000"/>
    <x v="3"/>
    <s v="Weidmuller Middle East (FZE)"/>
    <n v="32.162500000000001"/>
    <n v="2"/>
    <n v="2"/>
    <n v="0"/>
    <x v="0"/>
    <x v="3"/>
  </r>
  <r>
    <n v="1000010165"/>
    <s v="P+F, Mounting Flange Model No.: BF 30; Part N"/>
    <x v="3"/>
    <s v="Pepperl+Fuchs (ME) FZE"/>
    <n v="31.934444444444399"/>
    <n v="1"/>
    <n v="1"/>
    <n v="0"/>
    <x v="0"/>
    <x v="5"/>
  </r>
  <r>
    <n v="2200000288"/>
    <s v="O-RING  PN-14-304UA"/>
    <x v="2"/>
    <s v="Sundyne International S.A."/>
    <n v="31.6"/>
    <n v="1"/>
    <n v="1"/>
    <n v="0"/>
    <x v="0"/>
    <x v="2"/>
  </r>
  <r>
    <n v="1000101697"/>
    <s v="Weidmuller Product; Model:AEP 4C 1.5;  P/N:15"/>
    <x v="3"/>
    <s v="Weidmuller Middle East (FZE)"/>
    <n v="30.781257969999999"/>
    <n v="40"/>
    <n v="40"/>
    <n v="0"/>
    <x v="0"/>
    <x v="3"/>
  </r>
  <r>
    <n v="1000097103"/>
    <s v="WEIDMULLER;PN:430700000;Model:G 20/1.00A/F"/>
    <x v="3"/>
    <s v="Weidmuller Middle East (FZE)"/>
    <n v="30.308096424357501"/>
    <n v="15"/>
    <n v="15"/>
    <n v="0"/>
    <x v="0"/>
    <x v="3"/>
  </r>
  <r>
    <n v="1000093750"/>
    <s v="Weidmuller; DIN Rail; P/N: 0383400000  Model "/>
    <x v="3"/>
    <s v="Weidmuller Middle East (FZE)"/>
    <n v="30.282341772151899"/>
    <n v="6"/>
    <n v="6"/>
    <n v="0"/>
    <x v="0"/>
    <x v="3"/>
  </r>
  <r>
    <n v="1000021386"/>
    <s v="SKF BEARING - 32206"/>
    <x v="3"/>
    <s v="SKF Eurotrade AB"/>
    <n v="30.26"/>
    <n v="1"/>
    <n v="1"/>
    <n v="0"/>
    <x v="0"/>
    <x v="4"/>
  </r>
  <r>
    <n v="1000021435"/>
    <s v="SKF BEARING - MB 16"/>
    <x v="3"/>
    <s v="SKF Eurotrade AB"/>
    <n v="30"/>
    <n v="5"/>
    <n v="5"/>
    <n v="0"/>
    <x v="0"/>
    <x v="4"/>
  </r>
  <r>
    <n v="2500001763"/>
    <s v="SLEEVE WEAR 73S PN 13436020"/>
    <x v="0"/>
    <s v="ELGI Gulf FZE"/>
    <n v="29.760312579200001"/>
    <n v="2"/>
    <n v="2"/>
    <n v="0"/>
    <x v="0"/>
    <x v="0"/>
  </r>
  <r>
    <n v="1000020447"/>
    <s v="SKF BEARING - 6206-ZN"/>
    <x v="3"/>
    <s v="SKF Eurotrade AB"/>
    <n v="29"/>
    <n v="1"/>
    <n v="1"/>
    <n v="0"/>
    <x v="0"/>
    <x v="4"/>
  </r>
  <r>
    <n v="1000101701"/>
    <s v="Weidmuller Product; Model:APP 1;  P/N:2488970"/>
    <x v="3"/>
    <s v="Weidmuller Middle East (FZE)"/>
    <n v="28.9765333333333"/>
    <n v="30"/>
    <n v="30"/>
    <n v="0"/>
    <x v="0"/>
    <x v="3"/>
  </r>
  <r>
    <n v="1000103214"/>
    <s v="SKF Product; 6202-2ZJEM"/>
    <x v="3"/>
    <s v="SKF Eurotrade AB"/>
    <n v="28.88"/>
    <n v="5"/>
    <n v="5"/>
    <n v="0"/>
    <x v="0"/>
    <x v="4"/>
  </r>
  <r>
    <n v="2100004009"/>
    <s v="MATL : 5500020626 CIRCLIP,POS. #173 MODEL/TYP"/>
    <x v="12"/>
    <s v="Leistritz Pumpen GmbH"/>
    <n v="28.811859999999999"/>
    <n v="2"/>
    <n v="2"/>
    <n v="0"/>
    <x v="0"/>
    <x v="1"/>
  </r>
  <r>
    <n v="1000020400"/>
    <s v="SKF BEARING - 6200-2RSH"/>
    <x v="3"/>
    <s v="SKF Eurotrade AB"/>
    <n v="28.7"/>
    <n v="5"/>
    <n v="5"/>
    <n v="0"/>
    <x v="0"/>
    <x v="4"/>
  </r>
  <r>
    <n v="2100006120"/>
    <s v="MATL:1000202794  O RING; MATERIAL: BUNA-N, AP"/>
    <x v="1"/>
    <s v="SPX MIDDLE EAST FZE"/>
    <n v="28.56204"/>
    <n v="1"/>
    <n v="1"/>
    <n v="0"/>
    <x v="0"/>
    <x v="1"/>
  </r>
  <r>
    <n v="1000020284"/>
    <s v="SKF BEARING - 6012/C3"/>
    <x v="3"/>
    <s v="SKF Eurotrade AB"/>
    <n v="28.55"/>
    <n v="1"/>
    <n v="1"/>
    <n v="0"/>
    <x v="0"/>
    <x v="4"/>
  </r>
  <r>
    <n v="1000003017"/>
    <s v="Teflon Gasket (1 pk consist of 5 nos of gaske"/>
    <x v="5"/>
    <s v="Yokogawa Middle East &amp; Africa B.S.C. Â©"/>
    <n v="28.5"/>
    <n v="2"/>
    <n v="2"/>
    <n v="0"/>
    <x v="0"/>
    <x v="6"/>
  </r>
  <r>
    <n v="1000020458"/>
    <s v="SKF BEARING - 6207-ZNR"/>
    <x v="3"/>
    <s v="SKF Eurotrade AB"/>
    <n v="28.05"/>
    <n v="1"/>
    <n v="1"/>
    <n v="0"/>
    <x v="0"/>
    <x v="4"/>
  </r>
  <r>
    <n v="1000020788"/>
    <s v="SKF BEARING - 7202 BEP"/>
    <x v="3"/>
    <s v="SKF Eurotrade AB"/>
    <n v="27.84"/>
    <n v="1"/>
    <n v="1"/>
    <n v="0"/>
    <x v="0"/>
    <x v="4"/>
  </r>
  <r>
    <n v="1000020598"/>
    <s v="SKF BEARING - 629-2RSH/C3"/>
    <x v="3"/>
    <s v="SKF Eurotrade AB"/>
    <n v="27.8"/>
    <n v="5"/>
    <n v="5"/>
    <n v="0"/>
    <x v="0"/>
    <x v="4"/>
  </r>
  <r>
    <n v="1000100911"/>
    <s v="Weidmuller; WDU 95N/120N;P/N: 1820550000"/>
    <x v="3"/>
    <s v="Weidmuller Middle East (FZE)"/>
    <n v="27.756900000000002"/>
    <n v="1"/>
    <n v="1"/>
    <n v="0"/>
    <x v="0"/>
    <x v="3"/>
  </r>
  <r>
    <n v="1000020457"/>
    <s v="SKF BEARING - 6207-Z/C3"/>
    <x v="3"/>
    <s v="SKF Eurotrade AB"/>
    <n v="25.31"/>
    <n v="1"/>
    <n v="1"/>
    <n v="0"/>
    <x v="0"/>
    <x v="4"/>
  </r>
  <r>
    <n v="1000093684"/>
    <s v="Weidmuller; Accessories Rail Support; P/N:029"/>
    <x v="3"/>
    <s v="Weidmuller Middle East (FZE)"/>
    <n v="24.643904695000199"/>
    <n v="25"/>
    <n v="25"/>
    <n v="0"/>
    <x v="0"/>
    <x v="3"/>
  </r>
  <r>
    <n v="1000020476"/>
    <s v="SKF BEARING - 6209-2Z"/>
    <x v="3"/>
    <s v="SKF Eurotrade AB"/>
    <n v="24.43"/>
    <n v="1"/>
    <n v="1"/>
    <n v="0"/>
    <x v="0"/>
    <x v="4"/>
  </r>
  <r>
    <n v="2500008144"/>
    <s v="GASKET, BFV, 6&quot;, DPSAC PG 900 - 200 PN 220413"/>
    <x v="0"/>
    <s v="ELGI Gulf FZE"/>
    <n v="24.184999999999999"/>
    <n v="2"/>
    <n v="2"/>
    <n v="0"/>
    <x v="0"/>
    <x v="0"/>
  </r>
  <r>
    <n v="2200002584"/>
    <s v="O-RING, PN- 14-332UC"/>
    <x v="2"/>
    <s v="Sundyne International S.A."/>
    <n v="23.92"/>
    <n v="1"/>
    <n v="1"/>
    <n v="0"/>
    <x v="0"/>
    <x v="1"/>
  </r>
  <r>
    <n v="1000020225"/>
    <s v="SKF BEARING - 6001/C3"/>
    <x v="3"/>
    <s v="SKF Eurotrade AB"/>
    <n v="23.6"/>
    <n v="5"/>
    <n v="5"/>
    <n v="0"/>
    <x v="0"/>
    <x v="4"/>
  </r>
  <r>
    <n v="1000020037"/>
    <s v="SKF BEARING - 6202"/>
    <x v="3"/>
    <s v="SKF Eurotrade AB"/>
    <n v="23.408000000000001"/>
    <n v="4"/>
    <n v="4"/>
    <n v="0"/>
    <x v="0"/>
    <x v="4"/>
  </r>
  <r>
    <n v="1000092379"/>
    <s v="SKF - BELT, BLOWER, PART #B40   Model No. PHG"/>
    <x v="3"/>
    <s v="SKF Eurotrade AB"/>
    <n v="22.53"/>
    <n v="3"/>
    <n v="3"/>
    <n v="0"/>
    <x v="0"/>
    <x v="4"/>
  </r>
  <r>
    <n v="2500008902"/>
    <s v="ORIFICE CONTROL 1/8x1/4NPT 2.5"/>
    <x v="0"/>
    <s v="ELGI Gulf FZE"/>
    <n v="22.5"/>
    <n v="3"/>
    <n v="3"/>
    <n v="0"/>
    <x v="0"/>
    <x v="0"/>
  </r>
  <r>
    <n v="2500009333"/>
    <s v="DESCRIPTION : SEAL 45X62X7 ROTATION MOTOR DD|"/>
    <x v="0"/>
    <s v="PARANTHAMAN EXPORTERS"/>
    <n v="22.5"/>
    <n v="1"/>
    <n v="1"/>
    <n v="0"/>
    <x v="0"/>
    <x v="0"/>
  </r>
  <r>
    <n v="1000099617"/>
    <s v="PN:279560000;Weidmueller; Model:AP SAK2.5"/>
    <x v="3"/>
    <s v="Weidmuller Middle East (FZE)"/>
    <n v="22.137909672063"/>
    <n v="16"/>
    <n v="16"/>
    <n v="0"/>
    <x v="0"/>
    <x v="3"/>
  </r>
  <r>
    <n v="1000107188"/>
    <s v="Weidmuller Product; WS 10/12 MC NE WS; P/N:19"/>
    <x v="3"/>
    <s v="Weidmuller Middle East (FZE)"/>
    <n v="22.02"/>
    <n v="240"/>
    <n v="240"/>
    <n v="0"/>
    <x v="0"/>
    <x v="3"/>
  </r>
  <r>
    <n v="1000020438"/>
    <s v="SKF BEARING - 6206 N"/>
    <x v="3"/>
    <s v="SKF Eurotrade AB"/>
    <n v="21.68"/>
    <n v="1"/>
    <n v="1"/>
    <n v="0"/>
    <x v="0"/>
    <x v="4"/>
  </r>
  <r>
    <n v="1000097685"/>
    <s v="Weidmuller; TERMINAL BLOCK; P/N: 1059180000; "/>
    <x v="3"/>
    <s v="Weidmuller Middle East (FZE)"/>
    <n v="21.373333333333299"/>
    <n v="14"/>
    <n v="14"/>
    <n v="0"/>
    <x v="0"/>
    <x v="3"/>
  </r>
  <r>
    <n v="1000106494"/>
    <s v="Weidmuller Product; WTW EN; P/N:1058800000"/>
    <x v="3"/>
    <s v="Weidmuller Middle East (FZE)"/>
    <n v="20.99"/>
    <n v="5"/>
    <n v="5"/>
    <n v="0"/>
    <x v="0"/>
    <x v="3"/>
  </r>
  <r>
    <n v="1000100388"/>
    <s v="SKF Product MB 14"/>
    <x v="3"/>
    <s v="SKF Eurotrade AB"/>
    <n v="20.962499999999999"/>
    <n v="6"/>
    <n v="6"/>
    <n v="0"/>
    <x v="0"/>
    <x v="4"/>
  </r>
  <r>
    <n v="1000100316"/>
    <s v="SKF Product MB 22"/>
    <x v="3"/>
    <s v="SKF Eurotrade AB"/>
    <n v="20.399999999999999"/>
    <n v="2"/>
    <n v="2"/>
    <n v="0"/>
    <x v="0"/>
    <x v="4"/>
  </r>
  <r>
    <n v="1000020626"/>
    <s v="SKF BEARING - 6304-Z/C3"/>
    <x v="3"/>
    <s v="SKF Eurotrade AB"/>
    <n v="20.28"/>
    <n v="2"/>
    <n v="2"/>
    <n v="0"/>
    <x v="0"/>
    <x v="4"/>
  </r>
  <r>
    <n v="1000100333"/>
    <s v="SKF Product 6002/C3"/>
    <x v="3"/>
    <s v="SKF Eurotrade AB"/>
    <n v="19.5"/>
    <n v="4"/>
    <n v="4"/>
    <n v="0"/>
    <x v="0"/>
    <x v="4"/>
  </r>
  <r>
    <n v="1000107249"/>
    <s v="Weidmuller Product; WSI 6/LD 10-36V LLC; P/N:"/>
    <x v="3"/>
    <s v="Weidmuller Middle East (FZE)"/>
    <n v="19.086848644903899"/>
    <n v="1"/>
    <n v="1"/>
    <n v="0"/>
    <x v="0"/>
    <x v="3"/>
  </r>
  <r>
    <n v="1000100434"/>
    <s v="SKF Product MB 20"/>
    <x v="3"/>
    <s v="SKF Eurotrade AB"/>
    <n v="18.975000000000001"/>
    <n v="2"/>
    <n v="2"/>
    <n v="0"/>
    <x v="0"/>
    <x v="4"/>
  </r>
  <r>
    <n v="2500009462"/>
    <s v="DESCRIPTION : KEY SWITCH | Part No: PRD AE 00"/>
    <x v="0"/>
    <s v="PARANTHAMAN EXPORTERS"/>
    <n v="18.75"/>
    <n v="1"/>
    <n v="1"/>
    <n v="0"/>
    <x v="0"/>
    <x v="0"/>
  </r>
  <r>
    <n v="2500009327"/>
    <s v="DESCRIPTION : INNERTUBE REATAINING CIRCLIP| P"/>
    <x v="0"/>
    <s v="PARANTHAMAN EXPORTERS"/>
    <n v="18.75"/>
    <n v="25"/>
    <n v="25"/>
    <n v="0"/>
    <x v="0"/>
    <x v="0"/>
  </r>
  <r>
    <n v="1000020426"/>
    <s v="SKF BEARING - 6204-2Z/WT"/>
    <x v="3"/>
    <s v="SKF Eurotrade AB"/>
    <n v="18.38"/>
    <n v="2"/>
    <n v="2"/>
    <n v="0"/>
    <x v="0"/>
    <x v="4"/>
  </r>
  <r>
    <n v="1000103703"/>
    <s v="SKF Product; W 8"/>
    <x v="3"/>
    <s v="SKF Eurotrade AB"/>
    <n v="17.846834707646099"/>
    <n v="3"/>
    <n v="3"/>
    <n v="0"/>
    <x v="0"/>
    <x v="4"/>
  </r>
  <r>
    <n v="1000020219"/>
    <s v="SKF BEARING - 6000"/>
    <x v="3"/>
    <s v="SKF Eurotrade AB"/>
    <n v="17.600000000000001"/>
    <n v="4"/>
    <n v="4"/>
    <n v="0"/>
    <x v="0"/>
    <x v="4"/>
  </r>
  <r>
    <n v="2500009191"/>
    <s v="Desc:4080720 STRAINER FUEL| P/N:B013603500362"/>
    <x v="0"/>
    <s v="ELGI Gulf FZE"/>
    <n v="16.88"/>
    <n v="1"/>
    <n v="1"/>
    <n v="0"/>
    <x v="0"/>
    <x v="0"/>
  </r>
  <r>
    <n v="1000097686"/>
    <s v="Weidmuller; TERMINAL BLOCK; P/N: 1050020000; "/>
    <x v="3"/>
    <s v="Weidmuller Middle East (FZE)"/>
    <n v="16.690000000000001"/>
    <n v="19"/>
    <n v="19"/>
    <n v="0"/>
    <x v="0"/>
    <x v="3"/>
  </r>
  <r>
    <n v="1000020444"/>
    <s v="SKF BEARING - 6206-2Z/C4"/>
    <x v="3"/>
    <s v="SKF Eurotrade AB"/>
    <n v="16.510000000000002"/>
    <n v="1"/>
    <n v="1"/>
    <n v="0"/>
    <x v="0"/>
    <x v="4"/>
  </r>
  <r>
    <n v="1000020233"/>
    <s v="SKF BEARING - 6003"/>
    <x v="3"/>
    <s v="SKF Eurotrade AB"/>
    <n v="16.38"/>
    <n v="3"/>
    <n v="3"/>
    <n v="0"/>
    <x v="0"/>
    <x v="4"/>
  </r>
  <r>
    <n v="1000093384"/>
    <s v="SKF BEARING - 7414"/>
    <x v="3"/>
    <s v="SKF Eurotrade AB"/>
    <n v="15.91"/>
    <n v="2"/>
    <n v="2"/>
    <n v="0"/>
    <x v="0"/>
    <x v="4"/>
  </r>
  <r>
    <n v="1000107039"/>
    <s v="Weidmuller Product; WDU 4N; P/N:1042600000"/>
    <x v="3"/>
    <s v="Weidmuller Middle East (FZE)"/>
    <n v="14.102"/>
    <n v="10"/>
    <n v="10"/>
    <n v="0"/>
    <x v="0"/>
    <x v="3"/>
  </r>
  <r>
    <n v="1000098301"/>
    <s v="SKF WASHER - MB 3"/>
    <x v="3"/>
    <s v="SKF Eurotrade AB"/>
    <n v="13.896599999999999"/>
    <n v="53"/>
    <n v="53"/>
    <n v="0"/>
    <x v="0"/>
    <x v="4"/>
  </r>
  <r>
    <n v="2500008966"/>
    <s v="SLACKNESS CABLE-1200      P/N B016206800006"/>
    <x v="0"/>
    <s v="ELGI Gulf FZE"/>
    <n v="13.5"/>
    <n v="1"/>
    <n v="1"/>
    <n v="0"/>
    <x v="0"/>
    <x v="0"/>
  </r>
  <r>
    <n v="1000020411"/>
    <s v="SKF BEARING - 6202-2ZNR"/>
    <x v="3"/>
    <s v="SKF Eurotrade AB"/>
    <n v="13.31"/>
    <n v="1"/>
    <n v="1"/>
    <n v="0"/>
    <x v="0"/>
    <x v="4"/>
  </r>
  <r>
    <n v="1000101069"/>
    <s v="Weidmuller;  Model No: WAD 5 MC B GE/SW"/>
    <x v="3"/>
    <s v="Weidmuller Middle East (FZE)"/>
    <n v="13.240393939393901"/>
    <n v="28"/>
    <n v="28"/>
    <n v="0"/>
    <x v="0"/>
    <x v="3"/>
  </r>
  <r>
    <n v="1000020003"/>
    <s v="SKF BEARING - 6301"/>
    <x v="3"/>
    <s v="SKF Eurotrade AB"/>
    <n v="13.02"/>
    <n v="2"/>
    <n v="2"/>
    <n v="0"/>
    <x v="0"/>
    <x v="4"/>
  </r>
  <r>
    <n v="1000020341"/>
    <s v="SKF BEARING - 608-Z/C3"/>
    <x v="3"/>
    <s v="SKF Eurotrade AB"/>
    <n v="12.68"/>
    <n v="2"/>
    <n v="2"/>
    <n v="0"/>
    <x v="0"/>
    <x v="4"/>
  </r>
  <r>
    <n v="1000102221"/>
    <s v="SKF BEARINGS - MB 10"/>
    <x v="10"/>
    <s v="Universal Bearings Company"/>
    <n v="12.5625"/>
    <n v="5"/>
    <n v="5"/>
    <n v="0"/>
    <x v="0"/>
    <x v="4"/>
  </r>
  <r>
    <n v="1000104438"/>
    <s v="SKF Product; AXK 1024"/>
    <x v="3"/>
    <s v="SKF Eurotrade AB"/>
    <n v="12.38"/>
    <n v="2"/>
    <n v="2"/>
    <n v="0"/>
    <x v="0"/>
    <x v="4"/>
  </r>
  <r>
    <n v="1000101345"/>
    <s v="Weidmueller,Product:1776030000;   PN:ZAP/TW Z"/>
    <x v="3"/>
    <s v="Weidmuller Middle East (FZE)"/>
    <n v="12.0745"/>
    <n v="19"/>
    <n v="19"/>
    <n v="0"/>
    <x v="0"/>
    <x v="3"/>
  </r>
  <r>
    <n v="1000097197"/>
    <s v="Weidmuller; 9538110000; WAP WTL6 SL"/>
    <x v="3"/>
    <s v="Weidmuller Middle East (FZE)"/>
    <n v="11.692"/>
    <n v="10"/>
    <n v="10"/>
    <n v="0"/>
    <x v="0"/>
    <x v="3"/>
  </r>
  <r>
    <n v="1000109640"/>
    <s v="Weidmuller Product          SCHT 7   P/N:5179"/>
    <x v="3"/>
    <s v="Weidmuller Middle East (FZE)"/>
    <n v="11.484"/>
    <n v="9"/>
    <n v="9"/>
    <n v="0"/>
    <x v="0"/>
    <x v="3"/>
  </r>
  <r>
    <n v="1000103295"/>
    <s v="H4,0/14 DS GR- Wire-end ferrule"/>
    <x v="3"/>
    <s v="Weidmuller Middle East (FZE)"/>
    <n v="11.48"/>
    <n v="100"/>
    <n v="100"/>
    <n v="0"/>
    <x v="0"/>
    <x v="3"/>
  </r>
  <r>
    <n v="1000101175"/>
    <s v="SKF Oil Seal; Size:65X120X10 HMS5 RG"/>
    <x v="3"/>
    <s v="SKF Eurotrade AB"/>
    <n v="10.95"/>
    <n v="1"/>
    <n v="1"/>
    <n v="0"/>
    <x v="0"/>
    <x v="4"/>
  </r>
  <r>
    <n v="1000017143"/>
    <s v="Weidmuller; Terminal Blocks &amp; Accessories; P/"/>
    <x v="3"/>
    <s v="Weidmuller Middle East (FZE)"/>
    <n v="10.3746296791443"/>
    <n v="9"/>
    <n v="9"/>
    <n v="0"/>
    <x v="0"/>
    <x v="3"/>
  </r>
  <r>
    <n v="1000100389"/>
    <s v="SKF Product 6003-Z"/>
    <x v="3"/>
    <s v="SKF Eurotrade AB"/>
    <n v="9.83"/>
    <n v="1"/>
    <n v="1"/>
    <n v="0"/>
    <x v="0"/>
    <x v="4"/>
  </r>
  <r>
    <n v="1000101865"/>
    <s v="Weidmuller; Model No:WAP WTL6/4FF; PN:1887240"/>
    <x v="3"/>
    <s v="Weidmuller Middle East (FZE)"/>
    <n v="7.8120000000000003"/>
    <n v="7"/>
    <n v="7"/>
    <n v="0"/>
    <x v="0"/>
    <x v="3"/>
  </r>
  <r>
    <n v="2500009454"/>
    <s v="DESCRIPTION : O-RING | Part No: PRD GB 01 91 "/>
    <x v="0"/>
    <s v="PARANTHAMAN EXPORTERS"/>
    <n v="7.5"/>
    <n v="1"/>
    <n v="1"/>
    <n v="0"/>
    <x v="0"/>
    <x v="0"/>
  </r>
  <r>
    <n v="1000020238"/>
    <s v="SKF BEARING - 6004"/>
    <x v="3"/>
    <s v="SKF Eurotrade AB"/>
    <n v="6.05"/>
    <n v="1"/>
    <n v="1"/>
    <n v="0"/>
    <x v="0"/>
    <x v="4"/>
  </r>
  <r>
    <n v="1000103871"/>
    <s v="Weidmuller Product; WS 12/5 PLUS MC NE WS; PN"/>
    <x v="3"/>
    <s v="Weidmuller Middle East (FZE)"/>
    <n v="5.7377105826727197"/>
    <n v="30"/>
    <n v="30"/>
    <n v="0"/>
    <x v="0"/>
    <x v="3"/>
  </r>
  <r>
    <n v="1000101544"/>
    <s v="Weidmuller; Model:G 20/2.00A/F;  PN:430900000"/>
    <x v="3"/>
    <s v="Weidmuller Middle East (FZE)"/>
    <n v="4.5149999999999997"/>
    <n v="3"/>
    <n v="3"/>
    <n v="0"/>
    <x v="0"/>
    <x v="3"/>
  </r>
  <r>
    <n v="1000095207"/>
    <s v="Weidmuller Feed Through ZDU 2.5;   P/N:160851"/>
    <x v="3"/>
    <s v="Weidmuller Middle East (FZE)"/>
    <n v="4.3949804347825996"/>
    <n v="3"/>
    <n v="3"/>
    <n v="0"/>
    <x v="0"/>
    <x v="3"/>
  </r>
  <r>
    <n v="2500009410"/>
    <s v="DESCRIPTION : 62X69X3.5_O-RING | Part No: PRD"/>
    <x v="0"/>
    <s v="PARANTHAMAN EXPORTERS"/>
    <n v="3.75"/>
    <n v="2"/>
    <n v="2"/>
    <n v="0"/>
    <x v="0"/>
    <x v="0"/>
  </r>
  <r>
    <n v="1000109797"/>
    <s v="WAP WDK2.5  PN:1059100000"/>
    <x v="3"/>
    <s v="Weidmuller Middle East (FZE)"/>
    <n v="2.74"/>
    <n v="2"/>
    <n v="2"/>
    <n v="0"/>
    <x v="0"/>
    <x v="3"/>
  </r>
  <r>
    <n v="2500009440"/>
    <s v="DESCRIPTION : O-RING 41.0 x 1.78 N7 | Part No"/>
    <x v="0"/>
    <s v="PARANTHAMAN EXPORTERS"/>
    <n v="1.875"/>
    <n v="1"/>
    <n v="1"/>
    <n v="0"/>
    <x v="0"/>
    <x v="0"/>
  </r>
  <r>
    <n v="1000010240"/>
    <s v="P+F, SMART Current Driver    Model No. KFD2-S"/>
    <x v="3"/>
    <s v="Ralph Messring GmbH"/>
    <n v="0"/>
    <n v="3"/>
    <n v="3"/>
    <n v="0"/>
    <x v="0"/>
    <x v="5"/>
  </r>
  <r>
    <n v="1000021220"/>
    <s v="SKF BEARING - 22214 EK"/>
    <x v="3"/>
    <s v="SKF Eurotrade AB"/>
    <n v="0"/>
    <n v="4"/>
    <n v="4"/>
    <n v="0"/>
    <x v="0"/>
    <x v="4"/>
  </r>
  <r>
    <n v="1000010108"/>
    <s v="Pepperl+Fuchs Inductive Sensor (NBN4-12GM50-E"/>
    <x v="3"/>
    <s v="Pepperl+Fuchs (ME) FZE"/>
    <n v="0"/>
    <n v="8"/>
    <n v="8"/>
    <n v="0"/>
    <x v="0"/>
    <x v="5"/>
  </r>
  <r>
    <n v="1000010134"/>
    <s v="Pepperl+Fuchs Cable Connector (V1-W-2M-PVC)"/>
    <x v="3"/>
    <s v="Pepperl+Fuchs (ME) FZE"/>
    <n v="0"/>
    <n v="8"/>
    <n v="8"/>
    <n v="0"/>
    <x v="0"/>
    <x v="5"/>
  </r>
  <r>
    <n v="1000020009"/>
    <s v="SKF BEARING - NJ 311 ECP"/>
    <x v="3"/>
    <s v="SKF Eurotrade AB"/>
    <n v="0"/>
    <n v="2"/>
    <n v="2"/>
    <n v="0"/>
    <x v="0"/>
    <x v="4"/>
  </r>
  <r>
    <n v="1000010094"/>
    <s v="Pepperl+Fuchs Inductive Sensor (NJ40+U1+A2)"/>
    <x v="3"/>
    <s v="Pepperl+Fuchs (ME) FZE"/>
    <n v="0"/>
    <n v="1"/>
    <n v="1"/>
    <n v="0"/>
    <x v="0"/>
    <x v="5"/>
  </r>
  <r>
    <n v="1000010107"/>
    <s v="Pepperl+Fuchs Inductive Sensor (NBB20-L2M-E2-"/>
    <x v="3"/>
    <s v="Pepperl+Fuchs (ME) FZE"/>
    <n v="0"/>
    <n v="8"/>
    <n v="8"/>
    <n v="0"/>
    <x v="0"/>
    <x v="5"/>
  </r>
  <r>
    <n v="1000010138"/>
    <s v="Pepperl+Fuchs Smart Transmitter Power Supply "/>
    <x v="3"/>
    <s v="Pepperl+Fuchs (ME) FZE"/>
    <n v="0"/>
    <n v="1"/>
    <n v="1"/>
    <n v="0"/>
    <x v="0"/>
    <x v="5"/>
  </r>
  <r>
    <n v="1000021079"/>
    <s v="SKF BEARING - NU 2318 ECJ"/>
    <x v="3"/>
    <s v="SKF Eurotrade AB"/>
    <n v="0"/>
    <n v="1"/>
    <n v="1"/>
    <n v="0"/>
    <x v="0"/>
    <x v="4"/>
  </r>
  <r>
    <n v="1000020014"/>
    <s v="SKF BEARING - 6216 NR"/>
    <x v="3"/>
    <s v="SKF Eurotrade AB"/>
    <n v="0"/>
    <n v="1"/>
    <n v="1"/>
    <n v="0"/>
    <x v="0"/>
    <x v="4"/>
  </r>
  <r>
    <n v="1000095476"/>
    <s v="Weidmuller Model:CLI O 20-3 GE/SW 8 MP;P/N:64"/>
    <x v="3"/>
    <s v="Weidmuller Middle East (FZE)"/>
    <n v="0"/>
    <n v="1"/>
    <n v="1"/>
    <n v="0"/>
    <x v="0"/>
    <x v="3"/>
  </r>
  <r>
    <n v="1000021206"/>
    <s v="SKF BEARING - 22210 EK/C3"/>
    <x v="3"/>
    <s v="SKF Eurotrade AB"/>
    <n v="0"/>
    <n v="6"/>
    <n v="6"/>
    <n v="0"/>
    <x v="0"/>
    <x v="4"/>
  </r>
  <r>
    <n v="1000010137"/>
    <s v="Pepperl+Fuchs Smart Transmitter Power Supply "/>
    <x v="3"/>
    <s v="Pepperl+Fuchs (ME) FZE"/>
    <n v="0"/>
    <n v="1"/>
    <n v="1"/>
    <n v="0"/>
    <x v="0"/>
    <x v="5"/>
  </r>
  <r>
    <n v="1000021297"/>
    <s v="SKF BEARING - 22317 E/C3"/>
    <x v="3"/>
    <s v="SKF Eurotrade AB"/>
    <n v="0"/>
    <n v="4"/>
    <n v="4"/>
    <n v="0"/>
    <x v="0"/>
    <x v="4"/>
  </r>
  <r>
    <n v="1000010092"/>
    <s v="Pepperl+Fuchs Inductive Sensor (KSD2-GW2-PRO)"/>
    <x v="3"/>
    <s v="Pepperl+Fuchs (ME) FZE"/>
    <n v="0"/>
    <n v="3"/>
    <n v="3"/>
    <n v="0"/>
    <x v="0"/>
    <x v="5"/>
  </r>
  <r>
    <n v="1000020008"/>
    <s v="SKF BEARING - 32309 J2/Q"/>
    <x v="3"/>
    <s v="SKF Eurotrade AB"/>
    <n v="0"/>
    <n v="2"/>
    <n v="2"/>
    <n v="0"/>
    <x v="0"/>
    <x v="4"/>
  </r>
  <r>
    <n v="1000021224"/>
    <s v="SKF BEARING - 22215 E/C3"/>
    <x v="3"/>
    <s v="SKF Eurotrade AB"/>
    <n v="0"/>
    <n v="12"/>
    <n v="12"/>
    <n v="0"/>
    <x v="0"/>
    <x v="4"/>
  </r>
  <r>
    <n v="1000021296"/>
    <s v="SKF BEARING - 22317 E"/>
    <x v="3"/>
    <s v="SKF Eurotrade AB"/>
    <n v="0"/>
    <n v="1"/>
    <n v="1"/>
    <n v="0"/>
    <x v="0"/>
    <x v="4"/>
  </r>
  <r>
    <n v="1000010111"/>
    <s v="Pepperl+Fuchs Inductive Sensor (NBB20-U1-E2)"/>
    <x v="3"/>
    <s v="Pepperl+Fuchs (ME) FZE"/>
    <n v="0"/>
    <n v="6"/>
    <n v="6"/>
    <n v="0"/>
    <x v="0"/>
    <x v="5"/>
  </r>
  <r>
    <n v="1000020924"/>
    <s v="SKF BEARING - NJ 2214 ECM"/>
    <x v="3"/>
    <s v="SKF Eurotrade AB"/>
    <n v="0"/>
    <n v="4"/>
    <n v="4"/>
    <n v="0"/>
    <x v="0"/>
    <x v="4"/>
  </r>
  <r>
    <n v="1000104237"/>
    <s v="SKF Product; NU 216 ECM"/>
    <x v="3"/>
    <s v="SKF Eurotrade AB"/>
    <n v="0"/>
    <n v="1"/>
    <n v="1"/>
    <n v="0"/>
    <x v="0"/>
    <x v="4"/>
  </r>
  <r>
    <n v="1000020913"/>
    <s v="SKF BEARING - NJ 2207 ECML/C3"/>
    <x v="3"/>
    <s v="SKF Eurotrade AB"/>
    <n v="0"/>
    <n v="1"/>
    <n v="1"/>
    <n v="0"/>
    <x v="0"/>
    <x v="4"/>
  </r>
  <r>
    <n v="1000010090"/>
    <s v="Pepperl+Fuchs Inductive Sensor (NBB2-8GM40-E2"/>
    <x v="3"/>
    <s v="Pepperl+Fuchs (ME) FZE"/>
    <n v="0"/>
    <n v="5"/>
    <n v="5"/>
    <n v="0"/>
    <x v="0"/>
    <x v="5"/>
  </r>
  <r>
    <n v="1000020015"/>
    <s v="SKF BEARING - 22230 CCK/C3W33"/>
    <x v="3"/>
    <s v="SKF Eurotrade AB"/>
    <n v="0"/>
    <n v="1"/>
    <n v="1"/>
    <n v="0"/>
    <x v="0"/>
    <x v="4"/>
  </r>
  <r>
    <n v="1000020369"/>
    <s v="SKF BEARING - 61817-2RS1"/>
    <x v="3"/>
    <s v="SKF Eurotrade AB"/>
    <n v="0"/>
    <n v="2"/>
    <n v="2"/>
    <n v="0"/>
    <x v="0"/>
    <x v="4"/>
  </r>
  <r>
    <n v="1000093493"/>
    <s v="SKF BEARING - PCM 808560 E"/>
    <x v="3"/>
    <s v="SKF Eurotrade AB"/>
    <n v="0"/>
    <n v="1"/>
    <n v="1"/>
    <n v="0"/>
    <x v="0"/>
    <x v="4"/>
  </r>
  <r>
    <n v="1000021192"/>
    <s v="SKF BEARING - 2220 K"/>
    <x v="3"/>
    <s v="SKF Eurotrade AB"/>
    <n v="0"/>
    <n v="2"/>
    <n v="2"/>
    <n v="0"/>
    <x v="0"/>
    <x v="4"/>
  </r>
  <r>
    <n v="1000020018"/>
    <s v="SKF BEARING - 594/592 A/Q"/>
    <x v="3"/>
    <s v="SKF Eurotrade AB"/>
    <n v="0"/>
    <n v="2"/>
    <n v="2"/>
    <n v="0"/>
    <x v="0"/>
    <x v="4"/>
  </r>
  <r>
    <n v="1000020456"/>
    <s v="SKF BEARING - 6207-2Z/GJN"/>
    <x v="3"/>
    <s v="SKF Eurotrade AB"/>
    <n v="0"/>
    <n v="1"/>
    <n v="1"/>
    <n v="0"/>
    <x v="0"/>
    <x v="4"/>
  </r>
  <r>
    <n v="1000020020"/>
    <s v="SKF BEARING - FYJ 35 KF"/>
    <x v="3"/>
    <s v="SKF Eurotrade AB"/>
    <n v="0"/>
    <n v="2"/>
    <n v="2"/>
    <n v="0"/>
    <x v="0"/>
    <x v="4"/>
  </r>
  <r>
    <n v="1000021313"/>
    <s v="SKF BEARING - 22326 CC/C3W33"/>
    <x v="3"/>
    <s v="SKF Eurotrade AB"/>
    <n v="0"/>
    <n v="8"/>
    <n v="8"/>
    <n v="0"/>
    <x v="0"/>
    <x v="4"/>
  </r>
  <r>
    <n v="1000010129"/>
    <s v="Pepperl+Fuchs Diffuse Mode Sensor (3RG7010-0A"/>
    <x v="3"/>
    <s v="Pepperl+Fuchs (ME) FZE"/>
    <n v="0"/>
    <n v="30"/>
    <n v="30"/>
    <n v="0"/>
    <x v="0"/>
    <x v="5"/>
  </r>
  <r>
    <n v="1000020554"/>
    <s v="SKF BEARING - 62203-2RS1"/>
    <x v="3"/>
    <s v="SKF Eurotrade AB"/>
    <n v="0"/>
    <n v="10"/>
    <n v="10"/>
    <n v="0"/>
    <x v="0"/>
    <x v="4"/>
  </r>
  <r>
    <n v="1000010104"/>
    <s v="Pepperl+Fuchs Inductive Sensor (NBB2-12GM40-Z"/>
    <x v="3"/>
    <s v="Pepperl+Fuchs (ME) FZE"/>
    <n v="0"/>
    <n v="6"/>
    <n v="6"/>
    <n v="0"/>
    <x v="0"/>
    <x v="5"/>
  </r>
  <r>
    <n v="1000021298"/>
    <s v="SKF BEARING - 22317 EK"/>
    <x v="3"/>
    <s v="SKF Eurotrade AB"/>
    <n v="0"/>
    <n v="1"/>
    <n v="1"/>
    <n v="0"/>
    <x v="0"/>
    <x v="4"/>
  </r>
  <r>
    <n v="1000020610"/>
    <s v="SKF BEARING - 63010-2RS1"/>
    <x v="3"/>
    <s v="SKF Eurotrade AB"/>
    <n v="0"/>
    <n v="1"/>
    <n v="1"/>
    <n v="0"/>
    <x v="0"/>
    <x v="4"/>
  </r>
  <r>
    <n v="1000021143"/>
    <s v="SKF BEARING - NU 319 ECM/C3"/>
    <x v="3"/>
    <s v="SKF Eurotrade AB"/>
    <n v="0"/>
    <n v="2"/>
    <n v="2"/>
    <n v="0"/>
    <x v="0"/>
    <x v="4"/>
  </r>
  <r>
    <n v="1000021045"/>
    <s v="SKF BEARING - NU 2214 ECM"/>
    <x v="3"/>
    <s v="SKF Eurotrade AB"/>
    <n v="0"/>
    <n v="4"/>
    <n v="4"/>
    <n v="0"/>
    <x v="0"/>
    <x v="4"/>
  </r>
  <r>
    <n v="1000093882"/>
    <s v="P+F, Inductive Sensor     Model No. NBB15-30G"/>
    <x v="3"/>
    <s v="Pepperl+Fuchs (ME) FZE"/>
    <n v="0"/>
    <n v="6"/>
    <n v="6"/>
    <n v="0"/>
    <x v="0"/>
    <x v="5"/>
  </r>
  <r>
    <n v="1000010144"/>
    <s v="P+F, SMART CURRENT DRIVER  Model No.: KFD2-SC"/>
    <x v="3"/>
    <s v="Pepperl+Fuchs (ME) FZE"/>
    <n v="0"/>
    <n v="3"/>
    <n v="3"/>
    <n v="0"/>
    <x v="0"/>
    <x v="5"/>
  </r>
  <r>
    <n v="1000020889"/>
    <s v="SKF BEARING - NJ 206 ECJ/C3"/>
    <x v="3"/>
    <s v="SKF Eurotrade AB"/>
    <n v="0"/>
    <n v="2"/>
    <n v="2"/>
    <n v="0"/>
    <x v="0"/>
    <x v="4"/>
  </r>
  <r>
    <n v="1000010101"/>
    <s v="Pepperl+Fuchs Inductive Sensor (NJ2-11-SN-G)"/>
    <x v="3"/>
    <s v="Pepperl+Fuchs (ME) FZE"/>
    <n v="0"/>
    <n v="5"/>
    <n v="5"/>
    <n v="0"/>
    <x v="0"/>
    <x v="5"/>
  </r>
  <r>
    <n v="1000010106"/>
    <s v="Pepperl+Fuchs Inductive Sensor; NBB20-L2-E2-V"/>
    <x v="3"/>
    <s v="Pepperl+Fuchs (ME) FZE"/>
    <n v="0"/>
    <n v="5"/>
    <n v="5"/>
    <n v="0"/>
    <x v="0"/>
    <x v="5"/>
  </r>
  <r>
    <n v="1000010098"/>
    <s v="Pepperl+Fuchs Inductive Sensor (NBB15-30GM50-"/>
    <x v="3"/>
    <s v="Pepperl+Fuchs (ME) FZE"/>
    <n v="0"/>
    <n v="5"/>
    <n v="5"/>
    <n v="0"/>
    <x v="0"/>
    <x v="5"/>
  </r>
  <r>
    <n v="1000010102"/>
    <s v="Pepperl+Fuchs Inductive Sensor (NJ40+U1+E2)"/>
    <x v="3"/>
    <s v="Pepperl+Fuchs (ME) FZE"/>
    <n v="0"/>
    <n v="5"/>
    <n v="5"/>
    <n v="0"/>
    <x v="0"/>
    <x v="5"/>
  </r>
  <r>
    <n v="1000021065"/>
    <s v="SKF BEARING - NU 2308 ECJ/C3"/>
    <x v="3"/>
    <s v="SKF Eurotrade AB"/>
    <n v="0"/>
    <n v="2"/>
    <n v="2"/>
    <n v="0"/>
    <x v="0"/>
    <x v="4"/>
  </r>
  <r>
    <n v="1000010126"/>
    <s v="Pepperl+Fuchs Capacitive Sensor (CJ6-18GK-N)"/>
    <x v="3"/>
    <s v="Pepperl+Fuchs (ME) FZE"/>
    <n v="0"/>
    <n v="2"/>
    <n v="2"/>
    <n v="0"/>
    <x v="0"/>
    <x v="5"/>
  </r>
  <r>
    <n v="1000021204"/>
    <s v="SKF BEARING - 22210 E"/>
    <x v="3"/>
    <s v="SKF Eurotrade AB"/>
    <n v="0"/>
    <n v="2"/>
    <n v="2"/>
    <n v="0"/>
    <x v="0"/>
    <x v="4"/>
  </r>
  <r>
    <n v="2100006935"/>
    <s v="MATL:WASHER, DISC PASS - 36 X 48 X 3,0"/>
    <x v="2"/>
    <s v="SPX MIDDLE EAST FZE"/>
    <n v="0"/>
    <n v="12"/>
    <n v="12"/>
    <n v="0"/>
    <x v="0"/>
    <x v="1"/>
  </r>
  <r>
    <n v="1000093504"/>
    <s v="Junction Box FXLS811D P&amp;F"/>
    <x v="10"/>
    <s v="Others"/>
    <n v="0"/>
    <n v="1"/>
    <n v="1"/>
    <n v="0"/>
    <x v="0"/>
    <x v="5"/>
  </r>
  <r>
    <n v="1000093497"/>
    <s v="Junction Box SLS41 P&amp;F"/>
    <x v="10"/>
    <s v="Others"/>
    <n v="0"/>
    <n v="3"/>
    <n v="3"/>
    <n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9DFE8-F1F5-4FD0-8D26-409591A69EC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5" firstHeaderRow="1" firstDataRow="1" firstDataCol="1"/>
  <pivotFields count="10">
    <pivotField dataField="1" numFmtId="1"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axis="axisRow" showAll="0">
      <items count="11">
        <item x="5"/>
        <item x="1"/>
        <item x="4"/>
        <item x="9"/>
        <item x="6"/>
        <item x="8"/>
        <item x="0"/>
        <item x="2"/>
        <item x="3"/>
        <item x="7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tem" fld="0" subtotal="count" baseField="8" baseItem="0"/>
  </dataFields>
  <formats count="10">
    <format dxfId="27">
      <pivotArea collapsedLevelsAreSubtotals="1" fieldPosition="0">
        <references count="1">
          <reference field="8" count="1">
            <x v="1"/>
          </reference>
        </references>
      </pivotArea>
    </format>
    <format dxfId="26">
      <pivotArea dataOnly="0" labelOnly="1" fieldPosition="0">
        <references count="1">
          <reference field="8" count="1">
            <x v="1"/>
          </reference>
        </references>
      </pivotArea>
    </format>
    <format dxfId="25">
      <pivotArea collapsedLevelsAreSubtotals="1" fieldPosition="0">
        <references count="1">
          <reference field="8" count="1">
            <x v="9"/>
          </reference>
        </references>
      </pivotArea>
    </format>
    <format dxfId="24">
      <pivotArea dataOnly="0" labelOnly="1" fieldPosition="0">
        <references count="1">
          <reference field="8" count="1">
            <x v="9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873D2-650E-4F27-8418-4C1FDD5F786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" firstHeaderRow="1" firstDataRow="1" firstDataCol="1"/>
  <pivotFields count="10">
    <pivotField dataField="1" numFmtId="1" showAll="0"/>
    <pivotField showAll="0"/>
    <pivotField axis="axisRow" showAll="0">
      <items count="14">
        <item x="6"/>
        <item x="5"/>
        <item x="3"/>
        <item x="7"/>
        <item x="8"/>
        <item x="10"/>
        <item x="11"/>
        <item x="2"/>
        <item x="4"/>
        <item x="0"/>
        <item x="1"/>
        <item x="12"/>
        <item x="9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Item" fld="0" subtotal="count" baseField="2" baseItem="2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9FF8B-8719-4440-A33C-28BC0EEA5DD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31" firstHeaderRow="1" firstDataRow="1" firstDataCol="1"/>
  <pivotFields count="10">
    <pivotField numFmtId="1" showAll="0"/>
    <pivotField showAll="0"/>
    <pivotField dataField="1" showAll="0">
      <items count="14">
        <item x="6"/>
        <item x="5"/>
        <item x="3"/>
        <item x="7"/>
        <item x="8"/>
        <item x="10"/>
        <item x="11"/>
        <item x="2"/>
        <item x="4"/>
        <item x="0"/>
        <item x="1"/>
        <item x="12"/>
        <item x="9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9">
        <item x="2"/>
        <item x="0"/>
        <item x="3"/>
        <item x="1"/>
        <item x="5"/>
        <item x="6"/>
        <item x="7"/>
        <item x="4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g" fld="2" subtotal="count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9" type="button" dataOnly="0" labelOnly="1" outline="0" axis="axisRow" fieldPosition="0"/>
    </format>
    <format dxfId="36">
      <pivotArea dataOnly="0" labelOnly="1" fieldPosition="0">
        <references count="1">
          <reference field="9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E3C4E-D633-4FBE-85C0-0C212AE5E5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dataField="1" numFmtId="1" showAll="0"/>
    <pivotField showAll="0"/>
    <pivotField axis="axisRow" showAll="0">
      <items count="14">
        <item x="6"/>
        <item x="5"/>
        <item x="3"/>
        <item x="7"/>
        <item x="8"/>
        <item x="10"/>
        <item x="11"/>
        <item x="2"/>
        <item x="4"/>
        <item x="0"/>
        <item x="1"/>
        <item x="12"/>
        <item x="9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Item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20378-8347-4CA7-B9EF-89CE42A600C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0">
    <pivotField dataField="1" numFmtId="1"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axis="axisRow" showAll="0">
      <items count="11">
        <item x="5"/>
        <item x="1"/>
        <item x="4"/>
        <item x="9"/>
        <item x="6"/>
        <item x="8"/>
        <item x="0"/>
        <item x="2"/>
        <item x="3"/>
        <item x="7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tem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627E1-CCB3-4924-A725-0EFDBC94AB4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8" firstHeaderRow="1" firstDataRow="1" firstDataCol="1"/>
  <pivotFields count="10">
    <pivotField numFmtId="1" showAll="0"/>
    <pivotField showAll="0"/>
    <pivotField dataField="1" showAll="0">
      <items count="14">
        <item x="6"/>
        <item x="5"/>
        <item x="3"/>
        <item x="7"/>
        <item x="8"/>
        <item x="10"/>
        <item x="11"/>
        <item x="2"/>
        <item x="4"/>
        <item x="0"/>
        <item x="1"/>
        <item x="12"/>
        <item x="9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9">
        <item x="2"/>
        <item x="0"/>
        <item x="3"/>
        <item x="1"/>
        <item x="5"/>
        <item x="6"/>
        <item x="7"/>
        <item x="4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DA30DF-8B4A-4859-9C89-BB4F3DA3F502}" name="Table335" displayName="Table335" ref="I3:J8" totalsRowCount="1" headerRowDxfId="17" dataDxfId="15" headerRowBorderDxfId="16" tableBorderDxfId="14" totalsRowBorderDxfId="13">
  <autoFilter ref="I3:J7" xr:uid="{15DA30DF-8B4A-4859-9C89-BB4F3DA3F502}"/>
  <tableColumns count="2">
    <tableColumn id="1" xr3:uid="{D68DA8EA-2940-49ED-86C8-F46BC6F8EBA2}" name="Final Reports  Stock Count" dataDxfId="12" totalsRowDxfId="1"/>
    <tableColumn id="2" xr3:uid="{C57C7B4F-9F4E-4EBE-AFEE-16118C52DD0F}" name="Item" totalsRowFunction="custom" dataDxfId="11" totalsRowDxfId="0">
      <totalsRowFormula>J5</totalsRow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2DC36-84B1-41B1-A888-978C8FB34339}" name="Table33" displayName="Table33" ref="H3:I8" totalsRowCount="1" headerRowDxfId="10" dataDxfId="8" headerRowBorderDxfId="9" tableBorderDxfId="7" totalsRowBorderDxfId="6">
  <autoFilter ref="H3:I7" xr:uid="{A5B2DC36-84B1-41B1-A888-978C8FB34339}"/>
  <tableColumns count="2">
    <tableColumn id="1" xr3:uid="{F289CBEC-16ED-4A99-9468-E1F9A1CA446C}" name="Final Reports  Stock Count" dataDxfId="5" totalsRowDxfId="4"/>
    <tableColumn id="2" xr3:uid="{0E0177B3-08FD-4897-BF60-8994C00E44A7}" name="Item" totalsRowFunction="custom" dataDxfId="3" totalsRowDxfId="2">
      <calculatedColumnFormula>GETPIVOTDATA("Remaks",$E$3,"Remaks","CASH SALES")+GETPIVOTDATA("Remaks",$E$3,"Remaks","CLOSED")+GETPIVOTDATA("Remaks",$E$3,"Remaks","CREDIT SALES ")+GETPIVOTDATA("Remaks",$E$3,"Remaks","FOC")+GETPIVOTDATA("Remaks",$E$3,"Remaks","Matching")+GETPIVOTDATA("Remaks",$E$3,"Remaks","PENDING TO CLOSE")+GETPIVOTDATA("Remaks",$E$3,"Remaks","RESAVED")+GETPIVOTDATA("Remaks",$E$3,"Remaks","RMA ")</calculatedColumnFormula>
      <totalsRowFormula>I5</totalsRow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0290-AA23-42A2-B7C0-82488E734EA7}">
  <sheetPr>
    <tabColor rgb="FFFFFF00"/>
  </sheetPr>
  <dimension ref="B1:J31"/>
  <sheetViews>
    <sheetView showGridLines="0" tabSelected="1" workbookViewId="0">
      <selection activeCell="M16" sqref="M16"/>
    </sheetView>
  </sheetViews>
  <sheetFormatPr defaultRowHeight="14.4" x14ac:dyDescent="0.3"/>
  <cols>
    <col min="1" max="1" width="1.21875" customWidth="1"/>
    <col min="2" max="2" width="13.6640625" customWidth="1"/>
    <col min="3" max="3" width="16" customWidth="1"/>
    <col min="4" max="4" width="2.44140625" customWidth="1"/>
    <col min="5" max="5" width="0.109375" hidden="1" customWidth="1"/>
    <col min="6" max="6" width="26.109375" customWidth="1"/>
    <col min="7" max="7" width="12" customWidth="1"/>
    <col min="8" max="8" width="8.77734375" customWidth="1"/>
    <col min="9" max="9" width="27.33203125" bestFit="1" customWidth="1"/>
    <col min="10" max="10" width="9.33203125" bestFit="1" customWidth="1"/>
  </cols>
  <sheetData>
    <row r="1" spans="2:10" ht="18" x14ac:dyDescent="0.3">
      <c r="B1" s="33" t="s">
        <v>2010</v>
      </c>
      <c r="C1" s="34"/>
      <c r="D1" s="34"/>
      <c r="E1" s="34"/>
      <c r="F1" s="34"/>
      <c r="G1" s="34"/>
      <c r="H1" s="34"/>
      <c r="I1" s="34"/>
      <c r="J1" s="34"/>
    </row>
    <row r="3" spans="2:10" x14ac:dyDescent="0.3">
      <c r="B3" s="35" t="s">
        <v>1999</v>
      </c>
      <c r="C3" s="35"/>
      <c r="F3" s="36" t="s">
        <v>2002</v>
      </c>
      <c r="G3" s="36"/>
      <c r="I3" s="1" t="s">
        <v>2007</v>
      </c>
      <c r="J3" s="4" t="s">
        <v>2005</v>
      </c>
    </row>
    <row r="4" spans="2:10" x14ac:dyDescent="0.3">
      <c r="B4" s="27" t="s">
        <v>4673</v>
      </c>
      <c r="C4" s="12" t="s">
        <v>4674</v>
      </c>
      <c r="F4" s="27" t="s">
        <v>4673</v>
      </c>
      <c r="G4" s="12" t="s">
        <v>4674</v>
      </c>
      <c r="I4" s="2" t="s">
        <v>2003</v>
      </c>
      <c r="J4" s="5">
        <f>GETPIVOTDATA("Item",$B$4)</f>
        <v>3004</v>
      </c>
    </row>
    <row r="5" spans="2:10" x14ac:dyDescent="0.3">
      <c r="B5" s="28" t="s">
        <v>2088</v>
      </c>
      <c r="C5" s="12">
        <v>2</v>
      </c>
      <c r="F5" s="28" t="s">
        <v>122</v>
      </c>
      <c r="G5" s="12">
        <v>8</v>
      </c>
      <c r="I5" s="8" t="s">
        <v>2001</v>
      </c>
      <c r="J5" s="7">
        <f>GETPIVOTDATA("Org",$B$22)</f>
        <v>3004</v>
      </c>
    </row>
    <row r="6" spans="2:10" x14ac:dyDescent="0.3">
      <c r="B6" s="28" t="s">
        <v>2109</v>
      </c>
      <c r="C6" s="12">
        <v>45</v>
      </c>
      <c r="F6" s="29" t="s">
        <v>1992</v>
      </c>
      <c r="G6" s="30">
        <v>3</v>
      </c>
      <c r="I6" s="3" t="s">
        <v>2004</v>
      </c>
      <c r="J6" s="6">
        <f>J4-J5</f>
        <v>0</v>
      </c>
    </row>
    <row r="7" spans="2:10" x14ac:dyDescent="0.3">
      <c r="B7" s="28" t="s">
        <v>4</v>
      </c>
      <c r="C7" s="12">
        <v>2549</v>
      </c>
      <c r="F7" s="28" t="s">
        <v>14</v>
      </c>
      <c r="G7" s="12">
        <v>11</v>
      </c>
      <c r="I7" s="9" t="s">
        <v>2006</v>
      </c>
      <c r="J7" s="10">
        <f>J5/J4</f>
        <v>1</v>
      </c>
    </row>
    <row r="8" spans="2:10" x14ac:dyDescent="0.3">
      <c r="B8" s="28" t="s">
        <v>2027</v>
      </c>
      <c r="C8" s="12">
        <v>5</v>
      </c>
      <c r="F8" s="28" t="s">
        <v>1994</v>
      </c>
      <c r="G8" s="12">
        <v>1</v>
      </c>
      <c r="I8" s="13"/>
      <c r="J8" s="14">
        <f>J5</f>
        <v>3004</v>
      </c>
    </row>
    <row r="9" spans="2:10" x14ac:dyDescent="0.3">
      <c r="B9" s="28" t="s">
        <v>2257</v>
      </c>
      <c r="C9" s="12">
        <v>2</v>
      </c>
      <c r="F9" s="28" t="s">
        <v>1995</v>
      </c>
      <c r="G9" s="12">
        <v>8</v>
      </c>
    </row>
    <row r="10" spans="2:10" x14ac:dyDescent="0.3">
      <c r="B10" s="28" t="s">
        <v>2844</v>
      </c>
      <c r="C10" s="12">
        <v>5</v>
      </c>
      <c r="F10" s="28" t="s">
        <v>32</v>
      </c>
      <c r="G10" s="12">
        <v>2</v>
      </c>
    </row>
    <row r="11" spans="2:10" x14ac:dyDescent="0.3">
      <c r="B11" s="28" t="s">
        <v>2205</v>
      </c>
      <c r="C11" s="12">
        <v>3</v>
      </c>
      <c r="F11" s="28" t="s">
        <v>5</v>
      </c>
      <c r="G11" s="12">
        <v>2917</v>
      </c>
    </row>
    <row r="12" spans="2:10" x14ac:dyDescent="0.3">
      <c r="B12" s="28" t="s">
        <v>2037</v>
      </c>
      <c r="C12" s="12">
        <v>54</v>
      </c>
      <c r="F12" s="28" t="s">
        <v>71</v>
      </c>
      <c r="G12" s="12">
        <v>25</v>
      </c>
      <c r="I12" s="37" t="s">
        <v>2008</v>
      </c>
      <c r="J12" s="38"/>
    </row>
    <row r="13" spans="2:10" x14ac:dyDescent="0.3">
      <c r="B13" s="28" t="s">
        <v>2017</v>
      </c>
      <c r="C13" s="12">
        <v>7</v>
      </c>
      <c r="F13" s="28" t="s">
        <v>44</v>
      </c>
      <c r="G13" s="12">
        <v>27</v>
      </c>
      <c r="I13" s="11" t="s">
        <v>2009</v>
      </c>
      <c r="J13" s="15">
        <f>GETPIVOTDATA("Item",$F$4,"Remaks","CHECKING")+GETPIVOTDATA("Item",$F$4,"Remaks","Retun Suppiler")</f>
        <v>5</v>
      </c>
    </row>
    <row r="14" spans="2:10" x14ac:dyDescent="0.3">
      <c r="B14" s="28" t="s">
        <v>1996</v>
      </c>
      <c r="C14" s="12">
        <v>308</v>
      </c>
      <c r="F14" s="29" t="s">
        <v>17</v>
      </c>
      <c r="G14" s="30">
        <v>2</v>
      </c>
    </row>
    <row r="15" spans="2:10" x14ac:dyDescent="0.3">
      <c r="B15" s="28" t="s">
        <v>2030</v>
      </c>
      <c r="C15" s="12">
        <v>20</v>
      </c>
      <c r="F15" s="28" t="s">
        <v>1998</v>
      </c>
      <c r="G15" s="12">
        <v>3004</v>
      </c>
    </row>
    <row r="16" spans="2:10" x14ac:dyDescent="0.3">
      <c r="B16" s="28" t="s">
        <v>2414</v>
      </c>
      <c r="C16" s="12">
        <v>1</v>
      </c>
    </row>
    <row r="17" spans="2:3" x14ac:dyDescent="0.3">
      <c r="B17" s="28" t="s">
        <v>2165</v>
      </c>
      <c r="C17" s="12">
        <v>3</v>
      </c>
    </row>
    <row r="18" spans="2:3" x14ac:dyDescent="0.3">
      <c r="B18" s="28" t="s">
        <v>1998</v>
      </c>
      <c r="C18" s="12">
        <v>3004</v>
      </c>
    </row>
    <row r="21" spans="2:3" x14ac:dyDescent="0.3">
      <c r="B21" s="35" t="s">
        <v>2000</v>
      </c>
      <c r="C21" s="35"/>
    </row>
    <row r="22" spans="2:3" x14ac:dyDescent="0.3">
      <c r="B22" s="27" t="s">
        <v>4673</v>
      </c>
      <c r="C22" s="12" t="s">
        <v>4675</v>
      </c>
    </row>
    <row r="23" spans="2:3" x14ac:dyDescent="0.3">
      <c r="B23" s="28" t="s">
        <v>146</v>
      </c>
      <c r="C23" s="12">
        <v>36</v>
      </c>
    </row>
    <row r="24" spans="2:3" x14ac:dyDescent="0.3">
      <c r="B24" s="28" t="s">
        <v>1993</v>
      </c>
      <c r="C24" s="12">
        <v>312</v>
      </c>
    </row>
    <row r="25" spans="2:3" x14ac:dyDescent="0.3">
      <c r="B25" s="28" t="s">
        <v>1844</v>
      </c>
      <c r="C25" s="12">
        <v>422</v>
      </c>
    </row>
    <row r="26" spans="2:3" x14ac:dyDescent="0.3">
      <c r="B26" s="28" t="s">
        <v>138</v>
      </c>
      <c r="C26" s="12">
        <v>47</v>
      </c>
    </row>
    <row r="27" spans="2:3" x14ac:dyDescent="0.3">
      <c r="B27" s="28" t="s">
        <v>111</v>
      </c>
      <c r="C27" s="12">
        <v>232</v>
      </c>
    </row>
    <row r="28" spans="2:3" x14ac:dyDescent="0.3">
      <c r="B28" s="28" t="s">
        <v>6</v>
      </c>
      <c r="C28" s="12">
        <v>52</v>
      </c>
    </row>
    <row r="29" spans="2:3" x14ac:dyDescent="0.3">
      <c r="B29" s="28" t="s">
        <v>33</v>
      </c>
      <c r="C29" s="12">
        <v>13</v>
      </c>
    </row>
    <row r="30" spans="2:3" x14ac:dyDescent="0.3">
      <c r="B30" s="28" t="s">
        <v>327</v>
      </c>
      <c r="C30" s="12">
        <v>1890</v>
      </c>
    </row>
    <row r="31" spans="2:3" x14ac:dyDescent="0.3">
      <c r="B31" s="28" t="s">
        <v>1998</v>
      </c>
      <c r="C31" s="12">
        <v>3004</v>
      </c>
    </row>
  </sheetData>
  <mergeCells count="5">
    <mergeCell ref="B1:J1"/>
    <mergeCell ref="B3:C3"/>
    <mergeCell ref="F3:G3"/>
    <mergeCell ref="B21:C21"/>
    <mergeCell ref="I12:J12"/>
  </mergeCell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3B43-3153-4E03-A2E8-44D63E7215AC}">
  <dimension ref="A3:I28"/>
  <sheetViews>
    <sheetView topLeftCell="A2" workbookViewId="0">
      <selection activeCell="A2" sqref="A1:XFD1048576"/>
    </sheetView>
  </sheetViews>
  <sheetFormatPr defaultRowHeight="14.4" x14ac:dyDescent="0.3"/>
  <cols>
    <col min="1" max="1" width="12.44140625" bestFit="1" customWidth="1"/>
    <col min="2" max="2" width="12" bestFit="1" customWidth="1"/>
    <col min="5" max="5" width="17.33203125" bestFit="1" customWidth="1"/>
    <col min="6" max="6" width="12" bestFit="1" customWidth="1"/>
    <col min="8" max="8" width="27.33203125" bestFit="1" customWidth="1"/>
    <col min="9" max="9" width="9.33203125" bestFit="1" customWidth="1"/>
  </cols>
  <sheetData>
    <row r="3" spans="1:9" x14ac:dyDescent="0.3">
      <c r="A3" s="25" t="s">
        <v>4673</v>
      </c>
      <c r="B3" t="s">
        <v>4674</v>
      </c>
      <c r="E3" s="25" t="s">
        <v>4673</v>
      </c>
      <c r="F3" t="s">
        <v>4674</v>
      </c>
      <c r="H3" s="1" t="s">
        <v>2007</v>
      </c>
      <c r="I3" s="4" t="s">
        <v>2005</v>
      </c>
    </row>
    <row r="4" spans="1:9" x14ac:dyDescent="0.3">
      <c r="A4" s="26" t="s">
        <v>2088</v>
      </c>
      <c r="B4">
        <v>2</v>
      </c>
      <c r="E4" s="26" t="s">
        <v>122</v>
      </c>
      <c r="F4">
        <v>8</v>
      </c>
      <c r="H4" s="2" t="s">
        <v>2003</v>
      </c>
      <c r="I4" s="5">
        <f>GETPIVOTDATA("Item",$A$3)</f>
        <v>3004</v>
      </c>
    </row>
    <row r="5" spans="1:9" x14ac:dyDescent="0.3">
      <c r="A5" s="26" t="s">
        <v>2109</v>
      </c>
      <c r="B5">
        <v>45</v>
      </c>
      <c r="E5" s="26" t="s">
        <v>1992</v>
      </c>
      <c r="F5">
        <v>3</v>
      </c>
      <c r="H5" s="8" t="s">
        <v>2001</v>
      </c>
      <c r="I5" s="7">
        <f>GETPIVOTDATA("Org",$A$19)</f>
        <v>3004</v>
      </c>
    </row>
    <row r="6" spans="1:9" x14ac:dyDescent="0.3">
      <c r="A6" s="26" t="s">
        <v>4</v>
      </c>
      <c r="B6">
        <v>2549</v>
      </c>
      <c r="E6" s="26" t="s">
        <v>14</v>
      </c>
      <c r="F6">
        <v>11</v>
      </c>
      <c r="H6" s="3" t="s">
        <v>2004</v>
      </c>
      <c r="I6" s="6">
        <f>I4-I5</f>
        <v>0</v>
      </c>
    </row>
    <row r="7" spans="1:9" x14ac:dyDescent="0.3">
      <c r="A7" s="26" t="s">
        <v>2027</v>
      </c>
      <c r="B7">
        <v>5</v>
      </c>
      <c r="E7" s="26" t="s">
        <v>1994</v>
      </c>
      <c r="F7">
        <v>1</v>
      </c>
      <c r="H7" s="9" t="s">
        <v>2006</v>
      </c>
      <c r="I7" s="10">
        <f>I5/I4</f>
        <v>1</v>
      </c>
    </row>
    <row r="8" spans="1:9" x14ac:dyDescent="0.3">
      <c r="A8" s="26" t="s">
        <v>2257</v>
      </c>
      <c r="B8">
        <v>2</v>
      </c>
      <c r="E8" s="26" t="s">
        <v>1995</v>
      </c>
      <c r="F8">
        <v>8</v>
      </c>
      <c r="H8" s="13"/>
      <c r="I8" s="14">
        <f>I5</f>
        <v>3004</v>
      </c>
    </row>
    <row r="9" spans="1:9" x14ac:dyDescent="0.3">
      <c r="A9" s="26" t="s">
        <v>2844</v>
      </c>
      <c r="B9">
        <v>5</v>
      </c>
      <c r="E9" s="26" t="s">
        <v>32</v>
      </c>
      <c r="F9">
        <v>2</v>
      </c>
    </row>
    <row r="10" spans="1:9" x14ac:dyDescent="0.3">
      <c r="A10" s="26" t="s">
        <v>2205</v>
      </c>
      <c r="B10">
        <v>3</v>
      </c>
      <c r="E10" s="26" t="s">
        <v>5</v>
      </c>
      <c r="F10">
        <v>2917</v>
      </c>
    </row>
    <row r="11" spans="1:9" x14ac:dyDescent="0.3">
      <c r="A11" s="26" t="s">
        <v>2037</v>
      </c>
      <c r="B11">
        <v>54</v>
      </c>
      <c r="E11" s="26" t="s">
        <v>71</v>
      </c>
      <c r="F11">
        <v>25</v>
      </c>
    </row>
    <row r="12" spans="1:9" x14ac:dyDescent="0.3">
      <c r="A12" s="26" t="s">
        <v>2017</v>
      </c>
      <c r="B12">
        <v>7</v>
      </c>
      <c r="E12" s="26" t="s">
        <v>44</v>
      </c>
      <c r="F12">
        <v>27</v>
      </c>
    </row>
    <row r="13" spans="1:9" x14ac:dyDescent="0.3">
      <c r="A13" s="26" t="s">
        <v>1996</v>
      </c>
      <c r="B13">
        <v>308</v>
      </c>
      <c r="E13" s="26" t="s">
        <v>17</v>
      </c>
      <c r="F13">
        <v>2</v>
      </c>
    </row>
    <row r="14" spans="1:9" x14ac:dyDescent="0.3">
      <c r="A14" s="26" t="s">
        <v>2030</v>
      </c>
      <c r="B14">
        <v>20</v>
      </c>
      <c r="E14" s="26" t="s">
        <v>1998</v>
      </c>
      <c r="F14">
        <v>3004</v>
      </c>
    </row>
    <row r="15" spans="1:9" x14ac:dyDescent="0.3">
      <c r="A15" s="26" t="s">
        <v>2414</v>
      </c>
      <c r="B15">
        <v>1</v>
      </c>
    </row>
    <row r="16" spans="1:9" x14ac:dyDescent="0.3">
      <c r="A16" s="26" t="s">
        <v>2165</v>
      </c>
      <c r="B16">
        <v>3</v>
      </c>
    </row>
    <row r="17" spans="1:2" x14ac:dyDescent="0.3">
      <c r="A17" s="26" t="s">
        <v>1998</v>
      </c>
      <c r="B17">
        <v>3004</v>
      </c>
    </row>
    <row r="19" spans="1:2" x14ac:dyDescent="0.3">
      <c r="A19" s="25" t="s">
        <v>4673</v>
      </c>
      <c r="B19" t="s">
        <v>4675</v>
      </c>
    </row>
    <row r="20" spans="1:2" x14ac:dyDescent="0.3">
      <c r="A20" s="26" t="s">
        <v>146</v>
      </c>
      <c r="B20">
        <v>36</v>
      </c>
    </row>
    <row r="21" spans="1:2" x14ac:dyDescent="0.3">
      <c r="A21" s="26" t="s">
        <v>1993</v>
      </c>
      <c r="B21">
        <v>312</v>
      </c>
    </row>
    <row r="22" spans="1:2" x14ac:dyDescent="0.3">
      <c r="A22" s="26" t="s">
        <v>1844</v>
      </c>
      <c r="B22">
        <v>422</v>
      </c>
    </row>
    <row r="23" spans="1:2" x14ac:dyDescent="0.3">
      <c r="A23" s="26" t="s">
        <v>138</v>
      </c>
      <c r="B23">
        <v>47</v>
      </c>
    </row>
    <row r="24" spans="1:2" x14ac:dyDescent="0.3">
      <c r="A24" s="26" t="s">
        <v>111</v>
      </c>
      <c r="B24">
        <v>232</v>
      </c>
    </row>
    <row r="25" spans="1:2" x14ac:dyDescent="0.3">
      <c r="A25" s="26" t="s">
        <v>6</v>
      </c>
      <c r="B25">
        <v>52</v>
      </c>
    </row>
    <row r="26" spans="1:2" x14ac:dyDescent="0.3">
      <c r="A26" s="26" t="s">
        <v>33</v>
      </c>
      <c r="B26">
        <v>13</v>
      </c>
    </row>
    <row r="27" spans="1:2" x14ac:dyDescent="0.3">
      <c r="A27" s="26" t="s">
        <v>327</v>
      </c>
      <c r="B27">
        <v>1890</v>
      </c>
    </row>
    <row r="28" spans="1:2" x14ac:dyDescent="0.3">
      <c r="A28" s="26" t="s">
        <v>1998</v>
      </c>
      <c r="B28">
        <v>3004</v>
      </c>
    </row>
  </sheetData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1923-C2F7-4C78-B65E-975F1439343F}">
  <sheetPr>
    <tabColor rgb="FF92D050"/>
  </sheetPr>
  <dimension ref="A1:J3005"/>
  <sheetViews>
    <sheetView workbookViewId="0">
      <selection activeCell="B13" sqref="B13"/>
    </sheetView>
  </sheetViews>
  <sheetFormatPr defaultRowHeight="14.4" x14ac:dyDescent="0.3"/>
  <cols>
    <col min="1" max="1" width="12" bestFit="1" customWidth="1"/>
    <col min="2" max="2" width="49" bestFit="1" customWidth="1"/>
    <col min="3" max="3" width="5.77734375" customWidth="1"/>
    <col min="4" max="4" width="32.109375" customWidth="1"/>
    <col min="5" max="5" width="13.77734375" style="21" customWidth="1"/>
    <col min="6" max="6" width="13.109375" style="21" bestFit="1" customWidth="1"/>
    <col min="7" max="7" width="13.88671875" bestFit="1" customWidth="1"/>
    <col min="8" max="8" width="10.77734375" bestFit="1" customWidth="1"/>
    <col min="9" max="9" width="17.33203125" bestFit="1" customWidth="1"/>
    <col min="10" max="10" width="10.77734375" customWidth="1"/>
  </cols>
  <sheetData>
    <row r="1" spans="1:10" s="20" customFormat="1" ht="12" x14ac:dyDescent="0.25">
      <c r="A1" s="16" t="s">
        <v>2005</v>
      </c>
      <c r="B1" s="17" t="s">
        <v>2011</v>
      </c>
      <c r="C1" s="18" t="s">
        <v>2012</v>
      </c>
      <c r="D1" s="17" t="s">
        <v>2013</v>
      </c>
      <c r="E1" s="19" t="s">
        <v>2014</v>
      </c>
      <c r="F1" s="19" t="s">
        <v>0</v>
      </c>
      <c r="G1" s="19" t="s">
        <v>1997</v>
      </c>
      <c r="H1" s="19" t="s">
        <v>1</v>
      </c>
      <c r="I1" s="19" t="s">
        <v>2</v>
      </c>
      <c r="J1" s="19" t="s">
        <v>3</v>
      </c>
    </row>
    <row r="2" spans="1:10" s="20" customFormat="1" ht="12" x14ac:dyDescent="0.25">
      <c r="A2" s="22">
        <v>2500008072</v>
      </c>
      <c r="B2" s="23" t="s">
        <v>2024</v>
      </c>
      <c r="C2" s="24" t="s">
        <v>1996</v>
      </c>
      <c r="D2" s="23" t="s">
        <v>2025</v>
      </c>
      <c r="E2" s="23">
        <v>431418.75</v>
      </c>
      <c r="F2" s="23">
        <v>6</v>
      </c>
      <c r="G2" s="23">
        <v>6</v>
      </c>
      <c r="H2" s="23">
        <v>0</v>
      </c>
      <c r="I2" s="23" t="s">
        <v>5</v>
      </c>
      <c r="J2" s="23" t="s">
        <v>1993</v>
      </c>
    </row>
    <row r="3" spans="1:10" s="20" customFormat="1" ht="12" x14ac:dyDescent="0.25">
      <c r="A3" s="22">
        <v>2100005760</v>
      </c>
      <c r="B3" s="23" t="s">
        <v>2029</v>
      </c>
      <c r="C3" s="24" t="s">
        <v>2030</v>
      </c>
      <c r="D3" s="23" t="s">
        <v>2031</v>
      </c>
      <c r="E3" s="23">
        <v>396434.25</v>
      </c>
      <c r="F3" s="23">
        <v>2</v>
      </c>
      <c r="G3" s="23">
        <v>2</v>
      </c>
      <c r="H3" s="23">
        <v>0</v>
      </c>
      <c r="I3" s="23" t="s">
        <v>5</v>
      </c>
      <c r="J3" s="23" t="s">
        <v>138</v>
      </c>
    </row>
    <row r="4" spans="1:10" s="20" customFormat="1" ht="12" x14ac:dyDescent="0.25">
      <c r="A4" s="22">
        <v>2500008046</v>
      </c>
      <c r="B4" s="23" t="s">
        <v>2039</v>
      </c>
      <c r="C4" s="24" t="s">
        <v>1996</v>
      </c>
      <c r="D4" s="23" t="s">
        <v>2025</v>
      </c>
      <c r="E4" s="23">
        <v>293671.25</v>
      </c>
      <c r="F4" s="23">
        <v>5</v>
      </c>
      <c r="G4" s="23">
        <v>5</v>
      </c>
      <c r="H4" s="23">
        <v>0</v>
      </c>
      <c r="I4" s="23" t="s">
        <v>5</v>
      </c>
      <c r="J4" s="23" t="s">
        <v>1993</v>
      </c>
    </row>
    <row r="5" spans="1:10" s="20" customFormat="1" ht="12" x14ac:dyDescent="0.25">
      <c r="A5" s="22">
        <v>2500009006</v>
      </c>
      <c r="B5" s="23" t="s">
        <v>2040</v>
      </c>
      <c r="C5" s="24" t="s">
        <v>1996</v>
      </c>
      <c r="D5" s="23" t="s">
        <v>2025</v>
      </c>
      <c r="E5" s="23">
        <v>287250</v>
      </c>
      <c r="F5" s="23">
        <v>2</v>
      </c>
      <c r="G5" s="23">
        <v>2</v>
      </c>
      <c r="H5" s="23">
        <v>0</v>
      </c>
      <c r="I5" s="23" t="s">
        <v>5</v>
      </c>
      <c r="J5" s="23" t="s">
        <v>1993</v>
      </c>
    </row>
    <row r="6" spans="1:10" s="20" customFormat="1" ht="12" x14ac:dyDescent="0.25">
      <c r="A6" s="22">
        <v>2200003135</v>
      </c>
      <c r="B6" s="23" t="s">
        <v>2041</v>
      </c>
      <c r="C6" s="24" t="s">
        <v>2030</v>
      </c>
      <c r="D6" s="23" t="s">
        <v>2038</v>
      </c>
      <c r="E6" s="23">
        <v>280676.66200000001</v>
      </c>
      <c r="F6" s="23">
        <v>1</v>
      </c>
      <c r="G6" s="23">
        <v>1</v>
      </c>
      <c r="H6" s="23">
        <v>0</v>
      </c>
      <c r="I6" s="23" t="s">
        <v>5</v>
      </c>
      <c r="J6" s="23" t="s">
        <v>138</v>
      </c>
    </row>
    <row r="7" spans="1:10" s="20" customFormat="1" ht="12" x14ac:dyDescent="0.25">
      <c r="A7" s="22">
        <v>2200002811</v>
      </c>
      <c r="B7" s="23" t="s">
        <v>2050</v>
      </c>
      <c r="C7" s="24" t="s">
        <v>2037</v>
      </c>
      <c r="D7" s="23" t="s">
        <v>2038</v>
      </c>
      <c r="E7" s="23">
        <v>223935.01</v>
      </c>
      <c r="F7" s="23">
        <v>2</v>
      </c>
      <c r="G7" s="23">
        <v>2</v>
      </c>
      <c r="H7" s="23">
        <v>0</v>
      </c>
      <c r="I7" s="23" t="s">
        <v>5</v>
      </c>
      <c r="J7" s="23" t="s">
        <v>146</v>
      </c>
    </row>
    <row r="8" spans="1:10" s="20" customFormat="1" ht="12" x14ac:dyDescent="0.25">
      <c r="A8" s="22">
        <v>2500008043</v>
      </c>
      <c r="B8" s="23" t="s">
        <v>2051</v>
      </c>
      <c r="C8" s="24" t="s">
        <v>1996</v>
      </c>
      <c r="D8" s="23" t="s">
        <v>2025</v>
      </c>
      <c r="E8" s="23">
        <v>218803.31632653001</v>
      </c>
      <c r="F8" s="23">
        <v>6</v>
      </c>
      <c r="G8" s="23">
        <v>6</v>
      </c>
      <c r="H8" s="23">
        <v>0</v>
      </c>
      <c r="I8" s="23" t="s">
        <v>5</v>
      </c>
      <c r="J8" s="23" t="s">
        <v>1993</v>
      </c>
    </row>
    <row r="9" spans="1:10" s="20" customFormat="1" ht="12" x14ac:dyDescent="0.25">
      <c r="A9" s="22">
        <v>2200003150</v>
      </c>
      <c r="B9" s="23" t="s">
        <v>2053</v>
      </c>
      <c r="C9" s="24" t="s">
        <v>2037</v>
      </c>
      <c r="D9" s="23" t="s">
        <v>2038</v>
      </c>
      <c r="E9" s="23">
        <v>207199.04</v>
      </c>
      <c r="F9" s="23">
        <v>1</v>
      </c>
      <c r="G9" s="23">
        <v>1</v>
      </c>
      <c r="H9" s="23">
        <v>0</v>
      </c>
      <c r="I9" s="23" t="s">
        <v>5</v>
      </c>
      <c r="J9" s="23" t="s">
        <v>138</v>
      </c>
    </row>
    <row r="10" spans="1:10" s="20" customFormat="1" ht="12" x14ac:dyDescent="0.25">
      <c r="A10" s="22">
        <v>1000093681</v>
      </c>
      <c r="B10" s="23" t="s">
        <v>2055</v>
      </c>
      <c r="C10" s="24" t="s">
        <v>4</v>
      </c>
      <c r="D10" s="23" t="s">
        <v>2056</v>
      </c>
      <c r="E10" s="23">
        <v>203159.01828058201</v>
      </c>
      <c r="F10" s="23">
        <v>7322</v>
      </c>
      <c r="G10" s="23">
        <v>7322</v>
      </c>
      <c r="H10" s="23">
        <v>0</v>
      </c>
      <c r="I10" s="23" t="s">
        <v>5</v>
      </c>
      <c r="J10" s="23" t="s">
        <v>1844</v>
      </c>
    </row>
    <row r="11" spans="1:10" s="20" customFormat="1" ht="12" x14ac:dyDescent="0.25">
      <c r="A11" s="22">
        <v>2500008070</v>
      </c>
      <c r="B11" s="23" t="s">
        <v>2059</v>
      </c>
      <c r="C11" s="24" t="s">
        <v>1996</v>
      </c>
      <c r="D11" s="23" t="s">
        <v>2025</v>
      </c>
      <c r="E11" s="23">
        <v>196687.5</v>
      </c>
      <c r="F11" s="23">
        <v>5</v>
      </c>
      <c r="G11" s="23">
        <v>5</v>
      </c>
      <c r="H11" s="23">
        <v>0</v>
      </c>
      <c r="I11" s="23" t="s">
        <v>5</v>
      </c>
      <c r="J11" s="23" t="s">
        <v>1993</v>
      </c>
    </row>
    <row r="12" spans="1:10" s="20" customFormat="1" ht="12" x14ac:dyDescent="0.25">
      <c r="A12" s="22">
        <v>2500008042</v>
      </c>
      <c r="B12" s="23" t="s">
        <v>2060</v>
      </c>
      <c r="C12" s="24" t="s">
        <v>1996</v>
      </c>
      <c r="D12" s="23" t="s">
        <v>2025</v>
      </c>
      <c r="E12" s="23">
        <v>194820</v>
      </c>
      <c r="F12" s="23">
        <v>8</v>
      </c>
      <c r="G12" s="23">
        <v>8</v>
      </c>
      <c r="H12" s="23">
        <v>0</v>
      </c>
      <c r="I12" s="23" t="s">
        <v>5</v>
      </c>
      <c r="J12" s="23" t="s">
        <v>1993</v>
      </c>
    </row>
    <row r="13" spans="1:10" s="20" customFormat="1" ht="12" x14ac:dyDescent="0.25">
      <c r="A13" s="22">
        <v>2200003134</v>
      </c>
      <c r="B13" s="23" t="s">
        <v>2062</v>
      </c>
      <c r="C13" s="24" t="s">
        <v>2030</v>
      </c>
      <c r="D13" s="23" t="s">
        <v>2038</v>
      </c>
      <c r="E13" s="23">
        <v>186758.88</v>
      </c>
      <c r="F13" s="23">
        <v>1</v>
      </c>
      <c r="G13" s="23">
        <v>1</v>
      </c>
      <c r="H13" s="23">
        <v>0</v>
      </c>
      <c r="I13" s="23" t="s">
        <v>5</v>
      </c>
      <c r="J13" s="23" t="s">
        <v>138</v>
      </c>
    </row>
    <row r="14" spans="1:10" s="20" customFormat="1" ht="12" x14ac:dyDescent="0.25">
      <c r="A14" s="22">
        <v>2300000004</v>
      </c>
      <c r="B14" s="23" t="s">
        <v>320</v>
      </c>
      <c r="C14" s="24" t="s">
        <v>2017</v>
      </c>
      <c r="D14" s="23" t="s">
        <v>2063</v>
      </c>
      <c r="E14" s="23">
        <v>177561.60000000001</v>
      </c>
      <c r="F14" s="23">
        <v>8</v>
      </c>
      <c r="G14" s="23">
        <v>8</v>
      </c>
      <c r="H14" s="23">
        <v>0</v>
      </c>
      <c r="I14" s="23" t="s">
        <v>5</v>
      </c>
      <c r="J14" s="23" t="s">
        <v>146</v>
      </c>
    </row>
    <row r="15" spans="1:10" s="20" customFormat="1" ht="12" x14ac:dyDescent="0.25">
      <c r="A15" s="22">
        <v>1000105721</v>
      </c>
      <c r="B15" s="23" t="s">
        <v>2065</v>
      </c>
      <c r="C15" s="24" t="s">
        <v>4</v>
      </c>
      <c r="D15" s="23" t="s">
        <v>2056</v>
      </c>
      <c r="E15" s="23">
        <v>174468.56165798099</v>
      </c>
      <c r="F15" s="23">
        <v>28795</v>
      </c>
      <c r="G15" s="23">
        <v>28795</v>
      </c>
      <c r="H15" s="23">
        <v>0</v>
      </c>
      <c r="I15" s="23" t="s">
        <v>5</v>
      </c>
      <c r="J15" s="23" t="s">
        <v>1844</v>
      </c>
    </row>
    <row r="16" spans="1:10" s="20" customFormat="1" ht="12" x14ac:dyDescent="0.25">
      <c r="A16" s="22">
        <v>2200003072</v>
      </c>
      <c r="B16" s="23" t="s">
        <v>2066</v>
      </c>
      <c r="C16" s="24" t="s">
        <v>2037</v>
      </c>
      <c r="D16" s="23" t="s">
        <v>2067</v>
      </c>
      <c r="E16" s="23">
        <v>169622.42</v>
      </c>
      <c r="F16" s="23">
        <v>1</v>
      </c>
      <c r="G16" s="23">
        <v>1</v>
      </c>
      <c r="H16" s="23">
        <v>0</v>
      </c>
      <c r="I16" s="23" t="s">
        <v>5</v>
      </c>
      <c r="J16" s="23" t="s">
        <v>146</v>
      </c>
    </row>
    <row r="17" spans="1:10" s="20" customFormat="1" ht="12" x14ac:dyDescent="0.25">
      <c r="A17" s="22">
        <v>2000013008</v>
      </c>
      <c r="B17" s="23" t="s">
        <v>2071</v>
      </c>
      <c r="C17" s="24" t="s">
        <v>2017</v>
      </c>
      <c r="D17" s="23" t="s">
        <v>2072</v>
      </c>
      <c r="E17" s="23">
        <v>156466.53333333301</v>
      </c>
      <c r="F17" s="23">
        <v>8</v>
      </c>
      <c r="G17" s="23">
        <v>8</v>
      </c>
      <c r="H17" s="23">
        <v>0</v>
      </c>
      <c r="I17" s="23" t="s">
        <v>5</v>
      </c>
      <c r="J17" s="23" t="s">
        <v>138</v>
      </c>
    </row>
    <row r="18" spans="1:10" s="20" customFormat="1" ht="12" x14ac:dyDescent="0.25">
      <c r="A18" s="22">
        <v>2500008365</v>
      </c>
      <c r="B18" s="23" t="s">
        <v>2082</v>
      </c>
      <c r="C18" s="24" t="s">
        <v>1996</v>
      </c>
      <c r="D18" s="23" t="s">
        <v>2025</v>
      </c>
      <c r="E18" s="23">
        <v>134250</v>
      </c>
      <c r="F18" s="23">
        <v>2</v>
      </c>
      <c r="G18" s="23">
        <v>2</v>
      </c>
      <c r="H18" s="23">
        <v>0</v>
      </c>
      <c r="I18" s="23" t="s">
        <v>5</v>
      </c>
      <c r="J18" s="23" t="s">
        <v>1993</v>
      </c>
    </row>
    <row r="19" spans="1:10" s="20" customFormat="1" ht="12" x14ac:dyDescent="0.25">
      <c r="A19" s="22">
        <v>2500008958</v>
      </c>
      <c r="B19" s="23" t="s">
        <v>2083</v>
      </c>
      <c r="C19" s="24" t="s">
        <v>1996</v>
      </c>
      <c r="D19" s="23" t="s">
        <v>2025</v>
      </c>
      <c r="E19" s="23">
        <v>133886.25000199801</v>
      </c>
      <c r="F19" s="23">
        <v>1</v>
      </c>
      <c r="G19" s="23">
        <v>1</v>
      </c>
      <c r="H19" s="23">
        <v>0</v>
      </c>
      <c r="I19" s="23" t="s">
        <v>5</v>
      </c>
      <c r="J19" s="23" t="s">
        <v>1993</v>
      </c>
    </row>
    <row r="20" spans="1:10" s="20" customFormat="1" ht="12" x14ac:dyDescent="0.25">
      <c r="A20" s="22">
        <v>1000103940</v>
      </c>
      <c r="B20" s="23" t="s">
        <v>2084</v>
      </c>
      <c r="C20" s="24" t="s">
        <v>4</v>
      </c>
      <c r="D20" s="23" t="s">
        <v>2056</v>
      </c>
      <c r="E20" s="23">
        <v>132000</v>
      </c>
      <c r="F20" s="23">
        <v>30000</v>
      </c>
      <c r="G20" s="23">
        <v>30000</v>
      </c>
      <c r="H20" s="23">
        <v>0</v>
      </c>
      <c r="I20" s="23" t="s">
        <v>5</v>
      </c>
      <c r="J20" s="23" t="s">
        <v>1844</v>
      </c>
    </row>
    <row r="21" spans="1:10" s="20" customFormat="1" ht="12" x14ac:dyDescent="0.25">
      <c r="A21" s="22">
        <v>1000103152</v>
      </c>
      <c r="B21" s="23" t="s">
        <v>2089</v>
      </c>
      <c r="C21" s="24" t="s">
        <v>4</v>
      </c>
      <c r="D21" s="23" t="s">
        <v>2090</v>
      </c>
      <c r="E21" s="23">
        <v>121794.53</v>
      </c>
      <c r="F21" s="23">
        <v>6</v>
      </c>
      <c r="G21" s="23">
        <v>6</v>
      </c>
      <c r="H21" s="23">
        <v>0</v>
      </c>
      <c r="I21" s="23" t="s">
        <v>5</v>
      </c>
      <c r="J21" s="23" t="s">
        <v>327</v>
      </c>
    </row>
    <row r="22" spans="1:10" s="20" customFormat="1" ht="12" x14ac:dyDescent="0.25">
      <c r="A22" s="22">
        <v>2500008044</v>
      </c>
      <c r="B22" s="23" t="s">
        <v>2091</v>
      </c>
      <c r="C22" s="24" t="s">
        <v>1996</v>
      </c>
      <c r="D22" s="23" t="s">
        <v>2025</v>
      </c>
      <c r="E22" s="23">
        <v>121751.71875</v>
      </c>
      <c r="F22" s="23">
        <v>3</v>
      </c>
      <c r="G22" s="23">
        <v>3</v>
      </c>
      <c r="H22" s="23">
        <v>0</v>
      </c>
      <c r="I22" s="23" t="s">
        <v>5</v>
      </c>
      <c r="J22" s="23" t="s">
        <v>1993</v>
      </c>
    </row>
    <row r="23" spans="1:10" s="20" customFormat="1" ht="12" x14ac:dyDescent="0.25">
      <c r="A23" s="22">
        <v>2500000779</v>
      </c>
      <c r="B23" s="23" t="s">
        <v>2093</v>
      </c>
      <c r="C23" s="24" t="s">
        <v>1996</v>
      </c>
      <c r="D23" s="23" t="s">
        <v>2025</v>
      </c>
      <c r="E23" s="23">
        <v>119937.72817677</v>
      </c>
      <c r="F23" s="23">
        <v>172</v>
      </c>
      <c r="G23" s="23">
        <v>2</v>
      </c>
      <c r="H23" s="23">
        <v>170</v>
      </c>
      <c r="I23" s="23" t="s">
        <v>1992</v>
      </c>
      <c r="J23" s="23" t="s">
        <v>1993</v>
      </c>
    </row>
    <row r="24" spans="1:10" s="20" customFormat="1" ht="12" x14ac:dyDescent="0.25">
      <c r="A24" s="22">
        <v>2200002698</v>
      </c>
      <c r="B24" s="23" t="s">
        <v>181</v>
      </c>
      <c r="C24" s="24" t="s">
        <v>2037</v>
      </c>
      <c r="D24" s="23" t="s">
        <v>2038</v>
      </c>
      <c r="E24" s="23">
        <v>118534.63</v>
      </c>
      <c r="F24" s="23">
        <v>4</v>
      </c>
      <c r="G24" s="23">
        <v>4</v>
      </c>
      <c r="H24" s="23">
        <v>0</v>
      </c>
      <c r="I24" s="23" t="s">
        <v>5</v>
      </c>
      <c r="J24" s="23" t="s">
        <v>138</v>
      </c>
    </row>
    <row r="25" spans="1:10" s="20" customFormat="1" ht="12" x14ac:dyDescent="0.25">
      <c r="A25" s="22">
        <v>1000109604</v>
      </c>
      <c r="B25" s="23" t="s">
        <v>2094</v>
      </c>
      <c r="C25" s="24" t="s">
        <v>4</v>
      </c>
      <c r="D25" s="23" t="s">
        <v>2090</v>
      </c>
      <c r="E25" s="23">
        <v>116226</v>
      </c>
      <c r="F25" s="23">
        <v>6</v>
      </c>
      <c r="G25" s="23">
        <v>0</v>
      </c>
      <c r="H25" s="23">
        <v>6</v>
      </c>
      <c r="I25" s="23" t="s">
        <v>71</v>
      </c>
      <c r="J25" s="23" t="s">
        <v>327</v>
      </c>
    </row>
    <row r="26" spans="1:10" s="20" customFormat="1" ht="12" x14ac:dyDescent="0.25">
      <c r="A26" s="22">
        <v>2200001586</v>
      </c>
      <c r="B26" s="23" t="s">
        <v>2095</v>
      </c>
      <c r="C26" s="24" t="s">
        <v>2030</v>
      </c>
      <c r="D26" s="23" t="s">
        <v>2038</v>
      </c>
      <c r="E26" s="23">
        <v>115732.67</v>
      </c>
      <c r="F26" s="23">
        <v>1</v>
      </c>
      <c r="G26" s="23">
        <v>1</v>
      </c>
      <c r="H26" s="23">
        <v>0</v>
      </c>
      <c r="I26" s="23" t="s">
        <v>5</v>
      </c>
      <c r="J26" s="23" t="s">
        <v>138</v>
      </c>
    </row>
    <row r="27" spans="1:10" s="20" customFormat="1" ht="12" x14ac:dyDescent="0.25">
      <c r="A27" s="22">
        <v>1000098746</v>
      </c>
      <c r="B27" s="23" t="s">
        <v>1686</v>
      </c>
      <c r="C27" s="24" t="s">
        <v>4</v>
      </c>
      <c r="D27" s="23" t="s">
        <v>2090</v>
      </c>
      <c r="E27" s="23">
        <v>109318.6575</v>
      </c>
      <c r="F27" s="23">
        <v>21</v>
      </c>
      <c r="G27" s="23">
        <v>21</v>
      </c>
      <c r="H27" s="23">
        <v>0</v>
      </c>
      <c r="I27" s="23" t="s">
        <v>5</v>
      </c>
      <c r="J27" s="23" t="s">
        <v>327</v>
      </c>
    </row>
    <row r="28" spans="1:10" s="20" customFormat="1" ht="12" x14ac:dyDescent="0.25">
      <c r="A28" s="22">
        <v>1000105720</v>
      </c>
      <c r="B28" s="23" t="s">
        <v>1888</v>
      </c>
      <c r="C28" s="24" t="s">
        <v>4</v>
      </c>
      <c r="D28" s="23" t="s">
        <v>2056</v>
      </c>
      <c r="E28" s="23">
        <v>108673.255193573</v>
      </c>
      <c r="F28" s="23">
        <v>48014</v>
      </c>
      <c r="G28" s="23">
        <v>48014</v>
      </c>
      <c r="H28" s="23">
        <v>0</v>
      </c>
      <c r="I28" s="23" t="s">
        <v>5</v>
      </c>
      <c r="J28" s="23" t="s">
        <v>1844</v>
      </c>
    </row>
    <row r="29" spans="1:10" s="20" customFormat="1" ht="12" x14ac:dyDescent="0.25">
      <c r="A29" s="22">
        <v>2700000002</v>
      </c>
      <c r="B29" s="23" t="s">
        <v>212</v>
      </c>
      <c r="C29" s="24" t="s">
        <v>2037</v>
      </c>
      <c r="D29" s="23" t="s">
        <v>2038</v>
      </c>
      <c r="E29" s="23">
        <v>102050.65874879999</v>
      </c>
      <c r="F29" s="23">
        <v>11</v>
      </c>
      <c r="G29" s="23">
        <v>11</v>
      </c>
      <c r="H29" s="23">
        <v>0</v>
      </c>
      <c r="I29" s="23" t="s">
        <v>5</v>
      </c>
      <c r="J29" s="23" t="s">
        <v>138</v>
      </c>
    </row>
    <row r="30" spans="1:10" s="20" customFormat="1" ht="12" x14ac:dyDescent="0.25">
      <c r="A30" s="22">
        <v>2100005590</v>
      </c>
      <c r="B30" s="23" t="s">
        <v>2107</v>
      </c>
      <c r="C30" s="24" t="s">
        <v>2037</v>
      </c>
      <c r="D30" s="23" t="s">
        <v>2075</v>
      </c>
      <c r="E30" s="23">
        <v>99635.25</v>
      </c>
      <c r="F30" s="23">
        <v>13</v>
      </c>
      <c r="G30" s="23">
        <v>13</v>
      </c>
      <c r="H30" s="23">
        <v>0</v>
      </c>
      <c r="I30" s="23" t="s">
        <v>5</v>
      </c>
      <c r="J30" s="23" t="s">
        <v>138</v>
      </c>
    </row>
    <row r="31" spans="1:10" s="20" customFormat="1" ht="12" x14ac:dyDescent="0.25">
      <c r="A31" s="22">
        <v>2200003011</v>
      </c>
      <c r="B31" s="23" t="s">
        <v>2114</v>
      </c>
      <c r="C31" s="24" t="s">
        <v>2037</v>
      </c>
      <c r="D31" s="23" t="s">
        <v>2038</v>
      </c>
      <c r="E31" s="23">
        <v>96474.92</v>
      </c>
      <c r="F31" s="23">
        <v>2</v>
      </c>
      <c r="G31" s="23">
        <v>2</v>
      </c>
      <c r="H31" s="23">
        <v>0</v>
      </c>
      <c r="I31" s="23" t="s">
        <v>5</v>
      </c>
      <c r="J31" s="23" t="s">
        <v>146</v>
      </c>
    </row>
    <row r="32" spans="1:10" s="20" customFormat="1" ht="12" x14ac:dyDescent="0.25">
      <c r="A32" s="22">
        <v>2500008040</v>
      </c>
      <c r="B32" s="23" t="s">
        <v>2121</v>
      </c>
      <c r="C32" s="24" t="s">
        <v>1996</v>
      </c>
      <c r="D32" s="23" t="s">
        <v>2025</v>
      </c>
      <c r="E32" s="23">
        <v>90604.5</v>
      </c>
      <c r="F32" s="23">
        <v>6</v>
      </c>
      <c r="G32" s="23">
        <v>6</v>
      </c>
      <c r="H32" s="23">
        <v>0</v>
      </c>
      <c r="I32" s="23" t="s">
        <v>5</v>
      </c>
      <c r="J32" s="23" t="s">
        <v>1993</v>
      </c>
    </row>
    <row r="33" spans="1:10" s="20" customFormat="1" ht="12" x14ac:dyDescent="0.25">
      <c r="A33" s="22">
        <v>1000020853</v>
      </c>
      <c r="B33" s="23" t="s">
        <v>1044</v>
      </c>
      <c r="C33" s="24" t="s">
        <v>4</v>
      </c>
      <c r="D33" s="23" t="s">
        <v>2090</v>
      </c>
      <c r="E33" s="23">
        <v>89581.393870607993</v>
      </c>
      <c r="F33" s="23">
        <v>212</v>
      </c>
      <c r="G33" s="23">
        <v>212</v>
      </c>
      <c r="H33" s="23">
        <v>0</v>
      </c>
      <c r="I33" s="23" t="s">
        <v>5</v>
      </c>
      <c r="J33" s="23" t="s">
        <v>327</v>
      </c>
    </row>
    <row r="34" spans="1:10" s="20" customFormat="1" ht="12" x14ac:dyDescent="0.25">
      <c r="A34" s="22">
        <v>1000020857</v>
      </c>
      <c r="B34" s="23" t="s">
        <v>1047</v>
      </c>
      <c r="C34" s="24" t="s">
        <v>4</v>
      </c>
      <c r="D34" s="23" t="s">
        <v>2090</v>
      </c>
      <c r="E34" s="23">
        <v>83361.709411386502</v>
      </c>
      <c r="F34" s="23">
        <v>189</v>
      </c>
      <c r="G34" s="23">
        <v>189</v>
      </c>
      <c r="H34" s="23">
        <v>0</v>
      </c>
      <c r="I34" s="23" t="s">
        <v>5</v>
      </c>
      <c r="J34" s="23" t="s">
        <v>327</v>
      </c>
    </row>
    <row r="35" spans="1:10" s="20" customFormat="1" ht="12" x14ac:dyDescent="0.25">
      <c r="A35" s="22">
        <v>1000093662</v>
      </c>
      <c r="B35" s="23" t="s">
        <v>2133</v>
      </c>
      <c r="C35" s="24" t="s">
        <v>4</v>
      </c>
      <c r="D35" s="23" t="s">
        <v>2056</v>
      </c>
      <c r="E35" s="23">
        <v>79744.796637912499</v>
      </c>
      <c r="F35" s="23">
        <v>64572</v>
      </c>
      <c r="G35" s="23">
        <v>64572</v>
      </c>
      <c r="H35" s="23">
        <v>0</v>
      </c>
      <c r="I35" s="23" t="s">
        <v>5</v>
      </c>
      <c r="J35" s="23" t="s">
        <v>1844</v>
      </c>
    </row>
    <row r="36" spans="1:10" s="20" customFormat="1" ht="12" x14ac:dyDescent="0.25">
      <c r="A36" s="22">
        <v>1000093437</v>
      </c>
      <c r="B36" s="23" t="s">
        <v>2139</v>
      </c>
      <c r="C36" s="24" t="s">
        <v>4</v>
      </c>
      <c r="D36" s="23" t="s">
        <v>2056</v>
      </c>
      <c r="E36" s="23">
        <v>77373.834400220803</v>
      </c>
      <c r="F36" s="23">
        <v>22510</v>
      </c>
      <c r="G36" s="23">
        <v>22510</v>
      </c>
      <c r="H36" s="23">
        <v>0</v>
      </c>
      <c r="I36" s="23" t="s">
        <v>5</v>
      </c>
      <c r="J36" s="23" t="s">
        <v>1844</v>
      </c>
    </row>
    <row r="37" spans="1:10" s="20" customFormat="1" ht="12" x14ac:dyDescent="0.25">
      <c r="A37" s="22">
        <v>1000020862</v>
      </c>
      <c r="B37" s="23" t="s">
        <v>1051</v>
      </c>
      <c r="C37" s="24" t="s">
        <v>4</v>
      </c>
      <c r="D37" s="23" t="s">
        <v>2090</v>
      </c>
      <c r="E37" s="23">
        <v>75843.695489576305</v>
      </c>
      <c r="F37" s="23">
        <v>171</v>
      </c>
      <c r="G37" s="23">
        <v>175</v>
      </c>
      <c r="H37" s="23">
        <v>-4</v>
      </c>
      <c r="I37" s="23" t="s">
        <v>71</v>
      </c>
      <c r="J37" s="23" t="s">
        <v>327</v>
      </c>
    </row>
    <row r="38" spans="1:10" s="20" customFormat="1" ht="12" x14ac:dyDescent="0.25">
      <c r="A38" s="22">
        <v>1000020842</v>
      </c>
      <c r="B38" s="23" t="s">
        <v>1035</v>
      </c>
      <c r="C38" s="24" t="s">
        <v>4</v>
      </c>
      <c r="D38" s="23" t="s">
        <v>2090</v>
      </c>
      <c r="E38" s="23">
        <v>74149.761875371507</v>
      </c>
      <c r="F38" s="23">
        <v>299</v>
      </c>
      <c r="G38" s="23">
        <v>299</v>
      </c>
      <c r="H38" s="23">
        <v>0</v>
      </c>
      <c r="I38" s="23" t="s">
        <v>5</v>
      </c>
      <c r="J38" s="23" t="s">
        <v>327</v>
      </c>
    </row>
    <row r="39" spans="1:10" s="20" customFormat="1" ht="12" x14ac:dyDescent="0.25">
      <c r="A39" s="22">
        <v>1000100403</v>
      </c>
      <c r="B39" s="23" t="s">
        <v>2147</v>
      </c>
      <c r="C39" s="24" t="s">
        <v>4</v>
      </c>
      <c r="D39" s="23" t="s">
        <v>2090</v>
      </c>
      <c r="E39" s="23">
        <v>69677.024999999994</v>
      </c>
      <c r="F39" s="23">
        <v>8</v>
      </c>
      <c r="G39" s="23">
        <v>8</v>
      </c>
      <c r="H39" s="23">
        <v>0</v>
      </c>
      <c r="I39" s="23" t="s">
        <v>5</v>
      </c>
      <c r="J39" s="23" t="s">
        <v>327</v>
      </c>
    </row>
    <row r="40" spans="1:10" s="20" customFormat="1" ht="12" x14ac:dyDescent="0.25">
      <c r="A40" s="22">
        <v>1000094655</v>
      </c>
      <c r="B40" s="23" t="s">
        <v>2151</v>
      </c>
      <c r="C40" s="24" t="s">
        <v>4</v>
      </c>
      <c r="D40" s="23" t="s">
        <v>2056</v>
      </c>
      <c r="E40" s="23">
        <v>67481.363994155807</v>
      </c>
      <c r="F40" s="23">
        <v>66046</v>
      </c>
      <c r="G40" s="23">
        <v>66046</v>
      </c>
      <c r="H40" s="23">
        <v>0</v>
      </c>
      <c r="I40" s="23" t="s">
        <v>5</v>
      </c>
      <c r="J40" s="23" t="s">
        <v>1844</v>
      </c>
    </row>
    <row r="41" spans="1:10" s="20" customFormat="1" ht="12" x14ac:dyDescent="0.25">
      <c r="A41" s="22">
        <v>1000095814</v>
      </c>
      <c r="B41" s="23" t="s">
        <v>2154</v>
      </c>
      <c r="C41" s="24" t="s">
        <v>4</v>
      </c>
      <c r="D41" s="23" t="s">
        <v>2056</v>
      </c>
      <c r="E41" s="23">
        <v>66673.3315281916</v>
      </c>
      <c r="F41" s="23">
        <v>4480</v>
      </c>
      <c r="G41" s="23">
        <v>4480</v>
      </c>
      <c r="H41" s="23">
        <v>0</v>
      </c>
      <c r="I41" s="23" t="s">
        <v>5</v>
      </c>
      <c r="J41" s="23" t="s">
        <v>1844</v>
      </c>
    </row>
    <row r="42" spans="1:10" s="20" customFormat="1" ht="12" x14ac:dyDescent="0.25">
      <c r="A42" s="22">
        <v>2500008052</v>
      </c>
      <c r="B42" s="23" t="s">
        <v>2156</v>
      </c>
      <c r="C42" s="24" t="s">
        <v>1996</v>
      </c>
      <c r="D42" s="23" t="s">
        <v>2025</v>
      </c>
      <c r="E42" s="23">
        <v>64927.5</v>
      </c>
      <c r="F42" s="23">
        <v>6</v>
      </c>
      <c r="G42" s="23">
        <v>6</v>
      </c>
      <c r="H42" s="23">
        <v>0</v>
      </c>
      <c r="I42" s="23" t="s">
        <v>5</v>
      </c>
      <c r="J42" s="23" t="s">
        <v>1993</v>
      </c>
    </row>
    <row r="43" spans="1:10" s="20" customFormat="1" ht="12" x14ac:dyDescent="0.25">
      <c r="A43" s="22">
        <v>1000107342</v>
      </c>
      <c r="B43" s="23" t="s">
        <v>133</v>
      </c>
      <c r="C43" s="24" t="s">
        <v>4</v>
      </c>
      <c r="D43" s="23" t="s">
        <v>2161</v>
      </c>
      <c r="E43" s="23">
        <v>62746.262882856601</v>
      </c>
      <c r="F43" s="23">
        <v>38</v>
      </c>
      <c r="G43" s="23">
        <v>38</v>
      </c>
      <c r="H43" s="23">
        <v>0</v>
      </c>
      <c r="I43" s="23" t="s">
        <v>5</v>
      </c>
      <c r="J43" s="23" t="s">
        <v>111</v>
      </c>
    </row>
    <row r="44" spans="1:10" s="20" customFormat="1" ht="12" x14ac:dyDescent="0.25">
      <c r="A44" s="22">
        <v>2300000021</v>
      </c>
      <c r="B44" s="23" t="s">
        <v>323</v>
      </c>
      <c r="C44" s="24" t="s">
        <v>2017</v>
      </c>
      <c r="D44" s="23" t="s">
        <v>2063</v>
      </c>
      <c r="E44" s="23">
        <v>61923.533333333296</v>
      </c>
      <c r="F44" s="23">
        <v>5</v>
      </c>
      <c r="G44" s="23">
        <v>5</v>
      </c>
      <c r="H44" s="23">
        <v>0</v>
      </c>
      <c r="I44" s="23" t="s">
        <v>5</v>
      </c>
      <c r="J44" s="23" t="s">
        <v>146</v>
      </c>
    </row>
    <row r="45" spans="1:10" s="20" customFormat="1" ht="12" x14ac:dyDescent="0.25">
      <c r="A45" s="22">
        <v>1000102206</v>
      </c>
      <c r="B45" s="23" t="s">
        <v>1769</v>
      </c>
      <c r="C45" s="24" t="s">
        <v>4</v>
      </c>
      <c r="D45" s="23" t="s">
        <v>2090</v>
      </c>
      <c r="E45" s="23">
        <v>61725.85</v>
      </c>
      <c r="F45" s="23">
        <v>10</v>
      </c>
      <c r="G45" s="23">
        <v>10</v>
      </c>
      <c r="H45" s="23">
        <v>0</v>
      </c>
      <c r="I45" s="23" t="s">
        <v>5</v>
      </c>
      <c r="J45" s="23" t="s">
        <v>327</v>
      </c>
    </row>
    <row r="46" spans="1:10" s="20" customFormat="1" ht="12" x14ac:dyDescent="0.25">
      <c r="A46" s="22">
        <v>1000020708</v>
      </c>
      <c r="B46" s="23" t="s">
        <v>917</v>
      </c>
      <c r="C46" s="24" t="s">
        <v>4</v>
      </c>
      <c r="D46" s="23" t="s">
        <v>2090</v>
      </c>
      <c r="E46" s="23">
        <v>61292.815581524599</v>
      </c>
      <c r="F46" s="23">
        <v>475</v>
      </c>
      <c r="G46" s="23">
        <v>475</v>
      </c>
      <c r="H46" s="23">
        <v>0</v>
      </c>
      <c r="I46" s="23" t="s">
        <v>44</v>
      </c>
      <c r="J46" s="23" t="s">
        <v>327</v>
      </c>
    </row>
    <row r="47" spans="1:10" s="20" customFormat="1" ht="12" x14ac:dyDescent="0.25">
      <c r="A47" s="22">
        <v>2500008274</v>
      </c>
      <c r="B47" s="23" t="s">
        <v>2168</v>
      </c>
      <c r="C47" s="24" t="s">
        <v>1996</v>
      </c>
      <c r="D47" s="23" t="s">
        <v>2025</v>
      </c>
      <c r="E47" s="23">
        <v>59794.464285714203</v>
      </c>
      <c r="F47" s="23">
        <v>5</v>
      </c>
      <c r="G47" s="23">
        <v>5</v>
      </c>
      <c r="H47" s="23">
        <v>0</v>
      </c>
      <c r="I47" s="23" t="s">
        <v>5</v>
      </c>
      <c r="J47" s="23" t="s">
        <v>1993</v>
      </c>
    </row>
    <row r="48" spans="1:10" s="20" customFormat="1" ht="12" x14ac:dyDescent="0.25">
      <c r="A48" s="22">
        <v>2500008041</v>
      </c>
      <c r="B48" s="23" t="s">
        <v>2170</v>
      </c>
      <c r="C48" s="24" t="s">
        <v>1996</v>
      </c>
      <c r="D48" s="23" t="s">
        <v>2025</v>
      </c>
      <c r="E48" s="23">
        <v>59485.9788359788</v>
      </c>
      <c r="F48" s="23">
        <v>4</v>
      </c>
      <c r="G48" s="23">
        <v>4</v>
      </c>
      <c r="H48" s="23">
        <v>0</v>
      </c>
      <c r="I48" s="23" t="s">
        <v>5</v>
      </c>
      <c r="J48" s="23" t="s">
        <v>1993</v>
      </c>
    </row>
    <row r="49" spans="1:10" s="20" customFormat="1" ht="12" x14ac:dyDescent="0.25">
      <c r="A49" s="22">
        <v>1000093601</v>
      </c>
      <c r="B49" s="23" t="s">
        <v>2175</v>
      </c>
      <c r="C49" s="24" t="s">
        <v>4</v>
      </c>
      <c r="D49" s="23" t="s">
        <v>2056</v>
      </c>
      <c r="E49" s="23">
        <v>58945.468503429802</v>
      </c>
      <c r="F49" s="23">
        <v>6412</v>
      </c>
      <c r="G49" s="23">
        <v>6412</v>
      </c>
      <c r="H49" s="23">
        <v>0</v>
      </c>
      <c r="I49" s="23" t="s">
        <v>5</v>
      </c>
      <c r="J49" s="23" t="s">
        <v>1844</v>
      </c>
    </row>
    <row r="50" spans="1:10" s="20" customFormat="1" ht="12" x14ac:dyDescent="0.25">
      <c r="A50" s="22">
        <v>2500008054</v>
      </c>
      <c r="B50" s="23" t="s">
        <v>2179</v>
      </c>
      <c r="C50" s="24" t="s">
        <v>1996</v>
      </c>
      <c r="D50" s="23" t="s">
        <v>2025</v>
      </c>
      <c r="E50" s="23">
        <v>58200</v>
      </c>
      <c r="F50" s="23">
        <v>4</v>
      </c>
      <c r="G50" s="23">
        <v>4</v>
      </c>
      <c r="H50" s="23">
        <v>0</v>
      </c>
      <c r="I50" s="23" t="s">
        <v>5</v>
      </c>
      <c r="J50" s="23" t="s">
        <v>1993</v>
      </c>
    </row>
    <row r="51" spans="1:10" s="20" customFormat="1" ht="12" x14ac:dyDescent="0.25">
      <c r="A51" s="22">
        <v>1000093666</v>
      </c>
      <c r="B51" s="23" t="s">
        <v>2181</v>
      </c>
      <c r="C51" s="24" t="s">
        <v>4</v>
      </c>
      <c r="D51" s="23" t="s">
        <v>2056</v>
      </c>
      <c r="E51" s="23">
        <v>56717.252202845397</v>
      </c>
      <c r="F51" s="23">
        <v>5215</v>
      </c>
      <c r="G51" s="23">
        <v>5215</v>
      </c>
      <c r="H51" s="23">
        <v>0</v>
      </c>
      <c r="I51" s="23" t="s">
        <v>5</v>
      </c>
      <c r="J51" s="23" t="s">
        <v>1844</v>
      </c>
    </row>
    <row r="52" spans="1:10" s="20" customFormat="1" ht="12" x14ac:dyDescent="0.25">
      <c r="A52" s="22">
        <v>1000102431</v>
      </c>
      <c r="B52" s="23" t="s">
        <v>2184</v>
      </c>
      <c r="C52" s="24" t="s">
        <v>4</v>
      </c>
      <c r="D52" s="23" t="s">
        <v>2056</v>
      </c>
      <c r="E52" s="23">
        <v>55591.730858585797</v>
      </c>
      <c r="F52" s="23">
        <v>1735</v>
      </c>
      <c r="G52" s="23">
        <v>1735</v>
      </c>
      <c r="H52" s="23">
        <v>0</v>
      </c>
      <c r="I52" s="23" t="s">
        <v>5</v>
      </c>
      <c r="J52" s="23" t="s">
        <v>1844</v>
      </c>
    </row>
    <row r="53" spans="1:10" s="20" customFormat="1" ht="12" x14ac:dyDescent="0.25">
      <c r="A53" s="22">
        <v>2100006464</v>
      </c>
      <c r="B53" s="23" t="s">
        <v>139</v>
      </c>
      <c r="C53" s="24" t="s">
        <v>2037</v>
      </c>
      <c r="D53" s="23" t="s">
        <v>2031</v>
      </c>
      <c r="E53" s="23">
        <v>54620.146000000001</v>
      </c>
      <c r="F53" s="23">
        <v>85</v>
      </c>
      <c r="G53" s="23">
        <v>85</v>
      </c>
      <c r="H53" s="23">
        <v>0</v>
      </c>
      <c r="I53" s="23" t="s">
        <v>5</v>
      </c>
      <c r="J53" s="23" t="s">
        <v>138</v>
      </c>
    </row>
    <row r="54" spans="1:10" s="20" customFormat="1" ht="12" x14ac:dyDescent="0.25">
      <c r="A54" s="22">
        <v>1000095498</v>
      </c>
      <c r="B54" s="23" t="s">
        <v>2189</v>
      </c>
      <c r="C54" s="24" t="s">
        <v>4</v>
      </c>
      <c r="D54" s="23" t="s">
        <v>2090</v>
      </c>
      <c r="E54" s="23">
        <v>52058.480833333299</v>
      </c>
      <c r="F54" s="23">
        <v>22</v>
      </c>
      <c r="G54" s="23">
        <v>22</v>
      </c>
      <c r="H54" s="23">
        <v>0</v>
      </c>
      <c r="I54" s="23" t="s">
        <v>5</v>
      </c>
      <c r="J54" s="23" t="s">
        <v>327</v>
      </c>
    </row>
    <row r="55" spans="1:10" s="20" customFormat="1" ht="12" x14ac:dyDescent="0.25">
      <c r="A55" s="22">
        <v>2500008057</v>
      </c>
      <c r="B55" s="23" t="s">
        <v>2195</v>
      </c>
      <c r="C55" s="24" t="s">
        <v>1996</v>
      </c>
      <c r="D55" s="23" t="s">
        <v>2025</v>
      </c>
      <c r="E55" s="23">
        <v>49784.375</v>
      </c>
      <c r="F55" s="23">
        <v>5</v>
      </c>
      <c r="G55" s="23">
        <v>5</v>
      </c>
      <c r="H55" s="23">
        <v>0</v>
      </c>
      <c r="I55" s="23" t="s">
        <v>5</v>
      </c>
      <c r="J55" s="23" t="s">
        <v>1993</v>
      </c>
    </row>
    <row r="56" spans="1:10" s="20" customFormat="1" ht="12" x14ac:dyDescent="0.25">
      <c r="A56" s="22">
        <v>2100006465</v>
      </c>
      <c r="B56" s="23" t="s">
        <v>2197</v>
      </c>
      <c r="C56" s="24" t="s">
        <v>2037</v>
      </c>
      <c r="D56" s="23" t="s">
        <v>2031</v>
      </c>
      <c r="E56" s="23">
        <v>49364.5964705882</v>
      </c>
      <c r="F56" s="23">
        <v>22</v>
      </c>
      <c r="G56" s="23">
        <v>22</v>
      </c>
      <c r="H56" s="23">
        <v>0</v>
      </c>
      <c r="I56" s="23" t="s">
        <v>5</v>
      </c>
      <c r="J56" s="23" t="s">
        <v>138</v>
      </c>
    </row>
    <row r="57" spans="1:10" s="20" customFormat="1" ht="12" x14ac:dyDescent="0.25">
      <c r="A57" s="22">
        <v>2200000276</v>
      </c>
      <c r="B57" s="23" t="s">
        <v>147</v>
      </c>
      <c r="C57" s="24" t="s">
        <v>2037</v>
      </c>
      <c r="D57" s="23" t="s">
        <v>2038</v>
      </c>
      <c r="E57" s="23">
        <v>49125.927996101098</v>
      </c>
      <c r="F57" s="23">
        <v>11</v>
      </c>
      <c r="G57" s="23">
        <v>11</v>
      </c>
      <c r="H57" s="23">
        <v>0</v>
      </c>
      <c r="I57" s="23" t="s">
        <v>5</v>
      </c>
      <c r="J57" s="23" t="s">
        <v>146</v>
      </c>
    </row>
    <row r="58" spans="1:10" s="20" customFormat="1" ht="12" x14ac:dyDescent="0.25">
      <c r="A58" s="22">
        <v>1000104689</v>
      </c>
      <c r="B58" s="23" t="s">
        <v>2199</v>
      </c>
      <c r="C58" s="24" t="s">
        <v>2109</v>
      </c>
      <c r="D58" s="23" t="s">
        <v>2070</v>
      </c>
      <c r="E58" s="23">
        <v>48996</v>
      </c>
      <c r="F58" s="23">
        <v>2</v>
      </c>
      <c r="G58" s="23">
        <v>2</v>
      </c>
      <c r="H58" s="23">
        <v>0</v>
      </c>
      <c r="I58" s="23" t="s">
        <v>5</v>
      </c>
      <c r="J58" s="23" t="s">
        <v>6</v>
      </c>
    </row>
    <row r="59" spans="1:10" s="20" customFormat="1" ht="12" x14ac:dyDescent="0.25">
      <c r="A59" s="22">
        <v>1000096820</v>
      </c>
      <c r="B59" s="23" t="s">
        <v>2200</v>
      </c>
      <c r="C59" s="24" t="s">
        <v>4</v>
      </c>
      <c r="D59" s="23" t="s">
        <v>2056</v>
      </c>
      <c r="E59" s="23">
        <v>48872.918814302298</v>
      </c>
      <c r="F59" s="23">
        <v>17122</v>
      </c>
      <c r="G59" s="23">
        <v>17122</v>
      </c>
      <c r="H59" s="23">
        <v>0</v>
      </c>
      <c r="I59" s="23" t="s">
        <v>5</v>
      </c>
      <c r="J59" s="23" t="s">
        <v>1844</v>
      </c>
    </row>
    <row r="60" spans="1:10" s="20" customFormat="1" ht="12" x14ac:dyDescent="0.25">
      <c r="A60" s="22">
        <v>1000099124</v>
      </c>
      <c r="B60" s="23" t="s">
        <v>2201</v>
      </c>
      <c r="C60" s="24" t="s">
        <v>4</v>
      </c>
      <c r="D60" s="23" t="s">
        <v>2090</v>
      </c>
      <c r="E60" s="23">
        <v>48651.46</v>
      </c>
      <c r="F60" s="23">
        <v>18</v>
      </c>
      <c r="G60" s="23">
        <v>18</v>
      </c>
      <c r="H60" s="23">
        <v>0</v>
      </c>
      <c r="I60" s="23" t="s">
        <v>5</v>
      </c>
      <c r="J60" s="23" t="s">
        <v>327</v>
      </c>
    </row>
    <row r="61" spans="1:10" s="20" customFormat="1" ht="12" x14ac:dyDescent="0.25">
      <c r="A61" s="22">
        <v>1000102205</v>
      </c>
      <c r="B61" s="23" t="s">
        <v>1768</v>
      </c>
      <c r="C61" s="24" t="s">
        <v>4</v>
      </c>
      <c r="D61" s="23" t="s">
        <v>2090</v>
      </c>
      <c r="E61" s="23">
        <v>47943</v>
      </c>
      <c r="F61" s="23">
        <v>15</v>
      </c>
      <c r="G61" s="23">
        <v>15</v>
      </c>
      <c r="H61" s="23">
        <v>0</v>
      </c>
      <c r="I61" s="23" t="s">
        <v>5</v>
      </c>
      <c r="J61" s="23" t="s">
        <v>327</v>
      </c>
    </row>
    <row r="62" spans="1:10" s="20" customFormat="1" ht="12" x14ac:dyDescent="0.25">
      <c r="A62" s="22">
        <v>1000107760</v>
      </c>
      <c r="B62" s="23" t="s">
        <v>2202</v>
      </c>
      <c r="C62" s="24" t="s">
        <v>2109</v>
      </c>
      <c r="D62" s="23" t="s">
        <v>2070</v>
      </c>
      <c r="E62" s="23">
        <v>47755.31</v>
      </c>
      <c r="F62" s="23">
        <v>5</v>
      </c>
      <c r="G62" s="23">
        <v>5</v>
      </c>
      <c r="H62" s="23">
        <v>0</v>
      </c>
      <c r="I62" s="23" t="s">
        <v>5</v>
      </c>
      <c r="J62" s="23" t="s">
        <v>6</v>
      </c>
    </row>
    <row r="63" spans="1:10" s="20" customFormat="1" ht="12" x14ac:dyDescent="0.25">
      <c r="A63" s="22">
        <v>1000093575</v>
      </c>
      <c r="B63" s="23" t="s">
        <v>2203</v>
      </c>
      <c r="C63" s="24" t="s">
        <v>4</v>
      </c>
      <c r="D63" s="23" t="s">
        <v>2056</v>
      </c>
      <c r="E63" s="23">
        <v>46451.334190871203</v>
      </c>
      <c r="F63" s="23">
        <v>22350</v>
      </c>
      <c r="G63" s="23">
        <v>22350</v>
      </c>
      <c r="H63" s="23">
        <v>0</v>
      </c>
      <c r="I63" s="23" t="s">
        <v>5</v>
      </c>
      <c r="J63" s="23" t="s">
        <v>1844</v>
      </c>
    </row>
    <row r="64" spans="1:10" s="20" customFormat="1" ht="12" x14ac:dyDescent="0.25">
      <c r="A64" s="22">
        <v>1000105768</v>
      </c>
      <c r="B64" s="23" t="s">
        <v>126</v>
      </c>
      <c r="C64" s="24" t="s">
        <v>4</v>
      </c>
      <c r="D64" s="23" t="s">
        <v>2161</v>
      </c>
      <c r="E64" s="23">
        <v>45512</v>
      </c>
      <c r="F64" s="23">
        <v>25</v>
      </c>
      <c r="G64" s="23">
        <v>25</v>
      </c>
      <c r="H64" s="23">
        <v>0</v>
      </c>
      <c r="I64" s="23" t="s">
        <v>5</v>
      </c>
      <c r="J64" s="23" t="s">
        <v>111</v>
      </c>
    </row>
    <row r="65" spans="1:10" s="20" customFormat="1" ht="12" x14ac:dyDescent="0.25">
      <c r="A65" s="22">
        <v>2300000027</v>
      </c>
      <c r="B65" s="23" t="s">
        <v>325</v>
      </c>
      <c r="C65" s="24" t="s">
        <v>2017</v>
      </c>
      <c r="D65" s="23" t="s">
        <v>2063</v>
      </c>
      <c r="E65" s="23">
        <v>44996.572500000002</v>
      </c>
      <c r="F65" s="23">
        <v>4</v>
      </c>
      <c r="G65" s="23">
        <v>0</v>
      </c>
      <c r="H65" s="23">
        <v>4</v>
      </c>
      <c r="I65" s="23" t="s">
        <v>14</v>
      </c>
      <c r="J65" s="23" t="s">
        <v>146</v>
      </c>
    </row>
    <row r="66" spans="1:10" s="20" customFormat="1" ht="12" x14ac:dyDescent="0.25">
      <c r="A66" s="22">
        <v>2500008408</v>
      </c>
      <c r="B66" s="23" t="s">
        <v>2209</v>
      </c>
      <c r="C66" s="24" t="s">
        <v>1996</v>
      </c>
      <c r="D66" s="23" t="s">
        <v>2025</v>
      </c>
      <c r="E66" s="23">
        <v>44935.431818181802</v>
      </c>
      <c r="F66" s="23">
        <v>116</v>
      </c>
      <c r="G66" s="23">
        <v>116</v>
      </c>
      <c r="H66" s="23">
        <v>0</v>
      </c>
      <c r="I66" s="23" t="s">
        <v>5</v>
      </c>
      <c r="J66" s="23" t="s">
        <v>1993</v>
      </c>
    </row>
    <row r="67" spans="1:10" s="20" customFormat="1" ht="12" x14ac:dyDescent="0.25">
      <c r="A67" s="22">
        <v>1000101894</v>
      </c>
      <c r="B67" s="23" t="s">
        <v>2213</v>
      </c>
      <c r="C67" s="24" t="s">
        <v>4</v>
      </c>
      <c r="D67" s="23" t="s">
        <v>2056</v>
      </c>
      <c r="E67" s="23">
        <v>43919.128117447901</v>
      </c>
      <c r="F67" s="23">
        <v>5270</v>
      </c>
      <c r="G67" s="23">
        <v>5270</v>
      </c>
      <c r="H67" s="23">
        <v>0</v>
      </c>
      <c r="I67" s="23" t="s">
        <v>5</v>
      </c>
      <c r="J67" s="23" t="s">
        <v>1844</v>
      </c>
    </row>
    <row r="68" spans="1:10" s="20" customFormat="1" ht="12" x14ac:dyDescent="0.25">
      <c r="A68" s="22">
        <v>2500004424</v>
      </c>
      <c r="B68" s="23" t="s">
        <v>2214</v>
      </c>
      <c r="C68" s="24" t="s">
        <v>1996</v>
      </c>
      <c r="D68" s="23" t="s">
        <v>2025</v>
      </c>
      <c r="E68" s="23">
        <v>43486.205463339997</v>
      </c>
      <c r="F68" s="23">
        <v>15</v>
      </c>
      <c r="G68" s="23">
        <v>15</v>
      </c>
      <c r="H68" s="23">
        <v>0</v>
      </c>
      <c r="I68" s="23" t="s">
        <v>5</v>
      </c>
      <c r="J68" s="23" t="s">
        <v>1993</v>
      </c>
    </row>
    <row r="69" spans="1:10" s="20" customFormat="1" ht="12" x14ac:dyDescent="0.25">
      <c r="A69" s="22">
        <v>1000100355</v>
      </c>
      <c r="B69" s="23" t="s">
        <v>2215</v>
      </c>
      <c r="C69" s="24" t="s">
        <v>4</v>
      </c>
      <c r="D69" s="23" t="s">
        <v>2090</v>
      </c>
      <c r="E69" s="23">
        <v>42975.9714285714</v>
      </c>
      <c r="F69" s="23">
        <v>17</v>
      </c>
      <c r="G69" s="23">
        <v>17</v>
      </c>
      <c r="H69" s="23">
        <v>0</v>
      </c>
      <c r="I69" s="23" t="s">
        <v>5</v>
      </c>
      <c r="J69" s="23" t="s">
        <v>327</v>
      </c>
    </row>
    <row r="70" spans="1:10" s="20" customFormat="1" ht="12" x14ac:dyDescent="0.25">
      <c r="A70" s="22">
        <v>1000106107</v>
      </c>
      <c r="B70" s="23" t="s">
        <v>2216</v>
      </c>
      <c r="C70" s="24" t="s">
        <v>4</v>
      </c>
      <c r="D70" s="23" t="s">
        <v>2161</v>
      </c>
      <c r="E70" s="23">
        <v>42522.29</v>
      </c>
      <c r="F70" s="23">
        <v>5</v>
      </c>
      <c r="G70" s="23">
        <v>5</v>
      </c>
      <c r="H70" s="23">
        <v>0</v>
      </c>
      <c r="I70" s="23" t="s">
        <v>5</v>
      </c>
      <c r="J70" s="23" t="s">
        <v>111</v>
      </c>
    </row>
    <row r="71" spans="1:10" s="20" customFormat="1" ht="12" x14ac:dyDescent="0.25">
      <c r="A71" s="22">
        <v>1000020104</v>
      </c>
      <c r="B71" s="23" t="s">
        <v>360</v>
      </c>
      <c r="C71" s="24" t="s">
        <v>4</v>
      </c>
      <c r="D71" s="23" t="s">
        <v>2218</v>
      </c>
      <c r="E71" s="23">
        <v>41084.0888888888</v>
      </c>
      <c r="F71" s="23">
        <v>144</v>
      </c>
      <c r="G71" s="23">
        <v>144</v>
      </c>
      <c r="H71" s="23">
        <v>0</v>
      </c>
      <c r="I71" s="23" t="s">
        <v>5</v>
      </c>
      <c r="J71" s="23" t="s">
        <v>327</v>
      </c>
    </row>
    <row r="72" spans="1:10" s="20" customFormat="1" ht="12" x14ac:dyDescent="0.25">
      <c r="A72" s="22">
        <v>1000095943</v>
      </c>
      <c r="B72" s="23" t="s">
        <v>2221</v>
      </c>
      <c r="C72" s="24" t="s">
        <v>4</v>
      </c>
      <c r="D72" s="23" t="s">
        <v>2161</v>
      </c>
      <c r="E72" s="23">
        <v>40136.25</v>
      </c>
      <c r="F72" s="23">
        <v>125</v>
      </c>
      <c r="G72" s="23">
        <v>125</v>
      </c>
      <c r="H72" s="23">
        <v>0</v>
      </c>
      <c r="I72" s="23" t="s">
        <v>5</v>
      </c>
      <c r="J72" s="23" t="s">
        <v>111</v>
      </c>
    </row>
    <row r="73" spans="1:10" s="20" customFormat="1" ht="12" x14ac:dyDescent="0.25">
      <c r="A73" s="22">
        <v>1000020885</v>
      </c>
      <c r="B73" s="23" t="s">
        <v>1068</v>
      </c>
      <c r="C73" s="24" t="s">
        <v>4</v>
      </c>
      <c r="D73" s="23" t="s">
        <v>2090</v>
      </c>
      <c r="E73" s="23">
        <v>39911.398933333301</v>
      </c>
      <c r="F73" s="23">
        <v>12</v>
      </c>
      <c r="G73" s="23">
        <v>12</v>
      </c>
      <c r="H73" s="23">
        <v>0</v>
      </c>
      <c r="I73" s="23" t="s">
        <v>5</v>
      </c>
      <c r="J73" s="23" t="s">
        <v>327</v>
      </c>
    </row>
    <row r="74" spans="1:10" s="20" customFormat="1" ht="12" x14ac:dyDescent="0.25">
      <c r="A74" s="22">
        <v>2100004721</v>
      </c>
      <c r="B74" s="23" t="s">
        <v>2223</v>
      </c>
      <c r="C74" s="24" t="s">
        <v>2037</v>
      </c>
      <c r="D74" s="23" t="s">
        <v>2031</v>
      </c>
      <c r="E74" s="23">
        <v>39474.49</v>
      </c>
      <c r="F74" s="23">
        <v>2</v>
      </c>
      <c r="G74" s="23">
        <v>2</v>
      </c>
      <c r="H74" s="23">
        <v>0</v>
      </c>
      <c r="I74" s="23" t="s">
        <v>5</v>
      </c>
      <c r="J74" s="23" t="s">
        <v>138</v>
      </c>
    </row>
    <row r="75" spans="1:10" s="20" customFormat="1" ht="12" x14ac:dyDescent="0.25">
      <c r="A75" s="22">
        <v>1000093682</v>
      </c>
      <c r="B75" s="23" t="s">
        <v>2055</v>
      </c>
      <c r="C75" s="24" t="s">
        <v>4</v>
      </c>
      <c r="D75" s="23" t="s">
        <v>2056</v>
      </c>
      <c r="E75" s="23">
        <v>38753.229637746997</v>
      </c>
      <c r="F75" s="23">
        <v>1295</v>
      </c>
      <c r="G75" s="23">
        <v>1295</v>
      </c>
      <c r="H75" s="23">
        <v>0</v>
      </c>
      <c r="I75" s="23" t="s">
        <v>5</v>
      </c>
      <c r="J75" s="23" t="s">
        <v>1844</v>
      </c>
    </row>
    <row r="76" spans="1:10" s="20" customFormat="1" ht="12" x14ac:dyDescent="0.25">
      <c r="A76" s="22">
        <v>2100004707</v>
      </c>
      <c r="B76" s="23" t="s">
        <v>2225</v>
      </c>
      <c r="C76" s="24" t="s">
        <v>2037</v>
      </c>
      <c r="D76" s="23" t="s">
        <v>2031</v>
      </c>
      <c r="E76" s="23">
        <v>38674.379999999997</v>
      </c>
      <c r="F76" s="23">
        <v>7</v>
      </c>
      <c r="G76" s="23">
        <v>7</v>
      </c>
      <c r="H76" s="23">
        <v>0</v>
      </c>
      <c r="I76" s="23" t="s">
        <v>5</v>
      </c>
      <c r="J76" s="23" t="s">
        <v>138</v>
      </c>
    </row>
    <row r="77" spans="1:10" s="20" customFormat="1" ht="12" x14ac:dyDescent="0.25">
      <c r="A77" s="22">
        <v>1000010206</v>
      </c>
      <c r="B77" s="23" t="s">
        <v>2229</v>
      </c>
      <c r="C77" s="24" t="s">
        <v>4</v>
      </c>
      <c r="D77" s="23" t="s">
        <v>2230</v>
      </c>
      <c r="E77" s="23">
        <v>37866.658333333296</v>
      </c>
      <c r="F77" s="23">
        <v>25</v>
      </c>
      <c r="G77" s="23">
        <v>25</v>
      </c>
      <c r="H77" s="23">
        <v>0</v>
      </c>
      <c r="I77" s="23" t="s">
        <v>5</v>
      </c>
      <c r="J77" s="23" t="s">
        <v>111</v>
      </c>
    </row>
    <row r="78" spans="1:10" s="20" customFormat="1" ht="12" x14ac:dyDescent="0.25">
      <c r="A78" s="22">
        <v>1000098838</v>
      </c>
      <c r="B78" s="23" t="s">
        <v>2232</v>
      </c>
      <c r="C78" s="24" t="s">
        <v>4</v>
      </c>
      <c r="D78" s="23" t="s">
        <v>2056</v>
      </c>
      <c r="E78" s="23">
        <v>37792.221091754502</v>
      </c>
      <c r="F78" s="23">
        <v>2131</v>
      </c>
      <c r="G78" s="23">
        <v>2131</v>
      </c>
      <c r="H78" s="23">
        <v>0</v>
      </c>
      <c r="I78" s="23" t="s">
        <v>5</v>
      </c>
      <c r="J78" s="23" t="s">
        <v>1844</v>
      </c>
    </row>
    <row r="79" spans="1:10" s="20" customFormat="1" ht="12" x14ac:dyDescent="0.25">
      <c r="A79" s="22">
        <v>1000093665</v>
      </c>
      <c r="B79" s="23" t="s">
        <v>2181</v>
      </c>
      <c r="C79" s="24" t="s">
        <v>4</v>
      </c>
      <c r="D79" s="23" t="s">
        <v>2056</v>
      </c>
      <c r="E79" s="23">
        <v>37075.129793600398</v>
      </c>
      <c r="F79" s="23">
        <v>6772</v>
      </c>
      <c r="G79" s="23">
        <v>6772</v>
      </c>
      <c r="H79" s="23">
        <v>0</v>
      </c>
      <c r="I79" s="23" t="s">
        <v>5</v>
      </c>
      <c r="J79" s="23" t="s">
        <v>1844</v>
      </c>
    </row>
    <row r="80" spans="1:10" s="20" customFormat="1" ht="12" x14ac:dyDescent="0.25">
      <c r="A80" s="22">
        <v>2500005907</v>
      </c>
      <c r="B80" s="23" t="s">
        <v>2237</v>
      </c>
      <c r="C80" s="24" t="s">
        <v>1996</v>
      </c>
      <c r="D80" s="23" t="s">
        <v>2025</v>
      </c>
      <c r="E80" s="23">
        <v>36881.307379049496</v>
      </c>
      <c r="F80" s="23">
        <v>20</v>
      </c>
      <c r="G80" s="23">
        <v>20</v>
      </c>
      <c r="H80" s="23">
        <v>0</v>
      </c>
      <c r="I80" s="23" t="s">
        <v>5</v>
      </c>
      <c r="J80" s="23" t="s">
        <v>1993</v>
      </c>
    </row>
    <row r="81" spans="1:10" s="20" customFormat="1" ht="12" x14ac:dyDescent="0.25">
      <c r="A81" s="22">
        <v>2100004638</v>
      </c>
      <c r="B81" s="23" t="s">
        <v>2238</v>
      </c>
      <c r="C81" s="24" t="s">
        <v>2030</v>
      </c>
      <c r="D81" s="23" t="s">
        <v>2075</v>
      </c>
      <c r="E81" s="23">
        <v>36382.5</v>
      </c>
      <c r="F81" s="23">
        <v>33</v>
      </c>
      <c r="G81" s="23">
        <v>33</v>
      </c>
      <c r="H81" s="23">
        <v>0</v>
      </c>
      <c r="I81" s="23" t="s">
        <v>5</v>
      </c>
      <c r="J81" s="23" t="s">
        <v>138</v>
      </c>
    </row>
    <row r="82" spans="1:10" s="20" customFormat="1" ht="12" x14ac:dyDescent="0.25">
      <c r="A82" s="22">
        <v>1000098745</v>
      </c>
      <c r="B82" s="23" t="s">
        <v>1685</v>
      </c>
      <c r="C82" s="24" t="s">
        <v>4</v>
      </c>
      <c r="D82" s="23" t="s">
        <v>2090</v>
      </c>
      <c r="E82" s="23">
        <v>34867.718500000003</v>
      </c>
      <c r="F82" s="23">
        <v>17</v>
      </c>
      <c r="G82" s="23">
        <v>17</v>
      </c>
      <c r="H82" s="23">
        <v>0</v>
      </c>
      <c r="I82" s="23" t="s">
        <v>5</v>
      </c>
      <c r="J82" s="23" t="s">
        <v>327</v>
      </c>
    </row>
    <row r="83" spans="1:10" s="20" customFormat="1" ht="12" x14ac:dyDescent="0.25">
      <c r="A83" s="22">
        <v>1000100925</v>
      </c>
      <c r="B83" s="23" t="s">
        <v>2248</v>
      </c>
      <c r="C83" s="24" t="s">
        <v>4</v>
      </c>
      <c r="D83" s="23" t="s">
        <v>2056</v>
      </c>
      <c r="E83" s="23">
        <v>33810.142650520698</v>
      </c>
      <c r="F83" s="23">
        <v>60335</v>
      </c>
      <c r="G83" s="23">
        <v>60335</v>
      </c>
      <c r="H83" s="23">
        <v>0</v>
      </c>
      <c r="I83" s="23" t="s">
        <v>5</v>
      </c>
      <c r="J83" s="23" t="s">
        <v>1844</v>
      </c>
    </row>
    <row r="84" spans="1:10" s="20" customFormat="1" ht="12" x14ac:dyDescent="0.25">
      <c r="A84" s="22">
        <v>1000094197</v>
      </c>
      <c r="B84" s="23" t="s">
        <v>2249</v>
      </c>
      <c r="C84" s="24" t="s">
        <v>4</v>
      </c>
      <c r="D84" s="23" t="s">
        <v>2056</v>
      </c>
      <c r="E84" s="23">
        <v>33737.046164872801</v>
      </c>
      <c r="F84" s="23">
        <v>10784</v>
      </c>
      <c r="G84" s="23">
        <v>10784</v>
      </c>
      <c r="H84" s="23">
        <v>0</v>
      </c>
      <c r="I84" s="23" t="s">
        <v>5</v>
      </c>
      <c r="J84" s="23" t="s">
        <v>1844</v>
      </c>
    </row>
    <row r="85" spans="1:10" s="20" customFormat="1" ht="12" x14ac:dyDescent="0.25">
      <c r="A85" s="22">
        <v>1000020880</v>
      </c>
      <c r="B85" s="23" t="s">
        <v>1064</v>
      </c>
      <c r="C85" s="24" t="s">
        <v>4</v>
      </c>
      <c r="D85" s="23" t="s">
        <v>2090</v>
      </c>
      <c r="E85" s="23">
        <v>33697.035000000003</v>
      </c>
      <c r="F85" s="23">
        <v>21</v>
      </c>
      <c r="G85" s="23">
        <v>21</v>
      </c>
      <c r="H85" s="23">
        <v>0</v>
      </c>
      <c r="I85" s="23" t="s">
        <v>5</v>
      </c>
      <c r="J85" s="23" t="s">
        <v>327</v>
      </c>
    </row>
    <row r="86" spans="1:10" s="20" customFormat="1" ht="12" x14ac:dyDescent="0.25">
      <c r="A86" s="22">
        <v>1000020849</v>
      </c>
      <c r="B86" s="23" t="s">
        <v>1041</v>
      </c>
      <c r="C86" s="24" t="s">
        <v>4</v>
      </c>
      <c r="D86" s="23" t="s">
        <v>2218</v>
      </c>
      <c r="E86" s="23">
        <v>33672.701828165496</v>
      </c>
      <c r="F86" s="23">
        <v>107</v>
      </c>
      <c r="G86" s="23">
        <v>107</v>
      </c>
      <c r="H86" s="23">
        <v>0</v>
      </c>
      <c r="I86" s="23" t="s">
        <v>5</v>
      </c>
      <c r="J86" s="23" t="s">
        <v>327</v>
      </c>
    </row>
    <row r="87" spans="1:10" s="20" customFormat="1" ht="12" x14ac:dyDescent="0.25">
      <c r="A87" s="22">
        <v>1000091163</v>
      </c>
      <c r="B87" s="23" t="s">
        <v>2254</v>
      </c>
      <c r="C87" s="24" t="s">
        <v>4</v>
      </c>
      <c r="D87" s="23" t="s">
        <v>2043</v>
      </c>
      <c r="E87" s="23">
        <v>32461.162980485002</v>
      </c>
      <c r="F87" s="23">
        <v>177</v>
      </c>
      <c r="G87" s="23">
        <v>177</v>
      </c>
      <c r="H87" s="23">
        <v>0</v>
      </c>
      <c r="I87" s="23" t="s">
        <v>5</v>
      </c>
      <c r="J87" s="23" t="s">
        <v>33</v>
      </c>
    </row>
    <row r="88" spans="1:10" s="20" customFormat="1" ht="12" x14ac:dyDescent="0.25">
      <c r="A88" s="22">
        <v>1000010160</v>
      </c>
      <c r="B88" s="23" t="s">
        <v>2258</v>
      </c>
      <c r="C88" s="24" t="s">
        <v>4</v>
      </c>
      <c r="D88" s="23" t="s">
        <v>2230</v>
      </c>
      <c r="E88" s="23">
        <v>32353.200000000001</v>
      </c>
      <c r="F88" s="23">
        <v>11</v>
      </c>
      <c r="G88" s="23">
        <v>11</v>
      </c>
      <c r="H88" s="23">
        <v>0</v>
      </c>
      <c r="I88" s="23" t="s">
        <v>5</v>
      </c>
      <c r="J88" s="23" t="s">
        <v>111</v>
      </c>
    </row>
    <row r="89" spans="1:10" s="20" customFormat="1" ht="12" x14ac:dyDescent="0.25">
      <c r="A89" s="22">
        <v>1000106742</v>
      </c>
      <c r="B89" s="23" t="s">
        <v>2264</v>
      </c>
      <c r="C89" s="24" t="s">
        <v>2109</v>
      </c>
      <c r="D89" s="23" t="s">
        <v>2035</v>
      </c>
      <c r="E89" s="23">
        <v>31837.5</v>
      </c>
      <c r="F89" s="23">
        <v>6</v>
      </c>
      <c r="G89" s="23">
        <v>6</v>
      </c>
      <c r="H89" s="23">
        <v>0</v>
      </c>
      <c r="I89" s="23" t="s">
        <v>5</v>
      </c>
      <c r="J89" s="23" t="s">
        <v>6</v>
      </c>
    </row>
    <row r="90" spans="1:10" s="20" customFormat="1" ht="12" x14ac:dyDescent="0.25">
      <c r="A90" s="22">
        <v>2200000301</v>
      </c>
      <c r="B90" s="23" t="s">
        <v>2267</v>
      </c>
      <c r="C90" s="24" t="s">
        <v>2037</v>
      </c>
      <c r="D90" s="23" t="s">
        <v>2038</v>
      </c>
      <c r="E90" s="23">
        <v>31413.16</v>
      </c>
      <c r="F90" s="23">
        <v>4</v>
      </c>
      <c r="G90" s="23">
        <v>4</v>
      </c>
      <c r="H90" s="23">
        <v>0</v>
      </c>
      <c r="I90" s="23" t="s">
        <v>5</v>
      </c>
      <c r="J90" s="23" t="s">
        <v>146</v>
      </c>
    </row>
    <row r="91" spans="1:10" s="20" customFormat="1" ht="12" x14ac:dyDescent="0.25">
      <c r="A91" s="22">
        <v>1000020837</v>
      </c>
      <c r="B91" s="23" t="s">
        <v>1031</v>
      </c>
      <c r="C91" s="24" t="s">
        <v>4</v>
      </c>
      <c r="D91" s="23" t="s">
        <v>2090</v>
      </c>
      <c r="E91" s="23">
        <v>31166.079000000002</v>
      </c>
      <c r="F91" s="23">
        <v>232</v>
      </c>
      <c r="G91" s="23">
        <v>232</v>
      </c>
      <c r="H91" s="23">
        <v>0</v>
      </c>
      <c r="I91" s="23" t="s">
        <v>5</v>
      </c>
      <c r="J91" s="23" t="s">
        <v>327</v>
      </c>
    </row>
    <row r="92" spans="1:10" s="20" customFormat="1" ht="12" x14ac:dyDescent="0.25">
      <c r="A92" s="22">
        <v>1000093765</v>
      </c>
      <c r="B92" s="23" t="s">
        <v>2272</v>
      </c>
      <c r="C92" s="24" t="s">
        <v>4</v>
      </c>
      <c r="D92" s="23" t="s">
        <v>2056</v>
      </c>
      <c r="E92" s="23">
        <v>30938.826083333301</v>
      </c>
      <c r="F92" s="23">
        <v>2855</v>
      </c>
      <c r="G92" s="23">
        <v>2855</v>
      </c>
      <c r="H92" s="23">
        <v>0</v>
      </c>
      <c r="I92" s="23" t="s">
        <v>5</v>
      </c>
      <c r="J92" s="23" t="s">
        <v>1844</v>
      </c>
    </row>
    <row r="93" spans="1:10" s="20" customFormat="1" ht="12" x14ac:dyDescent="0.25">
      <c r="A93" s="22">
        <v>1000096772</v>
      </c>
      <c r="B93" s="23" t="s">
        <v>2275</v>
      </c>
      <c r="C93" s="24" t="s">
        <v>4</v>
      </c>
      <c r="D93" s="23" t="s">
        <v>2056</v>
      </c>
      <c r="E93" s="23">
        <v>30525.8465410758</v>
      </c>
      <c r="F93" s="23">
        <v>5367</v>
      </c>
      <c r="G93" s="23">
        <v>5367</v>
      </c>
      <c r="H93" s="23">
        <v>0</v>
      </c>
      <c r="I93" s="23" t="s">
        <v>5</v>
      </c>
      <c r="J93" s="23" t="s">
        <v>1844</v>
      </c>
    </row>
    <row r="94" spans="1:10" s="20" customFormat="1" ht="12" x14ac:dyDescent="0.25">
      <c r="A94" s="22">
        <v>1000020734</v>
      </c>
      <c r="B94" s="23" t="s">
        <v>942</v>
      </c>
      <c r="C94" s="24" t="s">
        <v>4</v>
      </c>
      <c r="D94" s="23" t="s">
        <v>2090</v>
      </c>
      <c r="E94" s="23">
        <v>30230.548578947299</v>
      </c>
      <c r="F94" s="23">
        <v>36</v>
      </c>
      <c r="G94" s="23">
        <v>36</v>
      </c>
      <c r="H94" s="23">
        <v>0</v>
      </c>
      <c r="I94" s="23" t="s">
        <v>5</v>
      </c>
      <c r="J94" s="23" t="s">
        <v>327</v>
      </c>
    </row>
    <row r="95" spans="1:10" s="20" customFormat="1" ht="12" x14ac:dyDescent="0.25">
      <c r="A95" s="22">
        <v>2500008056</v>
      </c>
      <c r="B95" s="23" t="s">
        <v>2277</v>
      </c>
      <c r="C95" s="24" t="s">
        <v>1996</v>
      </c>
      <c r="D95" s="23" t="s">
        <v>2025</v>
      </c>
      <c r="E95" s="23">
        <v>29883.75</v>
      </c>
      <c r="F95" s="23">
        <v>7</v>
      </c>
      <c r="G95" s="23">
        <v>7</v>
      </c>
      <c r="H95" s="23">
        <v>0</v>
      </c>
      <c r="I95" s="23" t="s">
        <v>5</v>
      </c>
      <c r="J95" s="23" t="s">
        <v>1993</v>
      </c>
    </row>
    <row r="96" spans="1:10" s="20" customFormat="1" ht="12" x14ac:dyDescent="0.25">
      <c r="A96" s="22">
        <v>2500008565</v>
      </c>
      <c r="B96" s="23" t="s">
        <v>2278</v>
      </c>
      <c r="C96" s="24" t="s">
        <v>1996</v>
      </c>
      <c r="D96" s="23" t="s">
        <v>2117</v>
      </c>
      <c r="E96" s="23">
        <v>29700</v>
      </c>
      <c r="F96" s="23">
        <v>4</v>
      </c>
      <c r="G96" s="23">
        <v>4</v>
      </c>
      <c r="H96" s="23">
        <v>0</v>
      </c>
      <c r="I96" s="23" t="s">
        <v>5</v>
      </c>
      <c r="J96" s="23" t="s">
        <v>1993</v>
      </c>
    </row>
    <row r="97" spans="1:10" s="20" customFormat="1" ht="12" x14ac:dyDescent="0.25">
      <c r="A97" s="22">
        <v>1000020875</v>
      </c>
      <c r="B97" s="23" t="s">
        <v>1060</v>
      </c>
      <c r="C97" s="24" t="s">
        <v>4</v>
      </c>
      <c r="D97" s="23" t="s">
        <v>2090</v>
      </c>
      <c r="E97" s="23">
        <v>29325.549668689</v>
      </c>
      <c r="F97" s="23">
        <v>35</v>
      </c>
      <c r="G97" s="23">
        <v>35</v>
      </c>
      <c r="H97" s="23">
        <v>0</v>
      </c>
      <c r="I97" s="23" t="s">
        <v>44</v>
      </c>
      <c r="J97" s="23" t="s">
        <v>327</v>
      </c>
    </row>
    <row r="98" spans="1:10" s="20" customFormat="1" ht="12" x14ac:dyDescent="0.25">
      <c r="A98" s="22">
        <v>1000100378</v>
      </c>
      <c r="B98" s="23" t="s">
        <v>2282</v>
      </c>
      <c r="C98" s="24" t="s">
        <v>4</v>
      </c>
      <c r="D98" s="23" t="s">
        <v>2090</v>
      </c>
      <c r="E98" s="23">
        <v>29147.962500000001</v>
      </c>
      <c r="F98" s="23">
        <v>9</v>
      </c>
      <c r="G98" s="23">
        <v>9</v>
      </c>
      <c r="H98" s="23">
        <v>0</v>
      </c>
      <c r="I98" s="23" t="s">
        <v>5</v>
      </c>
      <c r="J98" s="23" t="s">
        <v>327</v>
      </c>
    </row>
    <row r="99" spans="1:10" s="20" customFormat="1" ht="12" x14ac:dyDescent="0.25">
      <c r="A99" s="22">
        <v>1000093678</v>
      </c>
      <c r="B99" s="23" t="s">
        <v>2285</v>
      </c>
      <c r="C99" s="24" t="s">
        <v>4</v>
      </c>
      <c r="D99" s="23" t="s">
        <v>2056</v>
      </c>
      <c r="E99" s="23">
        <v>29036.4183258954</v>
      </c>
      <c r="F99" s="23">
        <v>141</v>
      </c>
      <c r="G99" s="23">
        <v>141</v>
      </c>
      <c r="H99" s="23">
        <v>0</v>
      </c>
      <c r="I99" s="23" t="s">
        <v>5</v>
      </c>
      <c r="J99" s="23" t="s">
        <v>1844</v>
      </c>
    </row>
    <row r="100" spans="1:10" s="20" customFormat="1" ht="12" x14ac:dyDescent="0.25">
      <c r="A100" s="22">
        <v>1000099814</v>
      </c>
      <c r="B100" s="23" t="s">
        <v>2287</v>
      </c>
      <c r="C100" s="24" t="s">
        <v>4</v>
      </c>
      <c r="D100" s="23" t="s">
        <v>2056</v>
      </c>
      <c r="E100" s="23">
        <v>28715.5197368421</v>
      </c>
      <c r="F100" s="23">
        <v>5250</v>
      </c>
      <c r="G100" s="23">
        <v>5250</v>
      </c>
      <c r="H100" s="23">
        <v>0</v>
      </c>
      <c r="I100" s="23" t="s">
        <v>5</v>
      </c>
      <c r="J100" s="23" t="s">
        <v>1844</v>
      </c>
    </row>
    <row r="101" spans="1:10" s="20" customFormat="1" ht="12" x14ac:dyDescent="0.25">
      <c r="A101" s="22">
        <v>1000097381</v>
      </c>
      <c r="B101" s="23" t="s">
        <v>2291</v>
      </c>
      <c r="C101" s="24" t="s">
        <v>2109</v>
      </c>
      <c r="D101" s="23" t="s">
        <v>2070</v>
      </c>
      <c r="E101" s="23">
        <v>28320.75</v>
      </c>
      <c r="F101" s="23">
        <v>3</v>
      </c>
      <c r="G101" s="23">
        <v>3</v>
      </c>
      <c r="H101" s="23">
        <v>0</v>
      </c>
      <c r="I101" s="23" t="s">
        <v>5</v>
      </c>
      <c r="J101" s="23" t="s">
        <v>6</v>
      </c>
    </row>
    <row r="102" spans="1:10" s="20" customFormat="1" ht="12" x14ac:dyDescent="0.25">
      <c r="A102" s="22">
        <v>1000020100</v>
      </c>
      <c r="B102" s="23" t="s">
        <v>356</v>
      </c>
      <c r="C102" s="24" t="s">
        <v>4</v>
      </c>
      <c r="D102" s="23" t="s">
        <v>2090</v>
      </c>
      <c r="E102" s="23">
        <v>27653.811608669101</v>
      </c>
      <c r="F102" s="23">
        <v>121</v>
      </c>
      <c r="G102" s="23">
        <v>121</v>
      </c>
      <c r="H102" s="23">
        <v>0</v>
      </c>
      <c r="I102" s="23" t="s">
        <v>5</v>
      </c>
      <c r="J102" s="23" t="s">
        <v>327</v>
      </c>
    </row>
    <row r="103" spans="1:10" s="20" customFormat="1" ht="12" x14ac:dyDescent="0.25">
      <c r="A103" s="22">
        <v>1000106125</v>
      </c>
      <c r="B103" s="23" t="s">
        <v>2293</v>
      </c>
      <c r="C103" s="24" t="s">
        <v>4</v>
      </c>
      <c r="D103" s="23" t="s">
        <v>2161</v>
      </c>
      <c r="E103" s="23">
        <v>27613.47</v>
      </c>
      <c r="F103" s="23">
        <v>5</v>
      </c>
      <c r="G103" s="23">
        <v>5</v>
      </c>
      <c r="H103" s="23">
        <v>0</v>
      </c>
      <c r="I103" s="23" t="s">
        <v>5</v>
      </c>
      <c r="J103" s="23" t="s">
        <v>111</v>
      </c>
    </row>
    <row r="104" spans="1:10" s="20" customFormat="1" ht="12" x14ac:dyDescent="0.25">
      <c r="A104" s="22">
        <v>2100006468</v>
      </c>
      <c r="B104" s="23" t="s">
        <v>140</v>
      </c>
      <c r="C104" s="24" t="s">
        <v>2037</v>
      </c>
      <c r="D104" s="23" t="s">
        <v>2031</v>
      </c>
      <c r="E104" s="23">
        <v>27550.83</v>
      </c>
      <c r="F104" s="23">
        <v>9</v>
      </c>
      <c r="G104" s="23">
        <v>9</v>
      </c>
      <c r="H104" s="23">
        <v>0</v>
      </c>
      <c r="I104" s="23" t="s">
        <v>5</v>
      </c>
      <c r="J104" s="23" t="s">
        <v>138</v>
      </c>
    </row>
    <row r="105" spans="1:10" s="20" customFormat="1" ht="12" x14ac:dyDescent="0.25">
      <c r="A105" s="22">
        <v>1000093602</v>
      </c>
      <c r="B105" s="23" t="s">
        <v>2300</v>
      </c>
      <c r="C105" s="24" t="s">
        <v>4</v>
      </c>
      <c r="D105" s="23" t="s">
        <v>2056</v>
      </c>
      <c r="E105" s="23">
        <v>26653.929213237501</v>
      </c>
      <c r="F105" s="23">
        <v>2700</v>
      </c>
      <c r="G105" s="23">
        <v>2700</v>
      </c>
      <c r="H105" s="23">
        <v>0</v>
      </c>
      <c r="I105" s="23" t="s">
        <v>5</v>
      </c>
      <c r="J105" s="23" t="s">
        <v>1844</v>
      </c>
    </row>
    <row r="106" spans="1:10" s="20" customFormat="1" ht="12" x14ac:dyDescent="0.25">
      <c r="A106" s="22">
        <v>2500008854</v>
      </c>
      <c r="B106" s="23" t="s">
        <v>2301</v>
      </c>
      <c r="C106" s="24" t="s">
        <v>1996</v>
      </c>
      <c r="D106" s="23" t="s">
        <v>2117</v>
      </c>
      <c r="E106" s="23">
        <v>26568.75</v>
      </c>
      <c r="F106" s="23">
        <v>13</v>
      </c>
      <c r="G106" s="23">
        <v>13</v>
      </c>
      <c r="H106" s="23">
        <v>0</v>
      </c>
      <c r="I106" s="23" t="s">
        <v>5</v>
      </c>
      <c r="J106" s="23" t="s">
        <v>1993</v>
      </c>
    </row>
    <row r="107" spans="1:10" s="20" customFormat="1" ht="12" x14ac:dyDescent="0.25">
      <c r="A107" s="22">
        <v>1000096196</v>
      </c>
      <c r="B107" s="23" t="s">
        <v>2303</v>
      </c>
      <c r="C107" s="24" t="s">
        <v>4</v>
      </c>
      <c r="D107" s="23" t="s">
        <v>2056</v>
      </c>
      <c r="E107" s="23">
        <v>26487.305551042798</v>
      </c>
      <c r="F107" s="23">
        <v>515</v>
      </c>
      <c r="G107" s="23">
        <v>515</v>
      </c>
      <c r="H107" s="23">
        <v>0</v>
      </c>
      <c r="I107" s="23" t="s">
        <v>5</v>
      </c>
      <c r="J107" s="23" t="s">
        <v>1844</v>
      </c>
    </row>
    <row r="108" spans="1:10" s="20" customFormat="1" ht="12" x14ac:dyDescent="0.25">
      <c r="A108" s="22">
        <v>2500008055</v>
      </c>
      <c r="B108" s="23" t="s">
        <v>2305</v>
      </c>
      <c r="C108" s="24" t="s">
        <v>1996</v>
      </c>
      <c r="D108" s="23" t="s">
        <v>2025</v>
      </c>
      <c r="E108" s="23">
        <v>26250</v>
      </c>
      <c r="F108" s="23">
        <v>1</v>
      </c>
      <c r="G108" s="23">
        <v>1</v>
      </c>
      <c r="H108" s="23">
        <v>0</v>
      </c>
      <c r="I108" s="23" t="s">
        <v>5</v>
      </c>
      <c r="J108" s="23" t="s">
        <v>1993</v>
      </c>
    </row>
    <row r="109" spans="1:10" s="20" customFormat="1" ht="12" x14ac:dyDescent="0.25">
      <c r="A109" s="22">
        <v>1000021000</v>
      </c>
      <c r="B109" s="23" t="s">
        <v>1173</v>
      </c>
      <c r="C109" s="24" t="s">
        <v>4</v>
      </c>
      <c r="D109" s="23" t="s">
        <v>2218</v>
      </c>
      <c r="E109" s="23">
        <v>26047.211538461499</v>
      </c>
      <c r="F109" s="23">
        <v>158</v>
      </c>
      <c r="G109" s="23">
        <v>158</v>
      </c>
      <c r="H109" s="23">
        <v>0</v>
      </c>
      <c r="I109" s="23" t="s">
        <v>5</v>
      </c>
      <c r="J109" s="23" t="s">
        <v>327</v>
      </c>
    </row>
    <row r="110" spans="1:10" s="20" customFormat="1" ht="12" x14ac:dyDescent="0.25">
      <c r="A110" s="22">
        <v>2500008568</v>
      </c>
      <c r="B110" s="23" t="s">
        <v>2278</v>
      </c>
      <c r="C110" s="24" t="s">
        <v>1996</v>
      </c>
      <c r="D110" s="23" t="s">
        <v>2117</v>
      </c>
      <c r="E110" s="23">
        <v>25956.4285714285</v>
      </c>
      <c r="F110" s="23">
        <v>2</v>
      </c>
      <c r="G110" s="23">
        <v>2</v>
      </c>
      <c r="H110" s="23">
        <v>0</v>
      </c>
      <c r="I110" s="23" t="s">
        <v>5</v>
      </c>
      <c r="J110" s="23" t="s">
        <v>1993</v>
      </c>
    </row>
    <row r="111" spans="1:10" s="20" customFormat="1" ht="12" x14ac:dyDescent="0.25">
      <c r="A111" s="22">
        <v>1000020688</v>
      </c>
      <c r="B111" s="23" t="s">
        <v>900</v>
      </c>
      <c r="C111" s="24" t="s">
        <v>4</v>
      </c>
      <c r="D111" s="23" t="s">
        <v>2090</v>
      </c>
      <c r="E111" s="23">
        <v>25279.4345716717</v>
      </c>
      <c r="F111" s="23">
        <v>382</v>
      </c>
      <c r="G111" s="23">
        <v>382</v>
      </c>
      <c r="H111" s="23">
        <v>0</v>
      </c>
      <c r="I111" s="23" t="s">
        <v>5</v>
      </c>
      <c r="J111" s="23" t="s">
        <v>327</v>
      </c>
    </row>
    <row r="112" spans="1:10" s="20" customFormat="1" ht="12" x14ac:dyDescent="0.25">
      <c r="A112" s="22">
        <v>1000021396</v>
      </c>
      <c r="B112" s="23" t="s">
        <v>1472</v>
      </c>
      <c r="C112" s="24" t="s">
        <v>4</v>
      </c>
      <c r="D112" s="23" t="s">
        <v>2090</v>
      </c>
      <c r="E112" s="23">
        <v>25109.164347826001</v>
      </c>
      <c r="F112" s="23">
        <v>22</v>
      </c>
      <c r="G112" s="23">
        <v>22</v>
      </c>
      <c r="H112" s="23">
        <v>0</v>
      </c>
      <c r="I112" s="23" t="s">
        <v>5</v>
      </c>
      <c r="J112" s="23" t="s">
        <v>327</v>
      </c>
    </row>
    <row r="113" spans="1:10" s="20" customFormat="1" ht="12" x14ac:dyDescent="0.25">
      <c r="A113" s="22">
        <v>1000097445</v>
      </c>
      <c r="B113" s="23" t="s">
        <v>2308</v>
      </c>
      <c r="C113" s="24" t="s">
        <v>4</v>
      </c>
      <c r="D113" s="23" t="s">
        <v>2056</v>
      </c>
      <c r="E113" s="23">
        <v>25064.999400000001</v>
      </c>
      <c r="F113" s="23">
        <v>49</v>
      </c>
      <c r="G113" s="23">
        <v>49</v>
      </c>
      <c r="H113" s="23">
        <v>0</v>
      </c>
      <c r="I113" s="23" t="s">
        <v>5</v>
      </c>
      <c r="J113" s="23" t="s">
        <v>1844</v>
      </c>
    </row>
    <row r="114" spans="1:10" s="20" customFormat="1" ht="12" x14ac:dyDescent="0.25">
      <c r="A114" s="22">
        <v>1000103939</v>
      </c>
      <c r="B114" s="23" t="s">
        <v>2309</v>
      </c>
      <c r="C114" s="24" t="s">
        <v>2109</v>
      </c>
      <c r="D114" s="23" t="s">
        <v>2070</v>
      </c>
      <c r="E114" s="23">
        <v>24858.9</v>
      </c>
      <c r="F114" s="23">
        <v>3</v>
      </c>
      <c r="G114" s="23">
        <v>3</v>
      </c>
      <c r="H114" s="23">
        <v>0</v>
      </c>
      <c r="I114" s="23" t="s">
        <v>5</v>
      </c>
      <c r="J114" s="23" t="s">
        <v>6</v>
      </c>
    </row>
    <row r="115" spans="1:10" s="20" customFormat="1" ht="12" x14ac:dyDescent="0.25">
      <c r="A115" s="22">
        <v>1000098433</v>
      </c>
      <c r="B115" s="23" t="s">
        <v>2310</v>
      </c>
      <c r="C115" s="24" t="s">
        <v>4</v>
      </c>
      <c r="D115" s="23" t="s">
        <v>2090</v>
      </c>
      <c r="E115" s="23">
        <v>24857.920249999999</v>
      </c>
      <c r="F115" s="23">
        <v>7</v>
      </c>
      <c r="G115" s="23">
        <v>7</v>
      </c>
      <c r="H115" s="23">
        <v>0</v>
      </c>
      <c r="I115" s="23" t="s">
        <v>5</v>
      </c>
      <c r="J115" s="23" t="s">
        <v>327</v>
      </c>
    </row>
    <row r="116" spans="1:10" s="20" customFormat="1" ht="12" x14ac:dyDescent="0.25">
      <c r="A116" s="22">
        <v>1000109019</v>
      </c>
      <c r="B116" s="23" t="s">
        <v>2311</v>
      </c>
      <c r="C116" s="24" t="s">
        <v>2109</v>
      </c>
      <c r="D116" s="23" t="s">
        <v>2035</v>
      </c>
      <c r="E116" s="23">
        <v>24828.75</v>
      </c>
      <c r="F116" s="23">
        <v>10</v>
      </c>
      <c r="G116" s="23">
        <v>10</v>
      </c>
      <c r="H116" s="23">
        <v>0</v>
      </c>
      <c r="I116" s="23" t="s">
        <v>5</v>
      </c>
      <c r="J116" s="23" t="s">
        <v>6</v>
      </c>
    </row>
    <row r="117" spans="1:10" s="20" customFormat="1" ht="12" x14ac:dyDescent="0.25">
      <c r="A117" s="22">
        <v>1000095836</v>
      </c>
      <c r="B117" s="23" t="s">
        <v>2313</v>
      </c>
      <c r="C117" s="24" t="s">
        <v>4</v>
      </c>
      <c r="D117" s="23" t="s">
        <v>2056</v>
      </c>
      <c r="E117" s="23">
        <v>24772.964799786801</v>
      </c>
      <c r="F117" s="23">
        <v>576</v>
      </c>
      <c r="G117" s="23">
        <v>576</v>
      </c>
      <c r="H117" s="23">
        <v>0</v>
      </c>
      <c r="I117" s="23" t="s">
        <v>5</v>
      </c>
      <c r="J117" s="23" t="s">
        <v>1844</v>
      </c>
    </row>
    <row r="118" spans="1:10" s="20" customFormat="1" ht="12" x14ac:dyDescent="0.25">
      <c r="A118" s="22">
        <v>2500008050</v>
      </c>
      <c r="B118" s="23" t="s">
        <v>2314</v>
      </c>
      <c r="C118" s="24" t="s">
        <v>1996</v>
      </c>
      <c r="D118" s="23" t="s">
        <v>2025</v>
      </c>
      <c r="E118" s="23">
        <v>24767.666467114199</v>
      </c>
      <c r="F118" s="23">
        <v>4</v>
      </c>
      <c r="G118" s="23">
        <v>4</v>
      </c>
      <c r="H118" s="23">
        <v>0</v>
      </c>
      <c r="I118" s="23" t="s">
        <v>5</v>
      </c>
      <c r="J118" s="23" t="s">
        <v>1993</v>
      </c>
    </row>
    <row r="119" spans="1:10" s="20" customFormat="1" ht="12" x14ac:dyDescent="0.25">
      <c r="A119" s="22">
        <v>1000101879</v>
      </c>
      <c r="B119" s="23" t="s">
        <v>1757</v>
      </c>
      <c r="C119" s="24" t="s">
        <v>4</v>
      </c>
      <c r="D119" s="23" t="s">
        <v>2218</v>
      </c>
      <c r="E119" s="23">
        <v>24680.351899387799</v>
      </c>
      <c r="F119" s="23">
        <v>129</v>
      </c>
      <c r="G119" s="23">
        <v>129</v>
      </c>
      <c r="H119" s="23">
        <v>0</v>
      </c>
      <c r="I119" s="23" t="s">
        <v>5</v>
      </c>
      <c r="J119" s="23" t="s">
        <v>327</v>
      </c>
    </row>
    <row r="120" spans="1:10" s="20" customFormat="1" ht="12" x14ac:dyDescent="0.25">
      <c r="A120" s="22">
        <v>1000099493</v>
      </c>
      <c r="B120" s="23" t="s">
        <v>2316</v>
      </c>
      <c r="C120" s="24" t="s">
        <v>4</v>
      </c>
      <c r="D120" s="23" t="s">
        <v>2218</v>
      </c>
      <c r="E120" s="23">
        <v>24491.4474044659</v>
      </c>
      <c r="F120" s="23">
        <v>171</v>
      </c>
      <c r="G120" s="23">
        <v>171</v>
      </c>
      <c r="H120" s="23">
        <v>0</v>
      </c>
      <c r="I120" s="23" t="s">
        <v>5</v>
      </c>
      <c r="J120" s="23" t="s">
        <v>327</v>
      </c>
    </row>
    <row r="121" spans="1:10" s="20" customFormat="1" ht="12" x14ac:dyDescent="0.25">
      <c r="A121" s="22">
        <v>1000093979</v>
      </c>
      <c r="B121" s="23" t="s">
        <v>2321</v>
      </c>
      <c r="C121" s="24" t="s">
        <v>4</v>
      </c>
      <c r="D121" s="23" t="s">
        <v>2090</v>
      </c>
      <c r="E121" s="23">
        <v>23931.39</v>
      </c>
      <c r="F121" s="23">
        <v>16</v>
      </c>
      <c r="G121" s="23">
        <v>16</v>
      </c>
      <c r="H121" s="23">
        <v>0</v>
      </c>
      <c r="I121" s="23" t="s">
        <v>5</v>
      </c>
      <c r="J121" s="23" t="s">
        <v>327</v>
      </c>
    </row>
    <row r="122" spans="1:10" s="20" customFormat="1" ht="12" x14ac:dyDescent="0.25">
      <c r="A122" s="22">
        <v>1000096015</v>
      </c>
      <c r="B122" s="23" t="s">
        <v>2323</v>
      </c>
      <c r="C122" s="24" t="s">
        <v>4</v>
      </c>
      <c r="D122" s="23" t="s">
        <v>2056</v>
      </c>
      <c r="E122" s="23">
        <v>23862.0870404698</v>
      </c>
      <c r="F122" s="23">
        <v>468</v>
      </c>
      <c r="G122" s="23">
        <v>468</v>
      </c>
      <c r="H122" s="23">
        <v>0</v>
      </c>
      <c r="I122" s="23" t="s">
        <v>5</v>
      </c>
      <c r="J122" s="23" t="s">
        <v>1844</v>
      </c>
    </row>
    <row r="123" spans="1:10" s="20" customFormat="1" ht="12" x14ac:dyDescent="0.25">
      <c r="A123" s="22">
        <v>1000105778</v>
      </c>
      <c r="B123" s="23" t="s">
        <v>2327</v>
      </c>
      <c r="C123" s="24" t="s">
        <v>4</v>
      </c>
      <c r="D123" s="23" t="s">
        <v>2161</v>
      </c>
      <c r="E123" s="23">
        <v>23683.83</v>
      </c>
      <c r="F123" s="23">
        <v>5</v>
      </c>
      <c r="G123" s="23">
        <v>5</v>
      </c>
      <c r="H123" s="23">
        <v>0</v>
      </c>
      <c r="I123" s="23" t="s">
        <v>5</v>
      </c>
      <c r="J123" s="23" t="s">
        <v>111</v>
      </c>
    </row>
    <row r="124" spans="1:10" s="20" customFormat="1" ht="12" x14ac:dyDescent="0.25">
      <c r="A124" s="22">
        <v>1000020755</v>
      </c>
      <c r="B124" s="23" t="s">
        <v>960</v>
      </c>
      <c r="C124" s="24" t="s">
        <v>4</v>
      </c>
      <c r="D124" s="23" t="s">
        <v>2090</v>
      </c>
      <c r="E124" s="23">
        <v>22661.516145833299</v>
      </c>
      <c r="F124" s="23">
        <v>10</v>
      </c>
      <c r="G124" s="23">
        <v>10</v>
      </c>
      <c r="H124" s="23">
        <v>0</v>
      </c>
      <c r="I124" s="23" t="s">
        <v>5</v>
      </c>
      <c r="J124" s="23" t="s">
        <v>327</v>
      </c>
    </row>
    <row r="125" spans="1:10" s="20" customFormat="1" ht="12" x14ac:dyDescent="0.25">
      <c r="A125" s="22">
        <v>1000021259</v>
      </c>
      <c r="B125" s="23" t="s">
        <v>1403</v>
      </c>
      <c r="C125" s="24" t="s">
        <v>4</v>
      </c>
      <c r="D125" s="23" t="s">
        <v>2090</v>
      </c>
      <c r="E125" s="23">
        <v>22573.3641601731</v>
      </c>
      <c r="F125" s="23">
        <v>28</v>
      </c>
      <c r="G125" s="23">
        <v>28</v>
      </c>
      <c r="H125" s="23">
        <v>0</v>
      </c>
      <c r="I125" s="23" t="s">
        <v>5</v>
      </c>
      <c r="J125" s="23" t="s">
        <v>327</v>
      </c>
    </row>
    <row r="126" spans="1:10" s="20" customFormat="1" ht="12" x14ac:dyDescent="0.25">
      <c r="A126" s="22">
        <v>1000100472</v>
      </c>
      <c r="B126" s="23" t="s">
        <v>2339</v>
      </c>
      <c r="C126" s="24" t="s">
        <v>4</v>
      </c>
      <c r="D126" s="23" t="s">
        <v>2090</v>
      </c>
      <c r="E126" s="23">
        <v>22338.903999999999</v>
      </c>
      <c r="F126" s="23">
        <v>4</v>
      </c>
      <c r="G126" s="23">
        <v>4</v>
      </c>
      <c r="H126" s="23">
        <v>0</v>
      </c>
      <c r="I126" s="23" t="s">
        <v>5</v>
      </c>
      <c r="J126" s="23" t="s">
        <v>327</v>
      </c>
    </row>
    <row r="127" spans="1:10" s="20" customFormat="1" ht="12" x14ac:dyDescent="0.25">
      <c r="A127" s="22">
        <v>1000102233</v>
      </c>
      <c r="B127" s="23" t="s">
        <v>1785</v>
      </c>
      <c r="C127" s="24" t="s">
        <v>4</v>
      </c>
      <c r="D127" s="23" t="s">
        <v>2090</v>
      </c>
      <c r="E127" s="23">
        <v>22307.51</v>
      </c>
      <c r="F127" s="23">
        <v>7</v>
      </c>
      <c r="G127" s="23">
        <v>7</v>
      </c>
      <c r="H127" s="23">
        <v>0</v>
      </c>
      <c r="I127" s="23" t="s">
        <v>5</v>
      </c>
      <c r="J127" s="23" t="s">
        <v>327</v>
      </c>
    </row>
    <row r="128" spans="1:10" s="20" customFormat="1" ht="12" x14ac:dyDescent="0.25">
      <c r="A128" s="22">
        <v>1000098747</v>
      </c>
      <c r="B128" s="23" t="s">
        <v>1687</v>
      </c>
      <c r="C128" s="24" t="s">
        <v>4</v>
      </c>
      <c r="D128" s="23" t="s">
        <v>2090</v>
      </c>
      <c r="E128" s="23">
        <v>22206.255312500001</v>
      </c>
      <c r="F128" s="23">
        <v>7</v>
      </c>
      <c r="G128" s="23">
        <v>7</v>
      </c>
      <c r="H128" s="23">
        <v>0</v>
      </c>
      <c r="I128" s="23" t="s">
        <v>5</v>
      </c>
      <c r="J128" s="23" t="s">
        <v>327</v>
      </c>
    </row>
    <row r="129" spans="1:10" s="20" customFormat="1" ht="12" x14ac:dyDescent="0.25">
      <c r="A129" s="22">
        <v>2100006467</v>
      </c>
      <c r="B129" s="23" t="s">
        <v>2343</v>
      </c>
      <c r="C129" s="24" t="s">
        <v>2037</v>
      </c>
      <c r="D129" s="23" t="s">
        <v>2031</v>
      </c>
      <c r="E129" s="23">
        <v>22148.71</v>
      </c>
      <c r="F129" s="23">
        <v>9</v>
      </c>
      <c r="G129" s="23">
        <v>9</v>
      </c>
      <c r="H129" s="23">
        <v>0</v>
      </c>
      <c r="I129" s="23" t="s">
        <v>5</v>
      </c>
      <c r="J129" s="23" t="s">
        <v>138</v>
      </c>
    </row>
    <row r="130" spans="1:10" s="20" customFormat="1" ht="12" x14ac:dyDescent="0.25">
      <c r="A130" s="22">
        <v>1000093946</v>
      </c>
      <c r="B130" s="23" t="s">
        <v>2347</v>
      </c>
      <c r="C130" s="24" t="s">
        <v>4</v>
      </c>
      <c r="D130" s="23" t="s">
        <v>2090</v>
      </c>
      <c r="E130" s="23">
        <v>22066.583999999999</v>
      </c>
      <c r="F130" s="23">
        <v>15</v>
      </c>
      <c r="G130" s="23">
        <v>15</v>
      </c>
      <c r="H130" s="23">
        <v>0</v>
      </c>
      <c r="I130" s="23" t="s">
        <v>5</v>
      </c>
      <c r="J130" s="23" t="s">
        <v>327</v>
      </c>
    </row>
    <row r="131" spans="1:10" s="20" customFormat="1" ht="12" x14ac:dyDescent="0.25">
      <c r="A131" s="22">
        <v>1000100377</v>
      </c>
      <c r="B131" s="23" t="s">
        <v>2348</v>
      </c>
      <c r="C131" s="24" t="s">
        <v>4</v>
      </c>
      <c r="D131" s="23" t="s">
        <v>2090</v>
      </c>
      <c r="E131" s="23">
        <v>21931.506666666599</v>
      </c>
      <c r="F131" s="23">
        <v>11</v>
      </c>
      <c r="G131" s="23">
        <v>11</v>
      </c>
      <c r="H131" s="23">
        <v>0</v>
      </c>
      <c r="I131" s="23" t="s">
        <v>5</v>
      </c>
      <c r="J131" s="23" t="s">
        <v>327</v>
      </c>
    </row>
    <row r="132" spans="1:10" s="20" customFormat="1" ht="12" x14ac:dyDescent="0.25">
      <c r="A132" s="22">
        <v>1000093670</v>
      </c>
      <c r="B132" s="23" t="s">
        <v>2350</v>
      </c>
      <c r="C132" s="24" t="s">
        <v>4</v>
      </c>
      <c r="D132" s="23" t="s">
        <v>2056</v>
      </c>
      <c r="E132" s="23">
        <v>21809.099570300001</v>
      </c>
      <c r="F132" s="23">
        <v>26</v>
      </c>
      <c r="G132" s="23">
        <v>26</v>
      </c>
      <c r="H132" s="23">
        <v>0</v>
      </c>
      <c r="I132" s="23" t="s">
        <v>5</v>
      </c>
      <c r="J132" s="23" t="s">
        <v>1844</v>
      </c>
    </row>
    <row r="133" spans="1:10" s="20" customFormat="1" ht="12" x14ac:dyDescent="0.25">
      <c r="A133" s="22">
        <v>1000021309</v>
      </c>
      <c r="B133" s="23" t="s">
        <v>1442</v>
      </c>
      <c r="C133" s="24" t="s">
        <v>4</v>
      </c>
      <c r="D133" s="23" t="s">
        <v>2090</v>
      </c>
      <c r="E133" s="23">
        <v>21478.232727272702</v>
      </c>
      <c r="F133" s="23">
        <v>16</v>
      </c>
      <c r="G133" s="23">
        <v>16</v>
      </c>
      <c r="H133" s="23">
        <v>0</v>
      </c>
      <c r="I133" s="23" t="s">
        <v>5</v>
      </c>
      <c r="J133" s="23" t="s">
        <v>327</v>
      </c>
    </row>
    <row r="134" spans="1:10" s="20" customFormat="1" ht="12" x14ac:dyDescent="0.25">
      <c r="A134" s="22">
        <v>2500009037</v>
      </c>
      <c r="B134" s="23" t="s">
        <v>2353</v>
      </c>
      <c r="C134" s="24" t="s">
        <v>1996</v>
      </c>
      <c r="D134" s="23" t="s">
        <v>2289</v>
      </c>
      <c r="E134" s="23">
        <v>21468.75</v>
      </c>
      <c r="F134" s="23">
        <v>7</v>
      </c>
      <c r="G134" s="23">
        <v>7</v>
      </c>
      <c r="H134" s="23">
        <v>0</v>
      </c>
      <c r="I134" s="23" t="s">
        <v>5</v>
      </c>
      <c r="J134" s="23" t="s">
        <v>1993</v>
      </c>
    </row>
    <row r="135" spans="1:10" s="20" customFormat="1" ht="12" x14ac:dyDescent="0.25">
      <c r="A135" s="22">
        <v>2500005714</v>
      </c>
      <c r="B135" s="23" t="s">
        <v>2355</v>
      </c>
      <c r="C135" s="24" t="s">
        <v>1996</v>
      </c>
      <c r="D135" s="23" t="s">
        <v>2025</v>
      </c>
      <c r="E135" s="23">
        <v>21357.634195263599</v>
      </c>
      <c r="F135" s="23">
        <v>29</v>
      </c>
      <c r="G135" s="23">
        <v>29</v>
      </c>
      <c r="H135" s="23">
        <v>0</v>
      </c>
      <c r="I135" s="23" t="s">
        <v>5</v>
      </c>
      <c r="J135" s="23" t="s">
        <v>1993</v>
      </c>
    </row>
    <row r="136" spans="1:10" s="20" customFormat="1" ht="12" x14ac:dyDescent="0.25">
      <c r="A136" s="22">
        <v>1000098811</v>
      </c>
      <c r="B136" s="23" t="s">
        <v>2358</v>
      </c>
      <c r="C136" s="24" t="s">
        <v>2109</v>
      </c>
      <c r="D136" s="23" t="s">
        <v>2070</v>
      </c>
      <c r="E136" s="23">
        <v>21060</v>
      </c>
      <c r="F136" s="23">
        <v>4</v>
      </c>
      <c r="G136" s="23">
        <v>4</v>
      </c>
      <c r="H136" s="23">
        <v>0</v>
      </c>
      <c r="I136" s="23" t="s">
        <v>5</v>
      </c>
      <c r="J136" s="23" t="s">
        <v>6</v>
      </c>
    </row>
    <row r="137" spans="1:10" s="20" customFormat="1" ht="12" x14ac:dyDescent="0.25">
      <c r="A137" s="22">
        <v>1000010159</v>
      </c>
      <c r="B137" s="23" t="s">
        <v>2359</v>
      </c>
      <c r="C137" s="24" t="s">
        <v>4</v>
      </c>
      <c r="D137" s="23" t="s">
        <v>2230</v>
      </c>
      <c r="E137" s="23">
        <v>21029.309123996201</v>
      </c>
      <c r="F137" s="23">
        <v>9</v>
      </c>
      <c r="G137" s="23">
        <v>9</v>
      </c>
      <c r="H137" s="23">
        <v>0</v>
      </c>
      <c r="I137" s="23" t="s">
        <v>5</v>
      </c>
      <c r="J137" s="23" t="s">
        <v>111</v>
      </c>
    </row>
    <row r="138" spans="1:10" s="20" customFormat="1" ht="12" x14ac:dyDescent="0.25">
      <c r="A138" s="22">
        <v>2500008048</v>
      </c>
      <c r="B138" s="23" t="s">
        <v>2361</v>
      </c>
      <c r="C138" s="24" t="s">
        <v>1996</v>
      </c>
      <c r="D138" s="23" t="s">
        <v>2025</v>
      </c>
      <c r="E138" s="23">
        <v>20812.5</v>
      </c>
      <c r="F138" s="23">
        <v>6</v>
      </c>
      <c r="G138" s="23">
        <v>6</v>
      </c>
      <c r="H138" s="23">
        <v>0</v>
      </c>
      <c r="I138" s="23" t="s">
        <v>5</v>
      </c>
      <c r="J138" s="23" t="s">
        <v>1993</v>
      </c>
    </row>
    <row r="139" spans="1:10" s="20" customFormat="1" ht="12" x14ac:dyDescent="0.25">
      <c r="A139" s="22">
        <v>1000100436</v>
      </c>
      <c r="B139" s="23" t="s">
        <v>1747</v>
      </c>
      <c r="C139" s="24" t="s">
        <v>4</v>
      </c>
      <c r="D139" s="23" t="s">
        <v>2090</v>
      </c>
      <c r="E139" s="23">
        <v>20710.5</v>
      </c>
      <c r="F139" s="23">
        <v>10</v>
      </c>
      <c r="G139" s="23">
        <v>10</v>
      </c>
      <c r="H139" s="23">
        <v>0</v>
      </c>
      <c r="I139" s="23" t="s">
        <v>5</v>
      </c>
      <c r="J139" s="23" t="s">
        <v>327</v>
      </c>
    </row>
    <row r="140" spans="1:10" s="20" customFormat="1" ht="12" x14ac:dyDescent="0.25">
      <c r="A140" s="22">
        <v>1000102201</v>
      </c>
      <c r="B140" s="23" t="s">
        <v>1764</v>
      </c>
      <c r="C140" s="24" t="s">
        <v>4</v>
      </c>
      <c r="D140" s="23" t="s">
        <v>2090</v>
      </c>
      <c r="E140" s="23">
        <v>20618.439999999999</v>
      </c>
      <c r="F140" s="23">
        <v>15</v>
      </c>
      <c r="G140" s="23">
        <v>15</v>
      </c>
      <c r="H140" s="23">
        <v>0</v>
      </c>
      <c r="I140" s="23" t="s">
        <v>5</v>
      </c>
      <c r="J140" s="23" t="s">
        <v>327</v>
      </c>
    </row>
    <row r="141" spans="1:10" s="20" customFormat="1" ht="12" x14ac:dyDescent="0.25">
      <c r="A141" s="22">
        <v>1000099586</v>
      </c>
      <c r="B141" s="23" t="s">
        <v>2365</v>
      </c>
      <c r="C141" s="24" t="s">
        <v>4</v>
      </c>
      <c r="D141" s="23" t="s">
        <v>2090</v>
      </c>
      <c r="E141" s="23">
        <v>20350.276666666599</v>
      </c>
      <c r="F141" s="23">
        <v>4</v>
      </c>
      <c r="G141" s="23">
        <v>4</v>
      </c>
      <c r="H141" s="23">
        <v>0</v>
      </c>
      <c r="I141" s="23" t="s">
        <v>5</v>
      </c>
      <c r="J141" s="23" t="s">
        <v>327</v>
      </c>
    </row>
    <row r="142" spans="1:10" s="20" customFormat="1" ht="12" x14ac:dyDescent="0.25">
      <c r="A142" s="22">
        <v>1000093766</v>
      </c>
      <c r="B142" s="23" t="s">
        <v>2368</v>
      </c>
      <c r="C142" s="24" t="s">
        <v>4</v>
      </c>
      <c r="D142" s="23" t="s">
        <v>2056</v>
      </c>
      <c r="E142" s="23">
        <v>20010.9303533333</v>
      </c>
      <c r="F142" s="23">
        <v>4334</v>
      </c>
      <c r="G142" s="23">
        <v>4334</v>
      </c>
      <c r="H142" s="23">
        <v>0</v>
      </c>
      <c r="I142" s="23" t="s">
        <v>5</v>
      </c>
      <c r="J142" s="23" t="s">
        <v>1844</v>
      </c>
    </row>
    <row r="143" spans="1:10" s="20" customFormat="1" ht="12" x14ac:dyDescent="0.25">
      <c r="A143" s="22">
        <v>1000095270</v>
      </c>
      <c r="B143" s="23" t="s">
        <v>2369</v>
      </c>
      <c r="C143" s="24" t="s">
        <v>4</v>
      </c>
      <c r="D143" s="23" t="s">
        <v>2090</v>
      </c>
      <c r="E143" s="23">
        <v>19936.211138461498</v>
      </c>
      <c r="F143" s="23">
        <v>11</v>
      </c>
      <c r="G143" s="23">
        <v>11</v>
      </c>
      <c r="H143" s="23">
        <v>0</v>
      </c>
      <c r="I143" s="23" t="s">
        <v>5</v>
      </c>
      <c r="J143" s="23" t="s">
        <v>327</v>
      </c>
    </row>
    <row r="144" spans="1:10" s="20" customFormat="1" ht="12" x14ac:dyDescent="0.25">
      <c r="A144" s="22">
        <v>1000020872</v>
      </c>
      <c r="B144" s="23" t="s">
        <v>1058</v>
      </c>
      <c r="C144" s="24" t="s">
        <v>4</v>
      </c>
      <c r="D144" s="23" t="s">
        <v>2090</v>
      </c>
      <c r="E144" s="23">
        <v>19905.52</v>
      </c>
      <c r="F144" s="23">
        <v>32</v>
      </c>
      <c r="G144" s="23">
        <v>32</v>
      </c>
      <c r="H144" s="23">
        <v>0</v>
      </c>
      <c r="I144" s="23" t="s">
        <v>5</v>
      </c>
      <c r="J144" s="23" t="s">
        <v>327</v>
      </c>
    </row>
    <row r="145" spans="1:10" s="20" customFormat="1" ht="12" x14ac:dyDescent="0.25">
      <c r="A145" s="22">
        <v>1000100431</v>
      </c>
      <c r="B145" s="23" t="s">
        <v>1742</v>
      </c>
      <c r="C145" s="24" t="s">
        <v>4</v>
      </c>
      <c r="D145" s="23" t="s">
        <v>2090</v>
      </c>
      <c r="E145" s="23">
        <v>19792.66</v>
      </c>
      <c r="F145" s="23">
        <v>10</v>
      </c>
      <c r="G145" s="23">
        <v>10</v>
      </c>
      <c r="H145" s="23">
        <v>0</v>
      </c>
      <c r="I145" s="23" t="s">
        <v>5</v>
      </c>
      <c r="J145" s="23" t="s">
        <v>327</v>
      </c>
    </row>
    <row r="146" spans="1:10" s="20" customFormat="1" ht="12" x14ac:dyDescent="0.25">
      <c r="A146" s="22">
        <v>1000098520</v>
      </c>
      <c r="B146" s="23" t="s">
        <v>1555</v>
      </c>
      <c r="C146" s="24" t="s">
        <v>4</v>
      </c>
      <c r="D146" s="23" t="s">
        <v>2218</v>
      </c>
      <c r="E146" s="23">
        <v>19677.507692307601</v>
      </c>
      <c r="F146" s="23">
        <v>20</v>
      </c>
      <c r="G146" s="23">
        <v>20</v>
      </c>
      <c r="H146" s="23">
        <v>0</v>
      </c>
      <c r="I146" s="23" t="s">
        <v>5</v>
      </c>
      <c r="J146" s="23" t="s">
        <v>327</v>
      </c>
    </row>
    <row r="147" spans="1:10" s="20" customFormat="1" ht="12" x14ac:dyDescent="0.25">
      <c r="A147" s="22">
        <v>1000021250</v>
      </c>
      <c r="B147" s="23" t="s">
        <v>1395</v>
      </c>
      <c r="C147" s="24" t="s">
        <v>4</v>
      </c>
      <c r="D147" s="23" t="s">
        <v>2090</v>
      </c>
      <c r="E147" s="23">
        <v>19577.2228</v>
      </c>
      <c r="F147" s="23">
        <v>32</v>
      </c>
      <c r="G147" s="23">
        <v>32</v>
      </c>
      <c r="H147" s="23">
        <v>0</v>
      </c>
      <c r="I147" s="23" t="s">
        <v>5</v>
      </c>
      <c r="J147" s="23" t="s">
        <v>327</v>
      </c>
    </row>
    <row r="148" spans="1:10" s="20" customFormat="1" ht="12" x14ac:dyDescent="0.25">
      <c r="A148" s="22">
        <v>1000021307</v>
      </c>
      <c r="B148" s="23" t="s">
        <v>1440</v>
      </c>
      <c r="C148" s="24" t="s">
        <v>4</v>
      </c>
      <c r="D148" s="23" t="s">
        <v>2218</v>
      </c>
      <c r="E148" s="23">
        <v>19564.662</v>
      </c>
      <c r="F148" s="23">
        <v>21</v>
      </c>
      <c r="G148" s="23">
        <v>21</v>
      </c>
      <c r="H148" s="23">
        <v>0</v>
      </c>
      <c r="I148" s="23" t="s">
        <v>5</v>
      </c>
      <c r="J148" s="23" t="s">
        <v>327</v>
      </c>
    </row>
    <row r="149" spans="1:10" s="20" customFormat="1" ht="12" x14ac:dyDescent="0.25">
      <c r="A149" s="22">
        <v>1000099425</v>
      </c>
      <c r="B149" s="23" t="s">
        <v>2375</v>
      </c>
      <c r="C149" s="24" t="s">
        <v>4</v>
      </c>
      <c r="D149" s="23" t="s">
        <v>2090</v>
      </c>
      <c r="E149" s="23">
        <v>19542.765641025599</v>
      </c>
      <c r="F149" s="23">
        <v>31</v>
      </c>
      <c r="G149" s="23">
        <v>31</v>
      </c>
      <c r="H149" s="23">
        <v>0</v>
      </c>
      <c r="I149" s="23" t="s">
        <v>5</v>
      </c>
      <c r="J149" s="23" t="s">
        <v>327</v>
      </c>
    </row>
    <row r="150" spans="1:10" s="20" customFormat="1" ht="12" x14ac:dyDescent="0.25">
      <c r="A150" s="22">
        <v>1000017142</v>
      </c>
      <c r="B150" s="23" t="s">
        <v>2181</v>
      </c>
      <c r="C150" s="24" t="s">
        <v>4</v>
      </c>
      <c r="D150" s="23" t="s">
        <v>2056</v>
      </c>
      <c r="E150" s="23">
        <v>19520.544871951901</v>
      </c>
      <c r="F150" s="23">
        <v>29211</v>
      </c>
      <c r="G150" s="23">
        <v>29211</v>
      </c>
      <c r="H150" s="23">
        <v>0</v>
      </c>
      <c r="I150" s="23" t="s">
        <v>5</v>
      </c>
      <c r="J150" s="23" t="s">
        <v>1844</v>
      </c>
    </row>
    <row r="151" spans="1:10" s="20" customFormat="1" ht="12" x14ac:dyDescent="0.25">
      <c r="A151" s="22">
        <v>2500008074</v>
      </c>
      <c r="B151" s="23" t="s">
        <v>2377</v>
      </c>
      <c r="C151" s="24" t="s">
        <v>1996</v>
      </c>
      <c r="D151" s="23" t="s">
        <v>2025</v>
      </c>
      <c r="E151" s="23">
        <v>19272.968401263199</v>
      </c>
      <c r="F151" s="23">
        <v>7</v>
      </c>
      <c r="G151" s="23">
        <v>7</v>
      </c>
      <c r="H151" s="23">
        <v>0</v>
      </c>
      <c r="I151" s="23" t="s">
        <v>5</v>
      </c>
      <c r="J151" s="23" t="s">
        <v>1993</v>
      </c>
    </row>
    <row r="152" spans="1:10" s="20" customFormat="1" ht="12" x14ac:dyDescent="0.25">
      <c r="A152" s="22">
        <v>1000093952</v>
      </c>
      <c r="B152" s="23" t="s">
        <v>2379</v>
      </c>
      <c r="C152" s="24" t="s">
        <v>4</v>
      </c>
      <c r="D152" s="23" t="s">
        <v>2090</v>
      </c>
      <c r="E152" s="23">
        <v>19211.400000000001</v>
      </c>
      <c r="F152" s="23">
        <v>12</v>
      </c>
      <c r="G152" s="23">
        <v>0</v>
      </c>
      <c r="H152" s="23">
        <v>12</v>
      </c>
      <c r="I152" s="23" t="s">
        <v>71</v>
      </c>
      <c r="J152" s="23" t="s">
        <v>327</v>
      </c>
    </row>
    <row r="153" spans="1:10" s="20" customFormat="1" ht="12" x14ac:dyDescent="0.25">
      <c r="A153" s="22">
        <v>1000096798</v>
      </c>
      <c r="B153" s="23" t="s">
        <v>2380</v>
      </c>
      <c r="C153" s="24" t="s">
        <v>4</v>
      </c>
      <c r="D153" s="23" t="s">
        <v>2056</v>
      </c>
      <c r="E153" s="23">
        <v>19143.677871312098</v>
      </c>
      <c r="F153" s="23">
        <v>1393</v>
      </c>
      <c r="G153" s="23">
        <v>1393</v>
      </c>
      <c r="H153" s="23">
        <v>0</v>
      </c>
      <c r="I153" s="23" t="s">
        <v>5</v>
      </c>
      <c r="J153" s="23" t="s">
        <v>1844</v>
      </c>
    </row>
    <row r="154" spans="1:10" s="20" customFormat="1" ht="12" x14ac:dyDescent="0.25">
      <c r="A154" s="22">
        <v>1000108323</v>
      </c>
      <c r="B154" s="23" t="s">
        <v>1836</v>
      </c>
      <c r="C154" s="24" t="s">
        <v>4</v>
      </c>
      <c r="D154" s="23" t="s">
        <v>2090</v>
      </c>
      <c r="E154" s="23">
        <v>19143.3</v>
      </c>
      <c r="F154" s="23">
        <v>8</v>
      </c>
      <c r="G154" s="23">
        <v>8</v>
      </c>
      <c r="H154" s="23">
        <v>0</v>
      </c>
      <c r="I154" s="23" t="s">
        <v>5</v>
      </c>
      <c r="J154" s="23" t="s">
        <v>327</v>
      </c>
    </row>
    <row r="155" spans="1:10" s="20" customFormat="1" ht="12" x14ac:dyDescent="0.25">
      <c r="A155" s="22">
        <v>1000098670</v>
      </c>
      <c r="B155" s="23" t="s">
        <v>1630</v>
      </c>
      <c r="C155" s="24" t="s">
        <v>4</v>
      </c>
      <c r="D155" s="23" t="s">
        <v>2090</v>
      </c>
      <c r="E155" s="23">
        <v>19032.714756097499</v>
      </c>
      <c r="F155" s="23">
        <v>79</v>
      </c>
      <c r="G155" s="23">
        <v>79</v>
      </c>
      <c r="H155" s="23">
        <v>0</v>
      </c>
      <c r="I155" s="23" t="s">
        <v>5</v>
      </c>
      <c r="J155" s="23" t="s">
        <v>327</v>
      </c>
    </row>
    <row r="156" spans="1:10" s="20" customFormat="1" ht="12" x14ac:dyDescent="0.25">
      <c r="A156" s="22">
        <v>2500008193</v>
      </c>
      <c r="B156" s="23" t="s">
        <v>2381</v>
      </c>
      <c r="C156" s="24" t="s">
        <v>1996</v>
      </c>
      <c r="D156" s="23" t="s">
        <v>2025</v>
      </c>
      <c r="E156" s="23">
        <v>18918.882734126899</v>
      </c>
      <c r="F156" s="23">
        <v>4</v>
      </c>
      <c r="G156" s="23">
        <v>4</v>
      </c>
      <c r="H156" s="23">
        <v>0</v>
      </c>
      <c r="I156" s="23" t="s">
        <v>5</v>
      </c>
      <c r="J156" s="23" t="s">
        <v>1993</v>
      </c>
    </row>
    <row r="157" spans="1:10" s="20" customFormat="1" ht="12" x14ac:dyDescent="0.25">
      <c r="A157" s="22">
        <v>1000020075</v>
      </c>
      <c r="B157" s="23" t="s">
        <v>2382</v>
      </c>
      <c r="C157" s="24" t="s">
        <v>4</v>
      </c>
      <c r="D157" s="23" t="s">
        <v>2090</v>
      </c>
      <c r="E157" s="23">
        <v>18878.583999999999</v>
      </c>
      <c r="F157" s="23">
        <v>5</v>
      </c>
      <c r="G157" s="23">
        <v>5</v>
      </c>
      <c r="H157" s="23">
        <v>0</v>
      </c>
      <c r="I157" s="23" t="s">
        <v>5</v>
      </c>
      <c r="J157" s="23" t="s">
        <v>327</v>
      </c>
    </row>
    <row r="158" spans="1:10" s="20" customFormat="1" ht="12" x14ac:dyDescent="0.25">
      <c r="A158" s="22">
        <v>1000103073</v>
      </c>
      <c r="B158" s="23" t="s">
        <v>2384</v>
      </c>
      <c r="C158" s="24" t="s">
        <v>4</v>
      </c>
      <c r="D158" s="23" t="s">
        <v>2090</v>
      </c>
      <c r="E158" s="23">
        <v>18617.688437500001</v>
      </c>
      <c r="F158" s="23">
        <v>13</v>
      </c>
      <c r="G158" s="23">
        <v>13</v>
      </c>
      <c r="H158" s="23">
        <v>0</v>
      </c>
      <c r="I158" s="23" t="s">
        <v>5</v>
      </c>
      <c r="J158" s="23" t="s">
        <v>327</v>
      </c>
    </row>
    <row r="159" spans="1:10" s="20" customFormat="1" ht="12" x14ac:dyDescent="0.25">
      <c r="A159" s="22">
        <v>1000100329</v>
      </c>
      <c r="B159" s="23" t="s">
        <v>2385</v>
      </c>
      <c r="C159" s="24" t="s">
        <v>4</v>
      </c>
      <c r="D159" s="23" t="s">
        <v>2090</v>
      </c>
      <c r="E159" s="23">
        <v>18557.29</v>
      </c>
      <c r="F159" s="23">
        <v>4</v>
      </c>
      <c r="G159" s="23">
        <v>4</v>
      </c>
      <c r="H159" s="23">
        <v>0</v>
      </c>
      <c r="I159" s="23" t="s">
        <v>5</v>
      </c>
      <c r="J159" s="23" t="s">
        <v>327</v>
      </c>
    </row>
    <row r="160" spans="1:10" s="20" customFormat="1" ht="12" x14ac:dyDescent="0.25">
      <c r="A160" s="22">
        <v>1000101340</v>
      </c>
      <c r="B160" s="23" t="s">
        <v>2388</v>
      </c>
      <c r="C160" s="24" t="s">
        <v>4</v>
      </c>
      <c r="D160" s="23" t="s">
        <v>2056</v>
      </c>
      <c r="E160" s="23">
        <v>18371.87</v>
      </c>
      <c r="F160" s="23">
        <v>7000</v>
      </c>
      <c r="G160" s="23">
        <v>7000</v>
      </c>
      <c r="H160" s="23">
        <v>0</v>
      </c>
      <c r="I160" s="23" t="s">
        <v>5</v>
      </c>
      <c r="J160" s="23" t="s">
        <v>1844</v>
      </c>
    </row>
    <row r="161" spans="1:10" s="20" customFormat="1" ht="12" x14ac:dyDescent="0.25">
      <c r="A161" s="22">
        <v>1000021247</v>
      </c>
      <c r="B161" s="23" t="s">
        <v>1392</v>
      </c>
      <c r="C161" s="24" t="s">
        <v>4</v>
      </c>
      <c r="D161" s="23" t="s">
        <v>2090</v>
      </c>
      <c r="E161" s="23">
        <v>18235.753742857101</v>
      </c>
      <c r="F161" s="23">
        <v>38</v>
      </c>
      <c r="G161" s="23">
        <v>38</v>
      </c>
      <c r="H161" s="23">
        <v>0</v>
      </c>
      <c r="I161" s="23" t="s">
        <v>5</v>
      </c>
      <c r="J161" s="23" t="s">
        <v>327</v>
      </c>
    </row>
    <row r="162" spans="1:10" s="20" customFormat="1" ht="12" x14ac:dyDescent="0.25">
      <c r="A162" s="22">
        <v>1000021246</v>
      </c>
      <c r="B162" s="23" t="s">
        <v>1391</v>
      </c>
      <c r="C162" s="24" t="s">
        <v>4</v>
      </c>
      <c r="D162" s="23" t="s">
        <v>2090</v>
      </c>
      <c r="E162" s="23">
        <v>18139.93</v>
      </c>
      <c r="F162" s="23">
        <v>39</v>
      </c>
      <c r="G162" s="23">
        <v>39</v>
      </c>
      <c r="H162" s="23">
        <v>0</v>
      </c>
      <c r="I162" s="23" t="s">
        <v>5</v>
      </c>
      <c r="J162" s="23" t="s">
        <v>327</v>
      </c>
    </row>
    <row r="163" spans="1:10" s="20" customFormat="1" ht="12" x14ac:dyDescent="0.25">
      <c r="A163" s="22">
        <v>1000099833</v>
      </c>
      <c r="B163" s="23" t="s">
        <v>2392</v>
      </c>
      <c r="C163" s="24" t="s">
        <v>4</v>
      </c>
      <c r="D163" s="23" t="s">
        <v>2056</v>
      </c>
      <c r="E163" s="23">
        <v>18133.1730673239</v>
      </c>
      <c r="F163" s="23">
        <v>1050</v>
      </c>
      <c r="G163" s="23">
        <v>1050</v>
      </c>
      <c r="H163" s="23">
        <v>0</v>
      </c>
      <c r="I163" s="23" t="s">
        <v>5</v>
      </c>
      <c r="J163" s="23" t="s">
        <v>1844</v>
      </c>
    </row>
    <row r="164" spans="1:10" s="20" customFormat="1" ht="12" x14ac:dyDescent="0.25">
      <c r="A164" s="22">
        <v>1000102822</v>
      </c>
      <c r="B164" s="23" t="s">
        <v>2393</v>
      </c>
      <c r="C164" s="24" t="s">
        <v>4</v>
      </c>
      <c r="D164" s="23" t="s">
        <v>2056</v>
      </c>
      <c r="E164" s="23">
        <v>18125.099999999999</v>
      </c>
      <c r="F164" s="23">
        <v>21</v>
      </c>
      <c r="G164" s="23">
        <v>21</v>
      </c>
      <c r="H164" s="23">
        <v>0</v>
      </c>
      <c r="I164" s="23" t="s">
        <v>5</v>
      </c>
      <c r="J164" s="23" t="s">
        <v>1844</v>
      </c>
    </row>
    <row r="165" spans="1:10" s="20" customFormat="1" ht="12" x14ac:dyDescent="0.25">
      <c r="A165" s="22">
        <v>1000010249</v>
      </c>
      <c r="B165" s="23" t="s">
        <v>2395</v>
      </c>
      <c r="C165" s="24" t="s">
        <v>4</v>
      </c>
      <c r="D165" s="23" t="s">
        <v>2161</v>
      </c>
      <c r="E165" s="23">
        <v>17976</v>
      </c>
      <c r="F165" s="23">
        <v>18</v>
      </c>
      <c r="G165" s="23">
        <v>18</v>
      </c>
      <c r="H165" s="23">
        <v>0</v>
      </c>
      <c r="I165" s="23" t="s">
        <v>5</v>
      </c>
      <c r="J165" s="23" t="s">
        <v>111</v>
      </c>
    </row>
    <row r="166" spans="1:10" s="20" customFormat="1" ht="12" x14ac:dyDescent="0.25">
      <c r="A166" s="22">
        <v>2300000026</v>
      </c>
      <c r="B166" s="23" t="s">
        <v>324</v>
      </c>
      <c r="C166" s="24" t="s">
        <v>2017</v>
      </c>
      <c r="D166" s="23" t="s">
        <v>2063</v>
      </c>
      <c r="E166" s="23">
        <v>17955.830000000002</v>
      </c>
      <c r="F166" s="23">
        <v>7</v>
      </c>
      <c r="G166" s="23">
        <v>7</v>
      </c>
      <c r="H166" s="23">
        <v>0</v>
      </c>
      <c r="I166" s="23" t="s">
        <v>5</v>
      </c>
      <c r="J166" s="23" t="s">
        <v>146</v>
      </c>
    </row>
    <row r="167" spans="1:10" s="20" customFormat="1" ht="12" x14ac:dyDescent="0.25">
      <c r="A167" s="22">
        <v>1000096343</v>
      </c>
      <c r="B167" s="23" t="s">
        <v>2396</v>
      </c>
      <c r="C167" s="24" t="s">
        <v>4</v>
      </c>
      <c r="D167" s="23" t="s">
        <v>2056</v>
      </c>
      <c r="E167" s="23">
        <v>17912.680684922601</v>
      </c>
      <c r="F167" s="23">
        <v>1741</v>
      </c>
      <c r="G167" s="23">
        <v>1741</v>
      </c>
      <c r="H167" s="23">
        <v>0</v>
      </c>
      <c r="I167" s="23" t="s">
        <v>5</v>
      </c>
      <c r="J167" s="23" t="s">
        <v>1844</v>
      </c>
    </row>
    <row r="168" spans="1:10" s="20" customFormat="1" ht="12" x14ac:dyDescent="0.25">
      <c r="A168" s="22">
        <v>2200003117</v>
      </c>
      <c r="B168" s="23" t="s">
        <v>203</v>
      </c>
      <c r="C168" s="24" t="s">
        <v>2037</v>
      </c>
      <c r="D168" s="23" t="s">
        <v>2038</v>
      </c>
      <c r="E168" s="23">
        <v>17845.52</v>
      </c>
      <c r="F168" s="23">
        <v>1</v>
      </c>
      <c r="G168" s="23">
        <v>1</v>
      </c>
      <c r="H168" s="23">
        <v>0</v>
      </c>
      <c r="I168" s="23" t="s">
        <v>5</v>
      </c>
      <c r="J168" s="23" t="s">
        <v>138</v>
      </c>
    </row>
    <row r="169" spans="1:10" s="20" customFormat="1" ht="12" x14ac:dyDescent="0.25">
      <c r="A169" s="22">
        <v>1000105957</v>
      </c>
      <c r="B169" s="23" t="s">
        <v>2400</v>
      </c>
      <c r="C169" s="24" t="s">
        <v>4</v>
      </c>
      <c r="D169" s="23" t="s">
        <v>2161</v>
      </c>
      <c r="E169" s="23">
        <v>17776.25</v>
      </c>
      <c r="F169" s="23">
        <v>3</v>
      </c>
      <c r="G169" s="23">
        <v>3</v>
      </c>
      <c r="H169" s="23">
        <v>0</v>
      </c>
      <c r="I169" s="23" t="s">
        <v>5</v>
      </c>
      <c r="J169" s="23" t="s">
        <v>111</v>
      </c>
    </row>
    <row r="170" spans="1:10" s="20" customFormat="1" ht="12" x14ac:dyDescent="0.25">
      <c r="A170" s="22">
        <v>2500008567</v>
      </c>
      <c r="B170" s="23" t="s">
        <v>2278</v>
      </c>
      <c r="C170" s="24" t="s">
        <v>1996</v>
      </c>
      <c r="D170" s="23" t="s">
        <v>2117</v>
      </c>
      <c r="E170" s="23">
        <v>17662.5</v>
      </c>
      <c r="F170" s="23">
        <v>2</v>
      </c>
      <c r="G170" s="23">
        <v>2</v>
      </c>
      <c r="H170" s="23">
        <v>0</v>
      </c>
      <c r="I170" s="23" t="s">
        <v>5</v>
      </c>
      <c r="J170" s="23" t="s">
        <v>1993</v>
      </c>
    </row>
    <row r="171" spans="1:10" s="20" customFormat="1" ht="12" x14ac:dyDescent="0.25">
      <c r="A171" s="22">
        <v>1000098074</v>
      </c>
      <c r="B171" s="23" t="s">
        <v>2401</v>
      </c>
      <c r="C171" s="24" t="s">
        <v>4</v>
      </c>
      <c r="D171" s="23" t="s">
        <v>2090</v>
      </c>
      <c r="E171" s="23">
        <v>17563.706127946101</v>
      </c>
      <c r="F171" s="23">
        <v>19</v>
      </c>
      <c r="G171" s="23">
        <v>19</v>
      </c>
      <c r="H171" s="23">
        <v>0</v>
      </c>
      <c r="I171" s="23" t="s">
        <v>5</v>
      </c>
      <c r="J171" s="23" t="s">
        <v>327</v>
      </c>
    </row>
    <row r="172" spans="1:10" s="20" customFormat="1" ht="12" x14ac:dyDescent="0.25">
      <c r="A172" s="22">
        <v>1000100313</v>
      </c>
      <c r="B172" s="23" t="s">
        <v>1698</v>
      </c>
      <c r="C172" s="24" t="s">
        <v>4</v>
      </c>
      <c r="D172" s="23" t="s">
        <v>2090</v>
      </c>
      <c r="E172" s="23">
        <v>17446.495208333301</v>
      </c>
      <c r="F172" s="23">
        <v>7</v>
      </c>
      <c r="G172" s="23">
        <v>7</v>
      </c>
      <c r="H172" s="23">
        <v>0</v>
      </c>
      <c r="I172" s="23" t="s">
        <v>5</v>
      </c>
      <c r="J172" s="23" t="s">
        <v>327</v>
      </c>
    </row>
    <row r="173" spans="1:10" s="20" customFormat="1" ht="12" x14ac:dyDescent="0.25">
      <c r="A173" s="22">
        <v>1000020806</v>
      </c>
      <c r="B173" s="23" t="s">
        <v>1010</v>
      </c>
      <c r="C173" s="24" t="s">
        <v>4</v>
      </c>
      <c r="D173" s="23" t="s">
        <v>2403</v>
      </c>
      <c r="E173" s="23">
        <v>17408.876949404701</v>
      </c>
      <c r="F173" s="23">
        <v>80</v>
      </c>
      <c r="G173" s="23">
        <v>80</v>
      </c>
      <c r="H173" s="23">
        <v>0</v>
      </c>
      <c r="I173" s="23" t="s">
        <v>5</v>
      </c>
      <c r="J173" s="23" t="s">
        <v>327</v>
      </c>
    </row>
    <row r="174" spans="1:10" s="20" customFormat="1" ht="12" x14ac:dyDescent="0.25">
      <c r="A174" s="22">
        <v>2500008563</v>
      </c>
      <c r="B174" s="23" t="s">
        <v>2278</v>
      </c>
      <c r="C174" s="24" t="s">
        <v>1996</v>
      </c>
      <c r="D174" s="23" t="s">
        <v>2117</v>
      </c>
      <c r="E174" s="23">
        <v>17372.045454545401</v>
      </c>
      <c r="F174" s="23">
        <v>6</v>
      </c>
      <c r="G174" s="23">
        <v>6</v>
      </c>
      <c r="H174" s="23">
        <v>0</v>
      </c>
      <c r="I174" s="23" t="s">
        <v>5</v>
      </c>
      <c r="J174" s="23" t="s">
        <v>1993</v>
      </c>
    </row>
    <row r="175" spans="1:10" s="20" customFormat="1" ht="12" x14ac:dyDescent="0.25">
      <c r="A175" s="22">
        <v>1000096796</v>
      </c>
      <c r="B175" s="23" t="s">
        <v>1840</v>
      </c>
      <c r="C175" s="24" t="s">
        <v>4</v>
      </c>
      <c r="D175" s="23" t="s">
        <v>2090</v>
      </c>
      <c r="E175" s="23">
        <v>17308.509999999998</v>
      </c>
      <c r="F175" s="23">
        <v>8</v>
      </c>
      <c r="G175" s="23">
        <v>8</v>
      </c>
      <c r="H175" s="23">
        <v>0</v>
      </c>
      <c r="I175" s="23" t="s">
        <v>5</v>
      </c>
      <c r="J175" s="23" t="s">
        <v>33</v>
      </c>
    </row>
    <row r="176" spans="1:10" s="20" customFormat="1" ht="12" x14ac:dyDescent="0.25">
      <c r="A176" s="22">
        <v>1000020525</v>
      </c>
      <c r="B176" s="23" t="s">
        <v>746</v>
      </c>
      <c r="C176" s="24" t="s">
        <v>4</v>
      </c>
      <c r="D176" s="23" t="s">
        <v>2218</v>
      </c>
      <c r="E176" s="23">
        <v>17125.125</v>
      </c>
      <c r="F176" s="23">
        <v>122</v>
      </c>
      <c r="G176" s="23">
        <v>122</v>
      </c>
      <c r="H176" s="23">
        <v>0</v>
      </c>
      <c r="I176" s="23" t="s">
        <v>5</v>
      </c>
      <c r="J176" s="23" t="s">
        <v>327</v>
      </c>
    </row>
    <row r="177" spans="1:10" s="20" customFormat="1" ht="12" x14ac:dyDescent="0.25">
      <c r="A177" s="22">
        <v>1000100728</v>
      </c>
      <c r="B177" s="23" t="s">
        <v>2410</v>
      </c>
      <c r="C177" s="24" t="s">
        <v>4</v>
      </c>
      <c r="D177" s="23" t="s">
        <v>2284</v>
      </c>
      <c r="E177" s="23">
        <v>16987.164807692301</v>
      </c>
      <c r="F177" s="23">
        <v>50</v>
      </c>
      <c r="G177" s="23">
        <v>50</v>
      </c>
      <c r="H177" s="23">
        <v>0</v>
      </c>
      <c r="I177" s="23" t="s">
        <v>5</v>
      </c>
      <c r="J177" s="23" t="s">
        <v>1844</v>
      </c>
    </row>
    <row r="178" spans="1:10" s="20" customFormat="1" ht="12" x14ac:dyDescent="0.25">
      <c r="A178" s="22">
        <v>1000020712</v>
      </c>
      <c r="B178" s="23" t="s">
        <v>921</v>
      </c>
      <c r="C178" s="24" t="s">
        <v>4</v>
      </c>
      <c r="D178" s="23" t="s">
        <v>2218</v>
      </c>
      <c r="E178" s="23">
        <v>16851.835324675299</v>
      </c>
      <c r="F178" s="23">
        <v>136</v>
      </c>
      <c r="G178" s="23">
        <v>125</v>
      </c>
      <c r="H178" s="23">
        <v>11</v>
      </c>
      <c r="I178" s="23" t="s">
        <v>71</v>
      </c>
      <c r="J178" s="23" t="s">
        <v>327</v>
      </c>
    </row>
    <row r="179" spans="1:10" s="20" customFormat="1" ht="12" x14ac:dyDescent="0.25">
      <c r="A179" s="22">
        <v>1000108392</v>
      </c>
      <c r="B179" s="23" t="s">
        <v>2415</v>
      </c>
      <c r="C179" s="24" t="s">
        <v>4</v>
      </c>
      <c r="D179" s="23" t="s">
        <v>2043</v>
      </c>
      <c r="E179" s="23">
        <v>16773.240000000002</v>
      </c>
      <c r="F179" s="23">
        <v>262</v>
      </c>
      <c r="G179" s="23">
        <v>0</v>
      </c>
      <c r="H179" s="23">
        <v>262</v>
      </c>
      <c r="I179" s="23" t="s">
        <v>71</v>
      </c>
      <c r="J179" s="23" t="s">
        <v>33</v>
      </c>
    </row>
    <row r="180" spans="1:10" s="20" customFormat="1" ht="12" x14ac:dyDescent="0.25">
      <c r="A180" s="22">
        <v>1000100346</v>
      </c>
      <c r="B180" s="23" t="s">
        <v>2421</v>
      </c>
      <c r="C180" s="24" t="s">
        <v>4</v>
      </c>
      <c r="D180" s="23" t="s">
        <v>2090</v>
      </c>
      <c r="E180" s="23">
        <v>16352.489374999999</v>
      </c>
      <c r="F180" s="23">
        <v>25</v>
      </c>
      <c r="G180" s="23">
        <v>25</v>
      </c>
      <c r="H180" s="23">
        <v>0</v>
      </c>
      <c r="I180" s="23" t="s">
        <v>5</v>
      </c>
      <c r="J180" s="23" t="s">
        <v>327</v>
      </c>
    </row>
    <row r="181" spans="1:10" s="20" customFormat="1" ht="12" x14ac:dyDescent="0.25">
      <c r="A181" s="22">
        <v>1000102230</v>
      </c>
      <c r="B181" s="23" t="s">
        <v>1782</v>
      </c>
      <c r="C181" s="24" t="s">
        <v>4</v>
      </c>
      <c r="D181" s="23" t="s">
        <v>2090</v>
      </c>
      <c r="E181" s="23">
        <v>16298.7</v>
      </c>
      <c r="F181" s="23">
        <v>11</v>
      </c>
      <c r="G181" s="23">
        <v>11</v>
      </c>
      <c r="H181" s="23">
        <v>0</v>
      </c>
      <c r="I181" s="23" t="s">
        <v>5</v>
      </c>
      <c r="J181" s="23" t="s">
        <v>327</v>
      </c>
    </row>
    <row r="182" spans="1:10" s="20" customFormat="1" ht="12" x14ac:dyDescent="0.25">
      <c r="A182" s="22">
        <v>1000098648</v>
      </c>
      <c r="B182" s="23" t="s">
        <v>1625</v>
      </c>
      <c r="C182" s="24" t="s">
        <v>4</v>
      </c>
      <c r="D182" s="23" t="s">
        <v>2090</v>
      </c>
      <c r="E182" s="23">
        <v>16178.31</v>
      </c>
      <c r="F182" s="23">
        <v>167</v>
      </c>
      <c r="G182" s="23">
        <v>167</v>
      </c>
      <c r="H182" s="23">
        <v>0</v>
      </c>
      <c r="I182" s="23" t="s">
        <v>5</v>
      </c>
      <c r="J182" s="23" t="s">
        <v>327</v>
      </c>
    </row>
    <row r="183" spans="1:10" s="20" customFormat="1" ht="12" x14ac:dyDescent="0.25">
      <c r="A183" s="22">
        <v>2200002825</v>
      </c>
      <c r="B183" s="23" t="s">
        <v>2423</v>
      </c>
      <c r="C183" s="24" t="s">
        <v>2037</v>
      </c>
      <c r="D183" s="23" t="s">
        <v>2038</v>
      </c>
      <c r="E183" s="23">
        <v>16132.12</v>
      </c>
      <c r="F183" s="23">
        <v>1</v>
      </c>
      <c r="G183" s="23">
        <v>1</v>
      </c>
      <c r="H183" s="23">
        <v>0</v>
      </c>
      <c r="I183" s="23" t="s">
        <v>5</v>
      </c>
      <c r="J183" s="23" t="s">
        <v>146</v>
      </c>
    </row>
    <row r="184" spans="1:10" s="20" customFormat="1" ht="12" x14ac:dyDescent="0.25">
      <c r="A184" s="22">
        <v>1000021051</v>
      </c>
      <c r="B184" s="23" t="s">
        <v>1218</v>
      </c>
      <c r="C184" s="24" t="s">
        <v>4</v>
      </c>
      <c r="D184" s="23" t="s">
        <v>2090</v>
      </c>
      <c r="E184" s="23">
        <v>16111.308571428501</v>
      </c>
      <c r="F184" s="23">
        <v>40</v>
      </c>
      <c r="G184" s="23">
        <v>40</v>
      </c>
      <c r="H184" s="23">
        <v>0</v>
      </c>
      <c r="I184" s="23" t="s">
        <v>122</v>
      </c>
      <c r="J184" s="23" t="s">
        <v>327</v>
      </c>
    </row>
    <row r="185" spans="1:10" s="20" customFormat="1" ht="12" x14ac:dyDescent="0.25">
      <c r="A185" s="22">
        <v>2200012249</v>
      </c>
      <c r="B185" s="23" t="s">
        <v>2324</v>
      </c>
      <c r="C185" s="24" t="s">
        <v>2037</v>
      </c>
      <c r="D185" s="23" t="s">
        <v>2038</v>
      </c>
      <c r="E185" s="23">
        <v>16039.294</v>
      </c>
      <c r="F185" s="23">
        <v>3</v>
      </c>
      <c r="G185" s="23">
        <v>3</v>
      </c>
      <c r="H185" s="23">
        <v>0</v>
      </c>
      <c r="I185" s="23" t="s">
        <v>5</v>
      </c>
      <c r="J185" s="23" t="s">
        <v>138</v>
      </c>
    </row>
    <row r="186" spans="1:10" s="20" customFormat="1" ht="12" x14ac:dyDescent="0.25">
      <c r="A186" s="22">
        <v>1000020881</v>
      </c>
      <c r="B186" s="23" t="s">
        <v>1065</v>
      </c>
      <c r="C186" s="24" t="s">
        <v>4</v>
      </c>
      <c r="D186" s="23" t="s">
        <v>2090</v>
      </c>
      <c r="E186" s="23">
        <v>16037.4878571428</v>
      </c>
      <c r="F186" s="23">
        <v>12</v>
      </c>
      <c r="G186" s="23">
        <v>12</v>
      </c>
      <c r="H186" s="23">
        <v>0</v>
      </c>
      <c r="I186" s="23" t="s">
        <v>5</v>
      </c>
      <c r="J186" s="23" t="s">
        <v>327</v>
      </c>
    </row>
    <row r="187" spans="1:10" s="20" customFormat="1" ht="12" x14ac:dyDescent="0.25">
      <c r="A187" s="22">
        <v>1000102216</v>
      </c>
      <c r="B187" s="23" t="s">
        <v>2426</v>
      </c>
      <c r="C187" s="24" t="s">
        <v>4</v>
      </c>
      <c r="D187" s="23" t="s">
        <v>2090</v>
      </c>
      <c r="E187" s="23">
        <v>15969.71</v>
      </c>
      <c r="F187" s="23">
        <v>21</v>
      </c>
      <c r="G187" s="23">
        <v>21</v>
      </c>
      <c r="H187" s="23">
        <v>0</v>
      </c>
      <c r="I187" s="23" t="s">
        <v>5</v>
      </c>
      <c r="J187" s="23" t="s">
        <v>327</v>
      </c>
    </row>
    <row r="188" spans="1:10" s="20" customFormat="1" ht="12" x14ac:dyDescent="0.25">
      <c r="A188" s="22">
        <v>1000097052</v>
      </c>
      <c r="B188" s="23" t="s">
        <v>2427</v>
      </c>
      <c r="C188" s="24" t="s">
        <v>4</v>
      </c>
      <c r="D188" s="23" t="s">
        <v>2161</v>
      </c>
      <c r="E188" s="23">
        <v>15892.3944217466</v>
      </c>
      <c r="F188" s="23">
        <v>30</v>
      </c>
      <c r="G188" s="23">
        <v>30</v>
      </c>
      <c r="H188" s="23">
        <v>0</v>
      </c>
      <c r="I188" s="23" t="s">
        <v>5</v>
      </c>
      <c r="J188" s="23" t="s">
        <v>111</v>
      </c>
    </row>
    <row r="189" spans="1:10" s="20" customFormat="1" ht="12" x14ac:dyDescent="0.25">
      <c r="A189" s="22">
        <v>1000020122</v>
      </c>
      <c r="B189" s="23" t="s">
        <v>377</v>
      </c>
      <c r="C189" s="24" t="s">
        <v>4</v>
      </c>
      <c r="D189" s="23" t="s">
        <v>2090</v>
      </c>
      <c r="E189" s="23">
        <v>15839.7426543209</v>
      </c>
      <c r="F189" s="23">
        <v>34</v>
      </c>
      <c r="G189" s="23">
        <v>34</v>
      </c>
      <c r="H189" s="23">
        <v>0</v>
      </c>
      <c r="I189" s="23" t="s">
        <v>5</v>
      </c>
      <c r="J189" s="23" t="s">
        <v>327</v>
      </c>
    </row>
    <row r="190" spans="1:10" s="20" customFormat="1" ht="12" x14ac:dyDescent="0.25">
      <c r="A190" s="22">
        <v>1000020828</v>
      </c>
      <c r="B190" s="23" t="s">
        <v>1025</v>
      </c>
      <c r="C190" s="24" t="s">
        <v>4</v>
      </c>
      <c r="D190" s="23" t="s">
        <v>2090</v>
      </c>
      <c r="E190" s="23">
        <v>15631.3193877551</v>
      </c>
      <c r="F190" s="23">
        <v>12</v>
      </c>
      <c r="G190" s="23">
        <v>12</v>
      </c>
      <c r="H190" s="23">
        <v>0</v>
      </c>
      <c r="I190" s="23" t="s">
        <v>5</v>
      </c>
      <c r="J190" s="23" t="s">
        <v>327</v>
      </c>
    </row>
    <row r="191" spans="1:10" s="20" customFormat="1" ht="12" x14ac:dyDescent="0.25">
      <c r="A191" s="22">
        <v>1000017140</v>
      </c>
      <c r="B191" s="23" t="s">
        <v>1846</v>
      </c>
      <c r="C191" s="24" t="s">
        <v>4</v>
      </c>
      <c r="D191" s="23" t="s">
        <v>2056</v>
      </c>
      <c r="E191" s="23">
        <v>15578.877460744699</v>
      </c>
      <c r="F191" s="23">
        <v>20487</v>
      </c>
      <c r="G191" s="23">
        <v>20487</v>
      </c>
      <c r="H191" s="23">
        <v>0</v>
      </c>
      <c r="I191" s="23" t="s">
        <v>5</v>
      </c>
      <c r="J191" s="23" t="s">
        <v>1844</v>
      </c>
    </row>
    <row r="192" spans="1:10" s="20" customFormat="1" ht="12" x14ac:dyDescent="0.25">
      <c r="A192" s="22">
        <v>1000100352</v>
      </c>
      <c r="B192" s="23" t="s">
        <v>2435</v>
      </c>
      <c r="C192" s="24" t="s">
        <v>4</v>
      </c>
      <c r="D192" s="23" t="s">
        <v>2090</v>
      </c>
      <c r="E192" s="23">
        <v>15498.351428571401</v>
      </c>
      <c r="F192" s="23">
        <v>14</v>
      </c>
      <c r="G192" s="23">
        <v>14</v>
      </c>
      <c r="H192" s="23">
        <v>0</v>
      </c>
      <c r="I192" s="23" t="s">
        <v>5</v>
      </c>
      <c r="J192" s="23" t="s">
        <v>327</v>
      </c>
    </row>
    <row r="193" spans="1:10" s="20" customFormat="1" ht="12" x14ac:dyDescent="0.25">
      <c r="A193" s="22">
        <v>2700000044</v>
      </c>
      <c r="B193" s="23" t="s">
        <v>2436</v>
      </c>
      <c r="C193" s="24" t="s">
        <v>2037</v>
      </c>
      <c r="D193" s="23" t="s">
        <v>2038</v>
      </c>
      <c r="E193" s="23">
        <v>15497.769</v>
      </c>
      <c r="F193" s="23">
        <v>3</v>
      </c>
      <c r="G193" s="23">
        <v>3</v>
      </c>
      <c r="H193" s="23">
        <v>0</v>
      </c>
      <c r="I193" s="23" t="s">
        <v>5</v>
      </c>
      <c r="J193" s="23" t="s">
        <v>138</v>
      </c>
    </row>
    <row r="194" spans="1:10" s="20" customFormat="1" ht="12" x14ac:dyDescent="0.25">
      <c r="A194" s="22">
        <v>2500005718</v>
      </c>
      <c r="B194" s="23" t="s">
        <v>2438</v>
      </c>
      <c r="C194" s="24" t="s">
        <v>1996</v>
      </c>
      <c r="D194" s="23" t="s">
        <v>2025</v>
      </c>
      <c r="E194" s="23">
        <v>15323.3877777777</v>
      </c>
      <c r="F194" s="23">
        <v>13</v>
      </c>
      <c r="G194" s="23">
        <v>13</v>
      </c>
      <c r="H194" s="23">
        <v>0</v>
      </c>
      <c r="I194" s="23" t="s">
        <v>5</v>
      </c>
      <c r="J194" s="23" t="s">
        <v>1993</v>
      </c>
    </row>
    <row r="195" spans="1:10" s="20" customFormat="1" ht="12" x14ac:dyDescent="0.25">
      <c r="A195" s="22">
        <v>1000098742</v>
      </c>
      <c r="B195" s="23" t="s">
        <v>1682</v>
      </c>
      <c r="C195" s="24" t="s">
        <v>4</v>
      </c>
      <c r="D195" s="23" t="s">
        <v>2090</v>
      </c>
      <c r="E195" s="23">
        <v>15297.53</v>
      </c>
      <c r="F195" s="23">
        <v>3</v>
      </c>
      <c r="G195" s="23">
        <v>3</v>
      </c>
      <c r="H195" s="23">
        <v>0</v>
      </c>
      <c r="I195" s="23" t="s">
        <v>5</v>
      </c>
      <c r="J195" s="23" t="s">
        <v>327</v>
      </c>
    </row>
    <row r="196" spans="1:10" s="20" customFormat="1" ht="12" x14ac:dyDescent="0.25">
      <c r="A196" s="22">
        <v>2500005728</v>
      </c>
      <c r="B196" s="23" t="s">
        <v>2439</v>
      </c>
      <c r="C196" s="24" t="s">
        <v>1996</v>
      </c>
      <c r="D196" s="23" t="s">
        <v>2440</v>
      </c>
      <c r="E196" s="23">
        <v>15273.0096345205</v>
      </c>
      <c r="F196" s="23">
        <v>249</v>
      </c>
      <c r="G196" s="23">
        <v>249</v>
      </c>
      <c r="H196" s="23">
        <v>0</v>
      </c>
      <c r="I196" s="23" t="s">
        <v>5</v>
      </c>
      <c r="J196" s="23" t="s">
        <v>1993</v>
      </c>
    </row>
    <row r="197" spans="1:10" s="20" customFormat="1" ht="12" x14ac:dyDescent="0.25">
      <c r="A197" s="22">
        <v>1000095837</v>
      </c>
      <c r="B197" s="23" t="s">
        <v>2443</v>
      </c>
      <c r="C197" s="24" t="s">
        <v>4</v>
      </c>
      <c r="D197" s="23" t="s">
        <v>2056</v>
      </c>
      <c r="E197" s="23">
        <v>15240.0140085601</v>
      </c>
      <c r="F197" s="23">
        <v>484</v>
      </c>
      <c r="G197" s="23">
        <v>484</v>
      </c>
      <c r="H197" s="23">
        <v>0</v>
      </c>
      <c r="I197" s="23" t="s">
        <v>5</v>
      </c>
      <c r="J197" s="23" t="s">
        <v>1844</v>
      </c>
    </row>
    <row r="198" spans="1:10" s="20" customFormat="1" ht="12" x14ac:dyDescent="0.25">
      <c r="A198" s="22">
        <v>1000010148</v>
      </c>
      <c r="B198" s="23" t="s">
        <v>2444</v>
      </c>
      <c r="C198" s="24" t="s">
        <v>4</v>
      </c>
      <c r="D198" s="23" t="s">
        <v>2230</v>
      </c>
      <c r="E198" s="23">
        <v>15233.0181236559</v>
      </c>
      <c r="F198" s="23">
        <v>8</v>
      </c>
      <c r="G198" s="23">
        <v>8</v>
      </c>
      <c r="H198" s="23">
        <v>0</v>
      </c>
      <c r="I198" s="23" t="s">
        <v>122</v>
      </c>
      <c r="J198" s="23" t="s">
        <v>111</v>
      </c>
    </row>
    <row r="199" spans="1:10" s="20" customFormat="1" ht="12" x14ac:dyDescent="0.25">
      <c r="A199" s="22">
        <v>2100006473</v>
      </c>
      <c r="B199" s="23" t="s">
        <v>143</v>
      </c>
      <c r="C199" s="24" t="s">
        <v>2037</v>
      </c>
      <c r="D199" s="23" t="s">
        <v>2031</v>
      </c>
      <c r="E199" s="23">
        <v>15185.22</v>
      </c>
      <c r="F199" s="23">
        <v>9</v>
      </c>
      <c r="G199" s="23">
        <v>9</v>
      </c>
      <c r="H199" s="23">
        <v>0</v>
      </c>
      <c r="I199" s="23" t="s">
        <v>5</v>
      </c>
      <c r="J199" s="23" t="s">
        <v>138</v>
      </c>
    </row>
    <row r="200" spans="1:10" s="20" customFormat="1" ht="12" x14ac:dyDescent="0.25">
      <c r="A200" s="22">
        <v>1000021223</v>
      </c>
      <c r="B200" s="23" t="s">
        <v>1369</v>
      </c>
      <c r="C200" s="24" t="s">
        <v>4</v>
      </c>
      <c r="D200" s="23" t="s">
        <v>2090</v>
      </c>
      <c r="E200" s="23">
        <v>15163.4534707125</v>
      </c>
      <c r="F200" s="23">
        <v>66</v>
      </c>
      <c r="G200" s="23">
        <v>66</v>
      </c>
      <c r="H200" s="23">
        <v>0</v>
      </c>
      <c r="I200" s="23" t="s">
        <v>5</v>
      </c>
      <c r="J200" s="23" t="s">
        <v>327</v>
      </c>
    </row>
    <row r="201" spans="1:10" s="20" customFormat="1" ht="12" x14ac:dyDescent="0.25">
      <c r="A201" s="22">
        <v>1000092931</v>
      </c>
      <c r="B201" s="23" t="s">
        <v>2446</v>
      </c>
      <c r="C201" s="24" t="s">
        <v>2109</v>
      </c>
      <c r="D201" s="23" t="s">
        <v>2070</v>
      </c>
      <c r="E201" s="23">
        <v>15096</v>
      </c>
      <c r="F201" s="23">
        <v>4</v>
      </c>
      <c r="G201" s="23">
        <v>4</v>
      </c>
      <c r="H201" s="23">
        <v>0</v>
      </c>
      <c r="I201" s="23" t="s">
        <v>5</v>
      </c>
      <c r="J201" s="23" t="s">
        <v>6</v>
      </c>
    </row>
    <row r="202" spans="1:10" s="20" customFormat="1" ht="12" x14ac:dyDescent="0.25">
      <c r="A202" s="22">
        <v>1000106150</v>
      </c>
      <c r="B202" s="23" t="s">
        <v>2447</v>
      </c>
      <c r="C202" s="24" t="s">
        <v>4</v>
      </c>
      <c r="D202" s="23" t="s">
        <v>2090</v>
      </c>
      <c r="E202" s="23">
        <v>15064.31</v>
      </c>
      <c r="F202" s="23">
        <v>5</v>
      </c>
      <c r="G202" s="23">
        <v>5</v>
      </c>
      <c r="H202" s="23">
        <v>0</v>
      </c>
      <c r="I202" s="23" t="s">
        <v>5</v>
      </c>
      <c r="J202" s="23" t="s">
        <v>327</v>
      </c>
    </row>
    <row r="203" spans="1:10" s="20" customFormat="1" ht="12" x14ac:dyDescent="0.25">
      <c r="A203" s="22">
        <v>1000021286</v>
      </c>
      <c r="B203" s="23" t="s">
        <v>1422</v>
      </c>
      <c r="C203" s="24" t="s">
        <v>4</v>
      </c>
      <c r="D203" s="23" t="s">
        <v>2090</v>
      </c>
      <c r="E203" s="23">
        <v>14828.827499999999</v>
      </c>
      <c r="F203" s="23">
        <v>33</v>
      </c>
      <c r="G203" s="23">
        <v>33</v>
      </c>
      <c r="H203" s="23">
        <v>0</v>
      </c>
      <c r="I203" s="23" t="s">
        <v>5</v>
      </c>
      <c r="J203" s="23" t="s">
        <v>327</v>
      </c>
    </row>
    <row r="204" spans="1:10" s="20" customFormat="1" ht="12" x14ac:dyDescent="0.25">
      <c r="A204" s="22">
        <v>1000103742</v>
      </c>
      <c r="B204" s="23" t="s">
        <v>1881</v>
      </c>
      <c r="C204" s="24" t="s">
        <v>4</v>
      </c>
      <c r="D204" s="23" t="s">
        <v>2056</v>
      </c>
      <c r="E204" s="23">
        <v>14763.006719999999</v>
      </c>
      <c r="F204" s="23">
        <v>2848</v>
      </c>
      <c r="G204" s="23">
        <v>2848</v>
      </c>
      <c r="H204" s="23">
        <v>0</v>
      </c>
      <c r="I204" s="23" t="s">
        <v>5</v>
      </c>
      <c r="J204" s="23" t="s">
        <v>1844</v>
      </c>
    </row>
    <row r="205" spans="1:10" s="20" customFormat="1" ht="12" x14ac:dyDescent="0.25">
      <c r="A205" s="22">
        <v>1000100375</v>
      </c>
      <c r="B205" s="23" t="s">
        <v>2454</v>
      </c>
      <c r="C205" s="24" t="s">
        <v>4</v>
      </c>
      <c r="D205" s="23" t="s">
        <v>2090</v>
      </c>
      <c r="E205" s="23">
        <v>14672.7225</v>
      </c>
      <c r="F205" s="23">
        <v>10</v>
      </c>
      <c r="G205" s="23">
        <v>10</v>
      </c>
      <c r="H205" s="23">
        <v>0</v>
      </c>
      <c r="I205" s="23" t="s">
        <v>5</v>
      </c>
      <c r="J205" s="23" t="s">
        <v>327</v>
      </c>
    </row>
    <row r="206" spans="1:10" s="20" customFormat="1" ht="12" x14ac:dyDescent="0.25">
      <c r="A206" s="22">
        <v>2500008564</v>
      </c>
      <c r="B206" s="23" t="s">
        <v>2278</v>
      </c>
      <c r="C206" s="24" t="s">
        <v>1996</v>
      </c>
      <c r="D206" s="23" t="s">
        <v>2117</v>
      </c>
      <c r="E206" s="23">
        <v>14625</v>
      </c>
      <c r="F206" s="23">
        <v>3</v>
      </c>
      <c r="G206" s="23">
        <v>3</v>
      </c>
      <c r="H206" s="23">
        <v>0</v>
      </c>
      <c r="I206" s="23" t="s">
        <v>5</v>
      </c>
      <c r="J206" s="23" t="s">
        <v>1993</v>
      </c>
    </row>
    <row r="207" spans="1:10" s="20" customFormat="1" ht="12" x14ac:dyDescent="0.25">
      <c r="A207" s="22">
        <v>1000103752</v>
      </c>
      <c r="B207" s="23" t="s">
        <v>2456</v>
      </c>
      <c r="C207" s="24" t="s">
        <v>4</v>
      </c>
      <c r="D207" s="23" t="s">
        <v>2056</v>
      </c>
      <c r="E207" s="23">
        <v>14602.3525839416</v>
      </c>
      <c r="F207" s="23">
        <v>528</v>
      </c>
      <c r="G207" s="23">
        <v>528</v>
      </c>
      <c r="H207" s="23">
        <v>0</v>
      </c>
      <c r="I207" s="23" t="s">
        <v>5</v>
      </c>
      <c r="J207" s="23" t="s">
        <v>1844</v>
      </c>
    </row>
    <row r="208" spans="1:10" s="20" customFormat="1" ht="12" x14ac:dyDescent="0.25">
      <c r="A208" s="22">
        <v>2500005916</v>
      </c>
      <c r="B208" s="23" t="s">
        <v>2457</v>
      </c>
      <c r="C208" s="24" t="s">
        <v>1996</v>
      </c>
      <c r="D208" s="23" t="s">
        <v>2025</v>
      </c>
      <c r="E208" s="23">
        <v>14541.4769090343</v>
      </c>
      <c r="F208" s="23">
        <v>10</v>
      </c>
      <c r="G208" s="23">
        <v>10</v>
      </c>
      <c r="H208" s="23">
        <v>0</v>
      </c>
      <c r="I208" s="23" t="s">
        <v>5</v>
      </c>
      <c r="J208" s="23" t="s">
        <v>1993</v>
      </c>
    </row>
    <row r="209" spans="1:10" s="20" customFormat="1" ht="12" x14ac:dyDescent="0.25">
      <c r="A209" s="22">
        <v>1000098741</v>
      </c>
      <c r="B209" s="23" t="s">
        <v>1681</v>
      </c>
      <c r="C209" s="24" t="s">
        <v>4</v>
      </c>
      <c r="D209" s="23" t="s">
        <v>2090</v>
      </c>
      <c r="E209" s="23">
        <v>14486.69</v>
      </c>
      <c r="F209" s="23">
        <v>5</v>
      </c>
      <c r="G209" s="23">
        <v>5</v>
      </c>
      <c r="H209" s="23">
        <v>0</v>
      </c>
      <c r="I209" s="23" t="s">
        <v>5</v>
      </c>
      <c r="J209" s="23" t="s">
        <v>327</v>
      </c>
    </row>
    <row r="210" spans="1:10" s="20" customFormat="1" ht="12" x14ac:dyDescent="0.25">
      <c r="A210" s="22">
        <v>1000020772</v>
      </c>
      <c r="B210" s="23" t="s">
        <v>976</v>
      </c>
      <c r="C210" s="24" t="s">
        <v>4</v>
      </c>
      <c r="D210" s="23" t="s">
        <v>2090</v>
      </c>
      <c r="E210" s="23">
        <v>14405.9294117647</v>
      </c>
      <c r="F210" s="23">
        <v>16</v>
      </c>
      <c r="G210" s="23">
        <v>16</v>
      </c>
      <c r="H210" s="23">
        <v>0</v>
      </c>
      <c r="I210" s="23" t="s">
        <v>5</v>
      </c>
      <c r="J210" s="23" t="s">
        <v>327</v>
      </c>
    </row>
    <row r="211" spans="1:10" s="20" customFormat="1" ht="12" x14ac:dyDescent="0.25">
      <c r="A211" s="22">
        <v>2500008361</v>
      </c>
      <c r="B211" s="23" t="s">
        <v>1934</v>
      </c>
      <c r="C211" s="24" t="s">
        <v>1996</v>
      </c>
      <c r="D211" s="23" t="s">
        <v>2025</v>
      </c>
      <c r="E211" s="23">
        <v>14250</v>
      </c>
      <c r="F211" s="23">
        <v>1</v>
      </c>
      <c r="G211" s="23">
        <v>1</v>
      </c>
      <c r="H211" s="23">
        <v>0</v>
      </c>
      <c r="I211" s="23" t="s">
        <v>5</v>
      </c>
      <c r="J211" s="23" t="s">
        <v>1993</v>
      </c>
    </row>
    <row r="212" spans="1:10" s="20" customFormat="1" ht="12" x14ac:dyDescent="0.25">
      <c r="A212" s="22">
        <v>1000093667</v>
      </c>
      <c r="B212" s="23" t="s">
        <v>2181</v>
      </c>
      <c r="C212" s="24" t="s">
        <v>4</v>
      </c>
      <c r="D212" s="23" t="s">
        <v>2056</v>
      </c>
      <c r="E212" s="23">
        <v>14133.6241279724</v>
      </c>
      <c r="F212" s="23">
        <v>12204</v>
      </c>
      <c r="G212" s="23">
        <v>12204</v>
      </c>
      <c r="H212" s="23">
        <v>0</v>
      </c>
      <c r="I212" s="23" t="s">
        <v>5</v>
      </c>
      <c r="J212" s="23" t="s">
        <v>1844</v>
      </c>
    </row>
    <row r="213" spans="1:10" s="20" customFormat="1" ht="12" x14ac:dyDescent="0.25">
      <c r="A213" s="22">
        <v>2700000092</v>
      </c>
      <c r="B213" s="23" t="s">
        <v>251</v>
      </c>
      <c r="C213" s="24" t="s">
        <v>2037</v>
      </c>
      <c r="D213" s="23" t="s">
        <v>2038</v>
      </c>
      <c r="E213" s="23">
        <v>14087.451538461501</v>
      </c>
      <c r="F213" s="23">
        <v>10</v>
      </c>
      <c r="G213" s="23">
        <v>10</v>
      </c>
      <c r="H213" s="23">
        <v>0</v>
      </c>
      <c r="I213" s="23" t="s">
        <v>5</v>
      </c>
      <c r="J213" s="23" t="s">
        <v>146</v>
      </c>
    </row>
    <row r="214" spans="1:10" s="20" customFormat="1" ht="12" x14ac:dyDescent="0.25">
      <c r="A214" s="22">
        <v>1000095607</v>
      </c>
      <c r="B214" s="23" t="s">
        <v>2470</v>
      </c>
      <c r="C214" s="24" t="s">
        <v>4</v>
      </c>
      <c r="D214" s="23" t="s">
        <v>2090</v>
      </c>
      <c r="E214" s="23">
        <v>13825.807500000001</v>
      </c>
      <c r="F214" s="23">
        <v>9</v>
      </c>
      <c r="G214" s="23">
        <v>9</v>
      </c>
      <c r="H214" s="23">
        <v>0</v>
      </c>
      <c r="I214" s="23" t="s">
        <v>44</v>
      </c>
      <c r="J214" s="23" t="s">
        <v>327</v>
      </c>
    </row>
    <row r="215" spans="1:10" s="20" customFormat="1" ht="12" x14ac:dyDescent="0.25">
      <c r="A215" s="22">
        <v>1000099101</v>
      </c>
      <c r="B215" s="23" t="s">
        <v>2471</v>
      </c>
      <c r="C215" s="24" t="s">
        <v>2109</v>
      </c>
      <c r="D215" s="23" t="s">
        <v>2070</v>
      </c>
      <c r="E215" s="23">
        <v>13814.63</v>
      </c>
      <c r="F215" s="23">
        <v>2</v>
      </c>
      <c r="G215" s="23">
        <v>2</v>
      </c>
      <c r="H215" s="23">
        <v>0</v>
      </c>
      <c r="I215" s="23" t="s">
        <v>5</v>
      </c>
      <c r="J215" s="23" t="s">
        <v>6</v>
      </c>
    </row>
    <row r="216" spans="1:10" s="20" customFormat="1" ht="12" x14ac:dyDescent="0.25">
      <c r="A216" s="22">
        <v>1000021254</v>
      </c>
      <c r="B216" s="23" t="s">
        <v>1399</v>
      </c>
      <c r="C216" s="24" t="s">
        <v>4</v>
      </c>
      <c r="D216" s="23" t="s">
        <v>2090</v>
      </c>
      <c r="E216" s="23">
        <v>13779.782047325099</v>
      </c>
      <c r="F216" s="23">
        <v>22</v>
      </c>
      <c r="G216" s="23">
        <v>22</v>
      </c>
      <c r="H216" s="23">
        <v>0</v>
      </c>
      <c r="I216" s="23" t="s">
        <v>5</v>
      </c>
      <c r="J216" s="23" t="s">
        <v>327</v>
      </c>
    </row>
    <row r="217" spans="1:10" s="20" customFormat="1" ht="12" x14ac:dyDescent="0.25">
      <c r="A217" s="22">
        <v>1000106084</v>
      </c>
      <c r="B217" s="23" t="s">
        <v>18</v>
      </c>
      <c r="C217" s="24" t="s">
        <v>2109</v>
      </c>
      <c r="D217" s="23" t="s">
        <v>2472</v>
      </c>
      <c r="E217" s="23">
        <v>13770</v>
      </c>
      <c r="F217" s="23">
        <v>17</v>
      </c>
      <c r="G217" s="23">
        <v>17</v>
      </c>
      <c r="H217" s="23">
        <v>0</v>
      </c>
      <c r="I217" s="23" t="s">
        <v>5</v>
      </c>
      <c r="J217" s="23" t="s">
        <v>6</v>
      </c>
    </row>
    <row r="218" spans="1:10" s="20" customFormat="1" ht="12" x14ac:dyDescent="0.25">
      <c r="A218" s="22">
        <v>1000021002</v>
      </c>
      <c r="B218" s="23" t="s">
        <v>1175</v>
      </c>
      <c r="C218" s="24" t="s">
        <v>4</v>
      </c>
      <c r="D218" s="23" t="s">
        <v>2218</v>
      </c>
      <c r="E218" s="23">
        <v>13653.190117194001</v>
      </c>
      <c r="F218" s="23">
        <v>31</v>
      </c>
      <c r="G218" s="23">
        <v>31</v>
      </c>
      <c r="H218" s="23">
        <v>0</v>
      </c>
      <c r="I218" s="23" t="s">
        <v>5</v>
      </c>
      <c r="J218" s="23" t="s">
        <v>327</v>
      </c>
    </row>
    <row r="219" spans="1:10" s="20" customFormat="1" ht="12" x14ac:dyDescent="0.25">
      <c r="A219" s="22">
        <v>1000100424</v>
      </c>
      <c r="B219" s="23" t="s">
        <v>1735</v>
      </c>
      <c r="C219" s="24" t="s">
        <v>4</v>
      </c>
      <c r="D219" s="23" t="s">
        <v>2090</v>
      </c>
      <c r="E219" s="23">
        <v>13478.4</v>
      </c>
      <c r="F219" s="23">
        <v>9</v>
      </c>
      <c r="G219" s="23">
        <v>9</v>
      </c>
      <c r="H219" s="23">
        <v>0</v>
      </c>
      <c r="I219" s="23" t="s">
        <v>5</v>
      </c>
      <c r="J219" s="23" t="s">
        <v>327</v>
      </c>
    </row>
    <row r="220" spans="1:10" s="20" customFormat="1" ht="12" x14ac:dyDescent="0.25">
      <c r="A220" s="22">
        <v>1000108784</v>
      </c>
      <c r="B220" s="23" t="s">
        <v>2483</v>
      </c>
      <c r="C220" s="24" t="s">
        <v>2109</v>
      </c>
      <c r="D220" s="23" t="s">
        <v>2409</v>
      </c>
      <c r="E220" s="23">
        <v>13321.16</v>
      </c>
      <c r="F220" s="23">
        <v>2</v>
      </c>
      <c r="G220" s="23">
        <v>2</v>
      </c>
      <c r="H220" s="23">
        <v>0</v>
      </c>
      <c r="I220" s="23" t="s">
        <v>5</v>
      </c>
      <c r="J220" s="23" t="s">
        <v>6</v>
      </c>
    </row>
    <row r="221" spans="1:10" s="20" customFormat="1" ht="12" x14ac:dyDescent="0.25">
      <c r="A221" s="22">
        <v>1000099110</v>
      </c>
      <c r="B221" s="23" t="s">
        <v>2484</v>
      </c>
      <c r="C221" s="24" t="s">
        <v>4</v>
      </c>
      <c r="D221" s="23" t="s">
        <v>2161</v>
      </c>
      <c r="E221" s="23">
        <v>13225.74</v>
      </c>
      <c r="F221" s="23">
        <v>15</v>
      </c>
      <c r="G221" s="23">
        <v>15</v>
      </c>
      <c r="H221" s="23">
        <v>0</v>
      </c>
      <c r="I221" s="23" t="s">
        <v>5</v>
      </c>
      <c r="J221" s="23" t="s">
        <v>111</v>
      </c>
    </row>
    <row r="222" spans="1:10" s="20" customFormat="1" ht="12" x14ac:dyDescent="0.25">
      <c r="A222" s="22">
        <v>1000096006</v>
      </c>
      <c r="B222" s="23" t="s">
        <v>2485</v>
      </c>
      <c r="C222" s="24" t="s">
        <v>4</v>
      </c>
      <c r="D222" s="23" t="s">
        <v>2090</v>
      </c>
      <c r="E222" s="23">
        <v>13215.3703846153</v>
      </c>
      <c r="F222" s="23">
        <v>11</v>
      </c>
      <c r="G222" s="23">
        <v>11</v>
      </c>
      <c r="H222" s="23">
        <v>0</v>
      </c>
      <c r="I222" s="23" t="s">
        <v>5</v>
      </c>
      <c r="J222" s="23" t="s">
        <v>327</v>
      </c>
    </row>
    <row r="223" spans="1:10" s="20" customFormat="1" ht="12" x14ac:dyDescent="0.25">
      <c r="A223" s="22">
        <v>2500001300</v>
      </c>
      <c r="B223" s="23" t="s">
        <v>1897</v>
      </c>
      <c r="C223" s="24" t="s">
        <v>1996</v>
      </c>
      <c r="D223" s="23" t="s">
        <v>2025</v>
      </c>
      <c r="E223" s="23">
        <v>13176.5847775517</v>
      </c>
      <c r="F223" s="23">
        <v>11</v>
      </c>
      <c r="G223" s="23">
        <v>11</v>
      </c>
      <c r="H223" s="23">
        <v>0</v>
      </c>
      <c r="I223" s="23" t="s">
        <v>5</v>
      </c>
      <c r="J223" s="23" t="s">
        <v>1993</v>
      </c>
    </row>
    <row r="224" spans="1:10" s="20" customFormat="1" ht="12" x14ac:dyDescent="0.25">
      <c r="A224" s="22">
        <v>1000104688</v>
      </c>
      <c r="B224" s="23" t="s">
        <v>2486</v>
      </c>
      <c r="C224" s="24" t="s">
        <v>2109</v>
      </c>
      <c r="D224" s="23" t="s">
        <v>2070</v>
      </c>
      <c r="E224" s="23">
        <v>13128.75</v>
      </c>
      <c r="F224" s="23">
        <v>1</v>
      </c>
      <c r="G224" s="23">
        <v>1</v>
      </c>
      <c r="H224" s="23">
        <v>0</v>
      </c>
      <c r="I224" s="23" t="s">
        <v>5</v>
      </c>
      <c r="J224" s="23" t="s">
        <v>6</v>
      </c>
    </row>
    <row r="225" spans="1:10" s="20" customFormat="1" ht="12" x14ac:dyDescent="0.25">
      <c r="A225" s="22">
        <v>1000020884</v>
      </c>
      <c r="B225" s="23" t="s">
        <v>1067</v>
      </c>
      <c r="C225" s="24" t="s">
        <v>4</v>
      </c>
      <c r="D225" s="23" t="s">
        <v>2090</v>
      </c>
      <c r="E225" s="23">
        <v>13011.9258333333</v>
      </c>
      <c r="F225" s="23">
        <v>5</v>
      </c>
      <c r="G225" s="23">
        <v>5</v>
      </c>
      <c r="H225" s="23">
        <v>0</v>
      </c>
      <c r="I225" s="23" t="s">
        <v>5</v>
      </c>
      <c r="J225" s="23" t="s">
        <v>327</v>
      </c>
    </row>
    <row r="226" spans="1:10" s="20" customFormat="1" ht="12" x14ac:dyDescent="0.25">
      <c r="A226" s="22">
        <v>1000110222</v>
      </c>
      <c r="B226" s="23" t="s">
        <v>2487</v>
      </c>
      <c r="C226" s="24" t="s">
        <v>2109</v>
      </c>
      <c r="D226" s="23" t="s">
        <v>2035</v>
      </c>
      <c r="E226" s="23">
        <v>13008.95</v>
      </c>
      <c r="F226" s="23">
        <v>3</v>
      </c>
      <c r="G226" s="23">
        <v>3</v>
      </c>
      <c r="H226" s="23">
        <v>0</v>
      </c>
      <c r="I226" s="23" t="s">
        <v>5</v>
      </c>
      <c r="J226" s="23" t="s">
        <v>6</v>
      </c>
    </row>
    <row r="227" spans="1:10" s="20" customFormat="1" ht="12" x14ac:dyDescent="0.25">
      <c r="A227" s="22">
        <v>1000021137</v>
      </c>
      <c r="B227" s="23" t="s">
        <v>1289</v>
      </c>
      <c r="C227" s="24" t="s">
        <v>4</v>
      </c>
      <c r="D227" s="23" t="s">
        <v>2090</v>
      </c>
      <c r="E227" s="23">
        <v>12841.12</v>
      </c>
      <c r="F227" s="23">
        <v>14</v>
      </c>
      <c r="G227" s="23">
        <v>14</v>
      </c>
      <c r="H227" s="23">
        <v>0</v>
      </c>
      <c r="I227" s="23" t="s">
        <v>5</v>
      </c>
      <c r="J227" s="23" t="s">
        <v>327</v>
      </c>
    </row>
    <row r="228" spans="1:10" s="20" customFormat="1" ht="12" x14ac:dyDescent="0.25">
      <c r="A228" s="22">
        <v>1000109460</v>
      </c>
      <c r="B228" s="23" t="s">
        <v>2492</v>
      </c>
      <c r="C228" s="24" t="s">
        <v>4</v>
      </c>
      <c r="D228" s="23" t="s">
        <v>2493</v>
      </c>
      <c r="E228" s="23">
        <v>12633.3812</v>
      </c>
      <c r="F228" s="23">
        <v>76</v>
      </c>
      <c r="G228" s="23">
        <v>0</v>
      </c>
      <c r="H228" s="23">
        <v>76</v>
      </c>
      <c r="I228" s="23" t="s">
        <v>44</v>
      </c>
      <c r="J228" s="23" t="s">
        <v>327</v>
      </c>
    </row>
    <row r="229" spans="1:10" s="20" customFormat="1" ht="12" x14ac:dyDescent="0.25">
      <c r="A229" s="22">
        <v>1000106117</v>
      </c>
      <c r="B229" s="23" t="s">
        <v>2494</v>
      </c>
      <c r="C229" s="24" t="s">
        <v>4</v>
      </c>
      <c r="D229" s="23" t="s">
        <v>2161</v>
      </c>
      <c r="E229" s="23">
        <v>12601.975669297301</v>
      </c>
      <c r="F229" s="23">
        <v>13</v>
      </c>
      <c r="G229" s="23">
        <v>13</v>
      </c>
      <c r="H229" s="23">
        <v>0</v>
      </c>
      <c r="I229" s="23" t="s">
        <v>5</v>
      </c>
      <c r="J229" s="23" t="s">
        <v>111</v>
      </c>
    </row>
    <row r="230" spans="1:10" s="20" customFormat="1" ht="12" x14ac:dyDescent="0.25">
      <c r="A230" s="22">
        <v>1000020534</v>
      </c>
      <c r="B230" s="23" t="s">
        <v>755</v>
      </c>
      <c r="C230" s="24" t="s">
        <v>4</v>
      </c>
      <c r="D230" s="23" t="s">
        <v>2090</v>
      </c>
      <c r="E230" s="23">
        <v>12547.397683494701</v>
      </c>
      <c r="F230" s="23">
        <v>59</v>
      </c>
      <c r="G230" s="23">
        <v>59</v>
      </c>
      <c r="H230" s="23">
        <v>0</v>
      </c>
      <c r="I230" s="23" t="s">
        <v>5</v>
      </c>
      <c r="J230" s="23" t="s">
        <v>327</v>
      </c>
    </row>
    <row r="231" spans="1:10" s="20" customFormat="1" ht="12" x14ac:dyDescent="0.25">
      <c r="A231" s="22">
        <v>1000098548</v>
      </c>
      <c r="B231" s="23" t="s">
        <v>332</v>
      </c>
      <c r="C231" s="24" t="s">
        <v>4</v>
      </c>
      <c r="D231" s="23" t="s">
        <v>2090</v>
      </c>
      <c r="E231" s="23">
        <v>12535.4063492063</v>
      </c>
      <c r="F231" s="23">
        <v>12</v>
      </c>
      <c r="G231" s="23">
        <v>12</v>
      </c>
      <c r="H231" s="23">
        <v>0</v>
      </c>
      <c r="I231" s="23" t="s">
        <v>5</v>
      </c>
      <c r="J231" s="23" t="s">
        <v>327</v>
      </c>
    </row>
    <row r="232" spans="1:10" s="20" customFormat="1" ht="12" x14ac:dyDescent="0.25">
      <c r="A232" s="22">
        <v>1000094741</v>
      </c>
      <c r="B232" s="23" t="s">
        <v>2496</v>
      </c>
      <c r="C232" s="24" t="s">
        <v>4</v>
      </c>
      <c r="D232" s="23" t="s">
        <v>2090</v>
      </c>
      <c r="E232" s="23">
        <v>12530.7096666666</v>
      </c>
      <c r="F232" s="23">
        <v>14</v>
      </c>
      <c r="G232" s="23">
        <v>14</v>
      </c>
      <c r="H232" s="23">
        <v>0</v>
      </c>
      <c r="I232" s="23" t="s">
        <v>5</v>
      </c>
      <c r="J232" s="23" t="s">
        <v>327</v>
      </c>
    </row>
    <row r="233" spans="1:10" s="20" customFormat="1" ht="12" x14ac:dyDescent="0.25">
      <c r="A233" s="22">
        <v>2500009145</v>
      </c>
      <c r="B233" s="23" t="s">
        <v>2497</v>
      </c>
      <c r="C233" s="24" t="s">
        <v>1996</v>
      </c>
      <c r="D233" s="23" t="s">
        <v>2025</v>
      </c>
      <c r="E233" s="23">
        <v>12506.25</v>
      </c>
      <c r="F233" s="23">
        <v>5</v>
      </c>
      <c r="G233" s="23">
        <v>5</v>
      </c>
      <c r="H233" s="23">
        <v>0</v>
      </c>
      <c r="I233" s="23" t="s">
        <v>5</v>
      </c>
      <c r="J233" s="23" t="s">
        <v>1993</v>
      </c>
    </row>
    <row r="234" spans="1:10" s="20" customFormat="1" ht="12" x14ac:dyDescent="0.25">
      <c r="A234" s="22">
        <v>1000020495</v>
      </c>
      <c r="B234" s="23" t="s">
        <v>720</v>
      </c>
      <c r="C234" s="24" t="s">
        <v>4</v>
      </c>
      <c r="D234" s="23" t="s">
        <v>2218</v>
      </c>
      <c r="E234" s="23">
        <v>12314.237288287</v>
      </c>
      <c r="F234" s="23">
        <v>271</v>
      </c>
      <c r="G234" s="23">
        <v>271</v>
      </c>
      <c r="H234" s="23">
        <v>0</v>
      </c>
      <c r="I234" s="23" t="s">
        <v>44</v>
      </c>
      <c r="J234" s="23" t="s">
        <v>327</v>
      </c>
    </row>
    <row r="235" spans="1:10" s="20" customFormat="1" ht="12" x14ac:dyDescent="0.25">
      <c r="A235" s="22">
        <v>1000094198</v>
      </c>
      <c r="B235" s="23" t="s">
        <v>2500</v>
      </c>
      <c r="C235" s="24" t="s">
        <v>4</v>
      </c>
      <c r="D235" s="23" t="s">
        <v>2056</v>
      </c>
      <c r="E235" s="23">
        <v>12212</v>
      </c>
      <c r="F235" s="23">
        <v>3550</v>
      </c>
      <c r="G235" s="23">
        <v>3550</v>
      </c>
      <c r="H235" s="23">
        <v>0</v>
      </c>
      <c r="I235" s="23" t="s">
        <v>5</v>
      </c>
      <c r="J235" s="23" t="s">
        <v>1844</v>
      </c>
    </row>
    <row r="236" spans="1:10" s="20" customFormat="1" ht="12" x14ac:dyDescent="0.25">
      <c r="A236" s="22">
        <v>1000020812</v>
      </c>
      <c r="B236" s="23" t="s">
        <v>1014</v>
      </c>
      <c r="C236" s="24" t="s">
        <v>4</v>
      </c>
      <c r="D236" s="23" t="s">
        <v>2090</v>
      </c>
      <c r="E236" s="23">
        <v>12206.74</v>
      </c>
      <c r="F236" s="23">
        <v>33</v>
      </c>
      <c r="G236" s="23">
        <v>33</v>
      </c>
      <c r="H236" s="23">
        <v>0</v>
      </c>
      <c r="I236" s="23" t="s">
        <v>5</v>
      </c>
      <c r="J236" s="23" t="s">
        <v>327</v>
      </c>
    </row>
    <row r="237" spans="1:10" s="20" customFormat="1" ht="12" x14ac:dyDescent="0.25">
      <c r="A237" s="22">
        <v>1000106151</v>
      </c>
      <c r="B237" s="23" t="s">
        <v>2501</v>
      </c>
      <c r="C237" s="24" t="s">
        <v>4</v>
      </c>
      <c r="D237" s="23" t="s">
        <v>2090</v>
      </c>
      <c r="E237" s="23">
        <v>12076.5</v>
      </c>
      <c r="F237" s="23">
        <v>5</v>
      </c>
      <c r="G237" s="23">
        <v>5</v>
      </c>
      <c r="H237" s="23">
        <v>0</v>
      </c>
      <c r="I237" s="23" t="s">
        <v>5</v>
      </c>
      <c r="J237" s="23" t="s">
        <v>327</v>
      </c>
    </row>
    <row r="238" spans="1:10" s="20" customFormat="1" ht="12" x14ac:dyDescent="0.25">
      <c r="A238" s="22">
        <v>1000102220</v>
      </c>
      <c r="B238" s="23" t="s">
        <v>2503</v>
      </c>
      <c r="C238" s="24" t="s">
        <v>4</v>
      </c>
      <c r="D238" s="23" t="s">
        <v>2090</v>
      </c>
      <c r="E238" s="23">
        <v>12045</v>
      </c>
      <c r="F238" s="23">
        <v>4</v>
      </c>
      <c r="G238" s="23">
        <v>4</v>
      </c>
      <c r="H238" s="23">
        <v>0</v>
      </c>
      <c r="I238" s="23" t="s">
        <v>5</v>
      </c>
      <c r="J238" s="23" t="s">
        <v>327</v>
      </c>
    </row>
    <row r="239" spans="1:10" s="20" customFormat="1" ht="12" x14ac:dyDescent="0.25">
      <c r="A239" s="22">
        <v>2100006470</v>
      </c>
      <c r="B239" s="23" t="s">
        <v>141</v>
      </c>
      <c r="C239" s="24" t="s">
        <v>2037</v>
      </c>
      <c r="D239" s="23" t="s">
        <v>2031</v>
      </c>
      <c r="E239" s="23">
        <v>11999.15</v>
      </c>
      <c r="F239" s="23">
        <v>7</v>
      </c>
      <c r="G239" s="23">
        <v>7</v>
      </c>
      <c r="H239" s="23">
        <v>0</v>
      </c>
      <c r="I239" s="23" t="s">
        <v>5</v>
      </c>
      <c r="J239" s="23" t="s">
        <v>138</v>
      </c>
    </row>
    <row r="240" spans="1:10" s="20" customFormat="1" ht="12" x14ac:dyDescent="0.25">
      <c r="A240" s="22">
        <v>1000106116</v>
      </c>
      <c r="B240" s="23" t="s">
        <v>2505</v>
      </c>
      <c r="C240" s="24" t="s">
        <v>4</v>
      </c>
      <c r="D240" s="23" t="s">
        <v>2161</v>
      </c>
      <c r="E240" s="23">
        <v>11965.03</v>
      </c>
      <c r="F240" s="23">
        <v>7</v>
      </c>
      <c r="G240" s="23">
        <v>7</v>
      </c>
      <c r="H240" s="23">
        <v>0</v>
      </c>
      <c r="I240" s="23" t="s">
        <v>5</v>
      </c>
      <c r="J240" s="23" t="s">
        <v>111</v>
      </c>
    </row>
    <row r="241" spans="1:10" s="20" customFormat="1" ht="12" x14ac:dyDescent="0.25">
      <c r="A241" s="22">
        <v>1000091395</v>
      </c>
      <c r="B241" s="23" t="s">
        <v>2510</v>
      </c>
      <c r="C241" s="24" t="s">
        <v>2109</v>
      </c>
      <c r="D241" s="23" t="s">
        <v>2070</v>
      </c>
      <c r="E241" s="23">
        <v>11880</v>
      </c>
      <c r="F241" s="23">
        <v>1</v>
      </c>
      <c r="G241" s="23">
        <v>1</v>
      </c>
      <c r="H241" s="23">
        <v>0</v>
      </c>
      <c r="I241" s="23" t="s">
        <v>5</v>
      </c>
      <c r="J241" s="23" t="s">
        <v>6</v>
      </c>
    </row>
    <row r="242" spans="1:10" s="20" customFormat="1" ht="12" x14ac:dyDescent="0.25">
      <c r="A242" s="22">
        <v>1000093592</v>
      </c>
      <c r="B242" s="23" t="s">
        <v>2511</v>
      </c>
      <c r="C242" s="24" t="s">
        <v>4</v>
      </c>
      <c r="D242" s="23" t="s">
        <v>2056</v>
      </c>
      <c r="E242" s="23">
        <v>11879.293769076599</v>
      </c>
      <c r="F242" s="23">
        <v>4211</v>
      </c>
      <c r="G242" s="23">
        <v>6211</v>
      </c>
      <c r="H242" s="23">
        <v>-2000</v>
      </c>
      <c r="I242" s="23" t="s">
        <v>122</v>
      </c>
      <c r="J242" s="23" t="s">
        <v>1844</v>
      </c>
    </row>
    <row r="243" spans="1:10" s="20" customFormat="1" ht="12" x14ac:dyDescent="0.25">
      <c r="A243" s="22">
        <v>1000106115</v>
      </c>
      <c r="B243" s="23" t="s">
        <v>2512</v>
      </c>
      <c r="C243" s="24" t="s">
        <v>4</v>
      </c>
      <c r="D243" s="23" t="s">
        <v>2161</v>
      </c>
      <c r="E243" s="23">
        <v>11761.12</v>
      </c>
      <c r="F243" s="23">
        <v>15</v>
      </c>
      <c r="G243" s="23">
        <v>15</v>
      </c>
      <c r="H243" s="23">
        <v>0</v>
      </c>
      <c r="I243" s="23" t="s">
        <v>5</v>
      </c>
      <c r="J243" s="23" t="s">
        <v>111</v>
      </c>
    </row>
    <row r="244" spans="1:10" s="20" customFormat="1" ht="12" x14ac:dyDescent="0.25">
      <c r="A244" s="22">
        <v>1000099354</v>
      </c>
      <c r="B244" s="23" t="s">
        <v>2513</v>
      </c>
      <c r="C244" s="24" t="s">
        <v>4</v>
      </c>
      <c r="D244" s="23" t="s">
        <v>2161</v>
      </c>
      <c r="E244" s="23">
        <v>11736.007374000001</v>
      </c>
      <c r="F244" s="23">
        <v>21</v>
      </c>
      <c r="G244" s="23">
        <v>21</v>
      </c>
      <c r="H244" s="23">
        <v>0</v>
      </c>
      <c r="I244" s="23" t="s">
        <v>5</v>
      </c>
      <c r="J244" s="23" t="s">
        <v>111</v>
      </c>
    </row>
    <row r="245" spans="1:10" s="20" customFormat="1" ht="12" x14ac:dyDescent="0.25">
      <c r="A245" s="22">
        <v>1000093739</v>
      </c>
      <c r="B245" s="23" t="s">
        <v>2514</v>
      </c>
      <c r="C245" s="24" t="s">
        <v>2109</v>
      </c>
      <c r="D245" s="23" t="s">
        <v>2374</v>
      </c>
      <c r="E245" s="23">
        <v>11603.8507015575</v>
      </c>
      <c r="F245" s="23">
        <v>2</v>
      </c>
      <c r="G245" s="23">
        <v>2</v>
      </c>
      <c r="H245" s="23">
        <v>0</v>
      </c>
      <c r="I245" s="23" t="s">
        <v>5</v>
      </c>
      <c r="J245" s="23" t="s">
        <v>6</v>
      </c>
    </row>
    <row r="246" spans="1:10" s="20" customFormat="1" ht="12" x14ac:dyDescent="0.25">
      <c r="A246" s="22">
        <v>1000097740</v>
      </c>
      <c r="B246" s="23" t="s">
        <v>1511</v>
      </c>
      <c r="C246" s="24" t="s">
        <v>4</v>
      </c>
      <c r="D246" s="23" t="s">
        <v>2090</v>
      </c>
      <c r="E246" s="23">
        <v>11524.8283333333</v>
      </c>
      <c r="F246" s="23">
        <v>11</v>
      </c>
      <c r="G246" s="23">
        <v>11</v>
      </c>
      <c r="H246" s="23">
        <v>0</v>
      </c>
      <c r="I246" s="23" t="s">
        <v>5</v>
      </c>
      <c r="J246" s="23" t="s">
        <v>327</v>
      </c>
    </row>
    <row r="247" spans="1:10" s="20" customFormat="1" ht="12" x14ac:dyDescent="0.25">
      <c r="A247" s="22">
        <v>1000020752</v>
      </c>
      <c r="B247" s="23" t="s">
        <v>958</v>
      </c>
      <c r="C247" s="24" t="s">
        <v>4</v>
      </c>
      <c r="D247" s="23" t="s">
        <v>2090</v>
      </c>
      <c r="E247" s="23">
        <v>11458.33</v>
      </c>
      <c r="F247" s="23">
        <v>13</v>
      </c>
      <c r="G247" s="23">
        <v>13</v>
      </c>
      <c r="H247" s="23">
        <v>0</v>
      </c>
      <c r="I247" s="23" t="s">
        <v>5</v>
      </c>
      <c r="J247" s="23" t="s">
        <v>327</v>
      </c>
    </row>
    <row r="248" spans="1:10" s="20" customFormat="1" ht="12" x14ac:dyDescent="0.25">
      <c r="A248" s="22">
        <v>1000110159</v>
      </c>
      <c r="B248" s="23" t="s">
        <v>2519</v>
      </c>
      <c r="C248" s="24" t="s">
        <v>4</v>
      </c>
      <c r="D248" s="23" t="s">
        <v>2043</v>
      </c>
      <c r="E248" s="23">
        <v>11424</v>
      </c>
      <c r="F248" s="23">
        <v>34</v>
      </c>
      <c r="G248" s="23">
        <v>34</v>
      </c>
      <c r="H248" s="23">
        <v>0</v>
      </c>
      <c r="I248" s="23" t="s">
        <v>71</v>
      </c>
      <c r="J248" s="23" t="s">
        <v>33</v>
      </c>
    </row>
    <row r="249" spans="1:10" s="20" customFormat="1" ht="12" x14ac:dyDescent="0.25">
      <c r="A249" s="22">
        <v>1000109465</v>
      </c>
      <c r="B249" s="23" t="s">
        <v>2522</v>
      </c>
      <c r="C249" s="24" t="s">
        <v>4</v>
      </c>
      <c r="D249" s="23" t="s">
        <v>2161</v>
      </c>
      <c r="E249" s="23">
        <v>11271</v>
      </c>
      <c r="F249" s="23">
        <v>15</v>
      </c>
      <c r="G249" s="23">
        <v>15</v>
      </c>
      <c r="H249" s="23">
        <v>0</v>
      </c>
      <c r="I249" s="23" t="s">
        <v>5</v>
      </c>
      <c r="J249" s="23" t="s">
        <v>111</v>
      </c>
    </row>
    <row r="250" spans="1:10" s="20" customFormat="1" ht="12" x14ac:dyDescent="0.25">
      <c r="A250" s="22">
        <v>1000101767</v>
      </c>
      <c r="B250" s="23" t="s">
        <v>1754</v>
      </c>
      <c r="C250" s="24" t="s">
        <v>4</v>
      </c>
      <c r="D250" s="23" t="s">
        <v>2090</v>
      </c>
      <c r="E250" s="23">
        <v>11254</v>
      </c>
      <c r="F250" s="23">
        <v>1</v>
      </c>
      <c r="G250" s="23">
        <v>1</v>
      </c>
      <c r="H250" s="23">
        <v>0</v>
      </c>
      <c r="I250" s="23" t="s">
        <v>5</v>
      </c>
      <c r="J250" s="23" t="s">
        <v>327</v>
      </c>
    </row>
    <row r="251" spans="1:10" s="20" customFormat="1" ht="12" x14ac:dyDescent="0.25">
      <c r="A251" s="22">
        <v>1000093672</v>
      </c>
      <c r="B251" s="23" t="s">
        <v>2525</v>
      </c>
      <c r="C251" s="24" t="s">
        <v>4</v>
      </c>
      <c r="D251" s="23" t="s">
        <v>2056</v>
      </c>
      <c r="E251" s="23">
        <v>11216.418723139701</v>
      </c>
      <c r="F251" s="23">
        <v>86</v>
      </c>
      <c r="G251" s="23">
        <v>86</v>
      </c>
      <c r="H251" s="23">
        <v>0</v>
      </c>
      <c r="I251" s="23" t="s">
        <v>5</v>
      </c>
      <c r="J251" s="23" t="s">
        <v>1844</v>
      </c>
    </row>
    <row r="252" spans="1:10" s="20" customFormat="1" ht="12" x14ac:dyDescent="0.25">
      <c r="A252" s="22">
        <v>1000105183</v>
      </c>
      <c r="B252" s="23" t="s">
        <v>2527</v>
      </c>
      <c r="C252" s="24" t="s">
        <v>4</v>
      </c>
      <c r="D252" s="23" t="s">
        <v>2056</v>
      </c>
      <c r="E252" s="23">
        <v>11169.608000939799</v>
      </c>
      <c r="F252" s="23">
        <v>1250</v>
      </c>
      <c r="G252" s="23">
        <v>1250</v>
      </c>
      <c r="H252" s="23">
        <v>0</v>
      </c>
      <c r="I252" s="23" t="s">
        <v>5</v>
      </c>
      <c r="J252" s="23" t="s">
        <v>1844</v>
      </c>
    </row>
    <row r="253" spans="1:10" s="20" customFormat="1" ht="12" x14ac:dyDescent="0.25">
      <c r="A253" s="22">
        <v>1000100016</v>
      </c>
      <c r="B253" s="23" t="s">
        <v>2528</v>
      </c>
      <c r="C253" s="24" t="s">
        <v>4</v>
      </c>
      <c r="D253" s="23" t="s">
        <v>2056</v>
      </c>
      <c r="E253" s="23">
        <v>11169.0112109004</v>
      </c>
      <c r="F253" s="23">
        <v>205</v>
      </c>
      <c r="G253" s="23">
        <v>205</v>
      </c>
      <c r="H253" s="23">
        <v>0</v>
      </c>
      <c r="I253" s="23" t="s">
        <v>5</v>
      </c>
      <c r="J253" s="23" t="s">
        <v>1844</v>
      </c>
    </row>
    <row r="254" spans="1:10" s="20" customFormat="1" ht="12" x14ac:dyDescent="0.25">
      <c r="A254" s="22">
        <v>1000020726</v>
      </c>
      <c r="B254" s="23" t="s">
        <v>934</v>
      </c>
      <c r="C254" s="24" t="s">
        <v>4</v>
      </c>
      <c r="D254" s="23" t="s">
        <v>2090</v>
      </c>
      <c r="E254" s="23">
        <v>11130.73</v>
      </c>
      <c r="F254" s="23">
        <v>19</v>
      </c>
      <c r="G254" s="23">
        <v>19</v>
      </c>
      <c r="H254" s="23">
        <v>0</v>
      </c>
      <c r="I254" s="23" t="s">
        <v>5</v>
      </c>
      <c r="J254" s="23" t="s">
        <v>327</v>
      </c>
    </row>
    <row r="255" spans="1:10" s="20" customFormat="1" ht="12" x14ac:dyDescent="0.25">
      <c r="A255" s="22">
        <v>1000020814</v>
      </c>
      <c r="B255" s="23" t="s">
        <v>1016</v>
      </c>
      <c r="C255" s="24" t="s">
        <v>4</v>
      </c>
      <c r="D255" s="23" t="s">
        <v>2090</v>
      </c>
      <c r="E255" s="23">
        <v>11119.01</v>
      </c>
      <c r="F255" s="23">
        <v>24</v>
      </c>
      <c r="G255" s="23">
        <v>24</v>
      </c>
      <c r="H255" s="23">
        <v>0</v>
      </c>
      <c r="I255" s="23" t="s">
        <v>5</v>
      </c>
      <c r="J255" s="23" t="s">
        <v>327</v>
      </c>
    </row>
    <row r="256" spans="1:10" s="20" customFormat="1" ht="12" x14ac:dyDescent="0.25">
      <c r="A256" s="22">
        <v>2200012249</v>
      </c>
      <c r="B256" s="23" t="s">
        <v>2324</v>
      </c>
      <c r="C256" s="24" t="s">
        <v>2030</v>
      </c>
      <c r="D256" s="23" t="s">
        <v>2038</v>
      </c>
      <c r="E256" s="23">
        <v>11073.9533333333</v>
      </c>
      <c r="F256" s="23">
        <v>2</v>
      </c>
      <c r="G256" s="23">
        <v>2</v>
      </c>
      <c r="H256" s="23">
        <v>0</v>
      </c>
      <c r="I256" s="23" t="s">
        <v>5</v>
      </c>
      <c r="J256" s="23" t="s">
        <v>138</v>
      </c>
    </row>
    <row r="257" spans="1:10" s="20" customFormat="1" ht="12" x14ac:dyDescent="0.25">
      <c r="A257" s="22">
        <v>1000021229</v>
      </c>
      <c r="B257" s="23" t="s">
        <v>1375</v>
      </c>
      <c r="C257" s="24" t="s">
        <v>4</v>
      </c>
      <c r="D257" s="23" t="s">
        <v>2090</v>
      </c>
      <c r="E257" s="23">
        <v>11001.3851666666</v>
      </c>
      <c r="F257" s="23">
        <v>43</v>
      </c>
      <c r="G257" s="23">
        <v>43</v>
      </c>
      <c r="H257" s="23">
        <v>0</v>
      </c>
      <c r="I257" s="23" t="s">
        <v>5</v>
      </c>
      <c r="J257" s="23" t="s">
        <v>327</v>
      </c>
    </row>
    <row r="258" spans="1:10" s="20" customFormat="1" ht="12" x14ac:dyDescent="0.25">
      <c r="A258" s="22">
        <v>1000102238</v>
      </c>
      <c r="B258" s="23" t="s">
        <v>1790</v>
      </c>
      <c r="C258" s="24" t="s">
        <v>4</v>
      </c>
      <c r="D258" s="23" t="s">
        <v>2090</v>
      </c>
      <c r="E258" s="23">
        <v>10983.6</v>
      </c>
      <c r="F258" s="23">
        <v>6</v>
      </c>
      <c r="G258" s="23">
        <v>6</v>
      </c>
      <c r="H258" s="23">
        <v>0</v>
      </c>
      <c r="I258" s="23" t="s">
        <v>5</v>
      </c>
      <c r="J258" s="23" t="s">
        <v>327</v>
      </c>
    </row>
    <row r="259" spans="1:10" s="20" customFormat="1" ht="12" x14ac:dyDescent="0.25">
      <c r="A259" s="22">
        <v>1000020120</v>
      </c>
      <c r="B259" s="23" t="s">
        <v>375</v>
      </c>
      <c r="C259" s="24" t="s">
        <v>4</v>
      </c>
      <c r="D259" s="23" t="s">
        <v>2090</v>
      </c>
      <c r="E259" s="23">
        <v>10982.417647058801</v>
      </c>
      <c r="F259" s="23">
        <v>15</v>
      </c>
      <c r="G259" s="23">
        <v>15</v>
      </c>
      <c r="H259" s="23">
        <v>0</v>
      </c>
      <c r="I259" s="23" t="s">
        <v>5</v>
      </c>
      <c r="J259" s="23" t="s">
        <v>327</v>
      </c>
    </row>
    <row r="260" spans="1:10" s="20" customFormat="1" ht="12" x14ac:dyDescent="0.25">
      <c r="A260" s="22">
        <v>1000098716</v>
      </c>
      <c r="B260" s="23" t="s">
        <v>1663</v>
      </c>
      <c r="C260" s="24" t="s">
        <v>4</v>
      </c>
      <c r="D260" s="23" t="s">
        <v>2090</v>
      </c>
      <c r="E260" s="23">
        <v>10908.56</v>
      </c>
      <c r="F260" s="23">
        <v>5</v>
      </c>
      <c r="G260" s="23">
        <v>5</v>
      </c>
      <c r="H260" s="23">
        <v>0</v>
      </c>
      <c r="I260" s="23" t="s">
        <v>5</v>
      </c>
      <c r="J260" s="23" t="s">
        <v>327</v>
      </c>
    </row>
    <row r="261" spans="1:10" s="20" customFormat="1" ht="12" x14ac:dyDescent="0.25">
      <c r="A261" s="22">
        <v>1000021252</v>
      </c>
      <c r="B261" s="23" t="s">
        <v>1397</v>
      </c>
      <c r="C261" s="24" t="s">
        <v>4</v>
      </c>
      <c r="D261" s="23" t="s">
        <v>2090</v>
      </c>
      <c r="E261" s="23">
        <v>10902.456923076899</v>
      </c>
      <c r="F261" s="23">
        <v>21</v>
      </c>
      <c r="G261" s="23">
        <v>21</v>
      </c>
      <c r="H261" s="23">
        <v>0</v>
      </c>
      <c r="I261" s="23" t="s">
        <v>122</v>
      </c>
      <c r="J261" s="23" t="s">
        <v>327</v>
      </c>
    </row>
    <row r="262" spans="1:10" s="20" customFormat="1" ht="12" x14ac:dyDescent="0.25">
      <c r="A262" s="22">
        <v>1000097583</v>
      </c>
      <c r="B262" s="23" t="s">
        <v>1509</v>
      </c>
      <c r="C262" s="24" t="s">
        <v>4</v>
      </c>
      <c r="D262" s="23" t="s">
        <v>2090</v>
      </c>
      <c r="E262" s="23">
        <v>10901.7671875</v>
      </c>
      <c r="F262" s="23">
        <v>7</v>
      </c>
      <c r="G262" s="23">
        <v>7</v>
      </c>
      <c r="H262" s="23">
        <v>0</v>
      </c>
      <c r="I262" s="23" t="s">
        <v>5</v>
      </c>
      <c r="J262" s="23" t="s">
        <v>327</v>
      </c>
    </row>
    <row r="263" spans="1:10" s="20" customFormat="1" ht="12" x14ac:dyDescent="0.25">
      <c r="A263" s="22">
        <v>1000093687</v>
      </c>
      <c r="B263" s="23" t="s">
        <v>2535</v>
      </c>
      <c r="C263" s="24" t="s">
        <v>4</v>
      </c>
      <c r="D263" s="23" t="s">
        <v>2056</v>
      </c>
      <c r="E263" s="23">
        <v>10890</v>
      </c>
      <c r="F263" s="23">
        <v>3</v>
      </c>
      <c r="G263" s="23">
        <v>3</v>
      </c>
      <c r="H263" s="23">
        <v>0</v>
      </c>
      <c r="I263" s="23" t="s">
        <v>5</v>
      </c>
      <c r="J263" s="23" t="s">
        <v>1844</v>
      </c>
    </row>
    <row r="264" spans="1:10" s="20" customFormat="1" ht="12" x14ac:dyDescent="0.25">
      <c r="A264" s="22">
        <v>1000093589</v>
      </c>
      <c r="B264" s="23" t="s">
        <v>2536</v>
      </c>
      <c r="C264" s="24" t="s">
        <v>4</v>
      </c>
      <c r="D264" s="23" t="s">
        <v>2056</v>
      </c>
      <c r="E264" s="23">
        <v>10878.648893375201</v>
      </c>
      <c r="F264" s="23">
        <v>4558</v>
      </c>
      <c r="G264" s="23">
        <v>0</v>
      </c>
      <c r="H264" s="23">
        <v>4558</v>
      </c>
      <c r="I264" s="23" t="s">
        <v>122</v>
      </c>
      <c r="J264" s="23" t="s">
        <v>1844</v>
      </c>
    </row>
    <row r="265" spans="1:10" s="20" customFormat="1" ht="12" x14ac:dyDescent="0.25">
      <c r="A265" s="22">
        <v>1000098436</v>
      </c>
      <c r="B265" s="23" t="s">
        <v>1516</v>
      </c>
      <c r="C265" s="24" t="s">
        <v>4</v>
      </c>
      <c r="D265" s="23" t="s">
        <v>2090</v>
      </c>
      <c r="E265" s="23">
        <v>10806.0411235955</v>
      </c>
      <c r="F265" s="23">
        <v>72</v>
      </c>
      <c r="G265" s="23">
        <v>72</v>
      </c>
      <c r="H265" s="23">
        <v>0</v>
      </c>
      <c r="I265" s="23" t="s">
        <v>5</v>
      </c>
      <c r="J265" s="23" t="s">
        <v>327</v>
      </c>
    </row>
    <row r="266" spans="1:10" s="20" customFormat="1" ht="12" x14ac:dyDescent="0.25">
      <c r="A266" s="22">
        <v>1000095839</v>
      </c>
      <c r="B266" s="23" t="s">
        <v>1847</v>
      </c>
      <c r="C266" s="24" t="s">
        <v>4</v>
      </c>
      <c r="D266" s="23" t="s">
        <v>2056</v>
      </c>
      <c r="E266" s="23">
        <v>10771.3399002267</v>
      </c>
      <c r="F266" s="23">
        <v>8</v>
      </c>
      <c r="G266" s="23">
        <v>8</v>
      </c>
      <c r="H266" s="23">
        <v>0</v>
      </c>
      <c r="I266" s="23" t="s">
        <v>5</v>
      </c>
      <c r="J266" s="23" t="s">
        <v>1844</v>
      </c>
    </row>
    <row r="267" spans="1:10" s="20" customFormat="1" ht="12" x14ac:dyDescent="0.25">
      <c r="A267" s="22">
        <v>1000095976</v>
      </c>
      <c r="B267" s="23" t="s">
        <v>2538</v>
      </c>
      <c r="C267" s="24" t="s">
        <v>4</v>
      </c>
      <c r="D267" s="23" t="s">
        <v>2161</v>
      </c>
      <c r="E267" s="23">
        <v>10743.1033333333</v>
      </c>
      <c r="F267" s="23">
        <v>2</v>
      </c>
      <c r="G267" s="23">
        <v>2</v>
      </c>
      <c r="H267" s="23">
        <v>0</v>
      </c>
      <c r="I267" s="23" t="s">
        <v>5</v>
      </c>
      <c r="J267" s="23" t="s">
        <v>111</v>
      </c>
    </row>
    <row r="268" spans="1:10" s="20" customFormat="1" ht="12" x14ac:dyDescent="0.25">
      <c r="A268" s="22">
        <v>1000096604</v>
      </c>
      <c r="B268" s="23" t="s">
        <v>2539</v>
      </c>
      <c r="C268" s="24" t="s">
        <v>4</v>
      </c>
      <c r="D268" s="23" t="s">
        <v>2090</v>
      </c>
      <c r="E268" s="23">
        <v>10715.924000000001</v>
      </c>
      <c r="F268" s="23">
        <v>2</v>
      </c>
      <c r="G268" s="23">
        <v>2</v>
      </c>
      <c r="H268" s="23">
        <v>0</v>
      </c>
      <c r="I268" s="23" t="s">
        <v>5</v>
      </c>
      <c r="J268" s="23" t="s">
        <v>327</v>
      </c>
    </row>
    <row r="269" spans="1:10" s="20" customFormat="1" ht="12" x14ac:dyDescent="0.25">
      <c r="A269" s="22">
        <v>1000101986</v>
      </c>
      <c r="B269" s="23" t="s">
        <v>2540</v>
      </c>
      <c r="C269" s="24" t="s">
        <v>4</v>
      </c>
      <c r="D269" s="23" t="s">
        <v>2056</v>
      </c>
      <c r="E269" s="23">
        <v>10710.467674081599</v>
      </c>
      <c r="F269" s="23">
        <v>169</v>
      </c>
      <c r="G269" s="23">
        <v>169</v>
      </c>
      <c r="H269" s="23">
        <v>0</v>
      </c>
      <c r="I269" s="23" t="s">
        <v>5</v>
      </c>
      <c r="J269" s="23" t="s">
        <v>1844</v>
      </c>
    </row>
    <row r="270" spans="1:10" s="20" customFormat="1" ht="12" x14ac:dyDescent="0.25">
      <c r="A270" s="22">
        <v>1000108485</v>
      </c>
      <c r="B270" s="23" t="s">
        <v>22</v>
      </c>
      <c r="C270" s="24" t="s">
        <v>2109</v>
      </c>
      <c r="D270" s="23" t="s">
        <v>2035</v>
      </c>
      <c r="E270" s="23">
        <v>10627.5</v>
      </c>
      <c r="F270" s="23">
        <v>2</v>
      </c>
      <c r="G270" s="23">
        <v>2</v>
      </c>
      <c r="H270" s="23">
        <v>0</v>
      </c>
      <c r="I270" s="23" t="s">
        <v>5</v>
      </c>
      <c r="J270" s="23" t="s">
        <v>6</v>
      </c>
    </row>
    <row r="271" spans="1:10" s="20" customFormat="1" ht="12" x14ac:dyDescent="0.25">
      <c r="A271" s="22">
        <v>1000098597</v>
      </c>
      <c r="B271" s="23" t="s">
        <v>1602</v>
      </c>
      <c r="C271" s="24" t="s">
        <v>4</v>
      </c>
      <c r="D271" s="23" t="s">
        <v>2218</v>
      </c>
      <c r="E271" s="23">
        <v>10589.6175</v>
      </c>
      <c r="F271" s="23">
        <v>14</v>
      </c>
      <c r="G271" s="23">
        <v>14</v>
      </c>
      <c r="H271" s="23">
        <v>0</v>
      </c>
      <c r="I271" s="23" t="s">
        <v>5</v>
      </c>
      <c r="J271" s="23" t="s">
        <v>327</v>
      </c>
    </row>
    <row r="272" spans="1:10" s="20" customFormat="1" ht="12" x14ac:dyDescent="0.25">
      <c r="A272" s="22">
        <v>1000099126</v>
      </c>
      <c r="B272" s="23" t="s">
        <v>2546</v>
      </c>
      <c r="C272" s="24" t="s">
        <v>4</v>
      </c>
      <c r="D272" s="23" t="s">
        <v>2090</v>
      </c>
      <c r="E272" s="23">
        <v>10533.6</v>
      </c>
      <c r="F272" s="23">
        <v>6</v>
      </c>
      <c r="G272" s="23">
        <v>6</v>
      </c>
      <c r="H272" s="23">
        <v>0</v>
      </c>
      <c r="I272" s="23" t="s">
        <v>5</v>
      </c>
      <c r="J272" s="23" t="s">
        <v>327</v>
      </c>
    </row>
    <row r="273" spans="1:10" s="20" customFormat="1" ht="12" x14ac:dyDescent="0.25">
      <c r="A273" s="22">
        <v>1000102863</v>
      </c>
      <c r="B273" s="23" t="s">
        <v>124</v>
      </c>
      <c r="C273" s="24" t="s">
        <v>4</v>
      </c>
      <c r="D273" s="23" t="s">
        <v>2161</v>
      </c>
      <c r="E273" s="23">
        <v>10461.14</v>
      </c>
      <c r="F273" s="23">
        <v>5</v>
      </c>
      <c r="G273" s="23">
        <v>5</v>
      </c>
      <c r="H273" s="23">
        <v>0</v>
      </c>
      <c r="I273" s="23" t="s">
        <v>5</v>
      </c>
      <c r="J273" s="23" t="s">
        <v>111</v>
      </c>
    </row>
    <row r="274" spans="1:10" s="20" customFormat="1" ht="12" x14ac:dyDescent="0.25">
      <c r="A274" s="22">
        <v>1000094950</v>
      </c>
      <c r="B274" s="23" t="s">
        <v>2549</v>
      </c>
      <c r="C274" s="24" t="s">
        <v>4</v>
      </c>
      <c r="D274" s="23" t="s">
        <v>2090</v>
      </c>
      <c r="E274" s="23">
        <v>10407.5554545454</v>
      </c>
      <c r="F274" s="23">
        <v>7</v>
      </c>
      <c r="G274" s="23">
        <v>7</v>
      </c>
      <c r="H274" s="23">
        <v>0</v>
      </c>
      <c r="I274" s="23" t="s">
        <v>5</v>
      </c>
      <c r="J274" s="23" t="s">
        <v>327</v>
      </c>
    </row>
    <row r="275" spans="1:10" s="20" customFormat="1" ht="12" x14ac:dyDescent="0.25">
      <c r="A275" s="22">
        <v>1000020753</v>
      </c>
      <c r="B275" s="23" t="s">
        <v>959</v>
      </c>
      <c r="C275" s="24" t="s">
        <v>4</v>
      </c>
      <c r="D275" s="23" t="s">
        <v>2090</v>
      </c>
      <c r="E275" s="23">
        <v>10361.383306878301</v>
      </c>
      <c r="F275" s="23">
        <v>12</v>
      </c>
      <c r="G275" s="23">
        <v>12</v>
      </c>
      <c r="H275" s="23">
        <v>0</v>
      </c>
      <c r="I275" s="23" t="s">
        <v>5</v>
      </c>
      <c r="J275" s="23" t="s">
        <v>327</v>
      </c>
    </row>
    <row r="276" spans="1:10" s="20" customFormat="1" ht="12" x14ac:dyDescent="0.25">
      <c r="A276" s="22">
        <v>2500009464</v>
      </c>
      <c r="B276" s="23" t="s">
        <v>2550</v>
      </c>
      <c r="C276" s="24" t="s">
        <v>1996</v>
      </c>
      <c r="D276" s="23" t="s">
        <v>2289</v>
      </c>
      <c r="E276" s="23">
        <v>10361.25</v>
      </c>
      <c r="F276" s="23">
        <v>3</v>
      </c>
      <c r="G276" s="23">
        <v>3</v>
      </c>
      <c r="H276" s="23">
        <v>0</v>
      </c>
      <c r="I276" s="23" t="s">
        <v>5</v>
      </c>
      <c r="J276" s="23" t="s">
        <v>1993</v>
      </c>
    </row>
    <row r="277" spans="1:10" s="20" customFormat="1" ht="12" x14ac:dyDescent="0.25">
      <c r="A277" s="22">
        <v>1000021232</v>
      </c>
      <c r="B277" s="23" t="s">
        <v>1377</v>
      </c>
      <c r="C277" s="24" t="s">
        <v>4</v>
      </c>
      <c r="D277" s="23" t="s">
        <v>2090</v>
      </c>
      <c r="E277" s="23">
        <v>10254.08</v>
      </c>
      <c r="F277" s="23">
        <v>37</v>
      </c>
      <c r="G277" s="23">
        <v>37</v>
      </c>
      <c r="H277" s="23">
        <v>0</v>
      </c>
      <c r="I277" s="23" t="s">
        <v>5</v>
      </c>
      <c r="J277" s="23" t="s">
        <v>327</v>
      </c>
    </row>
    <row r="278" spans="1:10" s="20" customFormat="1" ht="12" x14ac:dyDescent="0.25">
      <c r="A278" s="22">
        <v>1000020728</v>
      </c>
      <c r="B278" s="23" t="s">
        <v>936</v>
      </c>
      <c r="C278" s="24" t="s">
        <v>4</v>
      </c>
      <c r="D278" s="23" t="s">
        <v>2218</v>
      </c>
      <c r="E278" s="23">
        <v>10239.8360065291</v>
      </c>
      <c r="F278" s="23">
        <v>53</v>
      </c>
      <c r="G278" s="23">
        <v>53</v>
      </c>
      <c r="H278" s="23">
        <v>0</v>
      </c>
      <c r="I278" s="23" t="s">
        <v>5</v>
      </c>
      <c r="J278" s="23" t="s">
        <v>327</v>
      </c>
    </row>
    <row r="279" spans="1:10" s="20" customFormat="1" ht="12" x14ac:dyDescent="0.25">
      <c r="A279" s="22">
        <v>1000102955</v>
      </c>
      <c r="B279" s="23" t="s">
        <v>2553</v>
      </c>
      <c r="C279" s="24" t="s">
        <v>4</v>
      </c>
      <c r="D279" s="23" t="s">
        <v>2090</v>
      </c>
      <c r="E279" s="23">
        <v>10201.049999999999</v>
      </c>
      <c r="F279" s="23">
        <v>12</v>
      </c>
      <c r="G279" s="23">
        <v>12</v>
      </c>
      <c r="H279" s="23">
        <v>0</v>
      </c>
      <c r="I279" s="23" t="s">
        <v>5</v>
      </c>
      <c r="J279" s="23" t="s">
        <v>327</v>
      </c>
    </row>
    <row r="280" spans="1:10" s="20" customFormat="1" ht="12" x14ac:dyDescent="0.25">
      <c r="A280" s="22">
        <v>1000102166</v>
      </c>
      <c r="B280" s="23" t="s">
        <v>2554</v>
      </c>
      <c r="C280" s="24" t="s">
        <v>2109</v>
      </c>
      <c r="D280" s="23" t="s">
        <v>2070</v>
      </c>
      <c r="E280" s="23">
        <v>10129.37535</v>
      </c>
      <c r="F280" s="23">
        <v>3</v>
      </c>
      <c r="G280" s="23">
        <v>3</v>
      </c>
      <c r="H280" s="23">
        <v>0</v>
      </c>
      <c r="I280" s="23" t="s">
        <v>5</v>
      </c>
      <c r="J280" s="23" t="s">
        <v>6</v>
      </c>
    </row>
    <row r="281" spans="1:10" s="20" customFormat="1" ht="12" x14ac:dyDescent="0.25">
      <c r="A281" s="22">
        <v>1000100373</v>
      </c>
      <c r="B281" s="23" t="s">
        <v>2556</v>
      </c>
      <c r="C281" s="24" t="s">
        <v>4</v>
      </c>
      <c r="D281" s="23" t="s">
        <v>2090</v>
      </c>
      <c r="E281" s="23">
        <v>9998.5550000000003</v>
      </c>
      <c r="F281" s="23">
        <v>10</v>
      </c>
      <c r="G281" s="23">
        <v>10</v>
      </c>
      <c r="H281" s="23">
        <v>0</v>
      </c>
      <c r="I281" s="23" t="s">
        <v>5</v>
      </c>
      <c r="J281" s="23" t="s">
        <v>327</v>
      </c>
    </row>
    <row r="282" spans="1:10" s="20" customFormat="1" ht="12" x14ac:dyDescent="0.25">
      <c r="A282" s="22">
        <v>1000100314</v>
      </c>
      <c r="B282" s="23" t="s">
        <v>2558</v>
      </c>
      <c r="C282" s="24" t="s">
        <v>4</v>
      </c>
      <c r="D282" s="23" t="s">
        <v>2090</v>
      </c>
      <c r="E282" s="23">
        <v>9993.3422222222198</v>
      </c>
      <c r="F282" s="23">
        <v>21</v>
      </c>
      <c r="G282" s="23">
        <v>21</v>
      </c>
      <c r="H282" s="23">
        <v>0</v>
      </c>
      <c r="I282" s="23" t="s">
        <v>5</v>
      </c>
      <c r="J282" s="23" t="s">
        <v>327</v>
      </c>
    </row>
    <row r="283" spans="1:10" s="20" customFormat="1" ht="12" x14ac:dyDescent="0.25">
      <c r="A283" s="22">
        <v>1000020114</v>
      </c>
      <c r="B283" s="23" t="s">
        <v>370</v>
      </c>
      <c r="C283" s="24" t="s">
        <v>4</v>
      </c>
      <c r="D283" s="23" t="s">
        <v>2090</v>
      </c>
      <c r="E283" s="23">
        <v>9955.8802757735994</v>
      </c>
      <c r="F283" s="23">
        <v>31</v>
      </c>
      <c r="G283" s="23">
        <v>31</v>
      </c>
      <c r="H283" s="23">
        <v>0</v>
      </c>
      <c r="I283" s="23" t="s">
        <v>5</v>
      </c>
      <c r="J283" s="23" t="s">
        <v>327</v>
      </c>
    </row>
    <row r="284" spans="1:10" s="20" customFormat="1" ht="12" x14ac:dyDescent="0.25">
      <c r="A284" s="22">
        <v>1000102079</v>
      </c>
      <c r="B284" s="23" t="s">
        <v>2559</v>
      </c>
      <c r="C284" s="24" t="s">
        <v>2109</v>
      </c>
      <c r="D284" s="23" t="s">
        <v>2070</v>
      </c>
      <c r="E284" s="23">
        <v>9926.6299999999992</v>
      </c>
      <c r="F284" s="23">
        <v>2</v>
      </c>
      <c r="G284" s="23">
        <v>2</v>
      </c>
      <c r="H284" s="23">
        <v>0</v>
      </c>
      <c r="I284" s="23" t="s">
        <v>5</v>
      </c>
      <c r="J284" s="23" t="s">
        <v>6</v>
      </c>
    </row>
    <row r="285" spans="1:10" s="20" customFormat="1" ht="12" x14ac:dyDescent="0.25">
      <c r="A285" s="22">
        <v>2500006442</v>
      </c>
      <c r="B285" s="23" t="s">
        <v>2562</v>
      </c>
      <c r="C285" s="24" t="s">
        <v>1996</v>
      </c>
      <c r="D285" s="23" t="s">
        <v>2025</v>
      </c>
      <c r="E285" s="23">
        <v>9696.0684210526306</v>
      </c>
      <c r="F285" s="23">
        <v>28</v>
      </c>
      <c r="G285" s="23">
        <v>28</v>
      </c>
      <c r="H285" s="23">
        <v>0</v>
      </c>
      <c r="I285" s="23" t="s">
        <v>5</v>
      </c>
      <c r="J285" s="23" t="s">
        <v>1993</v>
      </c>
    </row>
    <row r="286" spans="1:10" s="20" customFormat="1" ht="12" x14ac:dyDescent="0.25">
      <c r="A286" s="22">
        <v>1000096457</v>
      </c>
      <c r="B286" s="23" t="s">
        <v>2563</v>
      </c>
      <c r="C286" s="24" t="s">
        <v>4</v>
      </c>
      <c r="D286" s="23" t="s">
        <v>2090</v>
      </c>
      <c r="E286" s="23">
        <v>9625.0125000000007</v>
      </c>
      <c r="F286" s="23">
        <v>47</v>
      </c>
      <c r="G286" s="23">
        <v>47</v>
      </c>
      <c r="H286" s="23">
        <v>0</v>
      </c>
      <c r="I286" s="23" t="s">
        <v>5</v>
      </c>
      <c r="J286" s="23" t="s">
        <v>327</v>
      </c>
    </row>
    <row r="287" spans="1:10" s="20" customFormat="1" ht="12" x14ac:dyDescent="0.25">
      <c r="A287" s="22">
        <v>2500008051</v>
      </c>
      <c r="B287" s="23" t="s">
        <v>2564</v>
      </c>
      <c r="C287" s="24" t="s">
        <v>1996</v>
      </c>
      <c r="D287" s="23" t="s">
        <v>2025</v>
      </c>
      <c r="E287" s="23">
        <v>9588.75</v>
      </c>
      <c r="F287" s="23">
        <v>1</v>
      </c>
      <c r="G287" s="23">
        <v>1</v>
      </c>
      <c r="H287" s="23">
        <v>0</v>
      </c>
      <c r="I287" s="23" t="s">
        <v>5</v>
      </c>
      <c r="J287" s="23" t="s">
        <v>1993</v>
      </c>
    </row>
    <row r="288" spans="1:10" s="20" customFormat="1" ht="12" x14ac:dyDescent="0.25">
      <c r="A288" s="22">
        <v>1000106110</v>
      </c>
      <c r="B288" s="23" t="s">
        <v>2566</v>
      </c>
      <c r="C288" s="24" t="s">
        <v>4</v>
      </c>
      <c r="D288" s="23" t="s">
        <v>2161</v>
      </c>
      <c r="E288" s="23">
        <v>9573.4</v>
      </c>
      <c r="F288" s="23">
        <v>7</v>
      </c>
      <c r="G288" s="23">
        <v>7</v>
      </c>
      <c r="H288" s="23">
        <v>0</v>
      </c>
      <c r="I288" s="23" t="s">
        <v>5</v>
      </c>
      <c r="J288" s="23" t="s">
        <v>111</v>
      </c>
    </row>
    <row r="289" spans="1:10" s="20" customFormat="1" ht="12" x14ac:dyDescent="0.25">
      <c r="A289" s="22">
        <v>1000021261</v>
      </c>
      <c r="B289" s="23" t="s">
        <v>1405</v>
      </c>
      <c r="C289" s="24" t="s">
        <v>4</v>
      </c>
      <c r="D289" s="23" t="s">
        <v>2090</v>
      </c>
      <c r="E289" s="23">
        <v>9570.2000000000007</v>
      </c>
      <c r="F289" s="23">
        <v>10</v>
      </c>
      <c r="G289" s="23">
        <v>10</v>
      </c>
      <c r="H289" s="23">
        <v>0</v>
      </c>
      <c r="I289" s="23" t="s">
        <v>5</v>
      </c>
      <c r="J289" s="23" t="s">
        <v>327</v>
      </c>
    </row>
    <row r="290" spans="1:10" s="20" customFormat="1" ht="12" x14ac:dyDescent="0.25">
      <c r="A290" s="22">
        <v>1000094873</v>
      </c>
      <c r="B290" s="23" t="s">
        <v>2568</v>
      </c>
      <c r="C290" s="24" t="s">
        <v>4</v>
      </c>
      <c r="D290" s="23" t="s">
        <v>2090</v>
      </c>
      <c r="E290" s="23">
        <v>9564.2032666666601</v>
      </c>
      <c r="F290" s="23">
        <v>6</v>
      </c>
      <c r="G290" s="23">
        <v>6</v>
      </c>
      <c r="H290" s="23">
        <v>0</v>
      </c>
      <c r="I290" s="23" t="s">
        <v>5</v>
      </c>
      <c r="J290" s="23" t="s">
        <v>327</v>
      </c>
    </row>
    <row r="291" spans="1:10" s="20" customFormat="1" ht="12" x14ac:dyDescent="0.25">
      <c r="A291" s="22">
        <v>2500009189</v>
      </c>
      <c r="B291" s="23" t="s">
        <v>2569</v>
      </c>
      <c r="C291" s="24" t="s">
        <v>1996</v>
      </c>
      <c r="D291" s="23" t="s">
        <v>2117</v>
      </c>
      <c r="E291" s="23">
        <v>9562.5</v>
      </c>
      <c r="F291" s="23">
        <v>1</v>
      </c>
      <c r="G291" s="23">
        <v>1</v>
      </c>
      <c r="H291" s="23">
        <v>0</v>
      </c>
      <c r="I291" s="23" t="s">
        <v>5</v>
      </c>
      <c r="J291" s="23" t="s">
        <v>1993</v>
      </c>
    </row>
    <row r="292" spans="1:10" s="20" customFormat="1" ht="12" x14ac:dyDescent="0.25">
      <c r="A292" s="22">
        <v>1000095058</v>
      </c>
      <c r="B292" s="23" t="s">
        <v>2570</v>
      </c>
      <c r="C292" s="24" t="s">
        <v>4</v>
      </c>
      <c r="D292" s="23" t="s">
        <v>2090</v>
      </c>
      <c r="E292" s="23">
        <v>9531.3316129032191</v>
      </c>
      <c r="F292" s="23">
        <v>32</v>
      </c>
      <c r="G292" s="23">
        <v>32</v>
      </c>
      <c r="H292" s="23">
        <v>0</v>
      </c>
      <c r="I292" s="23" t="s">
        <v>5</v>
      </c>
      <c r="J292" s="23" t="s">
        <v>327</v>
      </c>
    </row>
    <row r="293" spans="1:10" s="20" customFormat="1" ht="12" x14ac:dyDescent="0.25">
      <c r="A293" s="22">
        <v>1000092612</v>
      </c>
      <c r="B293" s="23" t="s">
        <v>2571</v>
      </c>
      <c r="C293" s="24" t="s">
        <v>4</v>
      </c>
      <c r="D293" s="23" t="s">
        <v>2090</v>
      </c>
      <c r="E293" s="23">
        <v>9522.0499999999993</v>
      </c>
      <c r="F293" s="23">
        <v>1</v>
      </c>
      <c r="G293" s="23">
        <v>1</v>
      </c>
      <c r="H293" s="23">
        <v>0</v>
      </c>
      <c r="I293" s="23" t="s">
        <v>5</v>
      </c>
      <c r="J293" s="23" t="s">
        <v>327</v>
      </c>
    </row>
    <row r="294" spans="1:10" s="20" customFormat="1" ht="12" x14ac:dyDescent="0.25">
      <c r="A294" s="22">
        <v>1000020740</v>
      </c>
      <c r="B294" s="23" t="s">
        <v>948</v>
      </c>
      <c r="C294" s="24" t="s">
        <v>4</v>
      </c>
      <c r="D294" s="23" t="s">
        <v>2218</v>
      </c>
      <c r="E294" s="23">
        <v>9515.3262962962908</v>
      </c>
      <c r="F294" s="23">
        <v>34</v>
      </c>
      <c r="G294" s="23">
        <v>34</v>
      </c>
      <c r="H294" s="23">
        <v>0</v>
      </c>
      <c r="I294" s="23" t="s">
        <v>5</v>
      </c>
      <c r="J294" s="23" t="s">
        <v>327</v>
      </c>
    </row>
    <row r="295" spans="1:10" s="20" customFormat="1" ht="12" x14ac:dyDescent="0.25">
      <c r="A295" s="22">
        <v>1000102235</v>
      </c>
      <c r="B295" s="23" t="s">
        <v>1787</v>
      </c>
      <c r="C295" s="24" t="s">
        <v>4</v>
      </c>
      <c r="D295" s="23" t="s">
        <v>2090</v>
      </c>
      <c r="E295" s="23">
        <v>9502.7999999999993</v>
      </c>
      <c r="F295" s="23">
        <v>4</v>
      </c>
      <c r="G295" s="23">
        <v>4</v>
      </c>
      <c r="H295" s="23">
        <v>0</v>
      </c>
      <c r="I295" s="23" t="s">
        <v>5</v>
      </c>
      <c r="J295" s="23" t="s">
        <v>327</v>
      </c>
    </row>
    <row r="296" spans="1:10" s="20" customFormat="1" ht="12" x14ac:dyDescent="0.25">
      <c r="A296" s="22">
        <v>1000093494</v>
      </c>
      <c r="B296" s="23" t="s">
        <v>2573</v>
      </c>
      <c r="C296" s="24" t="s">
        <v>4</v>
      </c>
      <c r="D296" s="23" t="s">
        <v>2056</v>
      </c>
      <c r="E296" s="23">
        <v>9481.5</v>
      </c>
      <c r="F296" s="23">
        <v>49</v>
      </c>
      <c r="G296" s="23">
        <v>49</v>
      </c>
      <c r="H296" s="23">
        <v>0</v>
      </c>
      <c r="I296" s="23" t="s">
        <v>5</v>
      </c>
      <c r="J296" s="23" t="s">
        <v>1844</v>
      </c>
    </row>
    <row r="297" spans="1:10" s="20" customFormat="1" ht="12" x14ac:dyDescent="0.25">
      <c r="A297" s="22">
        <v>1000098753</v>
      </c>
      <c r="B297" s="23" t="s">
        <v>2575</v>
      </c>
      <c r="C297" s="24" t="s">
        <v>4</v>
      </c>
      <c r="D297" s="23" t="s">
        <v>2090</v>
      </c>
      <c r="E297" s="23">
        <v>9357.2347499999996</v>
      </c>
      <c r="F297" s="23">
        <v>27</v>
      </c>
      <c r="G297" s="23">
        <v>27</v>
      </c>
      <c r="H297" s="23">
        <v>0</v>
      </c>
      <c r="I297" s="23" t="s">
        <v>5</v>
      </c>
      <c r="J297" s="23" t="s">
        <v>327</v>
      </c>
    </row>
    <row r="298" spans="1:10" s="20" customFormat="1" ht="12" x14ac:dyDescent="0.25">
      <c r="A298" s="22">
        <v>1000093953</v>
      </c>
      <c r="B298" s="23" t="s">
        <v>2576</v>
      </c>
      <c r="C298" s="24" t="s">
        <v>4</v>
      </c>
      <c r="D298" s="23" t="s">
        <v>2090</v>
      </c>
      <c r="E298" s="23">
        <v>9348.2999999999993</v>
      </c>
      <c r="F298" s="23">
        <v>6</v>
      </c>
      <c r="G298" s="23">
        <v>6</v>
      </c>
      <c r="H298" s="23">
        <v>0</v>
      </c>
      <c r="I298" s="23" t="s">
        <v>5</v>
      </c>
      <c r="J298" s="23" t="s">
        <v>327</v>
      </c>
    </row>
    <row r="299" spans="1:10" s="20" customFormat="1" ht="12" x14ac:dyDescent="0.25">
      <c r="A299" s="22">
        <v>1000096238</v>
      </c>
      <c r="B299" s="23" t="s">
        <v>2578</v>
      </c>
      <c r="C299" s="24" t="s">
        <v>4</v>
      </c>
      <c r="D299" s="23" t="s">
        <v>2090</v>
      </c>
      <c r="E299" s="23">
        <v>9272.9647023809503</v>
      </c>
      <c r="F299" s="23">
        <v>38</v>
      </c>
      <c r="G299" s="23">
        <v>38</v>
      </c>
      <c r="H299" s="23">
        <v>0</v>
      </c>
      <c r="I299" s="23" t="s">
        <v>5</v>
      </c>
      <c r="J299" s="23" t="s">
        <v>327</v>
      </c>
    </row>
    <row r="300" spans="1:10" s="20" customFormat="1" ht="12" x14ac:dyDescent="0.25">
      <c r="A300" s="22">
        <v>1000099588</v>
      </c>
      <c r="B300" s="23" t="s">
        <v>2579</v>
      </c>
      <c r="C300" s="24" t="s">
        <v>4</v>
      </c>
      <c r="D300" s="23" t="s">
        <v>2056</v>
      </c>
      <c r="E300" s="23">
        <v>9259.3712017559592</v>
      </c>
      <c r="F300" s="23">
        <v>3808</v>
      </c>
      <c r="G300" s="23">
        <v>3808</v>
      </c>
      <c r="H300" s="23">
        <v>0</v>
      </c>
      <c r="I300" s="23" t="s">
        <v>5</v>
      </c>
      <c r="J300" s="23" t="s">
        <v>1844</v>
      </c>
    </row>
    <row r="301" spans="1:10" s="20" customFormat="1" ht="12" x14ac:dyDescent="0.25">
      <c r="A301" s="22">
        <v>2500005917</v>
      </c>
      <c r="B301" s="23" t="s">
        <v>2582</v>
      </c>
      <c r="C301" s="24" t="s">
        <v>1996</v>
      </c>
      <c r="D301" s="23" t="s">
        <v>2025</v>
      </c>
      <c r="E301" s="23">
        <v>9230.0471022635193</v>
      </c>
      <c r="F301" s="23">
        <v>6</v>
      </c>
      <c r="G301" s="23">
        <v>6</v>
      </c>
      <c r="H301" s="23">
        <v>0</v>
      </c>
      <c r="I301" s="23" t="s">
        <v>5</v>
      </c>
      <c r="J301" s="23" t="s">
        <v>1993</v>
      </c>
    </row>
    <row r="302" spans="1:10" s="20" customFormat="1" ht="12" x14ac:dyDescent="0.25">
      <c r="A302" s="22">
        <v>1000020871</v>
      </c>
      <c r="B302" s="23" t="s">
        <v>1057</v>
      </c>
      <c r="C302" s="24" t="s">
        <v>4</v>
      </c>
      <c r="D302" s="23" t="s">
        <v>2090</v>
      </c>
      <c r="E302" s="23">
        <v>9199.5611688311692</v>
      </c>
      <c r="F302" s="23">
        <v>12</v>
      </c>
      <c r="G302" s="23">
        <v>10</v>
      </c>
      <c r="H302" s="23">
        <v>2</v>
      </c>
      <c r="I302" s="23" t="s">
        <v>44</v>
      </c>
      <c r="J302" s="23" t="s">
        <v>327</v>
      </c>
    </row>
    <row r="303" spans="1:10" s="20" customFormat="1" ht="12" x14ac:dyDescent="0.25">
      <c r="A303" s="22">
        <v>2200002467</v>
      </c>
      <c r="B303" s="23" t="s">
        <v>2583</v>
      </c>
      <c r="C303" s="24" t="s">
        <v>2030</v>
      </c>
      <c r="D303" s="23" t="s">
        <v>2584</v>
      </c>
      <c r="E303" s="23">
        <v>9128.44</v>
      </c>
      <c r="F303" s="23">
        <v>1</v>
      </c>
      <c r="G303" s="23">
        <v>1</v>
      </c>
      <c r="H303" s="23">
        <v>0</v>
      </c>
      <c r="I303" s="23" t="s">
        <v>5</v>
      </c>
      <c r="J303" s="23" t="s">
        <v>138</v>
      </c>
    </row>
    <row r="304" spans="1:10" s="20" customFormat="1" ht="12" x14ac:dyDescent="0.25">
      <c r="A304" s="22">
        <v>1000020818</v>
      </c>
      <c r="B304" s="23" t="s">
        <v>1020</v>
      </c>
      <c r="C304" s="24" t="s">
        <v>4</v>
      </c>
      <c r="D304" s="23" t="s">
        <v>2090</v>
      </c>
      <c r="E304" s="23">
        <v>9125.5105263157893</v>
      </c>
      <c r="F304" s="23">
        <v>15</v>
      </c>
      <c r="G304" s="23">
        <v>15</v>
      </c>
      <c r="H304" s="23">
        <v>0</v>
      </c>
      <c r="I304" s="23" t="s">
        <v>5</v>
      </c>
      <c r="J304" s="23" t="s">
        <v>327</v>
      </c>
    </row>
    <row r="305" spans="1:10" s="20" customFormat="1" ht="12" x14ac:dyDescent="0.25">
      <c r="A305" s="22">
        <v>1000111177</v>
      </c>
      <c r="B305" s="23" t="s">
        <v>2586</v>
      </c>
      <c r="C305" s="24" t="s">
        <v>4</v>
      </c>
      <c r="D305" s="23" t="s">
        <v>2284</v>
      </c>
      <c r="E305" s="23">
        <v>9080</v>
      </c>
      <c r="F305" s="23">
        <v>2</v>
      </c>
      <c r="G305" s="23">
        <v>2</v>
      </c>
      <c r="H305" s="23">
        <v>0</v>
      </c>
      <c r="I305" s="23" t="s">
        <v>5</v>
      </c>
      <c r="J305" s="23" t="s">
        <v>1844</v>
      </c>
    </row>
    <row r="306" spans="1:10" s="20" customFormat="1" ht="12" x14ac:dyDescent="0.25">
      <c r="A306" s="22">
        <v>1000101642</v>
      </c>
      <c r="B306" s="23" t="s">
        <v>2587</v>
      </c>
      <c r="C306" s="24" t="s">
        <v>2109</v>
      </c>
      <c r="D306" s="23" t="s">
        <v>2070</v>
      </c>
      <c r="E306" s="23">
        <v>9072.98</v>
      </c>
      <c r="F306" s="23">
        <v>2</v>
      </c>
      <c r="G306" s="23">
        <v>2</v>
      </c>
      <c r="H306" s="23">
        <v>0</v>
      </c>
      <c r="I306" s="23" t="s">
        <v>5</v>
      </c>
      <c r="J306" s="23" t="s">
        <v>6</v>
      </c>
    </row>
    <row r="307" spans="1:10" s="20" customFormat="1" ht="12" x14ac:dyDescent="0.25">
      <c r="A307" s="22">
        <v>1000021315</v>
      </c>
      <c r="B307" s="23" t="s">
        <v>1447</v>
      </c>
      <c r="C307" s="24" t="s">
        <v>4</v>
      </c>
      <c r="D307" s="23" t="s">
        <v>2090</v>
      </c>
      <c r="E307" s="23">
        <v>8990.36</v>
      </c>
      <c r="F307" s="23">
        <v>4</v>
      </c>
      <c r="G307" s="23">
        <v>4</v>
      </c>
      <c r="H307" s="23">
        <v>0</v>
      </c>
      <c r="I307" s="23" t="s">
        <v>5</v>
      </c>
      <c r="J307" s="23" t="s">
        <v>327</v>
      </c>
    </row>
    <row r="308" spans="1:10" s="20" customFormat="1" ht="12" x14ac:dyDescent="0.25">
      <c r="A308" s="22">
        <v>1000100344</v>
      </c>
      <c r="B308" s="23" t="s">
        <v>2590</v>
      </c>
      <c r="C308" s="24" t="s">
        <v>4</v>
      </c>
      <c r="D308" s="23" t="s">
        <v>2090</v>
      </c>
      <c r="E308" s="23">
        <v>8968.2749999999996</v>
      </c>
      <c r="F308" s="23">
        <v>25</v>
      </c>
      <c r="G308" s="23">
        <v>25</v>
      </c>
      <c r="H308" s="23">
        <v>0</v>
      </c>
      <c r="I308" s="23" t="s">
        <v>5</v>
      </c>
      <c r="J308" s="23" t="s">
        <v>327</v>
      </c>
    </row>
    <row r="309" spans="1:10" s="20" customFormat="1" ht="12" x14ac:dyDescent="0.25">
      <c r="A309" s="22">
        <v>1000100353</v>
      </c>
      <c r="B309" s="23" t="s">
        <v>2591</v>
      </c>
      <c r="C309" s="24" t="s">
        <v>4</v>
      </c>
      <c r="D309" s="23" t="s">
        <v>2090</v>
      </c>
      <c r="E309" s="23">
        <v>8957.52</v>
      </c>
      <c r="F309" s="23">
        <v>12</v>
      </c>
      <c r="G309" s="23">
        <v>12</v>
      </c>
      <c r="H309" s="23">
        <v>0</v>
      </c>
      <c r="I309" s="23" t="s">
        <v>5</v>
      </c>
      <c r="J309" s="23" t="s">
        <v>327</v>
      </c>
    </row>
    <row r="310" spans="1:10" s="20" customFormat="1" ht="12" x14ac:dyDescent="0.25">
      <c r="A310" s="22">
        <v>1000105399</v>
      </c>
      <c r="B310" s="23" t="s">
        <v>2592</v>
      </c>
      <c r="C310" s="24" t="s">
        <v>4</v>
      </c>
      <c r="D310" s="23" t="s">
        <v>2090</v>
      </c>
      <c r="E310" s="23">
        <v>8943.9</v>
      </c>
      <c r="F310" s="23">
        <v>28</v>
      </c>
      <c r="G310" s="23">
        <v>28</v>
      </c>
      <c r="H310" s="23">
        <v>0</v>
      </c>
      <c r="I310" s="23" t="s">
        <v>71</v>
      </c>
      <c r="J310" s="23" t="s">
        <v>327</v>
      </c>
    </row>
    <row r="311" spans="1:10" s="20" customFormat="1" ht="12" x14ac:dyDescent="0.25">
      <c r="A311" s="22">
        <v>1000103042</v>
      </c>
      <c r="B311" s="23" t="s">
        <v>2594</v>
      </c>
      <c r="C311" s="24" t="s">
        <v>4</v>
      </c>
      <c r="D311" s="23" t="s">
        <v>2090</v>
      </c>
      <c r="E311" s="23">
        <v>8903.0959999999995</v>
      </c>
      <c r="F311" s="23">
        <v>4</v>
      </c>
      <c r="G311" s="23">
        <v>4</v>
      </c>
      <c r="H311" s="23">
        <v>0</v>
      </c>
      <c r="I311" s="23" t="s">
        <v>5</v>
      </c>
      <c r="J311" s="23" t="s">
        <v>327</v>
      </c>
    </row>
    <row r="312" spans="1:10" s="20" customFormat="1" ht="12" x14ac:dyDescent="0.25">
      <c r="A312" s="22">
        <v>1000100432</v>
      </c>
      <c r="B312" s="23" t="s">
        <v>1743</v>
      </c>
      <c r="C312" s="24" t="s">
        <v>4</v>
      </c>
      <c r="D312" s="23" t="s">
        <v>2090</v>
      </c>
      <c r="E312" s="23">
        <v>8869.5400000000009</v>
      </c>
      <c r="F312" s="23">
        <v>6</v>
      </c>
      <c r="G312" s="23">
        <v>6</v>
      </c>
      <c r="H312" s="23">
        <v>0</v>
      </c>
      <c r="I312" s="23" t="s">
        <v>5</v>
      </c>
      <c r="J312" s="23" t="s">
        <v>327</v>
      </c>
    </row>
    <row r="313" spans="1:10" s="20" customFormat="1" ht="12" x14ac:dyDescent="0.25">
      <c r="A313" s="22">
        <v>1000098393</v>
      </c>
      <c r="B313" s="23" t="s">
        <v>2359</v>
      </c>
      <c r="C313" s="24" t="s">
        <v>4</v>
      </c>
      <c r="D313" s="23" t="s">
        <v>2161</v>
      </c>
      <c r="E313" s="23">
        <v>8863.2284331714109</v>
      </c>
      <c r="F313" s="23">
        <v>8</v>
      </c>
      <c r="G313" s="23">
        <v>8</v>
      </c>
      <c r="H313" s="23">
        <v>0</v>
      </c>
      <c r="I313" s="23" t="s">
        <v>5</v>
      </c>
      <c r="J313" s="23" t="s">
        <v>111</v>
      </c>
    </row>
    <row r="314" spans="1:10" s="20" customFormat="1" ht="12" x14ac:dyDescent="0.25">
      <c r="A314" s="22">
        <v>1000094576</v>
      </c>
      <c r="B314" s="23" t="s">
        <v>2596</v>
      </c>
      <c r="C314" s="24" t="s">
        <v>4</v>
      </c>
      <c r="D314" s="23" t="s">
        <v>2161</v>
      </c>
      <c r="E314" s="23">
        <v>8819.2000000000007</v>
      </c>
      <c r="F314" s="23">
        <v>8</v>
      </c>
      <c r="G314" s="23">
        <v>8</v>
      </c>
      <c r="H314" s="23">
        <v>0</v>
      </c>
      <c r="I314" s="23" t="s">
        <v>5</v>
      </c>
      <c r="J314" s="23" t="s">
        <v>111</v>
      </c>
    </row>
    <row r="315" spans="1:10" s="20" customFormat="1" ht="12" x14ac:dyDescent="0.25">
      <c r="A315" s="22">
        <v>2700000002</v>
      </c>
      <c r="B315" s="23" t="s">
        <v>2597</v>
      </c>
      <c r="C315" s="24" t="s">
        <v>2088</v>
      </c>
      <c r="D315" s="23" t="s">
        <v>2038</v>
      </c>
      <c r="E315" s="23">
        <v>8791.0405561449697</v>
      </c>
      <c r="F315" s="23">
        <v>1</v>
      </c>
      <c r="G315" s="23">
        <v>1</v>
      </c>
      <c r="H315" s="23">
        <v>0</v>
      </c>
      <c r="I315" s="23" t="s">
        <v>5</v>
      </c>
      <c r="J315" s="23" t="s">
        <v>138</v>
      </c>
    </row>
    <row r="316" spans="1:10" s="20" customFormat="1" ht="12" x14ac:dyDescent="0.25">
      <c r="A316" s="22">
        <v>2500009463</v>
      </c>
      <c r="B316" s="23" t="s">
        <v>2598</v>
      </c>
      <c r="C316" s="24" t="s">
        <v>1996</v>
      </c>
      <c r="D316" s="23" t="s">
        <v>2289</v>
      </c>
      <c r="E316" s="23">
        <v>8775</v>
      </c>
      <c r="F316" s="23">
        <v>20</v>
      </c>
      <c r="G316" s="23">
        <v>20</v>
      </c>
      <c r="H316" s="23">
        <v>0</v>
      </c>
      <c r="I316" s="23" t="s">
        <v>5</v>
      </c>
      <c r="J316" s="23" t="s">
        <v>1993</v>
      </c>
    </row>
    <row r="317" spans="1:10" s="20" customFormat="1" ht="12" x14ac:dyDescent="0.25">
      <c r="A317" s="22">
        <v>1000097580</v>
      </c>
      <c r="B317" s="23" t="s">
        <v>2600</v>
      </c>
      <c r="C317" s="24" t="s">
        <v>4</v>
      </c>
      <c r="D317" s="23" t="s">
        <v>2056</v>
      </c>
      <c r="E317" s="23">
        <v>8710.0479193121992</v>
      </c>
      <c r="F317" s="23">
        <v>1656</v>
      </c>
      <c r="G317" s="23">
        <v>1656</v>
      </c>
      <c r="H317" s="23">
        <v>0</v>
      </c>
      <c r="I317" s="23" t="s">
        <v>5</v>
      </c>
      <c r="J317" s="23" t="s">
        <v>1844</v>
      </c>
    </row>
    <row r="318" spans="1:10" s="20" customFormat="1" ht="12" x14ac:dyDescent="0.25">
      <c r="A318" s="22">
        <v>2500009332</v>
      </c>
      <c r="B318" s="23" t="s">
        <v>2601</v>
      </c>
      <c r="C318" s="24" t="s">
        <v>1996</v>
      </c>
      <c r="D318" s="23" t="s">
        <v>2289</v>
      </c>
      <c r="E318" s="23">
        <v>8692.5</v>
      </c>
      <c r="F318" s="23">
        <v>1</v>
      </c>
      <c r="G318" s="23">
        <v>1</v>
      </c>
      <c r="H318" s="23">
        <v>0</v>
      </c>
      <c r="I318" s="23" t="s">
        <v>5</v>
      </c>
      <c r="J318" s="23" t="s">
        <v>1993</v>
      </c>
    </row>
    <row r="319" spans="1:10" s="20" customFormat="1" ht="12" x14ac:dyDescent="0.25">
      <c r="A319" s="22">
        <v>1000020036</v>
      </c>
      <c r="B319" s="23" t="s">
        <v>2605</v>
      </c>
      <c r="C319" s="24" t="s">
        <v>4</v>
      </c>
      <c r="D319" s="23" t="s">
        <v>2090</v>
      </c>
      <c r="E319" s="23">
        <v>8653.3138489208595</v>
      </c>
      <c r="F319" s="23">
        <v>135</v>
      </c>
      <c r="G319" s="23">
        <v>135</v>
      </c>
      <c r="H319" s="23">
        <v>0</v>
      </c>
      <c r="I319" s="23" t="s">
        <v>5</v>
      </c>
      <c r="J319" s="23" t="s">
        <v>327</v>
      </c>
    </row>
    <row r="320" spans="1:10" s="20" customFormat="1" ht="12" x14ac:dyDescent="0.25">
      <c r="A320" s="22">
        <v>1000105766</v>
      </c>
      <c r="B320" s="23" t="s">
        <v>125</v>
      </c>
      <c r="C320" s="24" t="s">
        <v>4</v>
      </c>
      <c r="D320" s="23" t="s">
        <v>2161</v>
      </c>
      <c r="E320" s="23">
        <v>8640.3713229166606</v>
      </c>
      <c r="F320" s="23">
        <v>11</v>
      </c>
      <c r="G320" s="23">
        <v>11</v>
      </c>
      <c r="H320" s="23">
        <v>0</v>
      </c>
      <c r="I320" s="23" t="s">
        <v>5</v>
      </c>
      <c r="J320" s="23" t="s">
        <v>111</v>
      </c>
    </row>
    <row r="321" spans="1:10" s="20" customFormat="1" ht="12" x14ac:dyDescent="0.25">
      <c r="A321" s="22">
        <v>1000020749</v>
      </c>
      <c r="B321" s="23" t="s">
        <v>955</v>
      </c>
      <c r="C321" s="24" t="s">
        <v>4</v>
      </c>
      <c r="D321" s="23" t="s">
        <v>2090</v>
      </c>
      <c r="E321" s="23">
        <v>8594.4750000000004</v>
      </c>
      <c r="F321" s="23">
        <v>20</v>
      </c>
      <c r="G321" s="23">
        <v>20</v>
      </c>
      <c r="H321" s="23">
        <v>0</v>
      </c>
      <c r="I321" s="23" t="s">
        <v>5</v>
      </c>
      <c r="J321" s="23" t="s">
        <v>327</v>
      </c>
    </row>
    <row r="322" spans="1:10" s="20" customFormat="1" ht="12" x14ac:dyDescent="0.25">
      <c r="A322" s="22">
        <v>1000098579</v>
      </c>
      <c r="B322" s="23" t="s">
        <v>1588</v>
      </c>
      <c r="C322" s="24" t="s">
        <v>4</v>
      </c>
      <c r="D322" s="23" t="s">
        <v>2090</v>
      </c>
      <c r="E322" s="23">
        <v>8556.0467105263106</v>
      </c>
      <c r="F322" s="23">
        <v>13</v>
      </c>
      <c r="G322" s="23">
        <v>13</v>
      </c>
      <c r="H322" s="23">
        <v>0</v>
      </c>
      <c r="I322" s="23" t="s">
        <v>5</v>
      </c>
      <c r="J322" s="23" t="s">
        <v>327</v>
      </c>
    </row>
    <row r="323" spans="1:10" s="20" customFormat="1" ht="12" x14ac:dyDescent="0.25">
      <c r="A323" s="22">
        <v>1000094201</v>
      </c>
      <c r="B323" s="23" t="s">
        <v>2607</v>
      </c>
      <c r="C323" s="24" t="s">
        <v>4</v>
      </c>
      <c r="D323" s="23" t="s">
        <v>2056</v>
      </c>
      <c r="E323" s="23">
        <v>8525.5791791110296</v>
      </c>
      <c r="F323" s="23">
        <v>231</v>
      </c>
      <c r="G323" s="23">
        <v>231</v>
      </c>
      <c r="H323" s="23">
        <v>0</v>
      </c>
      <c r="I323" s="23" t="s">
        <v>5</v>
      </c>
      <c r="J323" s="23" t="s">
        <v>1844</v>
      </c>
    </row>
    <row r="324" spans="1:10" s="20" customFormat="1" ht="12" x14ac:dyDescent="0.25">
      <c r="A324" s="22">
        <v>1000103743</v>
      </c>
      <c r="B324" s="23" t="s">
        <v>1882</v>
      </c>
      <c r="C324" s="24" t="s">
        <v>4</v>
      </c>
      <c r="D324" s="23" t="s">
        <v>2056</v>
      </c>
      <c r="E324" s="23">
        <v>8440.1</v>
      </c>
      <c r="F324" s="23">
        <v>580</v>
      </c>
      <c r="G324" s="23">
        <v>580</v>
      </c>
      <c r="H324" s="23">
        <v>0</v>
      </c>
      <c r="I324" s="23" t="s">
        <v>5</v>
      </c>
      <c r="J324" s="23" t="s">
        <v>1844</v>
      </c>
    </row>
    <row r="325" spans="1:10" s="20" customFormat="1" ht="12" x14ac:dyDescent="0.25">
      <c r="A325" s="22">
        <v>1000108322</v>
      </c>
      <c r="B325" s="23" t="s">
        <v>1835</v>
      </c>
      <c r="C325" s="24" t="s">
        <v>4</v>
      </c>
      <c r="D325" s="23" t="s">
        <v>2090</v>
      </c>
      <c r="E325" s="23">
        <v>8424.68</v>
      </c>
      <c r="F325" s="23">
        <v>18</v>
      </c>
      <c r="G325" s="23">
        <v>18</v>
      </c>
      <c r="H325" s="23">
        <v>0</v>
      </c>
      <c r="I325" s="23" t="s">
        <v>5</v>
      </c>
      <c r="J325" s="23" t="s">
        <v>327</v>
      </c>
    </row>
    <row r="326" spans="1:10" s="20" customFormat="1" ht="12" x14ac:dyDescent="0.25">
      <c r="A326" s="22">
        <v>1000093223</v>
      </c>
      <c r="B326" s="23" t="s">
        <v>2608</v>
      </c>
      <c r="C326" s="24" t="s">
        <v>2109</v>
      </c>
      <c r="D326" s="23" t="s">
        <v>2070</v>
      </c>
      <c r="E326" s="23">
        <v>8410.7999999999993</v>
      </c>
      <c r="F326" s="23">
        <v>1</v>
      </c>
      <c r="G326" s="23">
        <v>1</v>
      </c>
      <c r="H326" s="23">
        <v>0</v>
      </c>
      <c r="I326" s="23" t="s">
        <v>5</v>
      </c>
      <c r="J326" s="23" t="s">
        <v>6</v>
      </c>
    </row>
    <row r="327" spans="1:10" s="20" customFormat="1" ht="12" x14ac:dyDescent="0.25">
      <c r="A327" s="22">
        <v>2500005906</v>
      </c>
      <c r="B327" s="23" t="s">
        <v>2609</v>
      </c>
      <c r="C327" s="24" t="s">
        <v>1996</v>
      </c>
      <c r="D327" s="23" t="s">
        <v>2025</v>
      </c>
      <c r="E327" s="23">
        <v>8405.80040978125</v>
      </c>
      <c r="F327" s="23">
        <v>4</v>
      </c>
      <c r="G327" s="23">
        <v>3</v>
      </c>
      <c r="H327" s="23">
        <v>1</v>
      </c>
      <c r="I327" s="23" t="s">
        <v>1995</v>
      </c>
      <c r="J327" s="23" t="s">
        <v>1993</v>
      </c>
    </row>
    <row r="328" spans="1:10" s="20" customFormat="1" ht="12" x14ac:dyDescent="0.25">
      <c r="A328" s="22">
        <v>1000093768</v>
      </c>
      <c r="B328" s="23" t="s">
        <v>2610</v>
      </c>
      <c r="C328" s="24" t="s">
        <v>4</v>
      </c>
      <c r="D328" s="23" t="s">
        <v>2056</v>
      </c>
      <c r="E328" s="23">
        <v>8370.0210000000006</v>
      </c>
      <c r="F328" s="23">
        <v>550</v>
      </c>
      <c r="G328" s="23">
        <v>550</v>
      </c>
      <c r="H328" s="23">
        <v>0</v>
      </c>
      <c r="I328" s="23" t="s">
        <v>5</v>
      </c>
      <c r="J328" s="23" t="s">
        <v>1844</v>
      </c>
    </row>
    <row r="329" spans="1:10" s="20" customFormat="1" ht="12" x14ac:dyDescent="0.25">
      <c r="A329" s="22">
        <v>1000098464</v>
      </c>
      <c r="B329" s="23" t="s">
        <v>1539</v>
      </c>
      <c r="C329" s="24" t="s">
        <v>4</v>
      </c>
      <c r="D329" s="23" t="s">
        <v>2090</v>
      </c>
      <c r="E329" s="23">
        <v>8364</v>
      </c>
      <c r="F329" s="23">
        <v>52</v>
      </c>
      <c r="G329" s="23">
        <v>52</v>
      </c>
      <c r="H329" s="23">
        <v>0</v>
      </c>
      <c r="I329" s="23" t="s">
        <v>5</v>
      </c>
      <c r="J329" s="23" t="s">
        <v>327</v>
      </c>
    </row>
    <row r="330" spans="1:10" s="20" customFormat="1" ht="12" x14ac:dyDescent="0.25">
      <c r="A330" s="22">
        <v>1000020756</v>
      </c>
      <c r="B330" s="23" t="s">
        <v>961</v>
      </c>
      <c r="C330" s="24" t="s">
        <v>4</v>
      </c>
      <c r="D330" s="23" t="s">
        <v>2090</v>
      </c>
      <c r="E330" s="23">
        <v>8342.5582122448905</v>
      </c>
      <c r="F330" s="23">
        <v>6</v>
      </c>
      <c r="G330" s="23">
        <v>6</v>
      </c>
      <c r="H330" s="23">
        <v>0</v>
      </c>
      <c r="I330" s="23" t="s">
        <v>5</v>
      </c>
      <c r="J330" s="23" t="s">
        <v>327</v>
      </c>
    </row>
    <row r="331" spans="1:10" s="20" customFormat="1" ht="12" x14ac:dyDescent="0.25">
      <c r="A331" s="22">
        <v>2700000010</v>
      </c>
      <c r="B331" s="23" t="s">
        <v>219</v>
      </c>
      <c r="C331" s="24" t="s">
        <v>2037</v>
      </c>
      <c r="D331" s="23" t="s">
        <v>2038</v>
      </c>
      <c r="E331" s="23">
        <v>8326.4286703950402</v>
      </c>
      <c r="F331" s="23">
        <v>6</v>
      </c>
      <c r="G331" s="23">
        <v>6</v>
      </c>
      <c r="H331" s="23">
        <v>0</v>
      </c>
      <c r="I331" s="23" t="s">
        <v>5</v>
      </c>
      <c r="J331" s="23" t="s">
        <v>146</v>
      </c>
    </row>
    <row r="332" spans="1:10" s="20" customFormat="1" ht="12" x14ac:dyDescent="0.25">
      <c r="A332" s="22">
        <v>1000020739</v>
      </c>
      <c r="B332" s="23" t="s">
        <v>947</v>
      </c>
      <c r="C332" s="24" t="s">
        <v>4</v>
      </c>
      <c r="D332" s="23" t="s">
        <v>2090</v>
      </c>
      <c r="E332" s="23">
        <v>8286.6437499999993</v>
      </c>
      <c r="F332" s="23">
        <v>33</v>
      </c>
      <c r="G332" s="23">
        <v>33</v>
      </c>
      <c r="H332" s="23">
        <v>0</v>
      </c>
      <c r="I332" s="23" t="s">
        <v>5</v>
      </c>
      <c r="J332" s="23" t="s">
        <v>327</v>
      </c>
    </row>
    <row r="333" spans="1:10" s="20" customFormat="1" ht="12" x14ac:dyDescent="0.25">
      <c r="A333" s="22">
        <v>2700000011</v>
      </c>
      <c r="B333" s="23" t="s">
        <v>220</v>
      </c>
      <c r="C333" s="24" t="s">
        <v>2037</v>
      </c>
      <c r="D333" s="23" t="s">
        <v>2038</v>
      </c>
      <c r="E333" s="23">
        <v>8272.8799999999992</v>
      </c>
      <c r="F333" s="23">
        <v>2</v>
      </c>
      <c r="G333" s="23">
        <v>2</v>
      </c>
      <c r="H333" s="23">
        <v>0</v>
      </c>
      <c r="I333" s="23" t="s">
        <v>5</v>
      </c>
      <c r="J333" s="23" t="s">
        <v>146</v>
      </c>
    </row>
    <row r="334" spans="1:10" s="20" customFormat="1" ht="12" x14ac:dyDescent="0.25">
      <c r="A334" s="22">
        <v>1000106684</v>
      </c>
      <c r="B334" s="23" t="s">
        <v>2614</v>
      </c>
      <c r="C334" s="24" t="s">
        <v>4</v>
      </c>
      <c r="D334" s="23" t="s">
        <v>2161</v>
      </c>
      <c r="E334" s="23">
        <v>8266.41</v>
      </c>
      <c r="F334" s="23">
        <v>2</v>
      </c>
      <c r="G334" s="23">
        <v>2</v>
      </c>
      <c r="H334" s="23">
        <v>0</v>
      </c>
      <c r="I334" s="23" t="s">
        <v>5</v>
      </c>
      <c r="J334" s="23" t="s">
        <v>111</v>
      </c>
    </row>
    <row r="335" spans="1:10" s="20" customFormat="1" ht="12" x14ac:dyDescent="0.25">
      <c r="A335" s="22">
        <v>1000104204</v>
      </c>
      <c r="B335" s="23" t="s">
        <v>2615</v>
      </c>
      <c r="C335" s="24" t="s">
        <v>4</v>
      </c>
      <c r="D335" s="23" t="s">
        <v>2161</v>
      </c>
      <c r="E335" s="23">
        <v>8266.41</v>
      </c>
      <c r="F335" s="23">
        <v>2</v>
      </c>
      <c r="G335" s="23">
        <v>2</v>
      </c>
      <c r="H335" s="23">
        <v>0</v>
      </c>
      <c r="I335" s="23" t="s">
        <v>5</v>
      </c>
      <c r="J335" s="23" t="s">
        <v>111</v>
      </c>
    </row>
    <row r="336" spans="1:10" s="20" customFormat="1" ht="12" x14ac:dyDescent="0.25">
      <c r="A336" s="22">
        <v>1000098527</v>
      </c>
      <c r="B336" s="23" t="s">
        <v>1561</v>
      </c>
      <c r="C336" s="24" t="s">
        <v>4</v>
      </c>
      <c r="D336" s="23" t="s">
        <v>2090</v>
      </c>
      <c r="E336" s="23">
        <v>8254.3574285714294</v>
      </c>
      <c r="F336" s="23">
        <v>39</v>
      </c>
      <c r="G336" s="23">
        <v>39</v>
      </c>
      <c r="H336" s="23">
        <v>0</v>
      </c>
      <c r="I336" s="23" t="s">
        <v>5</v>
      </c>
      <c r="J336" s="23" t="s">
        <v>327</v>
      </c>
    </row>
    <row r="337" spans="1:10" s="20" customFormat="1" ht="12" x14ac:dyDescent="0.25">
      <c r="A337" s="22">
        <v>1000093686</v>
      </c>
      <c r="B337" s="23" t="s">
        <v>2616</v>
      </c>
      <c r="C337" s="24" t="s">
        <v>4</v>
      </c>
      <c r="D337" s="23" t="s">
        <v>2056</v>
      </c>
      <c r="E337" s="23">
        <v>8246.0906875628898</v>
      </c>
      <c r="F337" s="23">
        <v>90298</v>
      </c>
      <c r="G337" s="23">
        <v>90298</v>
      </c>
      <c r="H337" s="23">
        <v>0</v>
      </c>
      <c r="I337" s="23" t="s">
        <v>5</v>
      </c>
      <c r="J337" s="23" t="s">
        <v>1844</v>
      </c>
    </row>
    <row r="338" spans="1:10" s="20" customFormat="1" ht="12" x14ac:dyDescent="0.25">
      <c r="A338" s="22">
        <v>2500005912</v>
      </c>
      <c r="B338" s="23" t="s">
        <v>2617</v>
      </c>
      <c r="C338" s="24" t="s">
        <v>1996</v>
      </c>
      <c r="D338" s="23" t="s">
        <v>2025</v>
      </c>
      <c r="E338" s="23">
        <v>8238.6132300000008</v>
      </c>
      <c r="F338" s="23">
        <v>3</v>
      </c>
      <c r="G338" s="23">
        <v>3</v>
      </c>
      <c r="H338" s="23">
        <v>0</v>
      </c>
      <c r="I338" s="23" t="s">
        <v>5</v>
      </c>
      <c r="J338" s="23" t="s">
        <v>1993</v>
      </c>
    </row>
    <row r="339" spans="1:10" s="20" customFormat="1" ht="12" x14ac:dyDescent="0.25">
      <c r="A339" s="22">
        <v>2500008409</v>
      </c>
      <c r="B339" s="23" t="s">
        <v>2618</v>
      </c>
      <c r="C339" s="24" t="s">
        <v>1996</v>
      </c>
      <c r="D339" s="23" t="s">
        <v>2025</v>
      </c>
      <c r="E339" s="23">
        <v>8218.6812453510192</v>
      </c>
      <c r="F339" s="23">
        <v>88</v>
      </c>
      <c r="G339" s="23">
        <v>88</v>
      </c>
      <c r="H339" s="23">
        <v>0</v>
      </c>
      <c r="I339" s="23" t="s">
        <v>5</v>
      </c>
      <c r="J339" s="23" t="s">
        <v>1993</v>
      </c>
    </row>
    <row r="340" spans="1:10" s="20" customFormat="1" ht="12" x14ac:dyDescent="0.25">
      <c r="A340" s="22">
        <v>1000098425</v>
      </c>
      <c r="B340" s="23" t="s">
        <v>2619</v>
      </c>
      <c r="C340" s="24" t="s">
        <v>4</v>
      </c>
      <c r="D340" s="23" t="s">
        <v>2090</v>
      </c>
      <c r="E340" s="23">
        <v>8182.4568888888798</v>
      </c>
      <c r="F340" s="23">
        <v>7</v>
      </c>
      <c r="G340" s="23">
        <v>7</v>
      </c>
      <c r="H340" s="23">
        <v>0</v>
      </c>
      <c r="I340" s="23" t="s">
        <v>5</v>
      </c>
      <c r="J340" s="23" t="s">
        <v>327</v>
      </c>
    </row>
    <row r="341" spans="1:10" s="20" customFormat="1" ht="12" x14ac:dyDescent="0.25">
      <c r="A341" s="22">
        <v>1000020865</v>
      </c>
      <c r="B341" s="23" t="s">
        <v>1053</v>
      </c>
      <c r="C341" s="24" t="s">
        <v>4</v>
      </c>
      <c r="D341" s="23" t="s">
        <v>2218</v>
      </c>
      <c r="E341" s="23">
        <v>8132.1750641025601</v>
      </c>
      <c r="F341" s="23">
        <v>14</v>
      </c>
      <c r="G341" s="23">
        <v>14</v>
      </c>
      <c r="H341" s="23">
        <v>0</v>
      </c>
      <c r="I341" s="23" t="s">
        <v>5</v>
      </c>
      <c r="J341" s="23" t="s">
        <v>327</v>
      </c>
    </row>
    <row r="342" spans="1:10" s="20" customFormat="1" ht="12" x14ac:dyDescent="0.25">
      <c r="A342" s="22">
        <v>1000095813</v>
      </c>
      <c r="B342" s="23" t="s">
        <v>2620</v>
      </c>
      <c r="C342" s="24" t="s">
        <v>4</v>
      </c>
      <c r="D342" s="23" t="s">
        <v>2056</v>
      </c>
      <c r="E342" s="23">
        <v>8117.80319339165</v>
      </c>
      <c r="F342" s="23">
        <v>1621</v>
      </c>
      <c r="G342" s="23">
        <v>1621</v>
      </c>
      <c r="H342" s="23">
        <v>0</v>
      </c>
      <c r="I342" s="23" t="s">
        <v>5</v>
      </c>
      <c r="J342" s="23" t="s">
        <v>1844</v>
      </c>
    </row>
    <row r="343" spans="1:10" s="20" customFormat="1" ht="12" x14ac:dyDescent="0.25">
      <c r="A343" s="22">
        <v>2500008418</v>
      </c>
      <c r="B343" s="23" t="s">
        <v>2621</v>
      </c>
      <c r="C343" s="24" t="s">
        <v>1996</v>
      </c>
      <c r="D343" s="23" t="s">
        <v>2025</v>
      </c>
      <c r="E343" s="23">
        <v>8083.2937499999998</v>
      </c>
      <c r="F343" s="23">
        <v>3</v>
      </c>
      <c r="G343" s="23">
        <v>3</v>
      </c>
      <c r="H343" s="23">
        <v>0</v>
      </c>
      <c r="I343" s="23" t="s">
        <v>5</v>
      </c>
      <c r="J343" s="23" t="s">
        <v>1993</v>
      </c>
    </row>
    <row r="344" spans="1:10" s="20" customFormat="1" ht="12" x14ac:dyDescent="0.25">
      <c r="A344" s="22">
        <v>1000021438</v>
      </c>
      <c r="B344" s="23" t="s">
        <v>1482</v>
      </c>
      <c r="C344" s="24" t="s">
        <v>4</v>
      </c>
      <c r="D344" s="23" t="s">
        <v>2090</v>
      </c>
      <c r="E344" s="23">
        <v>8067.94</v>
      </c>
      <c r="F344" s="23">
        <v>5</v>
      </c>
      <c r="G344" s="23">
        <v>5</v>
      </c>
      <c r="H344" s="23">
        <v>0</v>
      </c>
      <c r="I344" s="23" t="s">
        <v>5</v>
      </c>
      <c r="J344" s="23" t="s">
        <v>327</v>
      </c>
    </row>
    <row r="345" spans="1:10" s="20" customFormat="1" ht="12" x14ac:dyDescent="0.25">
      <c r="A345" s="22">
        <v>1000093565</v>
      </c>
      <c r="B345" s="23" t="s">
        <v>2623</v>
      </c>
      <c r="C345" s="24" t="s">
        <v>4</v>
      </c>
      <c r="D345" s="23" t="s">
        <v>2056</v>
      </c>
      <c r="E345" s="23">
        <v>8045.4160000000002</v>
      </c>
      <c r="F345" s="23">
        <v>65</v>
      </c>
      <c r="G345" s="23">
        <v>65</v>
      </c>
      <c r="H345" s="23">
        <v>0</v>
      </c>
      <c r="I345" s="23" t="s">
        <v>5</v>
      </c>
      <c r="J345" s="23" t="s">
        <v>1844</v>
      </c>
    </row>
    <row r="346" spans="1:10" s="20" customFormat="1" ht="12" x14ac:dyDescent="0.25">
      <c r="A346" s="22">
        <v>1000104192</v>
      </c>
      <c r="B346" s="23" t="s">
        <v>2624</v>
      </c>
      <c r="C346" s="24" t="s">
        <v>4</v>
      </c>
      <c r="D346" s="23" t="s">
        <v>2161</v>
      </c>
      <c r="E346" s="23">
        <v>8042.0866666666598</v>
      </c>
      <c r="F346" s="23">
        <v>2</v>
      </c>
      <c r="G346" s="23">
        <v>2</v>
      </c>
      <c r="H346" s="23">
        <v>0</v>
      </c>
      <c r="I346" s="23" t="s">
        <v>5</v>
      </c>
      <c r="J346" s="23" t="s">
        <v>111</v>
      </c>
    </row>
    <row r="347" spans="1:10" s="20" customFormat="1" ht="12" x14ac:dyDescent="0.25">
      <c r="A347" s="22">
        <v>1000101096</v>
      </c>
      <c r="B347" s="23" t="s">
        <v>2625</v>
      </c>
      <c r="C347" s="24" t="s">
        <v>4</v>
      </c>
      <c r="D347" s="23" t="s">
        <v>2284</v>
      </c>
      <c r="E347" s="23">
        <v>8023.95</v>
      </c>
      <c r="F347" s="23">
        <v>3</v>
      </c>
      <c r="G347" s="23">
        <v>3</v>
      </c>
      <c r="H347" s="23">
        <v>0</v>
      </c>
      <c r="I347" s="23" t="s">
        <v>5</v>
      </c>
      <c r="J347" s="23" t="s">
        <v>1844</v>
      </c>
    </row>
    <row r="348" spans="1:10" s="20" customFormat="1" ht="12" x14ac:dyDescent="0.25">
      <c r="A348" s="22">
        <v>1000098578</v>
      </c>
      <c r="B348" s="23" t="s">
        <v>1587</v>
      </c>
      <c r="C348" s="24" t="s">
        <v>4</v>
      </c>
      <c r="D348" s="23" t="s">
        <v>2090</v>
      </c>
      <c r="E348" s="23">
        <v>8010.24365079365</v>
      </c>
      <c r="F348" s="23">
        <v>15</v>
      </c>
      <c r="G348" s="23">
        <v>15</v>
      </c>
      <c r="H348" s="23">
        <v>0</v>
      </c>
      <c r="I348" s="23" t="s">
        <v>5</v>
      </c>
      <c r="J348" s="23" t="s">
        <v>327</v>
      </c>
    </row>
    <row r="349" spans="1:10" s="20" customFormat="1" ht="12" x14ac:dyDescent="0.25">
      <c r="A349" s="22">
        <v>2100003403</v>
      </c>
      <c r="B349" s="23" t="s">
        <v>2627</v>
      </c>
      <c r="C349" s="24" t="s">
        <v>2030</v>
      </c>
      <c r="D349" s="23" t="s">
        <v>2628</v>
      </c>
      <c r="E349" s="23">
        <v>7998.98</v>
      </c>
      <c r="F349" s="23">
        <v>2</v>
      </c>
      <c r="G349" s="23">
        <v>0</v>
      </c>
      <c r="H349" s="23">
        <v>2</v>
      </c>
      <c r="I349" s="23" t="s">
        <v>17</v>
      </c>
      <c r="J349" s="23" t="s">
        <v>146</v>
      </c>
    </row>
    <row r="350" spans="1:10" s="20" customFormat="1" ht="12" x14ac:dyDescent="0.25">
      <c r="A350" s="22">
        <v>1000098710</v>
      </c>
      <c r="B350" s="23" t="s">
        <v>1658</v>
      </c>
      <c r="C350" s="24" t="s">
        <v>4</v>
      </c>
      <c r="D350" s="23" t="s">
        <v>2090</v>
      </c>
      <c r="E350" s="23">
        <v>7989.6592857142796</v>
      </c>
      <c r="F350" s="23">
        <v>14</v>
      </c>
      <c r="G350" s="23">
        <v>14</v>
      </c>
      <c r="H350" s="23">
        <v>0</v>
      </c>
      <c r="I350" s="23" t="s">
        <v>5</v>
      </c>
      <c r="J350" s="23" t="s">
        <v>327</v>
      </c>
    </row>
    <row r="351" spans="1:10" s="20" customFormat="1" ht="12" x14ac:dyDescent="0.25">
      <c r="A351" s="22">
        <v>1000096954</v>
      </c>
      <c r="B351" s="23" t="s">
        <v>2629</v>
      </c>
      <c r="C351" s="24" t="s">
        <v>4</v>
      </c>
      <c r="D351" s="23" t="s">
        <v>2161</v>
      </c>
      <c r="E351" s="23">
        <v>7971.9500300309601</v>
      </c>
      <c r="F351" s="23">
        <v>3</v>
      </c>
      <c r="G351" s="23">
        <v>3</v>
      </c>
      <c r="H351" s="23">
        <v>0</v>
      </c>
      <c r="I351" s="23" t="s">
        <v>5</v>
      </c>
      <c r="J351" s="23" t="s">
        <v>111</v>
      </c>
    </row>
    <row r="352" spans="1:10" s="20" customFormat="1" ht="12" x14ac:dyDescent="0.25">
      <c r="A352" s="22">
        <v>1000106153</v>
      </c>
      <c r="B352" s="23" t="s">
        <v>2630</v>
      </c>
      <c r="C352" s="24" t="s">
        <v>4</v>
      </c>
      <c r="D352" s="23" t="s">
        <v>2090</v>
      </c>
      <c r="E352" s="23">
        <v>7945.6916666666602</v>
      </c>
      <c r="F352" s="23">
        <v>5</v>
      </c>
      <c r="G352" s="23">
        <v>5</v>
      </c>
      <c r="H352" s="23">
        <v>0</v>
      </c>
      <c r="I352" s="23" t="s">
        <v>5</v>
      </c>
      <c r="J352" s="23" t="s">
        <v>327</v>
      </c>
    </row>
    <row r="353" spans="1:10" s="20" customFormat="1" ht="12" x14ac:dyDescent="0.25">
      <c r="A353" s="22">
        <v>1000020128</v>
      </c>
      <c r="B353" s="23" t="s">
        <v>383</v>
      </c>
      <c r="C353" s="24" t="s">
        <v>4</v>
      </c>
      <c r="D353" s="23" t="s">
        <v>2090</v>
      </c>
      <c r="E353" s="23">
        <v>7910.1</v>
      </c>
      <c r="F353" s="23">
        <v>10</v>
      </c>
      <c r="G353" s="23">
        <v>10</v>
      </c>
      <c r="H353" s="23">
        <v>0</v>
      </c>
      <c r="I353" s="23" t="s">
        <v>5</v>
      </c>
      <c r="J353" s="23" t="s">
        <v>327</v>
      </c>
    </row>
    <row r="354" spans="1:10" s="20" customFormat="1" ht="12" x14ac:dyDescent="0.25">
      <c r="A354" s="22">
        <v>2500006867</v>
      </c>
      <c r="B354" s="23" t="s">
        <v>2633</v>
      </c>
      <c r="C354" s="24" t="s">
        <v>1996</v>
      </c>
      <c r="D354" s="23" t="s">
        <v>2440</v>
      </c>
      <c r="E354" s="23">
        <v>7881.07956730769</v>
      </c>
      <c r="F354" s="23">
        <v>15</v>
      </c>
      <c r="G354" s="23">
        <v>15</v>
      </c>
      <c r="H354" s="23">
        <v>0</v>
      </c>
      <c r="I354" s="23" t="s">
        <v>5</v>
      </c>
      <c r="J354" s="23" t="s">
        <v>1993</v>
      </c>
    </row>
    <row r="355" spans="1:10" s="20" customFormat="1" ht="12" x14ac:dyDescent="0.25">
      <c r="A355" s="22">
        <v>1000010250</v>
      </c>
      <c r="B355" s="23" t="s">
        <v>2634</v>
      </c>
      <c r="C355" s="24" t="s">
        <v>4</v>
      </c>
      <c r="D355" s="23" t="s">
        <v>2161</v>
      </c>
      <c r="E355" s="23">
        <v>7867.9909374999997</v>
      </c>
      <c r="F355" s="23">
        <v>23</v>
      </c>
      <c r="G355" s="23">
        <v>23</v>
      </c>
      <c r="H355" s="23">
        <v>0</v>
      </c>
      <c r="I355" s="23" t="s">
        <v>5</v>
      </c>
      <c r="J355" s="23" t="s">
        <v>111</v>
      </c>
    </row>
    <row r="356" spans="1:10" s="20" customFormat="1" ht="12" x14ac:dyDescent="0.25">
      <c r="A356" s="22">
        <v>1000103146</v>
      </c>
      <c r="B356" s="23" t="s">
        <v>2635</v>
      </c>
      <c r="C356" s="24" t="s">
        <v>4</v>
      </c>
      <c r="D356" s="23" t="s">
        <v>2090</v>
      </c>
      <c r="E356" s="23">
        <v>7843.28</v>
      </c>
      <c r="F356" s="23">
        <v>11</v>
      </c>
      <c r="G356" s="23">
        <v>11</v>
      </c>
      <c r="H356" s="23">
        <v>0</v>
      </c>
      <c r="I356" s="23" t="s">
        <v>5</v>
      </c>
      <c r="J356" s="23" t="s">
        <v>327</v>
      </c>
    </row>
    <row r="357" spans="1:10" s="20" customFormat="1" ht="12" x14ac:dyDescent="0.25">
      <c r="A357" s="22">
        <v>2500008566</v>
      </c>
      <c r="B357" s="23" t="s">
        <v>2278</v>
      </c>
      <c r="C357" s="24" t="s">
        <v>1996</v>
      </c>
      <c r="D357" s="23" t="s">
        <v>2117</v>
      </c>
      <c r="E357" s="23">
        <v>7762.5</v>
      </c>
      <c r="F357" s="23">
        <v>1</v>
      </c>
      <c r="G357" s="23">
        <v>1</v>
      </c>
      <c r="H357" s="23">
        <v>0</v>
      </c>
      <c r="I357" s="23" t="s">
        <v>5</v>
      </c>
      <c r="J357" s="23" t="s">
        <v>1993</v>
      </c>
    </row>
    <row r="358" spans="1:10" s="20" customFormat="1" ht="12" x14ac:dyDescent="0.25">
      <c r="A358" s="22">
        <v>1000102232</v>
      </c>
      <c r="B358" s="23" t="s">
        <v>1784</v>
      </c>
      <c r="C358" s="24" t="s">
        <v>4</v>
      </c>
      <c r="D358" s="23" t="s">
        <v>2090</v>
      </c>
      <c r="E358" s="23">
        <v>7697.48</v>
      </c>
      <c r="F358" s="23">
        <v>1</v>
      </c>
      <c r="G358" s="23">
        <v>1</v>
      </c>
      <c r="H358" s="23">
        <v>0</v>
      </c>
      <c r="I358" s="23" t="s">
        <v>5</v>
      </c>
      <c r="J358" s="23" t="s">
        <v>327</v>
      </c>
    </row>
    <row r="359" spans="1:10" s="20" customFormat="1" ht="12" x14ac:dyDescent="0.25">
      <c r="A359" s="22">
        <v>1000021235</v>
      </c>
      <c r="B359" s="23" t="s">
        <v>1380</v>
      </c>
      <c r="C359" s="24" t="s">
        <v>4</v>
      </c>
      <c r="D359" s="23" t="s">
        <v>2090</v>
      </c>
      <c r="E359" s="23">
        <v>7696.5</v>
      </c>
      <c r="F359" s="23">
        <v>20</v>
      </c>
      <c r="G359" s="23">
        <v>20</v>
      </c>
      <c r="H359" s="23">
        <v>0</v>
      </c>
      <c r="I359" s="23" t="s">
        <v>5</v>
      </c>
      <c r="J359" s="23" t="s">
        <v>327</v>
      </c>
    </row>
    <row r="360" spans="1:10" s="20" customFormat="1" ht="12" x14ac:dyDescent="0.25">
      <c r="A360" s="22">
        <v>2500008249</v>
      </c>
      <c r="B360" s="23" t="s">
        <v>2642</v>
      </c>
      <c r="C360" s="24" t="s">
        <v>1996</v>
      </c>
      <c r="D360" s="23" t="s">
        <v>2643</v>
      </c>
      <c r="E360" s="23">
        <v>7680</v>
      </c>
      <c r="F360" s="23">
        <v>2</v>
      </c>
      <c r="G360" s="23">
        <v>2</v>
      </c>
      <c r="H360" s="23">
        <v>0</v>
      </c>
      <c r="I360" s="23" t="s">
        <v>5</v>
      </c>
      <c r="J360" s="23" t="s">
        <v>1993</v>
      </c>
    </row>
    <row r="361" spans="1:10" s="20" customFormat="1" ht="12" x14ac:dyDescent="0.25">
      <c r="A361" s="22">
        <v>1000020851</v>
      </c>
      <c r="B361" s="23" t="s">
        <v>1043</v>
      </c>
      <c r="C361" s="24" t="s">
        <v>4</v>
      </c>
      <c r="D361" s="23" t="s">
        <v>2090</v>
      </c>
      <c r="E361" s="23">
        <v>7608.5042763157899</v>
      </c>
      <c r="F361" s="23">
        <v>15</v>
      </c>
      <c r="G361" s="23">
        <v>15</v>
      </c>
      <c r="H361" s="23">
        <v>0</v>
      </c>
      <c r="I361" s="23" t="s">
        <v>5</v>
      </c>
      <c r="J361" s="23" t="s">
        <v>327</v>
      </c>
    </row>
    <row r="362" spans="1:10" s="20" customFormat="1" ht="12" x14ac:dyDescent="0.25">
      <c r="A362" s="22">
        <v>2200000285</v>
      </c>
      <c r="B362" s="23" t="s">
        <v>2649</v>
      </c>
      <c r="C362" s="24" t="s">
        <v>2037</v>
      </c>
      <c r="D362" s="23" t="s">
        <v>2038</v>
      </c>
      <c r="E362" s="23">
        <v>7589.38</v>
      </c>
      <c r="F362" s="23">
        <v>2</v>
      </c>
      <c r="G362" s="23">
        <v>2</v>
      </c>
      <c r="H362" s="23">
        <v>0</v>
      </c>
      <c r="I362" s="23" t="s">
        <v>5</v>
      </c>
      <c r="J362" s="23" t="s">
        <v>146</v>
      </c>
    </row>
    <row r="363" spans="1:10" s="20" customFormat="1" ht="12" x14ac:dyDescent="0.25">
      <c r="A363" s="22">
        <v>1000095496</v>
      </c>
      <c r="B363" s="23" t="s">
        <v>2651</v>
      </c>
      <c r="C363" s="24" t="s">
        <v>4</v>
      </c>
      <c r="D363" s="23" t="s">
        <v>2090</v>
      </c>
      <c r="E363" s="23">
        <v>7553.2550000000001</v>
      </c>
      <c r="F363" s="23">
        <v>30</v>
      </c>
      <c r="G363" s="23">
        <v>30</v>
      </c>
      <c r="H363" s="23">
        <v>0</v>
      </c>
      <c r="I363" s="23" t="s">
        <v>5</v>
      </c>
      <c r="J363" s="23" t="s">
        <v>327</v>
      </c>
    </row>
    <row r="364" spans="1:10" s="20" customFormat="1" ht="12" x14ac:dyDescent="0.25">
      <c r="A364" s="22">
        <v>2100004324</v>
      </c>
      <c r="B364" s="23" t="s">
        <v>2654</v>
      </c>
      <c r="C364" s="24" t="s">
        <v>2030</v>
      </c>
      <c r="D364" s="23" t="s">
        <v>2075</v>
      </c>
      <c r="E364" s="23">
        <v>7523.63</v>
      </c>
      <c r="F364" s="23">
        <v>1</v>
      </c>
      <c r="G364" s="23">
        <v>0</v>
      </c>
      <c r="H364" s="23">
        <v>1</v>
      </c>
      <c r="I364" s="23" t="s">
        <v>14</v>
      </c>
      <c r="J364" s="23" t="s">
        <v>138</v>
      </c>
    </row>
    <row r="365" spans="1:10" s="20" customFormat="1" ht="12" x14ac:dyDescent="0.25">
      <c r="A365" s="22">
        <v>1000100940</v>
      </c>
      <c r="B365" s="23" t="s">
        <v>2656</v>
      </c>
      <c r="C365" s="24" t="s">
        <v>4</v>
      </c>
      <c r="D365" s="23" t="s">
        <v>2161</v>
      </c>
      <c r="E365" s="23">
        <v>7506</v>
      </c>
      <c r="F365" s="23">
        <v>15</v>
      </c>
      <c r="G365" s="23">
        <v>15</v>
      </c>
      <c r="H365" s="23">
        <v>0</v>
      </c>
      <c r="I365" s="23" t="s">
        <v>5</v>
      </c>
      <c r="J365" s="23" t="s">
        <v>111</v>
      </c>
    </row>
    <row r="366" spans="1:10" s="20" customFormat="1" ht="12" x14ac:dyDescent="0.25">
      <c r="A366" s="22">
        <v>1000106121</v>
      </c>
      <c r="B366" s="23" t="s">
        <v>2657</v>
      </c>
      <c r="C366" s="24" t="s">
        <v>4</v>
      </c>
      <c r="D366" s="23" t="s">
        <v>2161</v>
      </c>
      <c r="E366" s="23">
        <v>7504.9470000000001</v>
      </c>
      <c r="F366" s="23">
        <v>9</v>
      </c>
      <c r="G366" s="23">
        <v>9</v>
      </c>
      <c r="H366" s="23">
        <v>0</v>
      </c>
      <c r="I366" s="23" t="s">
        <v>5</v>
      </c>
      <c r="J366" s="23" t="s">
        <v>111</v>
      </c>
    </row>
    <row r="367" spans="1:10" s="20" customFormat="1" ht="12" x14ac:dyDescent="0.25">
      <c r="A367" s="22">
        <v>1000020025</v>
      </c>
      <c r="B367" s="23" t="s">
        <v>2661</v>
      </c>
      <c r="C367" s="24" t="s">
        <v>4</v>
      </c>
      <c r="D367" s="23" t="s">
        <v>2218</v>
      </c>
      <c r="E367" s="23">
        <v>7442.4664794239297</v>
      </c>
      <c r="F367" s="23">
        <v>143</v>
      </c>
      <c r="G367" s="23">
        <v>143</v>
      </c>
      <c r="H367" s="23">
        <v>0</v>
      </c>
      <c r="I367" s="23" t="s">
        <v>5</v>
      </c>
      <c r="J367" s="23" t="s">
        <v>327</v>
      </c>
    </row>
    <row r="368" spans="1:10" s="20" customFormat="1" ht="12" x14ac:dyDescent="0.25">
      <c r="A368" s="22">
        <v>1000021237</v>
      </c>
      <c r="B368" s="23" t="s">
        <v>1382</v>
      </c>
      <c r="C368" s="24" t="s">
        <v>4</v>
      </c>
      <c r="D368" s="23" t="s">
        <v>2090</v>
      </c>
      <c r="E368" s="23">
        <v>7393.2183649580602</v>
      </c>
      <c r="F368" s="23">
        <v>24</v>
      </c>
      <c r="G368" s="23">
        <v>24</v>
      </c>
      <c r="H368" s="23">
        <v>0</v>
      </c>
      <c r="I368" s="23" t="s">
        <v>5</v>
      </c>
      <c r="J368" s="23" t="s">
        <v>327</v>
      </c>
    </row>
    <row r="369" spans="1:10" s="20" customFormat="1" ht="12" x14ac:dyDescent="0.25">
      <c r="A369" s="22">
        <v>1000097811</v>
      </c>
      <c r="B369" s="23" t="s">
        <v>2663</v>
      </c>
      <c r="C369" s="24" t="s">
        <v>2109</v>
      </c>
      <c r="D369" s="23" t="s">
        <v>2664</v>
      </c>
      <c r="E369" s="23">
        <v>7344</v>
      </c>
      <c r="F369" s="23">
        <v>9</v>
      </c>
      <c r="G369" s="23">
        <v>1</v>
      </c>
      <c r="H369" s="23">
        <v>8</v>
      </c>
      <c r="I369" s="23" t="s">
        <v>17</v>
      </c>
      <c r="J369" s="23" t="s">
        <v>6</v>
      </c>
    </row>
    <row r="370" spans="1:10" s="20" customFormat="1" ht="12" x14ac:dyDescent="0.25">
      <c r="A370" s="22">
        <v>1000103208</v>
      </c>
      <c r="B370" s="23" t="s">
        <v>1815</v>
      </c>
      <c r="C370" s="24" t="s">
        <v>4</v>
      </c>
      <c r="D370" s="23" t="s">
        <v>2090</v>
      </c>
      <c r="E370" s="23">
        <v>7316.64538461538</v>
      </c>
      <c r="F370" s="23">
        <v>28</v>
      </c>
      <c r="G370" s="23">
        <v>28</v>
      </c>
      <c r="H370" s="23">
        <v>0</v>
      </c>
      <c r="I370" s="23" t="s">
        <v>5</v>
      </c>
      <c r="J370" s="23" t="s">
        <v>327</v>
      </c>
    </row>
    <row r="371" spans="1:10" s="20" customFormat="1" ht="12" x14ac:dyDescent="0.25">
      <c r="A371" s="22">
        <v>1000093679</v>
      </c>
      <c r="B371" s="23" t="s">
        <v>2055</v>
      </c>
      <c r="C371" s="24" t="s">
        <v>4</v>
      </c>
      <c r="D371" s="23" t="s">
        <v>2056</v>
      </c>
      <c r="E371" s="23">
        <v>7314.3420393925098</v>
      </c>
      <c r="F371" s="23">
        <v>1537</v>
      </c>
      <c r="G371" s="23">
        <v>1537</v>
      </c>
      <c r="H371" s="23">
        <v>0</v>
      </c>
      <c r="I371" s="23" t="s">
        <v>5</v>
      </c>
      <c r="J371" s="23" t="s">
        <v>1844</v>
      </c>
    </row>
    <row r="372" spans="1:10" s="20" customFormat="1" ht="12" x14ac:dyDescent="0.25">
      <c r="A372" s="22">
        <v>1000102213</v>
      </c>
      <c r="B372" s="23" t="s">
        <v>1773</v>
      </c>
      <c r="C372" s="24" t="s">
        <v>4</v>
      </c>
      <c r="D372" s="23" t="s">
        <v>2090</v>
      </c>
      <c r="E372" s="23">
        <v>7300.8</v>
      </c>
      <c r="F372" s="23">
        <v>1</v>
      </c>
      <c r="G372" s="23">
        <v>1</v>
      </c>
      <c r="H372" s="23">
        <v>0</v>
      </c>
      <c r="I372" s="23" t="s">
        <v>5</v>
      </c>
      <c r="J372" s="23" t="s">
        <v>327</v>
      </c>
    </row>
    <row r="373" spans="1:10" s="20" customFormat="1" ht="12" x14ac:dyDescent="0.25">
      <c r="A373" s="22">
        <v>1000020332</v>
      </c>
      <c r="B373" s="23" t="s">
        <v>565</v>
      </c>
      <c r="C373" s="24" t="s">
        <v>4</v>
      </c>
      <c r="D373" s="23" t="s">
        <v>2090</v>
      </c>
      <c r="E373" s="23">
        <v>7262.37</v>
      </c>
      <c r="F373" s="23">
        <v>15</v>
      </c>
      <c r="G373" s="23">
        <v>15</v>
      </c>
      <c r="H373" s="23">
        <v>0</v>
      </c>
      <c r="I373" s="23" t="s">
        <v>5</v>
      </c>
      <c r="J373" s="23" t="s">
        <v>327</v>
      </c>
    </row>
    <row r="374" spans="1:10" s="20" customFormat="1" ht="12" x14ac:dyDescent="0.25">
      <c r="A374" s="22">
        <v>1000021028</v>
      </c>
      <c r="B374" s="23" t="s">
        <v>1200</v>
      </c>
      <c r="C374" s="24" t="s">
        <v>4</v>
      </c>
      <c r="D374" s="23" t="s">
        <v>2090</v>
      </c>
      <c r="E374" s="23">
        <v>7222.0837499999998</v>
      </c>
      <c r="F374" s="23">
        <v>7</v>
      </c>
      <c r="G374" s="23">
        <v>7</v>
      </c>
      <c r="H374" s="23">
        <v>0</v>
      </c>
      <c r="I374" s="23" t="s">
        <v>5</v>
      </c>
      <c r="J374" s="23" t="s">
        <v>327</v>
      </c>
    </row>
    <row r="375" spans="1:10" s="20" customFormat="1" ht="12" x14ac:dyDescent="0.25">
      <c r="A375" s="22">
        <v>1000020023</v>
      </c>
      <c r="B375" s="23" t="s">
        <v>2665</v>
      </c>
      <c r="C375" s="24" t="s">
        <v>4</v>
      </c>
      <c r="D375" s="23" t="s">
        <v>2090</v>
      </c>
      <c r="E375" s="23">
        <v>7220.89</v>
      </c>
      <c r="F375" s="23">
        <v>6</v>
      </c>
      <c r="G375" s="23">
        <v>6</v>
      </c>
      <c r="H375" s="23">
        <v>0</v>
      </c>
      <c r="I375" s="23" t="s">
        <v>5</v>
      </c>
      <c r="J375" s="23" t="s">
        <v>327</v>
      </c>
    </row>
    <row r="376" spans="1:10" s="20" customFormat="1" ht="12" x14ac:dyDescent="0.25">
      <c r="A376" s="22">
        <v>1000021305</v>
      </c>
      <c r="B376" s="23" t="s">
        <v>1439</v>
      </c>
      <c r="C376" s="24" t="s">
        <v>4</v>
      </c>
      <c r="D376" s="23" t="s">
        <v>2090</v>
      </c>
      <c r="E376" s="23">
        <v>7200.3375862068897</v>
      </c>
      <c r="F376" s="23">
        <v>7</v>
      </c>
      <c r="G376" s="23">
        <v>7</v>
      </c>
      <c r="H376" s="23">
        <v>0</v>
      </c>
      <c r="I376" s="23" t="s">
        <v>5</v>
      </c>
      <c r="J376" s="23" t="s">
        <v>327</v>
      </c>
    </row>
    <row r="377" spans="1:10" s="20" customFormat="1" ht="12" x14ac:dyDescent="0.25">
      <c r="A377" s="22">
        <v>1000020718</v>
      </c>
      <c r="B377" s="23" t="s">
        <v>927</v>
      </c>
      <c r="C377" s="24" t="s">
        <v>4</v>
      </c>
      <c r="D377" s="23" t="s">
        <v>2090</v>
      </c>
      <c r="E377" s="23">
        <v>7192.1135593220297</v>
      </c>
      <c r="F377" s="23">
        <v>45</v>
      </c>
      <c r="G377" s="23">
        <v>45</v>
      </c>
      <c r="H377" s="23">
        <v>0</v>
      </c>
      <c r="I377" s="23" t="s">
        <v>5</v>
      </c>
      <c r="J377" s="23" t="s">
        <v>327</v>
      </c>
    </row>
    <row r="378" spans="1:10" s="20" customFormat="1" ht="12" x14ac:dyDescent="0.25">
      <c r="A378" s="22">
        <v>1000104155</v>
      </c>
      <c r="B378" s="23" t="s">
        <v>2667</v>
      </c>
      <c r="C378" s="24" t="s">
        <v>4</v>
      </c>
      <c r="D378" s="23" t="s">
        <v>2043</v>
      </c>
      <c r="E378" s="23">
        <v>7181.24</v>
      </c>
      <c r="F378" s="23">
        <v>4</v>
      </c>
      <c r="G378" s="23">
        <v>4</v>
      </c>
      <c r="H378" s="23">
        <v>0</v>
      </c>
      <c r="I378" s="23" t="s">
        <v>5</v>
      </c>
      <c r="J378" s="23" t="s">
        <v>33</v>
      </c>
    </row>
    <row r="379" spans="1:10" s="20" customFormat="1" ht="12" x14ac:dyDescent="0.25">
      <c r="A379" s="22">
        <v>1000020727</v>
      </c>
      <c r="B379" s="23" t="s">
        <v>935</v>
      </c>
      <c r="C379" s="24" t="s">
        <v>4</v>
      </c>
      <c r="D379" s="23" t="s">
        <v>2090</v>
      </c>
      <c r="E379" s="23">
        <v>7116.9279999999999</v>
      </c>
      <c r="F379" s="23">
        <v>4</v>
      </c>
      <c r="G379" s="23">
        <v>4</v>
      </c>
      <c r="H379" s="23">
        <v>0</v>
      </c>
      <c r="I379" s="23" t="s">
        <v>5</v>
      </c>
      <c r="J379" s="23" t="s">
        <v>327</v>
      </c>
    </row>
    <row r="380" spans="1:10" s="20" customFormat="1" ht="12" x14ac:dyDescent="0.25">
      <c r="A380" s="22">
        <v>1000020809</v>
      </c>
      <c r="B380" s="23" t="s">
        <v>1012</v>
      </c>
      <c r="C380" s="24" t="s">
        <v>4</v>
      </c>
      <c r="D380" s="23" t="s">
        <v>2090</v>
      </c>
      <c r="E380" s="23">
        <v>7081.97454545454</v>
      </c>
      <c r="F380" s="23">
        <v>24</v>
      </c>
      <c r="G380" s="23">
        <v>24</v>
      </c>
      <c r="H380" s="23">
        <v>0</v>
      </c>
      <c r="I380" s="23" t="s">
        <v>5</v>
      </c>
      <c r="J380" s="23" t="s">
        <v>327</v>
      </c>
    </row>
    <row r="381" spans="1:10" s="20" customFormat="1" ht="12" x14ac:dyDescent="0.25">
      <c r="A381" s="22">
        <v>1000093947</v>
      </c>
      <c r="B381" s="23" t="s">
        <v>2671</v>
      </c>
      <c r="C381" s="24" t="s">
        <v>4</v>
      </c>
      <c r="D381" s="23" t="s">
        <v>2090</v>
      </c>
      <c r="E381" s="23">
        <v>7073.7533333333304</v>
      </c>
      <c r="F381" s="23">
        <v>2</v>
      </c>
      <c r="G381" s="23">
        <v>2</v>
      </c>
      <c r="H381" s="23">
        <v>0</v>
      </c>
      <c r="I381" s="23" t="s">
        <v>5</v>
      </c>
      <c r="J381" s="23" t="s">
        <v>327</v>
      </c>
    </row>
    <row r="382" spans="1:10" s="20" customFormat="1" ht="12" x14ac:dyDescent="0.25">
      <c r="A382" s="22">
        <v>1000095256</v>
      </c>
      <c r="B382" s="23" t="s">
        <v>2672</v>
      </c>
      <c r="C382" s="24" t="s">
        <v>4</v>
      </c>
      <c r="D382" s="23" t="s">
        <v>2090</v>
      </c>
      <c r="E382" s="23">
        <v>7069.808</v>
      </c>
      <c r="F382" s="23">
        <v>8</v>
      </c>
      <c r="G382" s="23">
        <v>8</v>
      </c>
      <c r="H382" s="23">
        <v>0</v>
      </c>
      <c r="I382" s="23" t="s">
        <v>5</v>
      </c>
      <c r="J382" s="23" t="s">
        <v>327</v>
      </c>
    </row>
    <row r="383" spans="1:10" s="20" customFormat="1" ht="12" x14ac:dyDescent="0.25">
      <c r="A383" s="22">
        <v>1000100384</v>
      </c>
      <c r="B383" s="23" t="s">
        <v>1714</v>
      </c>
      <c r="C383" s="24" t="s">
        <v>4</v>
      </c>
      <c r="D383" s="23" t="s">
        <v>2090</v>
      </c>
      <c r="E383" s="23">
        <v>7050</v>
      </c>
      <c r="F383" s="23">
        <v>5</v>
      </c>
      <c r="G383" s="23">
        <v>5</v>
      </c>
      <c r="H383" s="23">
        <v>0</v>
      </c>
      <c r="I383" s="23" t="s">
        <v>5</v>
      </c>
      <c r="J383" s="23" t="s">
        <v>327</v>
      </c>
    </row>
    <row r="384" spans="1:10" s="20" customFormat="1" ht="12" x14ac:dyDescent="0.25">
      <c r="A384" s="22">
        <v>1000103751</v>
      </c>
      <c r="B384" s="23" t="s">
        <v>2674</v>
      </c>
      <c r="C384" s="24" t="s">
        <v>4</v>
      </c>
      <c r="D384" s="23" t="s">
        <v>2056</v>
      </c>
      <c r="E384" s="23">
        <v>7035.6</v>
      </c>
      <c r="F384" s="23">
        <v>200</v>
      </c>
      <c r="G384" s="23">
        <v>200</v>
      </c>
      <c r="H384" s="23">
        <v>0</v>
      </c>
      <c r="I384" s="23" t="s">
        <v>5</v>
      </c>
      <c r="J384" s="23" t="s">
        <v>1844</v>
      </c>
    </row>
    <row r="385" spans="1:10" s="20" customFormat="1" ht="12" x14ac:dyDescent="0.25">
      <c r="A385" s="22">
        <v>1000095867</v>
      </c>
      <c r="B385" s="23" t="s">
        <v>2676</v>
      </c>
      <c r="C385" s="24" t="s">
        <v>4</v>
      </c>
      <c r="D385" s="23" t="s">
        <v>2677</v>
      </c>
      <c r="E385" s="23">
        <v>6984</v>
      </c>
      <c r="F385" s="23">
        <v>4</v>
      </c>
      <c r="G385" s="23">
        <v>4</v>
      </c>
      <c r="H385" s="23">
        <v>0</v>
      </c>
      <c r="I385" s="23" t="s">
        <v>5</v>
      </c>
      <c r="J385" s="23" t="s">
        <v>1844</v>
      </c>
    </row>
    <row r="386" spans="1:10" s="20" customFormat="1" ht="12" x14ac:dyDescent="0.25">
      <c r="A386" s="22">
        <v>1000107344</v>
      </c>
      <c r="B386" s="23" t="s">
        <v>135</v>
      </c>
      <c r="C386" s="24" t="s">
        <v>4</v>
      </c>
      <c r="D386" s="23" t="s">
        <v>2161</v>
      </c>
      <c r="E386" s="23">
        <v>6983.0922857142796</v>
      </c>
      <c r="F386" s="23">
        <v>9</v>
      </c>
      <c r="G386" s="23">
        <v>9</v>
      </c>
      <c r="H386" s="23">
        <v>0</v>
      </c>
      <c r="I386" s="23" t="s">
        <v>5</v>
      </c>
      <c r="J386" s="23" t="s">
        <v>111</v>
      </c>
    </row>
    <row r="387" spans="1:10" s="20" customFormat="1" ht="12" x14ac:dyDescent="0.25">
      <c r="A387" s="22">
        <v>2200000278</v>
      </c>
      <c r="B387" s="23" t="s">
        <v>2678</v>
      </c>
      <c r="C387" s="24" t="s">
        <v>2037</v>
      </c>
      <c r="D387" s="23" t="s">
        <v>2038</v>
      </c>
      <c r="E387" s="23">
        <v>6953.68</v>
      </c>
      <c r="F387" s="23">
        <v>1</v>
      </c>
      <c r="G387" s="23">
        <v>1</v>
      </c>
      <c r="H387" s="23">
        <v>0</v>
      </c>
      <c r="I387" s="23" t="s">
        <v>5</v>
      </c>
      <c r="J387" s="23" t="s">
        <v>146</v>
      </c>
    </row>
    <row r="388" spans="1:10" s="20" customFormat="1" ht="12" x14ac:dyDescent="0.25">
      <c r="A388" s="22">
        <v>1000100351</v>
      </c>
      <c r="B388" s="23" t="s">
        <v>2679</v>
      </c>
      <c r="C388" s="24" t="s">
        <v>4</v>
      </c>
      <c r="D388" s="23" t="s">
        <v>2090</v>
      </c>
      <c r="E388" s="23">
        <v>6939.2864099999997</v>
      </c>
      <c r="F388" s="23">
        <v>7</v>
      </c>
      <c r="G388" s="23">
        <v>7</v>
      </c>
      <c r="H388" s="23">
        <v>0</v>
      </c>
      <c r="I388" s="23" t="s">
        <v>5</v>
      </c>
      <c r="J388" s="23" t="s">
        <v>327</v>
      </c>
    </row>
    <row r="389" spans="1:10" s="20" customFormat="1" ht="12" x14ac:dyDescent="0.25">
      <c r="A389" s="22">
        <v>1000106111</v>
      </c>
      <c r="B389" s="23" t="s">
        <v>2681</v>
      </c>
      <c r="C389" s="24" t="s">
        <v>4</v>
      </c>
      <c r="D389" s="23" t="s">
        <v>2161</v>
      </c>
      <c r="E389" s="23">
        <v>6918.78</v>
      </c>
      <c r="F389" s="23">
        <v>5</v>
      </c>
      <c r="G389" s="23">
        <v>5</v>
      </c>
      <c r="H389" s="23">
        <v>0</v>
      </c>
      <c r="I389" s="23" t="s">
        <v>5</v>
      </c>
      <c r="J389" s="23" t="s">
        <v>111</v>
      </c>
    </row>
    <row r="390" spans="1:10" s="20" customFormat="1" ht="12" x14ac:dyDescent="0.25">
      <c r="A390" s="22">
        <v>1000021249</v>
      </c>
      <c r="B390" s="23" t="s">
        <v>1394</v>
      </c>
      <c r="C390" s="24" t="s">
        <v>4</v>
      </c>
      <c r="D390" s="23" t="s">
        <v>2090</v>
      </c>
      <c r="E390" s="23">
        <v>6908.2421666666596</v>
      </c>
      <c r="F390" s="23">
        <v>13</v>
      </c>
      <c r="G390" s="23">
        <v>13</v>
      </c>
      <c r="H390" s="23">
        <v>0</v>
      </c>
      <c r="I390" s="23" t="s">
        <v>5</v>
      </c>
      <c r="J390" s="23" t="s">
        <v>327</v>
      </c>
    </row>
    <row r="391" spans="1:10" s="20" customFormat="1" ht="12" x14ac:dyDescent="0.25">
      <c r="A391" s="22">
        <v>1000095835</v>
      </c>
      <c r="B391" s="23" t="s">
        <v>2682</v>
      </c>
      <c r="C391" s="24" t="s">
        <v>4</v>
      </c>
      <c r="D391" s="23" t="s">
        <v>2056</v>
      </c>
      <c r="E391" s="23">
        <v>6887.5619999999999</v>
      </c>
      <c r="F391" s="23">
        <v>121</v>
      </c>
      <c r="G391" s="23">
        <v>121</v>
      </c>
      <c r="H391" s="23">
        <v>0</v>
      </c>
      <c r="I391" s="23" t="s">
        <v>5</v>
      </c>
      <c r="J391" s="23" t="s">
        <v>1844</v>
      </c>
    </row>
    <row r="392" spans="1:10" s="20" customFormat="1" ht="12" x14ac:dyDescent="0.25">
      <c r="A392" s="22">
        <v>1000010239</v>
      </c>
      <c r="B392" s="23" t="s">
        <v>2683</v>
      </c>
      <c r="C392" s="24" t="s">
        <v>4</v>
      </c>
      <c r="D392" s="23" t="s">
        <v>2230</v>
      </c>
      <c r="E392" s="23">
        <v>6887.49</v>
      </c>
      <c r="F392" s="23">
        <v>7</v>
      </c>
      <c r="G392" s="23">
        <v>7</v>
      </c>
      <c r="H392" s="23">
        <v>0</v>
      </c>
      <c r="I392" s="23" t="s">
        <v>5</v>
      </c>
      <c r="J392" s="23" t="s">
        <v>111</v>
      </c>
    </row>
    <row r="393" spans="1:10" s="20" customFormat="1" ht="12" x14ac:dyDescent="0.25">
      <c r="A393" s="22">
        <v>1000020866</v>
      </c>
      <c r="B393" s="23" t="s">
        <v>1054</v>
      </c>
      <c r="C393" s="24" t="s">
        <v>4</v>
      </c>
      <c r="D393" s="23" t="s">
        <v>2218</v>
      </c>
      <c r="E393" s="23">
        <v>6837.0041379310296</v>
      </c>
      <c r="F393" s="23">
        <v>9</v>
      </c>
      <c r="G393" s="23">
        <v>9</v>
      </c>
      <c r="H393" s="23">
        <v>0</v>
      </c>
      <c r="I393" s="23" t="s">
        <v>5</v>
      </c>
      <c r="J393" s="23" t="s">
        <v>327</v>
      </c>
    </row>
    <row r="394" spans="1:10" s="20" customFormat="1" ht="12" x14ac:dyDescent="0.25">
      <c r="A394" s="22">
        <v>1000020129</v>
      </c>
      <c r="B394" s="23" t="s">
        <v>384</v>
      </c>
      <c r="C394" s="24" t="s">
        <v>4</v>
      </c>
      <c r="D394" s="23" t="s">
        <v>2090</v>
      </c>
      <c r="E394" s="23">
        <v>6790.28</v>
      </c>
      <c r="F394" s="23">
        <v>7</v>
      </c>
      <c r="G394" s="23">
        <v>7</v>
      </c>
      <c r="H394" s="23">
        <v>0</v>
      </c>
      <c r="I394" s="23" t="s">
        <v>5</v>
      </c>
      <c r="J394" s="23" t="s">
        <v>327</v>
      </c>
    </row>
    <row r="395" spans="1:10" s="20" customFormat="1" ht="12" x14ac:dyDescent="0.25">
      <c r="A395" s="22">
        <v>1000102239</v>
      </c>
      <c r="B395" s="23" t="s">
        <v>1791</v>
      </c>
      <c r="C395" s="24" t="s">
        <v>4</v>
      </c>
      <c r="D395" s="23" t="s">
        <v>2090</v>
      </c>
      <c r="E395" s="23">
        <v>6777.34</v>
      </c>
      <c r="F395" s="23">
        <v>3</v>
      </c>
      <c r="G395" s="23">
        <v>3</v>
      </c>
      <c r="H395" s="23">
        <v>0</v>
      </c>
      <c r="I395" s="23" t="s">
        <v>5</v>
      </c>
      <c r="J395" s="23" t="s">
        <v>327</v>
      </c>
    </row>
    <row r="396" spans="1:10" s="20" customFormat="1" ht="12" x14ac:dyDescent="0.25">
      <c r="A396" s="22">
        <v>1000098618</v>
      </c>
      <c r="B396" s="23" t="s">
        <v>2687</v>
      </c>
      <c r="C396" s="24" t="s">
        <v>4</v>
      </c>
      <c r="D396" s="23" t="s">
        <v>2161</v>
      </c>
      <c r="E396" s="23">
        <v>6774.16217902892</v>
      </c>
      <c r="F396" s="23">
        <v>9</v>
      </c>
      <c r="G396" s="23">
        <v>9</v>
      </c>
      <c r="H396" s="23">
        <v>0</v>
      </c>
      <c r="I396" s="23" t="s">
        <v>5</v>
      </c>
      <c r="J396" s="23" t="s">
        <v>111</v>
      </c>
    </row>
    <row r="397" spans="1:10" s="20" customFormat="1" ht="12" x14ac:dyDescent="0.25">
      <c r="A397" s="22">
        <v>1000020084</v>
      </c>
      <c r="B397" s="23" t="s">
        <v>343</v>
      </c>
      <c r="C397" s="24" t="s">
        <v>4</v>
      </c>
      <c r="D397" s="23" t="s">
        <v>2090</v>
      </c>
      <c r="E397" s="23">
        <v>6769.9706360823402</v>
      </c>
      <c r="F397" s="23">
        <v>50</v>
      </c>
      <c r="G397" s="23">
        <v>50</v>
      </c>
      <c r="H397" s="23">
        <v>0</v>
      </c>
      <c r="I397" s="23" t="s">
        <v>14</v>
      </c>
      <c r="J397" s="23" t="s">
        <v>327</v>
      </c>
    </row>
    <row r="398" spans="1:10" s="20" customFormat="1" ht="12" x14ac:dyDescent="0.25">
      <c r="A398" s="22">
        <v>1000100307</v>
      </c>
      <c r="B398" s="23" t="s">
        <v>1695</v>
      </c>
      <c r="C398" s="24" t="s">
        <v>4</v>
      </c>
      <c r="D398" s="23" t="s">
        <v>2090</v>
      </c>
      <c r="E398" s="23">
        <v>6766.9475000000002</v>
      </c>
      <c r="F398" s="23">
        <v>4</v>
      </c>
      <c r="G398" s="23">
        <v>4</v>
      </c>
      <c r="H398" s="23">
        <v>0</v>
      </c>
      <c r="I398" s="23" t="s">
        <v>5</v>
      </c>
      <c r="J398" s="23" t="s">
        <v>327</v>
      </c>
    </row>
    <row r="399" spans="1:10" s="20" customFormat="1" ht="12" x14ac:dyDescent="0.25">
      <c r="A399" s="22">
        <v>1000097812</v>
      </c>
      <c r="B399" s="23" t="s">
        <v>2688</v>
      </c>
      <c r="C399" s="24" t="s">
        <v>4</v>
      </c>
      <c r="D399" s="23" t="s">
        <v>2161</v>
      </c>
      <c r="E399" s="23">
        <v>6755.9691666666604</v>
      </c>
      <c r="F399" s="23">
        <v>3</v>
      </c>
      <c r="G399" s="23">
        <v>3</v>
      </c>
      <c r="H399" s="23">
        <v>0</v>
      </c>
      <c r="I399" s="23" t="s">
        <v>5</v>
      </c>
      <c r="J399" s="23" t="s">
        <v>111</v>
      </c>
    </row>
    <row r="400" spans="1:10" s="20" customFormat="1" ht="12" x14ac:dyDescent="0.25">
      <c r="A400" s="22">
        <v>1000017188</v>
      </c>
      <c r="B400" s="23" t="s">
        <v>2689</v>
      </c>
      <c r="C400" s="24" t="s">
        <v>4</v>
      </c>
      <c r="D400" s="23" t="s">
        <v>2056</v>
      </c>
      <c r="E400" s="23">
        <v>6754.1039087991303</v>
      </c>
      <c r="F400" s="23">
        <v>3444</v>
      </c>
      <c r="G400" s="23">
        <v>3444</v>
      </c>
      <c r="H400" s="23">
        <v>0</v>
      </c>
      <c r="I400" s="23" t="s">
        <v>5</v>
      </c>
      <c r="J400" s="23" t="s">
        <v>1844</v>
      </c>
    </row>
    <row r="401" spans="1:10" s="20" customFormat="1" ht="12" x14ac:dyDescent="0.25">
      <c r="A401" s="22">
        <v>1000100342</v>
      </c>
      <c r="B401" s="23" t="s">
        <v>2692</v>
      </c>
      <c r="C401" s="24" t="s">
        <v>4</v>
      </c>
      <c r="D401" s="23" t="s">
        <v>2090</v>
      </c>
      <c r="E401" s="23">
        <v>6682.5424999999996</v>
      </c>
      <c r="F401" s="23">
        <v>25</v>
      </c>
      <c r="G401" s="23">
        <v>25</v>
      </c>
      <c r="H401" s="23">
        <v>0</v>
      </c>
      <c r="I401" s="23" t="s">
        <v>5</v>
      </c>
      <c r="J401" s="23" t="s">
        <v>327</v>
      </c>
    </row>
    <row r="402" spans="1:10" s="20" customFormat="1" ht="12" x14ac:dyDescent="0.25">
      <c r="A402" s="22">
        <v>1000095508</v>
      </c>
      <c r="B402" s="23" t="s">
        <v>2693</v>
      </c>
      <c r="C402" s="24" t="s">
        <v>4</v>
      </c>
      <c r="D402" s="23" t="s">
        <v>2056</v>
      </c>
      <c r="E402" s="23">
        <v>6652.49981818181</v>
      </c>
      <c r="F402" s="23">
        <v>10</v>
      </c>
      <c r="G402" s="23">
        <v>10</v>
      </c>
      <c r="H402" s="23">
        <v>0</v>
      </c>
      <c r="I402" s="23" t="s">
        <v>5</v>
      </c>
      <c r="J402" s="23" t="s">
        <v>1844</v>
      </c>
    </row>
    <row r="403" spans="1:10" s="20" customFormat="1" ht="12" x14ac:dyDescent="0.25">
      <c r="A403" s="22">
        <v>1000021133</v>
      </c>
      <c r="B403" s="23" t="s">
        <v>1287</v>
      </c>
      <c r="C403" s="24" t="s">
        <v>4</v>
      </c>
      <c r="D403" s="23" t="s">
        <v>2090</v>
      </c>
      <c r="E403" s="23">
        <v>6652.4</v>
      </c>
      <c r="F403" s="23">
        <v>14</v>
      </c>
      <c r="G403" s="23">
        <v>14</v>
      </c>
      <c r="H403" s="23">
        <v>0</v>
      </c>
      <c r="I403" s="23" t="s">
        <v>5</v>
      </c>
      <c r="J403" s="23" t="s">
        <v>327</v>
      </c>
    </row>
    <row r="404" spans="1:10" s="20" customFormat="1" ht="12" x14ac:dyDescent="0.25">
      <c r="A404" s="22">
        <v>1000021138</v>
      </c>
      <c r="B404" s="23" t="s">
        <v>1290</v>
      </c>
      <c r="C404" s="24" t="s">
        <v>4</v>
      </c>
      <c r="D404" s="23" t="s">
        <v>2090</v>
      </c>
      <c r="E404" s="23">
        <v>6632.0022222222196</v>
      </c>
      <c r="F404" s="23">
        <v>7</v>
      </c>
      <c r="G404" s="23">
        <v>7</v>
      </c>
      <c r="H404" s="23">
        <v>0</v>
      </c>
      <c r="I404" s="23" t="s">
        <v>5</v>
      </c>
      <c r="J404" s="23" t="s">
        <v>327</v>
      </c>
    </row>
    <row r="405" spans="1:10" s="20" customFormat="1" ht="12" x14ac:dyDescent="0.25">
      <c r="A405" s="22">
        <v>1000098195</v>
      </c>
      <c r="B405" s="23" t="s">
        <v>2694</v>
      </c>
      <c r="C405" s="24" t="s">
        <v>4</v>
      </c>
      <c r="D405" s="23" t="s">
        <v>2161</v>
      </c>
      <c r="E405" s="23">
        <v>6626.97</v>
      </c>
      <c r="F405" s="23">
        <v>5</v>
      </c>
      <c r="G405" s="23">
        <v>5</v>
      </c>
      <c r="H405" s="23">
        <v>0</v>
      </c>
      <c r="I405" s="23" t="s">
        <v>5</v>
      </c>
      <c r="J405" s="23" t="s">
        <v>111</v>
      </c>
    </row>
    <row r="406" spans="1:10" s="20" customFormat="1" ht="12" x14ac:dyDescent="0.25">
      <c r="A406" s="22">
        <v>2500001368</v>
      </c>
      <c r="B406" s="23" t="s">
        <v>2698</v>
      </c>
      <c r="C406" s="24" t="s">
        <v>1996</v>
      </c>
      <c r="D406" s="23" t="s">
        <v>2025</v>
      </c>
      <c r="E406" s="23">
        <v>6562.04</v>
      </c>
      <c r="F406" s="23">
        <v>2</v>
      </c>
      <c r="G406" s="23">
        <v>2</v>
      </c>
      <c r="H406" s="23">
        <v>0</v>
      </c>
      <c r="I406" s="23" t="s">
        <v>5</v>
      </c>
      <c r="J406" s="23" t="s">
        <v>1993</v>
      </c>
    </row>
    <row r="407" spans="1:10" s="20" customFormat="1" ht="12" x14ac:dyDescent="0.25">
      <c r="A407" s="22">
        <v>2500008251</v>
      </c>
      <c r="B407" s="23" t="s">
        <v>2699</v>
      </c>
      <c r="C407" s="24" t="s">
        <v>1996</v>
      </c>
      <c r="D407" s="23" t="s">
        <v>2025</v>
      </c>
      <c r="E407" s="23">
        <v>6559.1338253985195</v>
      </c>
      <c r="F407" s="23">
        <v>18</v>
      </c>
      <c r="G407" s="23">
        <v>18</v>
      </c>
      <c r="H407" s="23">
        <v>0</v>
      </c>
      <c r="I407" s="23" t="s">
        <v>5</v>
      </c>
      <c r="J407" s="23" t="s">
        <v>1993</v>
      </c>
    </row>
    <row r="408" spans="1:10" s="20" customFormat="1" ht="12" x14ac:dyDescent="0.25">
      <c r="A408" s="22">
        <v>1000020533</v>
      </c>
      <c r="B408" s="23" t="s">
        <v>754</v>
      </c>
      <c r="C408" s="24" t="s">
        <v>4</v>
      </c>
      <c r="D408" s="23" t="s">
        <v>2218</v>
      </c>
      <c r="E408" s="23">
        <v>6556.15025441949</v>
      </c>
      <c r="F408" s="23">
        <v>37</v>
      </c>
      <c r="G408" s="23">
        <v>37</v>
      </c>
      <c r="H408" s="23">
        <v>0</v>
      </c>
      <c r="I408" s="23" t="s">
        <v>5</v>
      </c>
      <c r="J408" s="23" t="s">
        <v>327</v>
      </c>
    </row>
    <row r="409" spans="1:10" s="20" customFormat="1" ht="12" x14ac:dyDescent="0.25">
      <c r="A409" s="22">
        <v>1000103043</v>
      </c>
      <c r="B409" s="23" t="s">
        <v>2700</v>
      </c>
      <c r="C409" s="24" t="s">
        <v>4</v>
      </c>
      <c r="D409" s="23" t="s">
        <v>2090</v>
      </c>
      <c r="E409" s="23">
        <v>6534.35</v>
      </c>
      <c r="F409" s="23">
        <v>5</v>
      </c>
      <c r="G409" s="23">
        <v>5</v>
      </c>
      <c r="H409" s="23">
        <v>0</v>
      </c>
      <c r="I409" s="23" t="s">
        <v>5</v>
      </c>
      <c r="J409" s="23" t="s">
        <v>327</v>
      </c>
    </row>
    <row r="410" spans="1:10" s="20" customFormat="1" ht="12" x14ac:dyDescent="0.25">
      <c r="A410" s="22">
        <v>1000020513</v>
      </c>
      <c r="B410" s="23" t="s">
        <v>735</v>
      </c>
      <c r="C410" s="24" t="s">
        <v>4</v>
      </c>
      <c r="D410" s="23" t="s">
        <v>2090</v>
      </c>
      <c r="E410" s="23">
        <v>6453.9340196078401</v>
      </c>
      <c r="F410" s="23">
        <v>47</v>
      </c>
      <c r="G410" s="23">
        <v>47</v>
      </c>
      <c r="H410" s="23">
        <v>0</v>
      </c>
      <c r="I410" s="23" t="s">
        <v>5</v>
      </c>
      <c r="J410" s="23" t="s">
        <v>327</v>
      </c>
    </row>
    <row r="411" spans="1:10" s="20" customFormat="1" ht="12" x14ac:dyDescent="0.25">
      <c r="A411" s="22">
        <v>1000096267</v>
      </c>
      <c r="B411" s="23" t="s">
        <v>2705</v>
      </c>
      <c r="C411" s="24" t="s">
        <v>4</v>
      </c>
      <c r="D411" s="23" t="s">
        <v>2056</v>
      </c>
      <c r="E411" s="23">
        <v>6436.7532000000001</v>
      </c>
      <c r="F411" s="23">
        <v>372</v>
      </c>
      <c r="G411" s="23">
        <v>372</v>
      </c>
      <c r="H411" s="23">
        <v>0</v>
      </c>
      <c r="I411" s="23" t="s">
        <v>5</v>
      </c>
      <c r="J411" s="23" t="s">
        <v>1844</v>
      </c>
    </row>
    <row r="412" spans="1:10" s="20" customFormat="1" ht="12" x14ac:dyDescent="0.25">
      <c r="A412" s="22">
        <v>2700000093</v>
      </c>
      <c r="B412" s="23" t="s">
        <v>252</v>
      </c>
      <c r="C412" s="24" t="s">
        <v>2037</v>
      </c>
      <c r="D412" s="23" t="s">
        <v>2038</v>
      </c>
      <c r="E412" s="23">
        <v>6416.6777777777697</v>
      </c>
      <c r="F412" s="23">
        <v>5</v>
      </c>
      <c r="G412" s="23">
        <v>5</v>
      </c>
      <c r="H412" s="23">
        <v>0</v>
      </c>
      <c r="I412" s="23" t="s">
        <v>5</v>
      </c>
      <c r="J412" s="23" t="s">
        <v>146</v>
      </c>
    </row>
    <row r="413" spans="1:10" s="20" customFormat="1" ht="12" x14ac:dyDescent="0.25">
      <c r="A413" s="22">
        <v>1000105023</v>
      </c>
      <c r="B413" s="23" t="s">
        <v>2706</v>
      </c>
      <c r="C413" s="24" t="s">
        <v>4</v>
      </c>
      <c r="D413" s="23" t="s">
        <v>2161</v>
      </c>
      <c r="E413" s="23">
        <v>6406.51</v>
      </c>
      <c r="F413" s="23">
        <v>12</v>
      </c>
      <c r="G413" s="23">
        <v>12</v>
      </c>
      <c r="H413" s="23">
        <v>0</v>
      </c>
      <c r="I413" s="23" t="s">
        <v>5</v>
      </c>
      <c r="J413" s="23" t="s">
        <v>111</v>
      </c>
    </row>
    <row r="414" spans="1:10" s="20" customFormat="1" ht="12" x14ac:dyDescent="0.25">
      <c r="A414" s="22">
        <v>2100006129</v>
      </c>
      <c r="B414" s="23" t="s">
        <v>2711</v>
      </c>
      <c r="C414" s="24" t="s">
        <v>2037</v>
      </c>
      <c r="D414" s="23" t="s">
        <v>2031</v>
      </c>
      <c r="E414" s="23">
        <v>6391.32</v>
      </c>
      <c r="F414" s="23">
        <v>2</v>
      </c>
      <c r="G414" s="23">
        <v>2</v>
      </c>
      <c r="H414" s="23">
        <v>0</v>
      </c>
      <c r="I414" s="23" t="s">
        <v>5</v>
      </c>
      <c r="J414" s="23" t="s">
        <v>138</v>
      </c>
    </row>
    <row r="415" spans="1:10" s="20" customFormat="1" ht="12" x14ac:dyDescent="0.25">
      <c r="A415" s="22">
        <v>1000098726</v>
      </c>
      <c r="B415" s="23" t="s">
        <v>1669</v>
      </c>
      <c r="C415" s="24" t="s">
        <v>4</v>
      </c>
      <c r="D415" s="23" t="s">
        <v>2090</v>
      </c>
      <c r="E415" s="23">
        <v>6381.9347142857096</v>
      </c>
      <c r="F415" s="23">
        <v>18</v>
      </c>
      <c r="G415" s="23">
        <v>18</v>
      </c>
      <c r="H415" s="23">
        <v>0</v>
      </c>
      <c r="I415" s="23" t="s">
        <v>5</v>
      </c>
      <c r="J415" s="23" t="s">
        <v>327</v>
      </c>
    </row>
    <row r="416" spans="1:10" s="20" customFormat="1" ht="12" x14ac:dyDescent="0.25">
      <c r="A416" s="22">
        <v>1000103750</v>
      </c>
      <c r="B416" s="23" t="s">
        <v>2714</v>
      </c>
      <c r="C416" s="24" t="s">
        <v>4</v>
      </c>
      <c r="D416" s="23" t="s">
        <v>2056</v>
      </c>
      <c r="E416" s="23">
        <v>6336.3824999999997</v>
      </c>
      <c r="F416" s="23">
        <v>30</v>
      </c>
      <c r="G416" s="23">
        <v>30</v>
      </c>
      <c r="H416" s="23">
        <v>0</v>
      </c>
      <c r="I416" s="23" t="s">
        <v>5</v>
      </c>
      <c r="J416" s="23" t="s">
        <v>1844</v>
      </c>
    </row>
    <row r="417" spans="1:10" s="20" customFormat="1" ht="12" x14ac:dyDescent="0.25">
      <c r="A417" s="22">
        <v>1000106118</v>
      </c>
      <c r="B417" s="23" t="s">
        <v>2715</v>
      </c>
      <c r="C417" s="24" t="s">
        <v>4</v>
      </c>
      <c r="D417" s="23" t="s">
        <v>2161</v>
      </c>
      <c r="E417" s="23">
        <v>6326.99</v>
      </c>
      <c r="F417" s="23">
        <v>5</v>
      </c>
      <c r="G417" s="23">
        <v>5</v>
      </c>
      <c r="H417" s="23">
        <v>0</v>
      </c>
      <c r="I417" s="23" t="s">
        <v>5</v>
      </c>
      <c r="J417" s="23" t="s">
        <v>111</v>
      </c>
    </row>
    <row r="418" spans="1:10" s="20" customFormat="1" ht="12" x14ac:dyDescent="0.25">
      <c r="A418" s="22">
        <v>2100006169</v>
      </c>
      <c r="B418" s="23" t="s">
        <v>2716</v>
      </c>
      <c r="C418" s="24" t="s">
        <v>2030</v>
      </c>
      <c r="D418" s="23" t="s">
        <v>2075</v>
      </c>
      <c r="E418" s="23">
        <v>6284.24</v>
      </c>
      <c r="F418" s="23">
        <v>6</v>
      </c>
      <c r="G418" s="23">
        <v>6</v>
      </c>
      <c r="H418" s="23">
        <v>0</v>
      </c>
      <c r="I418" s="23" t="s">
        <v>5</v>
      </c>
      <c r="J418" s="23" t="s">
        <v>138</v>
      </c>
    </row>
    <row r="419" spans="1:10" s="20" customFormat="1" ht="12" x14ac:dyDescent="0.25">
      <c r="A419" s="22">
        <v>1000103692</v>
      </c>
      <c r="B419" s="23" t="s">
        <v>2717</v>
      </c>
      <c r="C419" s="24" t="s">
        <v>4</v>
      </c>
      <c r="D419" s="23" t="s">
        <v>2161</v>
      </c>
      <c r="E419" s="23">
        <v>6273</v>
      </c>
      <c r="F419" s="23">
        <v>10</v>
      </c>
      <c r="G419" s="23">
        <v>10</v>
      </c>
      <c r="H419" s="23">
        <v>0</v>
      </c>
      <c r="I419" s="23" t="s">
        <v>5</v>
      </c>
      <c r="J419" s="23" t="s">
        <v>111</v>
      </c>
    </row>
    <row r="420" spans="1:10" s="20" customFormat="1" ht="12" x14ac:dyDescent="0.25">
      <c r="A420" s="22">
        <v>2500006879</v>
      </c>
      <c r="B420" s="23" t="s">
        <v>2718</v>
      </c>
      <c r="C420" s="24" t="s">
        <v>1996</v>
      </c>
      <c r="D420" s="23" t="s">
        <v>2025</v>
      </c>
      <c r="E420" s="23">
        <v>6244.9817263051</v>
      </c>
      <c r="F420" s="23">
        <v>15</v>
      </c>
      <c r="G420" s="23">
        <v>15</v>
      </c>
      <c r="H420" s="23">
        <v>0</v>
      </c>
      <c r="I420" s="23" t="s">
        <v>5</v>
      </c>
      <c r="J420" s="23" t="s">
        <v>1993</v>
      </c>
    </row>
    <row r="421" spans="1:10" s="20" customFormat="1" ht="12" x14ac:dyDescent="0.25">
      <c r="A421" s="22">
        <v>1000020701</v>
      </c>
      <c r="B421" s="23" t="s">
        <v>911</v>
      </c>
      <c r="C421" s="24" t="s">
        <v>4</v>
      </c>
      <c r="D421" s="23" t="s">
        <v>2218</v>
      </c>
      <c r="E421" s="23">
        <v>6238.958984375</v>
      </c>
      <c r="F421" s="23">
        <v>65</v>
      </c>
      <c r="G421" s="23">
        <v>65</v>
      </c>
      <c r="H421" s="23">
        <v>0</v>
      </c>
      <c r="I421" s="23" t="s">
        <v>5</v>
      </c>
      <c r="J421" s="23" t="s">
        <v>327</v>
      </c>
    </row>
    <row r="422" spans="1:10" s="20" customFormat="1" ht="12" x14ac:dyDescent="0.25">
      <c r="A422" s="22">
        <v>1000092074</v>
      </c>
      <c r="B422" s="23" t="s">
        <v>2720</v>
      </c>
      <c r="C422" s="24" t="s">
        <v>2109</v>
      </c>
      <c r="D422" s="23" t="s">
        <v>2035</v>
      </c>
      <c r="E422" s="23">
        <v>6170.2124999999996</v>
      </c>
      <c r="F422" s="23">
        <v>5</v>
      </c>
      <c r="G422" s="23">
        <v>5</v>
      </c>
      <c r="H422" s="23">
        <v>0</v>
      </c>
      <c r="I422" s="23" t="s">
        <v>5</v>
      </c>
      <c r="J422" s="23" t="s">
        <v>6</v>
      </c>
    </row>
    <row r="423" spans="1:10" s="20" customFormat="1" ht="12" x14ac:dyDescent="0.25">
      <c r="A423" s="22">
        <v>1000099265</v>
      </c>
      <c r="B423" s="23" t="s">
        <v>2721</v>
      </c>
      <c r="C423" s="24" t="s">
        <v>4</v>
      </c>
      <c r="D423" s="23" t="s">
        <v>2090</v>
      </c>
      <c r="E423" s="23">
        <v>6162.2882440476096</v>
      </c>
      <c r="F423" s="23">
        <v>6</v>
      </c>
      <c r="G423" s="23">
        <v>6</v>
      </c>
      <c r="H423" s="23">
        <v>0</v>
      </c>
      <c r="I423" s="23" t="s">
        <v>5</v>
      </c>
      <c r="J423" s="23" t="s">
        <v>327</v>
      </c>
    </row>
    <row r="424" spans="1:10" s="20" customFormat="1" ht="12" x14ac:dyDescent="0.25">
      <c r="A424" s="22">
        <v>1000106804</v>
      </c>
      <c r="B424" s="23" t="s">
        <v>1833</v>
      </c>
      <c r="C424" s="24" t="s">
        <v>4</v>
      </c>
      <c r="D424" s="23" t="s">
        <v>2090</v>
      </c>
      <c r="E424" s="23">
        <v>6150.52</v>
      </c>
      <c r="F424" s="23">
        <v>2</v>
      </c>
      <c r="G424" s="23">
        <v>2</v>
      </c>
      <c r="H424" s="23">
        <v>0</v>
      </c>
      <c r="I424" s="23" t="s">
        <v>5</v>
      </c>
      <c r="J424" s="23" t="s">
        <v>327</v>
      </c>
    </row>
    <row r="425" spans="1:10" s="20" customFormat="1" ht="12" x14ac:dyDescent="0.25">
      <c r="A425" s="22">
        <v>1000100374</v>
      </c>
      <c r="B425" s="23" t="s">
        <v>2722</v>
      </c>
      <c r="C425" s="24" t="s">
        <v>4</v>
      </c>
      <c r="D425" s="23" t="s">
        <v>2090</v>
      </c>
      <c r="E425" s="23">
        <v>6116.17</v>
      </c>
      <c r="F425" s="23">
        <v>5</v>
      </c>
      <c r="G425" s="23">
        <v>5</v>
      </c>
      <c r="H425" s="23">
        <v>0</v>
      </c>
      <c r="I425" s="23" t="s">
        <v>5</v>
      </c>
      <c r="J425" s="23" t="s">
        <v>327</v>
      </c>
    </row>
    <row r="426" spans="1:10" s="20" customFormat="1" ht="12" x14ac:dyDescent="0.25">
      <c r="A426" s="22">
        <v>1000106120</v>
      </c>
      <c r="B426" s="23" t="s">
        <v>2723</v>
      </c>
      <c r="C426" s="24" t="s">
        <v>4</v>
      </c>
      <c r="D426" s="23" t="s">
        <v>2161</v>
      </c>
      <c r="E426" s="23">
        <v>6113.26</v>
      </c>
      <c r="F426" s="23">
        <v>10</v>
      </c>
      <c r="G426" s="23">
        <v>10</v>
      </c>
      <c r="H426" s="23">
        <v>0</v>
      </c>
      <c r="I426" s="23" t="s">
        <v>5</v>
      </c>
      <c r="J426" s="23" t="s">
        <v>111</v>
      </c>
    </row>
    <row r="427" spans="1:10" s="20" customFormat="1" ht="12" x14ac:dyDescent="0.25">
      <c r="A427" s="22">
        <v>1000106534</v>
      </c>
      <c r="B427" s="23" t="s">
        <v>2725</v>
      </c>
      <c r="C427" s="24" t="s">
        <v>4</v>
      </c>
      <c r="D427" s="23" t="s">
        <v>2056</v>
      </c>
      <c r="E427" s="23">
        <v>6098.4</v>
      </c>
      <c r="F427" s="23">
        <v>300</v>
      </c>
      <c r="G427" s="23">
        <v>300</v>
      </c>
      <c r="H427" s="23">
        <v>0</v>
      </c>
      <c r="I427" s="23" t="s">
        <v>5</v>
      </c>
      <c r="J427" s="23" t="s">
        <v>1844</v>
      </c>
    </row>
    <row r="428" spans="1:10" s="20" customFormat="1" ht="12" x14ac:dyDescent="0.25">
      <c r="A428" s="22">
        <v>2500004247</v>
      </c>
      <c r="B428" s="23" t="s">
        <v>2726</v>
      </c>
      <c r="C428" s="24" t="s">
        <v>1996</v>
      </c>
      <c r="D428" s="23" t="s">
        <v>2025</v>
      </c>
      <c r="E428" s="23">
        <v>6075.6483333333299</v>
      </c>
      <c r="F428" s="23">
        <v>2</v>
      </c>
      <c r="G428" s="23">
        <v>2</v>
      </c>
      <c r="H428" s="23">
        <v>0</v>
      </c>
      <c r="I428" s="23" t="s">
        <v>5</v>
      </c>
      <c r="J428" s="23" t="s">
        <v>1993</v>
      </c>
    </row>
    <row r="429" spans="1:10" s="20" customFormat="1" ht="12" x14ac:dyDescent="0.25">
      <c r="A429" s="22">
        <v>2500008360</v>
      </c>
      <c r="B429" s="23" t="s">
        <v>1933</v>
      </c>
      <c r="C429" s="24" t="s">
        <v>1996</v>
      </c>
      <c r="D429" s="23" t="s">
        <v>2025</v>
      </c>
      <c r="E429" s="23">
        <v>6056.5734285714198</v>
      </c>
      <c r="F429" s="23">
        <v>7</v>
      </c>
      <c r="G429" s="23">
        <v>7</v>
      </c>
      <c r="H429" s="23">
        <v>0</v>
      </c>
      <c r="I429" s="23" t="s">
        <v>5</v>
      </c>
      <c r="J429" s="23" t="s">
        <v>1993</v>
      </c>
    </row>
    <row r="430" spans="1:10" s="20" customFormat="1" ht="12" x14ac:dyDescent="0.25">
      <c r="A430" s="22">
        <v>1000021265</v>
      </c>
      <c r="B430" s="23" t="s">
        <v>1408</v>
      </c>
      <c r="C430" s="24" t="s">
        <v>4</v>
      </c>
      <c r="D430" s="23" t="s">
        <v>2090</v>
      </c>
      <c r="E430" s="23">
        <v>6036.25</v>
      </c>
      <c r="F430" s="23">
        <v>5</v>
      </c>
      <c r="G430" s="23">
        <v>5</v>
      </c>
      <c r="H430" s="23">
        <v>0</v>
      </c>
      <c r="I430" s="23" t="s">
        <v>5</v>
      </c>
      <c r="J430" s="23" t="s">
        <v>327</v>
      </c>
    </row>
    <row r="431" spans="1:10" s="20" customFormat="1" ht="12" x14ac:dyDescent="0.25">
      <c r="A431" s="22">
        <v>1000095722</v>
      </c>
      <c r="B431" s="23" t="s">
        <v>2730</v>
      </c>
      <c r="C431" s="24" t="s">
        <v>2109</v>
      </c>
      <c r="D431" s="23" t="s">
        <v>2070</v>
      </c>
      <c r="E431" s="23">
        <v>6000.49</v>
      </c>
      <c r="F431" s="23">
        <v>1</v>
      </c>
      <c r="G431" s="23">
        <v>1</v>
      </c>
      <c r="H431" s="23">
        <v>0</v>
      </c>
      <c r="I431" s="23" t="s">
        <v>5</v>
      </c>
      <c r="J431" s="23" t="s">
        <v>6</v>
      </c>
    </row>
    <row r="432" spans="1:10" s="20" customFormat="1" ht="12" x14ac:dyDescent="0.25">
      <c r="A432" s="22">
        <v>1000102975</v>
      </c>
      <c r="B432" s="23" t="s">
        <v>2732</v>
      </c>
      <c r="C432" s="24" t="s">
        <v>4</v>
      </c>
      <c r="D432" s="23" t="s">
        <v>2090</v>
      </c>
      <c r="E432" s="23">
        <v>5980.35</v>
      </c>
      <c r="F432" s="23">
        <v>7</v>
      </c>
      <c r="G432" s="23">
        <v>7</v>
      </c>
      <c r="H432" s="23">
        <v>0</v>
      </c>
      <c r="I432" s="23" t="s">
        <v>5</v>
      </c>
      <c r="J432" s="23" t="s">
        <v>327</v>
      </c>
    </row>
    <row r="433" spans="1:10" s="20" customFormat="1" ht="12" x14ac:dyDescent="0.25">
      <c r="A433" s="22">
        <v>2500008442</v>
      </c>
      <c r="B433" s="23" t="s">
        <v>2734</v>
      </c>
      <c r="C433" s="24" t="s">
        <v>1996</v>
      </c>
      <c r="D433" s="23" t="s">
        <v>2025</v>
      </c>
      <c r="E433" s="23">
        <v>5957.7186938161703</v>
      </c>
      <c r="F433" s="23">
        <v>60</v>
      </c>
      <c r="G433" s="23">
        <v>60</v>
      </c>
      <c r="H433" s="23">
        <v>0</v>
      </c>
      <c r="I433" s="23" t="s">
        <v>5</v>
      </c>
      <c r="J433" s="23" t="s">
        <v>1993</v>
      </c>
    </row>
    <row r="434" spans="1:10" s="20" customFormat="1" ht="12" x14ac:dyDescent="0.25">
      <c r="A434" s="22">
        <v>1000020838</v>
      </c>
      <c r="B434" s="23" t="s">
        <v>1032</v>
      </c>
      <c r="C434" s="24" t="s">
        <v>4</v>
      </c>
      <c r="D434" s="23" t="s">
        <v>2090</v>
      </c>
      <c r="E434" s="23">
        <v>5891.5207510204</v>
      </c>
      <c r="F434" s="23">
        <v>32</v>
      </c>
      <c r="G434" s="23">
        <v>32</v>
      </c>
      <c r="H434" s="23">
        <v>0</v>
      </c>
      <c r="I434" s="23" t="s">
        <v>5</v>
      </c>
      <c r="J434" s="23" t="s">
        <v>327</v>
      </c>
    </row>
    <row r="435" spans="1:10" s="20" customFormat="1" ht="12" x14ac:dyDescent="0.25">
      <c r="A435" s="22">
        <v>1000021092</v>
      </c>
      <c r="B435" s="23" t="s">
        <v>1254</v>
      </c>
      <c r="C435" s="24" t="s">
        <v>4</v>
      </c>
      <c r="D435" s="23" t="s">
        <v>2090</v>
      </c>
      <c r="E435" s="23">
        <v>5853.6208477236996</v>
      </c>
      <c r="F435" s="23">
        <v>41</v>
      </c>
      <c r="G435" s="23">
        <v>41</v>
      </c>
      <c r="H435" s="23">
        <v>0</v>
      </c>
      <c r="I435" s="23" t="s">
        <v>5</v>
      </c>
      <c r="J435" s="23" t="s">
        <v>327</v>
      </c>
    </row>
    <row r="436" spans="1:10" s="20" customFormat="1" ht="12" x14ac:dyDescent="0.25">
      <c r="A436" s="22">
        <v>1000099106</v>
      </c>
      <c r="B436" s="23" t="s">
        <v>2737</v>
      </c>
      <c r="C436" s="24" t="s">
        <v>4</v>
      </c>
      <c r="D436" s="23" t="s">
        <v>2090</v>
      </c>
      <c r="E436" s="23">
        <v>5845.4477666666598</v>
      </c>
      <c r="F436" s="23">
        <v>2</v>
      </c>
      <c r="G436" s="23">
        <v>2</v>
      </c>
      <c r="H436" s="23">
        <v>0</v>
      </c>
      <c r="I436" s="23" t="s">
        <v>5</v>
      </c>
      <c r="J436" s="23" t="s">
        <v>327</v>
      </c>
    </row>
    <row r="437" spans="1:10" s="20" customFormat="1" ht="12" x14ac:dyDescent="0.25">
      <c r="A437" s="22">
        <v>1000021271</v>
      </c>
      <c r="B437" s="23" t="s">
        <v>1411</v>
      </c>
      <c r="C437" s="24" t="s">
        <v>4</v>
      </c>
      <c r="D437" s="23" t="s">
        <v>2090</v>
      </c>
      <c r="E437" s="23">
        <v>5833.31</v>
      </c>
      <c r="F437" s="23">
        <v>23</v>
      </c>
      <c r="G437" s="23">
        <v>23</v>
      </c>
      <c r="H437" s="23">
        <v>0</v>
      </c>
      <c r="I437" s="23" t="s">
        <v>5</v>
      </c>
      <c r="J437" s="23" t="s">
        <v>327</v>
      </c>
    </row>
    <row r="438" spans="1:10" s="20" customFormat="1" ht="12" x14ac:dyDescent="0.25">
      <c r="A438" s="22">
        <v>1000102433</v>
      </c>
      <c r="B438" s="23" t="s">
        <v>1796</v>
      </c>
      <c r="C438" s="24" t="s">
        <v>4</v>
      </c>
      <c r="D438" s="23" t="s">
        <v>2090</v>
      </c>
      <c r="E438" s="23">
        <v>5810.58</v>
      </c>
      <c r="F438" s="23">
        <v>15</v>
      </c>
      <c r="G438" s="23">
        <v>15</v>
      </c>
      <c r="H438" s="23">
        <v>0</v>
      </c>
      <c r="I438" s="23" t="s">
        <v>5</v>
      </c>
      <c r="J438" s="23" t="s">
        <v>327</v>
      </c>
    </row>
    <row r="439" spans="1:10" s="20" customFormat="1" ht="12" x14ac:dyDescent="0.25">
      <c r="A439" s="22">
        <v>1000020827</v>
      </c>
      <c r="B439" s="23" t="s">
        <v>1024</v>
      </c>
      <c r="C439" s="24" t="s">
        <v>4</v>
      </c>
      <c r="D439" s="23" t="s">
        <v>2090</v>
      </c>
      <c r="E439" s="23">
        <v>5789.625</v>
      </c>
      <c r="F439" s="23">
        <v>5</v>
      </c>
      <c r="G439" s="23">
        <v>5</v>
      </c>
      <c r="H439" s="23">
        <v>0</v>
      </c>
      <c r="I439" s="23" t="s">
        <v>5</v>
      </c>
      <c r="J439" s="23" t="s">
        <v>327</v>
      </c>
    </row>
    <row r="440" spans="1:10" s="20" customFormat="1" ht="12" x14ac:dyDescent="0.25">
      <c r="A440" s="22">
        <v>1000020567</v>
      </c>
      <c r="B440" s="23" t="s">
        <v>784</v>
      </c>
      <c r="C440" s="24" t="s">
        <v>4</v>
      </c>
      <c r="D440" s="23" t="s">
        <v>2090</v>
      </c>
      <c r="E440" s="23">
        <v>5784.8254047619002</v>
      </c>
      <c r="F440" s="23">
        <v>16</v>
      </c>
      <c r="G440" s="23">
        <v>16</v>
      </c>
      <c r="H440" s="23">
        <v>0</v>
      </c>
      <c r="I440" s="23" t="s">
        <v>5</v>
      </c>
      <c r="J440" s="23" t="s">
        <v>327</v>
      </c>
    </row>
    <row r="441" spans="1:10" s="20" customFormat="1" ht="12" x14ac:dyDescent="0.25">
      <c r="A441" s="22">
        <v>1000098623</v>
      </c>
      <c r="B441" s="23" t="s">
        <v>2742</v>
      </c>
      <c r="C441" s="24" t="s">
        <v>4</v>
      </c>
      <c r="D441" s="23" t="s">
        <v>2056</v>
      </c>
      <c r="E441" s="23">
        <v>5778.3646415094299</v>
      </c>
      <c r="F441" s="23">
        <v>206</v>
      </c>
      <c r="G441" s="23">
        <v>206</v>
      </c>
      <c r="H441" s="23">
        <v>0</v>
      </c>
      <c r="I441" s="23" t="s">
        <v>5</v>
      </c>
      <c r="J441" s="23" t="s">
        <v>1844</v>
      </c>
    </row>
    <row r="442" spans="1:10" s="20" customFormat="1" ht="12" x14ac:dyDescent="0.25">
      <c r="A442" s="22">
        <v>1000021128</v>
      </c>
      <c r="B442" s="23" t="s">
        <v>1285</v>
      </c>
      <c r="C442" s="24" t="s">
        <v>4</v>
      </c>
      <c r="D442" s="23" t="s">
        <v>2090</v>
      </c>
      <c r="E442" s="23">
        <v>5774.0443583333299</v>
      </c>
      <c r="F442" s="23">
        <v>13</v>
      </c>
      <c r="G442" s="23">
        <v>13</v>
      </c>
      <c r="H442" s="23">
        <v>0</v>
      </c>
      <c r="I442" s="23" t="s">
        <v>5</v>
      </c>
      <c r="J442" s="23" t="s">
        <v>327</v>
      </c>
    </row>
    <row r="443" spans="1:10" s="20" customFormat="1" ht="12" x14ac:dyDescent="0.25">
      <c r="A443" s="22">
        <v>2500007363</v>
      </c>
      <c r="B443" s="23" t="s">
        <v>2744</v>
      </c>
      <c r="C443" s="24" t="s">
        <v>1996</v>
      </c>
      <c r="D443" s="23" t="s">
        <v>2025</v>
      </c>
      <c r="E443" s="23">
        <v>5759.80011519046</v>
      </c>
      <c r="F443" s="23">
        <v>27</v>
      </c>
      <c r="G443" s="23">
        <v>27</v>
      </c>
      <c r="H443" s="23">
        <v>0</v>
      </c>
      <c r="I443" s="23" t="s">
        <v>5</v>
      </c>
      <c r="J443" s="23" t="s">
        <v>1993</v>
      </c>
    </row>
    <row r="444" spans="1:10" s="20" customFormat="1" ht="12" x14ac:dyDescent="0.25">
      <c r="A444" s="22">
        <v>1000021207</v>
      </c>
      <c r="B444" s="23" t="s">
        <v>1353</v>
      </c>
      <c r="C444" s="24" t="s">
        <v>4</v>
      </c>
      <c r="D444" s="23" t="s">
        <v>2090</v>
      </c>
      <c r="E444" s="23">
        <v>5717.4779545454503</v>
      </c>
      <c r="F444" s="23">
        <v>41</v>
      </c>
      <c r="G444" s="23">
        <v>41</v>
      </c>
      <c r="H444" s="23">
        <v>0</v>
      </c>
      <c r="I444" s="23" t="s">
        <v>5</v>
      </c>
      <c r="J444" s="23" t="s">
        <v>327</v>
      </c>
    </row>
    <row r="445" spans="1:10" s="20" customFormat="1" ht="12" x14ac:dyDescent="0.25">
      <c r="A445" s="22">
        <v>1000020647</v>
      </c>
      <c r="B445" s="23" t="s">
        <v>861</v>
      </c>
      <c r="C445" s="24" t="s">
        <v>4</v>
      </c>
      <c r="D445" s="23" t="s">
        <v>2218</v>
      </c>
      <c r="E445" s="23">
        <v>5710.6893571570799</v>
      </c>
      <c r="F445" s="23">
        <v>254</v>
      </c>
      <c r="G445" s="23">
        <v>254</v>
      </c>
      <c r="H445" s="23">
        <v>0</v>
      </c>
      <c r="I445" s="23" t="s">
        <v>5</v>
      </c>
      <c r="J445" s="23" t="s">
        <v>327</v>
      </c>
    </row>
    <row r="446" spans="1:10" s="20" customFormat="1" ht="12" x14ac:dyDescent="0.25">
      <c r="A446" s="22">
        <v>1000093680</v>
      </c>
      <c r="B446" s="23" t="s">
        <v>2055</v>
      </c>
      <c r="C446" s="24" t="s">
        <v>4</v>
      </c>
      <c r="D446" s="23" t="s">
        <v>2056</v>
      </c>
      <c r="E446" s="23">
        <v>5647.6321090423398</v>
      </c>
      <c r="F446" s="23">
        <v>860</v>
      </c>
      <c r="G446" s="23">
        <v>860</v>
      </c>
      <c r="H446" s="23">
        <v>0</v>
      </c>
      <c r="I446" s="23" t="s">
        <v>5</v>
      </c>
      <c r="J446" s="23" t="s">
        <v>1844</v>
      </c>
    </row>
    <row r="447" spans="1:10" s="20" customFormat="1" ht="12" x14ac:dyDescent="0.25">
      <c r="A447" s="22">
        <v>1000094899</v>
      </c>
      <c r="B447" s="23" t="s">
        <v>15</v>
      </c>
      <c r="C447" s="24" t="s">
        <v>2109</v>
      </c>
      <c r="D447" s="23" t="s">
        <v>2070</v>
      </c>
      <c r="E447" s="23">
        <v>5628</v>
      </c>
      <c r="F447" s="23">
        <v>2</v>
      </c>
      <c r="G447" s="23">
        <v>2</v>
      </c>
      <c r="H447" s="23">
        <v>0</v>
      </c>
      <c r="I447" s="23" t="s">
        <v>5</v>
      </c>
      <c r="J447" s="23" t="s">
        <v>6</v>
      </c>
    </row>
    <row r="448" spans="1:10" s="20" customFormat="1" ht="12" x14ac:dyDescent="0.25">
      <c r="A448" s="22">
        <v>2500001100</v>
      </c>
      <c r="B448" s="23" t="s">
        <v>2751</v>
      </c>
      <c r="C448" s="24" t="s">
        <v>1996</v>
      </c>
      <c r="D448" s="23" t="s">
        <v>2025</v>
      </c>
      <c r="E448" s="23">
        <v>5624.1428571428496</v>
      </c>
      <c r="F448" s="23">
        <v>6</v>
      </c>
      <c r="G448" s="23">
        <v>6</v>
      </c>
      <c r="H448" s="23">
        <v>0</v>
      </c>
      <c r="I448" s="23" t="s">
        <v>5</v>
      </c>
      <c r="J448" s="23" t="s">
        <v>1993</v>
      </c>
    </row>
    <row r="449" spans="1:10" s="20" customFormat="1" ht="12" x14ac:dyDescent="0.25">
      <c r="A449" s="22">
        <v>1000104797</v>
      </c>
      <c r="B449" s="23" t="s">
        <v>2753</v>
      </c>
      <c r="C449" s="24" t="s">
        <v>4</v>
      </c>
      <c r="D449" s="23" t="s">
        <v>2090</v>
      </c>
      <c r="E449" s="23">
        <v>5622.7924999999996</v>
      </c>
      <c r="F449" s="23">
        <v>11</v>
      </c>
      <c r="G449" s="23">
        <v>11</v>
      </c>
      <c r="H449" s="23">
        <v>0</v>
      </c>
      <c r="I449" s="23" t="s">
        <v>5</v>
      </c>
      <c r="J449" s="23" t="s">
        <v>327</v>
      </c>
    </row>
    <row r="450" spans="1:10" s="20" customFormat="1" ht="12" x14ac:dyDescent="0.25">
      <c r="A450" s="22">
        <v>1000020717</v>
      </c>
      <c r="B450" s="23" t="s">
        <v>926</v>
      </c>
      <c r="C450" s="24" t="s">
        <v>4</v>
      </c>
      <c r="D450" s="23" t="s">
        <v>2090</v>
      </c>
      <c r="E450" s="23">
        <v>5613.5096774193498</v>
      </c>
      <c r="F450" s="23">
        <v>20</v>
      </c>
      <c r="G450" s="23">
        <v>20</v>
      </c>
      <c r="H450" s="23">
        <v>0</v>
      </c>
      <c r="I450" s="23" t="s">
        <v>5</v>
      </c>
      <c r="J450" s="23" t="s">
        <v>327</v>
      </c>
    </row>
    <row r="451" spans="1:10" s="20" customFormat="1" ht="12" x14ac:dyDescent="0.25">
      <c r="A451" s="22">
        <v>1000020499</v>
      </c>
      <c r="B451" s="23" t="s">
        <v>724</v>
      </c>
      <c r="C451" s="24" t="s">
        <v>4</v>
      </c>
      <c r="D451" s="23" t="s">
        <v>2218</v>
      </c>
      <c r="E451" s="23">
        <v>5607.3116437148101</v>
      </c>
      <c r="F451" s="23">
        <v>108</v>
      </c>
      <c r="G451" s="23">
        <v>108</v>
      </c>
      <c r="H451" s="23">
        <v>0</v>
      </c>
      <c r="I451" s="23" t="s">
        <v>5</v>
      </c>
      <c r="J451" s="23" t="s">
        <v>327</v>
      </c>
    </row>
    <row r="452" spans="1:10" s="20" customFormat="1" ht="12" x14ac:dyDescent="0.25">
      <c r="A452" s="22">
        <v>1000096140</v>
      </c>
      <c r="B452" s="23" t="s">
        <v>2757</v>
      </c>
      <c r="C452" s="24" t="s">
        <v>4</v>
      </c>
      <c r="D452" s="23" t="s">
        <v>2161</v>
      </c>
      <c r="E452" s="23">
        <v>5585.3742857142797</v>
      </c>
      <c r="F452" s="23">
        <v>6</v>
      </c>
      <c r="G452" s="23">
        <v>6</v>
      </c>
      <c r="H452" s="23">
        <v>0</v>
      </c>
      <c r="I452" s="23" t="s">
        <v>5</v>
      </c>
      <c r="J452" s="23" t="s">
        <v>111</v>
      </c>
    </row>
    <row r="453" spans="1:10" s="20" customFormat="1" ht="12" x14ac:dyDescent="0.25">
      <c r="A453" s="22">
        <v>1000100015</v>
      </c>
      <c r="B453" s="23" t="s">
        <v>1845</v>
      </c>
      <c r="C453" s="24" t="s">
        <v>4</v>
      </c>
      <c r="D453" s="23" t="s">
        <v>2056</v>
      </c>
      <c r="E453" s="23">
        <v>5584.5766666666595</v>
      </c>
      <c r="F453" s="23">
        <v>140</v>
      </c>
      <c r="G453" s="23">
        <v>140</v>
      </c>
      <c r="H453" s="23">
        <v>0</v>
      </c>
      <c r="I453" s="23" t="s">
        <v>5</v>
      </c>
      <c r="J453" s="23" t="s">
        <v>1844</v>
      </c>
    </row>
    <row r="454" spans="1:10" s="20" customFormat="1" ht="12" x14ac:dyDescent="0.25">
      <c r="A454" s="22">
        <v>1000105791</v>
      </c>
      <c r="B454" s="23" t="s">
        <v>2759</v>
      </c>
      <c r="C454" s="24" t="s">
        <v>2109</v>
      </c>
      <c r="D454" s="23" t="s">
        <v>2070</v>
      </c>
      <c r="E454" s="23">
        <v>5573.7</v>
      </c>
      <c r="F454" s="23">
        <v>1</v>
      </c>
      <c r="G454" s="23">
        <v>1</v>
      </c>
      <c r="H454" s="23">
        <v>0</v>
      </c>
      <c r="I454" s="23" t="s">
        <v>5</v>
      </c>
      <c r="J454" s="23" t="s">
        <v>6</v>
      </c>
    </row>
    <row r="455" spans="1:10" s="20" customFormat="1" ht="12" x14ac:dyDescent="0.25">
      <c r="A455" s="22">
        <v>2500005914</v>
      </c>
      <c r="B455" s="23" t="s">
        <v>1908</v>
      </c>
      <c r="C455" s="24" t="s">
        <v>1996</v>
      </c>
      <c r="D455" s="23" t="s">
        <v>2025</v>
      </c>
      <c r="E455" s="23">
        <v>5541.7987499999999</v>
      </c>
      <c r="F455" s="23">
        <v>3</v>
      </c>
      <c r="G455" s="23">
        <v>3</v>
      </c>
      <c r="H455" s="23">
        <v>0</v>
      </c>
      <c r="I455" s="23" t="s">
        <v>5</v>
      </c>
      <c r="J455" s="23" t="s">
        <v>1993</v>
      </c>
    </row>
    <row r="456" spans="1:10" s="20" customFormat="1" ht="12" x14ac:dyDescent="0.25">
      <c r="A456" s="22">
        <v>1000095825</v>
      </c>
      <c r="B456" s="23" t="s">
        <v>2761</v>
      </c>
      <c r="C456" s="24" t="s">
        <v>4</v>
      </c>
      <c r="D456" s="23" t="s">
        <v>2056</v>
      </c>
      <c r="E456" s="23">
        <v>5540.8147222179196</v>
      </c>
      <c r="F456" s="23">
        <v>2700</v>
      </c>
      <c r="G456" s="23">
        <v>2700</v>
      </c>
      <c r="H456" s="23">
        <v>0</v>
      </c>
      <c r="I456" s="23" t="s">
        <v>5</v>
      </c>
      <c r="J456" s="23" t="s">
        <v>1844</v>
      </c>
    </row>
    <row r="457" spans="1:10" s="20" customFormat="1" ht="12" x14ac:dyDescent="0.25">
      <c r="A457" s="22">
        <v>1000020681</v>
      </c>
      <c r="B457" s="23" t="s">
        <v>894</v>
      </c>
      <c r="C457" s="24" t="s">
        <v>4</v>
      </c>
      <c r="D457" s="23" t="s">
        <v>2090</v>
      </c>
      <c r="E457" s="23">
        <v>5521.4</v>
      </c>
      <c r="F457" s="23">
        <v>95</v>
      </c>
      <c r="G457" s="23">
        <v>95</v>
      </c>
      <c r="H457" s="23">
        <v>0</v>
      </c>
      <c r="I457" s="23" t="s">
        <v>5</v>
      </c>
      <c r="J457" s="23" t="s">
        <v>327</v>
      </c>
    </row>
    <row r="458" spans="1:10" s="20" customFormat="1" ht="12" x14ac:dyDescent="0.25">
      <c r="A458" s="22">
        <v>1000094725</v>
      </c>
      <c r="B458" s="23" t="s">
        <v>2762</v>
      </c>
      <c r="C458" s="24" t="s">
        <v>4</v>
      </c>
      <c r="D458" s="23" t="s">
        <v>2090</v>
      </c>
      <c r="E458" s="23">
        <v>5505</v>
      </c>
      <c r="F458" s="23">
        <v>80</v>
      </c>
      <c r="G458" s="23">
        <v>80</v>
      </c>
      <c r="H458" s="23">
        <v>0</v>
      </c>
      <c r="I458" s="23" t="s">
        <v>5</v>
      </c>
      <c r="J458" s="23" t="s">
        <v>327</v>
      </c>
    </row>
    <row r="459" spans="1:10" s="20" customFormat="1" ht="12" x14ac:dyDescent="0.25">
      <c r="A459" s="22">
        <v>1000102218</v>
      </c>
      <c r="B459" s="23" t="s">
        <v>1775</v>
      </c>
      <c r="C459" s="24" t="s">
        <v>4</v>
      </c>
      <c r="D459" s="23" t="s">
        <v>2090</v>
      </c>
      <c r="E459" s="23">
        <v>5495.16</v>
      </c>
      <c r="F459" s="23">
        <v>2</v>
      </c>
      <c r="G459" s="23">
        <v>2</v>
      </c>
      <c r="H459" s="23">
        <v>0</v>
      </c>
      <c r="I459" s="23" t="s">
        <v>5</v>
      </c>
      <c r="J459" s="23" t="s">
        <v>327</v>
      </c>
    </row>
    <row r="460" spans="1:10" s="20" customFormat="1" ht="12" x14ac:dyDescent="0.25">
      <c r="A460" s="22">
        <v>1000020121</v>
      </c>
      <c r="B460" s="23" t="s">
        <v>376</v>
      </c>
      <c r="C460" s="24" t="s">
        <v>4</v>
      </c>
      <c r="D460" s="23" t="s">
        <v>2090</v>
      </c>
      <c r="E460" s="23">
        <v>5477.28</v>
      </c>
      <c r="F460" s="23">
        <v>12</v>
      </c>
      <c r="G460" s="23">
        <v>12</v>
      </c>
      <c r="H460" s="23">
        <v>0</v>
      </c>
      <c r="I460" s="23" t="s">
        <v>5</v>
      </c>
      <c r="J460" s="23" t="s">
        <v>327</v>
      </c>
    </row>
    <row r="461" spans="1:10" s="20" customFormat="1" ht="12" x14ac:dyDescent="0.25">
      <c r="A461" s="22">
        <v>1000103441</v>
      </c>
      <c r="B461" s="23" t="s">
        <v>2764</v>
      </c>
      <c r="C461" s="24" t="s">
        <v>4</v>
      </c>
      <c r="D461" s="23" t="s">
        <v>2161</v>
      </c>
      <c r="E461" s="23">
        <v>5469.9744000000001</v>
      </c>
      <c r="F461" s="23">
        <v>4</v>
      </c>
      <c r="G461" s="23">
        <v>4</v>
      </c>
      <c r="H461" s="23">
        <v>0</v>
      </c>
      <c r="I461" s="23" t="s">
        <v>5</v>
      </c>
      <c r="J461" s="23" t="s">
        <v>111</v>
      </c>
    </row>
    <row r="462" spans="1:10" s="20" customFormat="1" ht="12" x14ac:dyDescent="0.25">
      <c r="A462" s="22">
        <v>1000096266</v>
      </c>
      <c r="B462" s="23" t="s">
        <v>2765</v>
      </c>
      <c r="C462" s="24" t="s">
        <v>4</v>
      </c>
      <c r="D462" s="23" t="s">
        <v>2056</v>
      </c>
      <c r="E462" s="23">
        <v>5450.5204045964902</v>
      </c>
      <c r="F462" s="23">
        <v>245</v>
      </c>
      <c r="G462" s="23">
        <v>245</v>
      </c>
      <c r="H462" s="23">
        <v>0</v>
      </c>
      <c r="I462" s="23" t="s">
        <v>5</v>
      </c>
      <c r="J462" s="23" t="s">
        <v>1844</v>
      </c>
    </row>
    <row r="463" spans="1:10" s="20" customFormat="1" ht="12" x14ac:dyDescent="0.25">
      <c r="A463" s="22">
        <v>1000110792</v>
      </c>
      <c r="B463" s="23" t="s">
        <v>2766</v>
      </c>
      <c r="C463" s="24" t="s">
        <v>4</v>
      </c>
      <c r="D463" s="23" t="s">
        <v>2043</v>
      </c>
      <c r="E463" s="23">
        <v>5439.68</v>
      </c>
      <c r="F463" s="23">
        <v>8</v>
      </c>
      <c r="G463" s="23">
        <v>14</v>
      </c>
      <c r="H463" s="23">
        <v>-6</v>
      </c>
      <c r="I463" s="23" t="s">
        <v>71</v>
      </c>
      <c r="J463" s="23" t="s">
        <v>33</v>
      </c>
    </row>
    <row r="464" spans="1:10" s="20" customFormat="1" ht="12" x14ac:dyDescent="0.25">
      <c r="A464" s="22">
        <v>1000106113</v>
      </c>
      <c r="B464" s="23" t="s">
        <v>2767</v>
      </c>
      <c r="C464" s="24" t="s">
        <v>4</v>
      </c>
      <c r="D464" s="23" t="s">
        <v>2161</v>
      </c>
      <c r="E464" s="23">
        <v>5416.93</v>
      </c>
      <c r="F464" s="23">
        <v>2</v>
      </c>
      <c r="G464" s="23">
        <v>2</v>
      </c>
      <c r="H464" s="23">
        <v>0</v>
      </c>
      <c r="I464" s="23" t="s">
        <v>5</v>
      </c>
      <c r="J464" s="23" t="s">
        <v>111</v>
      </c>
    </row>
    <row r="465" spans="1:10" s="20" customFormat="1" ht="12" x14ac:dyDescent="0.25">
      <c r="A465" s="22">
        <v>1000093780</v>
      </c>
      <c r="B465" s="23" t="s">
        <v>2769</v>
      </c>
      <c r="C465" s="24" t="s">
        <v>4</v>
      </c>
      <c r="D465" s="23" t="s">
        <v>2090</v>
      </c>
      <c r="E465" s="23">
        <v>5389.8456238180197</v>
      </c>
      <c r="F465" s="23">
        <v>425</v>
      </c>
      <c r="G465" s="23">
        <v>425</v>
      </c>
      <c r="H465" s="23">
        <v>0</v>
      </c>
      <c r="I465" s="23" t="s">
        <v>5</v>
      </c>
      <c r="J465" s="23" t="s">
        <v>327</v>
      </c>
    </row>
    <row r="466" spans="1:10" s="20" customFormat="1" ht="12" x14ac:dyDescent="0.25">
      <c r="A466" s="22">
        <v>1000099489</v>
      </c>
      <c r="B466" s="23" t="s">
        <v>2772</v>
      </c>
      <c r="C466" s="24" t="s">
        <v>4</v>
      </c>
      <c r="D466" s="23" t="s">
        <v>2161</v>
      </c>
      <c r="E466" s="23">
        <v>5379.08</v>
      </c>
      <c r="F466" s="23">
        <v>4</v>
      </c>
      <c r="G466" s="23">
        <v>4</v>
      </c>
      <c r="H466" s="23">
        <v>0</v>
      </c>
      <c r="I466" s="23" t="s">
        <v>5</v>
      </c>
      <c r="J466" s="23" t="s">
        <v>111</v>
      </c>
    </row>
    <row r="467" spans="1:10" s="20" customFormat="1" ht="12" x14ac:dyDescent="0.25">
      <c r="A467" s="22">
        <v>1000020737</v>
      </c>
      <c r="B467" s="23" t="s">
        <v>945</v>
      </c>
      <c r="C467" s="24" t="s">
        <v>4</v>
      </c>
      <c r="D467" s="23" t="s">
        <v>2090</v>
      </c>
      <c r="E467" s="23">
        <v>5368.1094444444398</v>
      </c>
      <c r="F467" s="23">
        <v>14</v>
      </c>
      <c r="G467" s="23">
        <v>14</v>
      </c>
      <c r="H467" s="23">
        <v>0</v>
      </c>
      <c r="I467" s="23" t="s">
        <v>5</v>
      </c>
      <c r="J467" s="23" t="s">
        <v>327</v>
      </c>
    </row>
    <row r="468" spans="1:10" s="20" customFormat="1" ht="12" x14ac:dyDescent="0.25">
      <c r="A468" s="22">
        <v>1000100340</v>
      </c>
      <c r="B468" s="23" t="s">
        <v>2774</v>
      </c>
      <c r="C468" s="24" t="s">
        <v>4</v>
      </c>
      <c r="D468" s="23" t="s">
        <v>2090</v>
      </c>
      <c r="E468" s="23">
        <v>5344.0574999999999</v>
      </c>
      <c r="F468" s="23">
        <v>25</v>
      </c>
      <c r="G468" s="23">
        <v>25</v>
      </c>
      <c r="H468" s="23">
        <v>0</v>
      </c>
      <c r="I468" s="23" t="s">
        <v>5</v>
      </c>
      <c r="J468" s="23" t="s">
        <v>327</v>
      </c>
    </row>
    <row r="469" spans="1:10" s="20" customFormat="1" ht="12" x14ac:dyDescent="0.25">
      <c r="A469" s="22">
        <v>1000010075</v>
      </c>
      <c r="B469" s="23" t="s">
        <v>2776</v>
      </c>
      <c r="C469" s="24" t="s">
        <v>4</v>
      </c>
      <c r="D469" s="23" t="s">
        <v>2230</v>
      </c>
      <c r="E469" s="23">
        <v>5325.6556818181798</v>
      </c>
      <c r="F469" s="23">
        <v>7</v>
      </c>
      <c r="G469" s="23">
        <v>7</v>
      </c>
      <c r="H469" s="23">
        <v>0</v>
      </c>
      <c r="I469" s="23" t="s">
        <v>5</v>
      </c>
      <c r="J469" s="23" t="s">
        <v>111</v>
      </c>
    </row>
    <row r="470" spans="1:10" s="20" customFormat="1" ht="12" x14ac:dyDescent="0.25">
      <c r="A470" s="22">
        <v>1000098744</v>
      </c>
      <c r="B470" s="23" t="s">
        <v>1684</v>
      </c>
      <c r="C470" s="24" t="s">
        <v>4</v>
      </c>
      <c r="D470" s="23" t="s">
        <v>2090</v>
      </c>
      <c r="E470" s="23">
        <v>5297.68</v>
      </c>
      <c r="F470" s="23">
        <v>2</v>
      </c>
      <c r="G470" s="23">
        <v>2</v>
      </c>
      <c r="H470" s="23">
        <v>0</v>
      </c>
      <c r="I470" s="23" t="s">
        <v>5</v>
      </c>
      <c r="J470" s="23" t="s">
        <v>327</v>
      </c>
    </row>
    <row r="471" spans="1:10" s="20" customFormat="1" ht="12" x14ac:dyDescent="0.25">
      <c r="A471" s="22">
        <v>1000106114</v>
      </c>
      <c r="B471" s="23" t="s">
        <v>2777</v>
      </c>
      <c r="C471" s="24" t="s">
        <v>4</v>
      </c>
      <c r="D471" s="23" t="s">
        <v>2161</v>
      </c>
      <c r="E471" s="23">
        <v>5294.61</v>
      </c>
      <c r="F471" s="23">
        <v>10</v>
      </c>
      <c r="G471" s="23">
        <v>10</v>
      </c>
      <c r="H471" s="23">
        <v>0</v>
      </c>
      <c r="I471" s="23" t="s">
        <v>5</v>
      </c>
      <c r="J471" s="23" t="s">
        <v>111</v>
      </c>
    </row>
    <row r="472" spans="1:10" s="20" customFormat="1" ht="12" x14ac:dyDescent="0.25">
      <c r="A472" s="22">
        <v>1000020692</v>
      </c>
      <c r="B472" s="23" t="s">
        <v>904</v>
      </c>
      <c r="C472" s="24" t="s">
        <v>4</v>
      </c>
      <c r="D472" s="23" t="s">
        <v>2218</v>
      </c>
      <c r="E472" s="23">
        <v>5285.7133415503704</v>
      </c>
      <c r="F472" s="23">
        <v>72</v>
      </c>
      <c r="G472" s="23">
        <v>72</v>
      </c>
      <c r="H472" s="23">
        <v>0</v>
      </c>
      <c r="I472" s="23" t="s">
        <v>5</v>
      </c>
      <c r="J472" s="23" t="s">
        <v>327</v>
      </c>
    </row>
    <row r="473" spans="1:10" s="20" customFormat="1" ht="12" x14ac:dyDescent="0.25">
      <c r="A473" s="22">
        <v>1000098727</v>
      </c>
      <c r="B473" s="23" t="s">
        <v>1670</v>
      </c>
      <c r="C473" s="24" t="s">
        <v>4</v>
      </c>
      <c r="D473" s="23" t="s">
        <v>2090</v>
      </c>
      <c r="E473" s="23">
        <v>5276.277</v>
      </c>
      <c r="F473" s="23">
        <v>26</v>
      </c>
      <c r="G473" s="23">
        <v>26</v>
      </c>
      <c r="H473" s="23">
        <v>0</v>
      </c>
      <c r="I473" s="23" t="s">
        <v>5</v>
      </c>
      <c r="J473" s="23" t="s">
        <v>327</v>
      </c>
    </row>
    <row r="474" spans="1:10" s="20" customFormat="1" ht="12" x14ac:dyDescent="0.25">
      <c r="A474" s="22">
        <v>1000093677</v>
      </c>
      <c r="B474" s="23" t="s">
        <v>2779</v>
      </c>
      <c r="C474" s="24" t="s">
        <v>4</v>
      </c>
      <c r="D474" s="23" t="s">
        <v>2056</v>
      </c>
      <c r="E474" s="23">
        <v>5267.5</v>
      </c>
      <c r="F474" s="23">
        <v>10</v>
      </c>
      <c r="G474" s="23">
        <v>10</v>
      </c>
      <c r="H474" s="23">
        <v>0</v>
      </c>
      <c r="I474" s="23" t="s">
        <v>5</v>
      </c>
      <c r="J474" s="23" t="s">
        <v>1844</v>
      </c>
    </row>
    <row r="475" spans="1:10" s="20" customFormat="1" ht="12" x14ac:dyDescent="0.25">
      <c r="A475" s="22">
        <v>1000100427</v>
      </c>
      <c r="B475" s="23" t="s">
        <v>1738</v>
      </c>
      <c r="C475" s="24" t="s">
        <v>4</v>
      </c>
      <c r="D475" s="23" t="s">
        <v>2090</v>
      </c>
      <c r="E475" s="23">
        <v>5254.2</v>
      </c>
      <c r="F475" s="23">
        <v>3</v>
      </c>
      <c r="G475" s="23">
        <v>3</v>
      </c>
      <c r="H475" s="23">
        <v>0</v>
      </c>
      <c r="I475" s="23" t="s">
        <v>5</v>
      </c>
      <c r="J475" s="23" t="s">
        <v>327</v>
      </c>
    </row>
    <row r="476" spans="1:10" s="20" customFormat="1" ht="12" x14ac:dyDescent="0.25">
      <c r="A476" s="22">
        <v>1000020489</v>
      </c>
      <c r="B476" s="23" t="s">
        <v>714</v>
      </c>
      <c r="C476" s="24" t="s">
        <v>4</v>
      </c>
      <c r="D476" s="23" t="s">
        <v>2090</v>
      </c>
      <c r="E476" s="23">
        <v>5240.8417764987998</v>
      </c>
      <c r="F476" s="23">
        <v>128</v>
      </c>
      <c r="G476" s="23">
        <v>128</v>
      </c>
      <c r="H476" s="23">
        <v>0</v>
      </c>
      <c r="I476" s="23" t="s">
        <v>5</v>
      </c>
      <c r="J476" s="23" t="s">
        <v>327</v>
      </c>
    </row>
    <row r="477" spans="1:10" s="20" customFormat="1" ht="12" x14ac:dyDescent="0.25">
      <c r="A477" s="22">
        <v>1000094953</v>
      </c>
      <c r="B477" s="23" t="s">
        <v>2785</v>
      </c>
      <c r="C477" s="24" t="s">
        <v>4</v>
      </c>
      <c r="D477" s="23" t="s">
        <v>2056</v>
      </c>
      <c r="E477" s="23">
        <v>5229.4336718415097</v>
      </c>
      <c r="F477" s="23">
        <v>3227</v>
      </c>
      <c r="G477" s="23">
        <v>3227</v>
      </c>
      <c r="H477" s="23">
        <v>0</v>
      </c>
      <c r="I477" s="23" t="s">
        <v>5</v>
      </c>
      <c r="J477" s="23" t="s">
        <v>1844</v>
      </c>
    </row>
    <row r="478" spans="1:10" s="20" customFormat="1" ht="12" x14ac:dyDescent="0.25">
      <c r="A478" s="22">
        <v>1000099688</v>
      </c>
      <c r="B478" s="23" t="s">
        <v>2788</v>
      </c>
      <c r="C478" s="24" t="s">
        <v>4</v>
      </c>
      <c r="D478" s="23" t="s">
        <v>2161</v>
      </c>
      <c r="E478" s="23">
        <v>5183.6400000000003</v>
      </c>
      <c r="F478" s="23">
        <v>14</v>
      </c>
      <c r="G478" s="23">
        <v>14</v>
      </c>
      <c r="H478" s="23">
        <v>0</v>
      </c>
      <c r="I478" s="23" t="s">
        <v>5</v>
      </c>
      <c r="J478" s="23" t="s">
        <v>111</v>
      </c>
    </row>
    <row r="479" spans="1:10" s="20" customFormat="1" ht="12" x14ac:dyDescent="0.25">
      <c r="A479" s="22">
        <v>1000109708</v>
      </c>
      <c r="B479" s="23" t="s">
        <v>2342</v>
      </c>
      <c r="C479" s="24" t="s">
        <v>2109</v>
      </c>
      <c r="D479" s="23" t="s">
        <v>2110</v>
      </c>
      <c r="E479" s="23">
        <v>5165.55</v>
      </c>
      <c r="F479" s="23">
        <v>1</v>
      </c>
      <c r="G479" s="23">
        <v>1</v>
      </c>
      <c r="H479" s="23">
        <v>0</v>
      </c>
      <c r="I479" s="23" t="s">
        <v>5</v>
      </c>
      <c r="J479" s="23" t="s">
        <v>6</v>
      </c>
    </row>
    <row r="480" spans="1:10" s="20" customFormat="1" ht="12" x14ac:dyDescent="0.25">
      <c r="A480" s="22">
        <v>1000098511</v>
      </c>
      <c r="B480" s="23" t="s">
        <v>1549</v>
      </c>
      <c r="C480" s="24" t="s">
        <v>4</v>
      </c>
      <c r="D480" s="23" t="s">
        <v>2090</v>
      </c>
      <c r="E480" s="23">
        <v>5152.0600000000004</v>
      </c>
      <c r="F480" s="23">
        <v>5</v>
      </c>
      <c r="G480" s="23">
        <v>5</v>
      </c>
      <c r="H480" s="23">
        <v>0</v>
      </c>
      <c r="I480" s="23" t="s">
        <v>5</v>
      </c>
      <c r="J480" s="23" t="s">
        <v>327</v>
      </c>
    </row>
    <row r="481" spans="1:10" s="20" customFormat="1" ht="12" x14ac:dyDescent="0.25">
      <c r="A481" s="22">
        <v>2100005754</v>
      </c>
      <c r="B481" s="23" t="s">
        <v>2790</v>
      </c>
      <c r="C481" s="24" t="s">
        <v>2037</v>
      </c>
      <c r="D481" s="23" t="s">
        <v>2031</v>
      </c>
      <c r="E481" s="23">
        <v>5148</v>
      </c>
      <c r="F481" s="23">
        <v>4</v>
      </c>
      <c r="G481" s="23">
        <v>4</v>
      </c>
      <c r="H481" s="23">
        <v>0</v>
      </c>
      <c r="I481" s="23" t="s">
        <v>5</v>
      </c>
      <c r="J481" s="23" t="s">
        <v>138</v>
      </c>
    </row>
    <row r="482" spans="1:10" s="20" customFormat="1" ht="12" x14ac:dyDescent="0.25">
      <c r="A482" s="22">
        <v>2500008346</v>
      </c>
      <c r="B482" s="23" t="s">
        <v>1927</v>
      </c>
      <c r="C482" s="24" t="s">
        <v>1996</v>
      </c>
      <c r="D482" s="23" t="s">
        <v>2025</v>
      </c>
      <c r="E482" s="23">
        <v>5145</v>
      </c>
      <c r="F482" s="23">
        <v>4</v>
      </c>
      <c r="G482" s="23">
        <v>4</v>
      </c>
      <c r="H482" s="23">
        <v>0</v>
      </c>
      <c r="I482" s="23" t="s">
        <v>5</v>
      </c>
      <c r="J482" s="23" t="s">
        <v>1993</v>
      </c>
    </row>
    <row r="483" spans="1:10" s="20" customFormat="1" ht="12" x14ac:dyDescent="0.25">
      <c r="A483" s="22">
        <v>1000020518</v>
      </c>
      <c r="B483" s="23" t="s">
        <v>740</v>
      </c>
      <c r="C483" s="24" t="s">
        <v>4</v>
      </c>
      <c r="D483" s="23" t="s">
        <v>2090</v>
      </c>
      <c r="E483" s="23">
        <v>5138.5896774193498</v>
      </c>
      <c r="F483" s="23">
        <v>44</v>
      </c>
      <c r="G483" s="23">
        <v>44</v>
      </c>
      <c r="H483" s="23">
        <v>0</v>
      </c>
      <c r="I483" s="23" t="s">
        <v>14</v>
      </c>
      <c r="J483" s="23" t="s">
        <v>327</v>
      </c>
    </row>
    <row r="484" spans="1:10" s="20" customFormat="1" ht="12" x14ac:dyDescent="0.25">
      <c r="A484" s="22">
        <v>1000021314</v>
      </c>
      <c r="B484" s="23" t="s">
        <v>1446</v>
      </c>
      <c r="C484" s="24" t="s">
        <v>4</v>
      </c>
      <c r="D484" s="23" t="s">
        <v>2090</v>
      </c>
      <c r="E484" s="23">
        <v>5135.96</v>
      </c>
      <c r="F484" s="23">
        <v>2</v>
      </c>
      <c r="G484" s="23">
        <v>2</v>
      </c>
      <c r="H484" s="23">
        <v>0</v>
      </c>
      <c r="I484" s="23" t="s">
        <v>5</v>
      </c>
      <c r="J484" s="23" t="s">
        <v>327</v>
      </c>
    </row>
    <row r="485" spans="1:10" s="20" customFormat="1" ht="12" x14ac:dyDescent="0.25">
      <c r="A485" s="22">
        <v>1000020750</v>
      </c>
      <c r="B485" s="23" t="s">
        <v>956</v>
      </c>
      <c r="C485" s="24" t="s">
        <v>4</v>
      </c>
      <c r="D485" s="23" t="s">
        <v>2090</v>
      </c>
      <c r="E485" s="23">
        <v>5132.3266666666595</v>
      </c>
      <c r="F485" s="23">
        <v>2</v>
      </c>
      <c r="G485" s="23">
        <v>2</v>
      </c>
      <c r="H485" s="23">
        <v>0</v>
      </c>
      <c r="I485" s="23" t="s">
        <v>5</v>
      </c>
      <c r="J485" s="23" t="s">
        <v>327</v>
      </c>
    </row>
    <row r="486" spans="1:10" s="20" customFormat="1" ht="12" x14ac:dyDescent="0.25">
      <c r="A486" s="22">
        <v>1000021142</v>
      </c>
      <c r="B486" s="23" t="s">
        <v>1293</v>
      </c>
      <c r="C486" s="24" t="s">
        <v>4</v>
      </c>
      <c r="D486" s="23" t="s">
        <v>2090</v>
      </c>
      <c r="E486" s="23">
        <v>5124.9847619047596</v>
      </c>
      <c r="F486" s="23">
        <v>8</v>
      </c>
      <c r="G486" s="23">
        <v>8</v>
      </c>
      <c r="H486" s="23">
        <v>0</v>
      </c>
      <c r="I486" s="23" t="s">
        <v>5</v>
      </c>
      <c r="J486" s="23" t="s">
        <v>327</v>
      </c>
    </row>
    <row r="487" spans="1:10" s="20" customFormat="1" ht="12" x14ac:dyDescent="0.25">
      <c r="A487" s="22">
        <v>2200003122</v>
      </c>
      <c r="B487" s="23" t="s">
        <v>2792</v>
      </c>
      <c r="C487" s="24" t="s">
        <v>2037</v>
      </c>
      <c r="D487" s="23" t="s">
        <v>2067</v>
      </c>
      <c r="E487" s="23">
        <v>5108.5</v>
      </c>
      <c r="F487" s="23">
        <v>1</v>
      </c>
      <c r="G487" s="23">
        <v>1</v>
      </c>
      <c r="H487" s="23">
        <v>0</v>
      </c>
      <c r="I487" s="23" t="s">
        <v>5</v>
      </c>
      <c r="J487" s="23" t="s">
        <v>138</v>
      </c>
    </row>
    <row r="488" spans="1:10" s="20" customFormat="1" ht="12" x14ac:dyDescent="0.25">
      <c r="A488" s="22">
        <v>1000098604</v>
      </c>
      <c r="B488" s="23" t="s">
        <v>1609</v>
      </c>
      <c r="C488" s="24" t="s">
        <v>4</v>
      </c>
      <c r="D488" s="23" t="s">
        <v>2090</v>
      </c>
      <c r="E488" s="23">
        <v>5103.6497489919302</v>
      </c>
      <c r="F488" s="23">
        <v>29</v>
      </c>
      <c r="G488" s="23">
        <v>29</v>
      </c>
      <c r="H488" s="23">
        <v>0</v>
      </c>
      <c r="I488" s="23" t="s">
        <v>5</v>
      </c>
      <c r="J488" s="23" t="s">
        <v>327</v>
      </c>
    </row>
    <row r="489" spans="1:10" s="20" customFormat="1" ht="12" x14ac:dyDescent="0.25">
      <c r="A489" s="22">
        <v>1000020553</v>
      </c>
      <c r="B489" s="23" t="s">
        <v>771</v>
      </c>
      <c r="C489" s="24" t="s">
        <v>4</v>
      </c>
      <c r="D489" s="23" t="s">
        <v>2218</v>
      </c>
      <c r="E489" s="23">
        <v>5092.88</v>
      </c>
      <c r="F489" s="23">
        <v>15</v>
      </c>
      <c r="G489" s="23">
        <v>15</v>
      </c>
      <c r="H489" s="23">
        <v>0</v>
      </c>
      <c r="I489" s="23" t="s">
        <v>5</v>
      </c>
      <c r="J489" s="23" t="s">
        <v>327</v>
      </c>
    </row>
    <row r="490" spans="1:10" s="20" customFormat="1" ht="12" x14ac:dyDescent="0.25">
      <c r="A490" s="22">
        <v>1000101041</v>
      </c>
      <c r="B490" s="23" t="s">
        <v>2793</v>
      </c>
      <c r="C490" s="24" t="s">
        <v>4</v>
      </c>
      <c r="D490" s="23" t="s">
        <v>2056</v>
      </c>
      <c r="E490" s="23">
        <v>5082.9416000000001</v>
      </c>
      <c r="F490" s="23">
        <v>53600</v>
      </c>
      <c r="G490" s="23">
        <v>53600</v>
      </c>
      <c r="H490" s="23">
        <v>0</v>
      </c>
      <c r="I490" s="23" t="s">
        <v>5</v>
      </c>
      <c r="J490" s="23" t="s">
        <v>1844</v>
      </c>
    </row>
    <row r="491" spans="1:10" s="20" customFormat="1" ht="12" x14ac:dyDescent="0.25">
      <c r="A491" s="22">
        <v>1000021400</v>
      </c>
      <c r="B491" s="23" t="s">
        <v>1474</v>
      </c>
      <c r="C491" s="24" t="s">
        <v>4</v>
      </c>
      <c r="D491" s="23" t="s">
        <v>2090</v>
      </c>
      <c r="E491" s="23">
        <v>5073.37</v>
      </c>
      <c r="F491" s="23">
        <v>3</v>
      </c>
      <c r="G491" s="23">
        <v>3</v>
      </c>
      <c r="H491" s="23">
        <v>0</v>
      </c>
      <c r="I491" s="23" t="s">
        <v>5</v>
      </c>
      <c r="J491" s="23" t="s">
        <v>327</v>
      </c>
    </row>
    <row r="492" spans="1:10" s="20" customFormat="1" ht="12" x14ac:dyDescent="0.25">
      <c r="A492" s="22">
        <v>1000020687</v>
      </c>
      <c r="B492" s="23" t="s">
        <v>899</v>
      </c>
      <c r="C492" s="24" t="s">
        <v>4</v>
      </c>
      <c r="D492" s="23" t="s">
        <v>2090</v>
      </c>
      <c r="E492" s="23">
        <v>5035.8931812884503</v>
      </c>
      <c r="F492" s="23">
        <v>74</v>
      </c>
      <c r="G492" s="23">
        <v>74</v>
      </c>
      <c r="H492" s="23">
        <v>0</v>
      </c>
      <c r="I492" s="23" t="s">
        <v>5</v>
      </c>
      <c r="J492" s="23" t="s">
        <v>327</v>
      </c>
    </row>
    <row r="493" spans="1:10" s="20" customFormat="1" ht="12" x14ac:dyDescent="0.25">
      <c r="A493" s="22">
        <v>2200000293</v>
      </c>
      <c r="B493" s="23" t="s">
        <v>2796</v>
      </c>
      <c r="C493" s="24" t="s">
        <v>2037</v>
      </c>
      <c r="D493" s="23" t="s">
        <v>2038</v>
      </c>
      <c r="E493" s="23">
        <v>5026.82</v>
      </c>
      <c r="F493" s="23">
        <v>1</v>
      </c>
      <c r="G493" s="23">
        <v>1</v>
      </c>
      <c r="H493" s="23">
        <v>0</v>
      </c>
      <c r="I493" s="23" t="s">
        <v>5</v>
      </c>
      <c r="J493" s="23" t="s">
        <v>146</v>
      </c>
    </row>
    <row r="494" spans="1:10" s="20" customFormat="1" ht="12" x14ac:dyDescent="0.25">
      <c r="A494" s="22">
        <v>1000098715</v>
      </c>
      <c r="B494" s="23" t="s">
        <v>1662</v>
      </c>
      <c r="C494" s="24" t="s">
        <v>4</v>
      </c>
      <c r="D494" s="23" t="s">
        <v>2090</v>
      </c>
      <c r="E494" s="23">
        <v>5013.79</v>
      </c>
      <c r="F494" s="23">
        <v>3</v>
      </c>
      <c r="G494" s="23">
        <v>3</v>
      </c>
      <c r="H494" s="23">
        <v>0</v>
      </c>
      <c r="I494" s="23" t="s">
        <v>5</v>
      </c>
      <c r="J494" s="23" t="s">
        <v>327</v>
      </c>
    </row>
    <row r="495" spans="1:10" s="20" customFormat="1" ht="12" x14ac:dyDescent="0.25">
      <c r="A495" s="22">
        <v>1000098466</v>
      </c>
      <c r="B495" s="23" t="s">
        <v>1541</v>
      </c>
      <c r="C495" s="24" t="s">
        <v>4</v>
      </c>
      <c r="D495" s="23" t="s">
        <v>2090</v>
      </c>
      <c r="E495" s="23">
        <v>5000.7375000000002</v>
      </c>
      <c r="F495" s="23">
        <v>27</v>
      </c>
      <c r="G495" s="23">
        <v>27</v>
      </c>
      <c r="H495" s="23">
        <v>0</v>
      </c>
      <c r="I495" s="23" t="s">
        <v>5</v>
      </c>
      <c r="J495" s="23" t="s">
        <v>327</v>
      </c>
    </row>
    <row r="496" spans="1:10" s="20" customFormat="1" ht="12" x14ac:dyDescent="0.25">
      <c r="A496" s="22">
        <v>2500008078</v>
      </c>
      <c r="B496" s="23" t="s">
        <v>1916</v>
      </c>
      <c r="C496" s="24" t="s">
        <v>1996</v>
      </c>
      <c r="D496" s="23" t="s">
        <v>2025</v>
      </c>
      <c r="E496" s="23">
        <v>4987.6459511999701</v>
      </c>
      <c r="F496" s="23">
        <v>38</v>
      </c>
      <c r="G496" s="23">
        <v>38</v>
      </c>
      <c r="H496" s="23">
        <v>0</v>
      </c>
      <c r="I496" s="23" t="s">
        <v>5</v>
      </c>
      <c r="J496" s="23" t="s">
        <v>1993</v>
      </c>
    </row>
    <row r="497" spans="1:10" s="20" customFormat="1" ht="12" x14ac:dyDescent="0.25">
      <c r="A497" s="22">
        <v>1000102224</v>
      </c>
      <c r="B497" s="23" t="s">
        <v>2798</v>
      </c>
      <c r="C497" s="24" t="s">
        <v>4</v>
      </c>
      <c r="D497" s="23" t="s">
        <v>2090</v>
      </c>
      <c r="E497" s="23">
        <v>4986.9399999999996</v>
      </c>
      <c r="F497" s="23">
        <v>5</v>
      </c>
      <c r="G497" s="23">
        <v>5</v>
      </c>
      <c r="H497" s="23">
        <v>0</v>
      </c>
      <c r="I497" s="23" t="s">
        <v>5</v>
      </c>
      <c r="J497" s="23" t="s">
        <v>327</v>
      </c>
    </row>
    <row r="498" spans="1:10" s="20" customFormat="1" ht="12" x14ac:dyDescent="0.25">
      <c r="A498" s="22">
        <v>1000102779</v>
      </c>
      <c r="B498" s="23" t="s">
        <v>2799</v>
      </c>
      <c r="C498" s="24" t="s">
        <v>4</v>
      </c>
      <c r="D498" s="23" t="s">
        <v>2056</v>
      </c>
      <c r="E498" s="23">
        <v>4981.46368831168</v>
      </c>
      <c r="F498" s="23">
        <v>12</v>
      </c>
      <c r="G498" s="23">
        <v>12</v>
      </c>
      <c r="H498" s="23">
        <v>0</v>
      </c>
      <c r="I498" s="23" t="s">
        <v>5</v>
      </c>
      <c r="J498" s="23" t="s">
        <v>1844</v>
      </c>
    </row>
    <row r="499" spans="1:10" s="20" customFormat="1" ht="12" x14ac:dyDescent="0.25">
      <c r="A499" s="22">
        <v>1000017108</v>
      </c>
      <c r="B499" s="23" t="s">
        <v>2802</v>
      </c>
      <c r="C499" s="24" t="s">
        <v>4</v>
      </c>
      <c r="D499" s="23" t="s">
        <v>2056</v>
      </c>
      <c r="E499" s="23">
        <v>4971.8999999999996</v>
      </c>
      <c r="F499" s="23">
        <v>37500</v>
      </c>
      <c r="G499" s="23">
        <v>37500</v>
      </c>
      <c r="H499" s="23">
        <v>0</v>
      </c>
      <c r="I499" s="23" t="s">
        <v>5</v>
      </c>
      <c r="J499" s="23" t="s">
        <v>1844</v>
      </c>
    </row>
    <row r="500" spans="1:10" s="20" customFormat="1" ht="12" x14ac:dyDescent="0.25">
      <c r="A500" s="22">
        <v>1000100650</v>
      </c>
      <c r="B500" s="23" t="s">
        <v>2803</v>
      </c>
      <c r="C500" s="24" t="s">
        <v>4</v>
      </c>
      <c r="D500" s="23" t="s">
        <v>2056</v>
      </c>
      <c r="E500" s="23">
        <v>4970.5070802919699</v>
      </c>
      <c r="F500" s="23">
        <v>35600</v>
      </c>
      <c r="G500" s="23">
        <v>35600</v>
      </c>
      <c r="H500" s="23">
        <v>0</v>
      </c>
      <c r="I500" s="23" t="s">
        <v>5</v>
      </c>
      <c r="J500" s="23" t="s">
        <v>1844</v>
      </c>
    </row>
    <row r="501" spans="1:10" s="20" customFormat="1" ht="12" x14ac:dyDescent="0.25">
      <c r="A501" s="22">
        <v>1000102214</v>
      </c>
      <c r="B501" s="23" t="s">
        <v>1774</v>
      </c>
      <c r="C501" s="24" t="s">
        <v>4</v>
      </c>
      <c r="D501" s="23" t="s">
        <v>2090</v>
      </c>
      <c r="E501" s="23">
        <v>4943.2299999999996</v>
      </c>
      <c r="F501" s="23">
        <v>1</v>
      </c>
      <c r="G501" s="23">
        <v>1</v>
      </c>
      <c r="H501" s="23">
        <v>0</v>
      </c>
      <c r="I501" s="23" t="s">
        <v>5</v>
      </c>
      <c r="J501" s="23" t="s">
        <v>327</v>
      </c>
    </row>
    <row r="502" spans="1:10" s="20" customFormat="1" ht="12" x14ac:dyDescent="0.25">
      <c r="A502" s="22">
        <v>1000093591</v>
      </c>
      <c r="B502" s="23" t="s">
        <v>2805</v>
      </c>
      <c r="C502" s="24" t="s">
        <v>4</v>
      </c>
      <c r="D502" s="23" t="s">
        <v>2056</v>
      </c>
      <c r="E502" s="23">
        <v>4937.45481002204</v>
      </c>
      <c r="F502" s="23">
        <v>1404</v>
      </c>
      <c r="G502" s="23">
        <v>1404</v>
      </c>
      <c r="H502" s="23">
        <v>0</v>
      </c>
      <c r="I502" s="23" t="s">
        <v>5</v>
      </c>
      <c r="J502" s="23" t="s">
        <v>1844</v>
      </c>
    </row>
    <row r="503" spans="1:10" s="20" customFormat="1" ht="12" x14ac:dyDescent="0.25">
      <c r="A503" s="22">
        <v>1000104097</v>
      </c>
      <c r="B503" s="23" t="s">
        <v>1887</v>
      </c>
      <c r="C503" s="24" t="s">
        <v>4</v>
      </c>
      <c r="D503" s="23" t="s">
        <v>2056</v>
      </c>
      <c r="E503" s="23">
        <v>4928.0840189189103</v>
      </c>
      <c r="F503" s="23">
        <v>980</v>
      </c>
      <c r="G503" s="23">
        <v>980</v>
      </c>
      <c r="H503" s="23">
        <v>0</v>
      </c>
      <c r="I503" s="23" t="s">
        <v>5</v>
      </c>
      <c r="J503" s="23" t="s">
        <v>1844</v>
      </c>
    </row>
    <row r="504" spans="1:10" s="20" customFormat="1" ht="12" x14ac:dyDescent="0.25">
      <c r="A504" s="22">
        <v>1000020965</v>
      </c>
      <c r="B504" s="23" t="s">
        <v>1141</v>
      </c>
      <c r="C504" s="24" t="s">
        <v>4</v>
      </c>
      <c r="D504" s="23" t="s">
        <v>2090</v>
      </c>
      <c r="E504" s="23">
        <v>4908.5</v>
      </c>
      <c r="F504" s="23">
        <v>11</v>
      </c>
      <c r="G504" s="23">
        <v>11</v>
      </c>
      <c r="H504" s="23">
        <v>0</v>
      </c>
      <c r="I504" s="23" t="s">
        <v>5</v>
      </c>
      <c r="J504" s="23" t="s">
        <v>327</v>
      </c>
    </row>
    <row r="505" spans="1:10" s="20" customFormat="1" ht="12" x14ac:dyDescent="0.25">
      <c r="A505" s="22">
        <v>1000017109</v>
      </c>
      <c r="B505" s="23" t="s">
        <v>2806</v>
      </c>
      <c r="C505" s="24" t="s">
        <v>4</v>
      </c>
      <c r="D505" s="23" t="s">
        <v>2056</v>
      </c>
      <c r="E505" s="23">
        <v>4906.2074000000002</v>
      </c>
      <c r="F505" s="23">
        <v>37000</v>
      </c>
      <c r="G505" s="23">
        <v>37000</v>
      </c>
      <c r="H505" s="23">
        <v>0</v>
      </c>
      <c r="I505" s="23" t="s">
        <v>5</v>
      </c>
      <c r="J505" s="23" t="s">
        <v>1844</v>
      </c>
    </row>
    <row r="506" spans="1:10" s="20" customFormat="1" ht="12" x14ac:dyDescent="0.25">
      <c r="A506" s="22">
        <v>1000021005</v>
      </c>
      <c r="B506" s="23" t="s">
        <v>1177</v>
      </c>
      <c r="C506" s="24" t="s">
        <v>4</v>
      </c>
      <c r="D506" s="23" t="s">
        <v>2090</v>
      </c>
      <c r="E506" s="23">
        <v>4900.9977777777704</v>
      </c>
      <c r="F506" s="23">
        <v>29</v>
      </c>
      <c r="G506" s="23">
        <v>29</v>
      </c>
      <c r="H506" s="23">
        <v>0</v>
      </c>
      <c r="I506" s="23" t="s">
        <v>5</v>
      </c>
      <c r="J506" s="23" t="s">
        <v>327</v>
      </c>
    </row>
    <row r="507" spans="1:10" s="20" customFormat="1" ht="12" x14ac:dyDescent="0.25">
      <c r="A507" s="22">
        <v>1000094597</v>
      </c>
      <c r="B507" s="23" t="s">
        <v>2808</v>
      </c>
      <c r="C507" s="24" t="s">
        <v>2027</v>
      </c>
      <c r="D507" s="23" t="s">
        <v>2070</v>
      </c>
      <c r="E507" s="23">
        <v>4896.5200000000004</v>
      </c>
      <c r="F507" s="23">
        <v>2</v>
      </c>
      <c r="G507" s="23">
        <v>2</v>
      </c>
      <c r="H507" s="23">
        <v>0</v>
      </c>
      <c r="I507" s="23" t="s">
        <v>5</v>
      </c>
      <c r="J507" s="23" t="s">
        <v>6</v>
      </c>
    </row>
    <row r="508" spans="1:10" s="20" customFormat="1" ht="12" x14ac:dyDescent="0.25">
      <c r="A508" s="22">
        <v>2500008241</v>
      </c>
      <c r="B508" s="23" t="s">
        <v>2810</v>
      </c>
      <c r="C508" s="24" t="s">
        <v>1996</v>
      </c>
      <c r="D508" s="23" t="s">
        <v>2811</v>
      </c>
      <c r="E508" s="23">
        <v>4876.6857142857098</v>
      </c>
      <c r="F508" s="23">
        <v>7</v>
      </c>
      <c r="G508" s="23">
        <v>7</v>
      </c>
      <c r="H508" s="23">
        <v>0</v>
      </c>
      <c r="I508" s="23" t="s">
        <v>5</v>
      </c>
      <c r="J508" s="23" t="s">
        <v>1993</v>
      </c>
    </row>
    <row r="509" spans="1:10" s="20" customFormat="1" ht="12" x14ac:dyDescent="0.25">
      <c r="A509" s="22">
        <v>1000101988</v>
      </c>
      <c r="B509" s="23" t="s">
        <v>2812</v>
      </c>
      <c r="C509" s="24" t="s">
        <v>4</v>
      </c>
      <c r="D509" s="23" t="s">
        <v>2056</v>
      </c>
      <c r="E509" s="23">
        <v>4865.08</v>
      </c>
      <c r="F509" s="23">
        <v>203</v>
      </c>
      <c r="G509" s="23">
        <v>203</v>
      </c>
      <c r="H509" s="23">
        <v>0</v>
      </c>
      <c r="I509" s="23" t="s">
        <v>5</v>
      </c>
      <c r="J509" s="23" t="s">
        <v>1844</v>
      </c>
    </row>
    <row r="510" spans="1:10" s="20" customFormat="1" ht="12" x14ac:dyDescent="0.25">
      <c r="A510" s="22">
        <v>1000100921</v>
      </c>
      <c r="B510" s="23" t="s">
        <v>2813</v>
      </c>
      <c r="C510" s="24" t="s">
        <v>4</v>
      </c>
      <c r="D510" s="23" t="s">
        <v>2056</v>
      </c>
      <c r="E510" s="23">
        <v>4860.8</v>
      </c>
      <c r="F510" s="23">
        <v>50000</v>
      </c>
      <c r="G510" s="23">
        <v>50000</v>
      </c>
      <c r="H510" s="23">
        <v>0</v>
      </c>
      <c r="I510" s="23" t="s">
        <v>5</v>
      </c>
      <c r="J510" s="23" t="s">
        <v>1844</v>
      </c>
    </row>
    <row r="511" spans="1:10" s="20" customFormat="1" ht="12" x14ac:dyDescent="0.25">
      <c r="A511" s="22">
        <v>1000100922</v>
      </c>
      <c r="B511" s="23" t="s">
        <v>2814</v>
      </c>
      <c r="C511" s="24" t="s">
        <v>4</v>
      </c>
      <c r="D511" s="23" t="s">
        <v>2056</v>
      </c>
      <c r="E511" s="23">
        <v>4860.8</v>
      </c>
      <c r="F511" s="23">
        <v>50000</v>
      </c>
      <c r="G511" s="23">
        <v>50000</v>
      </c>
      <c r="H511" s="23">
        <v>0</v>
      </c>
      <c r="I511" s="23" t="s">
        <v>5</v>
      </c>
      <c r="J511" s="23" t="s">
        <v>1844</v>
      </c>
    </row>
    <row r="512" spans="1:10" s="20" customFormat="1" ht="12" x14ac:dyDescent="0.25">
      <c r="A512" s="22">
        <v>1000100916</v>
      </c>
      <c r="B512" s="23" t="s">
        <v>2815</v>
      </c>
      <c r="C512" s="24" t="s">
        <v>4</v>
      </c>
      <c r="D512" s="23" t="s">
        <v>2056</v>
      </c>
      <c r="E512" s="23">
        <v>4860.8</v>
      </c>
      <c r="F512" s="23">
        <v>50000</v>
      </c>
      <c r="G512" s="23">
        <v>50000</v>
      </c>
      <c r="H512" s="23">
        <v>0</v>
      </c>
      <c r="I512" s="23" t="s">
        <v>5</v>
      </c>
      <c r="J512" s="23" t="s">
        <v>1844</v>
      </c>
    </row>
    <row r="513" spans="1:10" s="20" customFormat="1" ht="12" x14ac:dyDescent="0.25">
      <c r="A513" s="22">
        <v>1000100919</v>
      </c>
      <c r="B513" s="23" t="s">
        <v>2816</v>
      </c>
      <c r="C513" s="24" t="s">
        <v>4</v>
      </c>
      <c r="D513" s="23" t="s">
        <v>2056</v>
      </c>
      <c r="E513" s="23">
        <v>4860.8</v>
      </c>
      <c r="F513" s="23">
        <v>50000</v>
      </c>
      <c r="G513" s="23">
        <v>50000</v>
      </c>
      <c r="H513" s="23">
        <v>0</v>
      </c>
      <c r="I513" s="23" t="s">
        <v>5</v>
      </c>
      <c r="J513" s="23" t="s">
        <v>1844</v>
      </c>
    </row>
    <row r="514" spans="1:10" s="20" customFormat="1" ht="12" x14ac:dyDescent="0.25">
      <c r="A514" s="22">
        <v>1000100920</v>
      </c>
      <c r="B514" s="23" t="s">
        <v>2817</v>
      </c>
      <c r="C514" s="24" t="s">
        <v>4</v>
      </c>
      <c r="D514" s="23" t="s">
        <v>2056</v>
      </c>
      <c r="E514" s="23">
        <v>4860.8</v>
      </c>
      <c r="F514" s="23">
        <v>50000</v>
      </c>
      <c r="G514" s="23">
        <v>50000</v>
      </c>
      <c r="H514" s="23">
        <v>0</v>
      </c>
      <c r="I514" s="23" t="s">
        <v>5</v>
      </c>
      <c r="J514" s="23" t="s">
        <v>1844</v>
      </c>
    </row>
    <row r="515" spans="1:10" s="20" customFormat="1" ht="12" x14ac:dyDescent="0.25">
      <c r="A515" s="22">
        <v>1000100918</v>
      </c>
      <c r="B515" s="23" t="s">
        <v>2818</v>
      </c>
      <c r="C515" s="24" t="s">
        <v>4</v>
      </c>
      <c r="D515" s="23" t="s">
        <v>2056</v>
      </c>
      <c r="E515" s="23">
        <v>4860.8</v>
      </c>
      <c r="F515" s="23">
        <v>50000</v>
      </c>
      <c r="G515" s="23">
        <v>50000</v>
      </c>
      <c r="H515" s="23">
        <v>0</v>
      </c>
      <c r="I515" s="23" t="s">
        <v>5</v>
      </c>
      <c r="J515" s="23" t="s">
        <v>1844</v>
      </c>
    </row>
    <row r="516" spans="1:10" s="20" customFormat="1" ht="12" x14ac:dyDescent="0.25">
      <c r="A516" s="22">
        <v>1000100917</v>
      </c>
      <c r="B516" s="23" t="s">
        <v>2819</v>
      </c>
      <c r="C516" s="24" t="s">
        <v>4</v>
      </c>
      <c r="D516" s="23" t="s">
        <v>2056</v>
      </c>
      <c r="E516" s="23">
        <v>4860.8</v>
      </c>
      <c r="F516" s="23">
        <v>50000</v>
      </c>
      <c r="G516" s="23">
        <v>50000</v>
      </c>
      <c r="H516" s="23">
        <v>0</v>
      </c>
      <c r="I516" s="23" t="s">
        <v>5</v>
      </c>
      <c r="J516" s="23" t="s">
        <v>1844</v>
      </c>
    </row>
    <row r="517" spans="1:10" s="20" customFormat="1" ht="12" x14ac:dyDescent="0.25">
      <c r="A517" s="22">
        <v>1000020498</v>
      </c>
      <c r="B517" s="23" t="s">
        <v>723</v>
      </c>
      <c r="C517" s="24" t="s">
        <v>4</v>
      </c>
      <c r="D517" s="23" t="s">
        <v>2090</v>
      </c>
      <c r="E517" s="23">
        <v>4842.5898058252396</v>
      </c>
      <c r="F517" s="23">
        <v>99</v>
      </c>
      <c r="G517" s="23">
        <v>99</v>
      </c>
      <c r="H517" s="23">
        <v>0</v>
      </c>
      <c r="I517" s="23" t="s">
        <v>5</v>
      </c>
      <c r="J517" s="23" t="s">
        <v>327</v>
      </c>
    </row>
    <row r="518" spans="1:10" s="20" customFormat="1" ht="12" x14ac:dyDescent="0.25">
      <c r="A518" s="22">
        <v>1000104995</v>
      </c>
      <c r="B518" s="23" t="s">
        <v>2821</v>
      </c>
      <c r="C518" s="24" t="s">
        <v>4</v>
      </c>
      <c r="D518" s="23" t="s">
        <v>2161</v>
      </c>
      <c r="E518" s="23">
        <v>4837.83</v>
      </c>
      <c r="F518" s="23">
        <v>20</v>
      </c>
      <c r="G518" s="23">
        <v>20</v>
      </c>
      <c r="H518" s="23">
        <v>0</v>
      </c>
      <c r="I518" s="23" t="s">
        <v>5</v>
      </c>
      <c r="J518" s="23" t="s">
        <v>111</v>
      </c>
    </row>
    <row r="519" spans="1:10" s="20" customFormat="1" ht="12" x14ac:dyDescent="0.25">
      <c r="A519" s="22">
        <v>1000020861</v>
      </c>
      <c r="B519" s="23" t="s">
        <v>1050</v>
      </c>
      <c r="C519" s="24" t="s">
        <v>4</v>
      </c>
      <c r="D519" s="23" t="s">
        <v>2090</v>
      </c>
      <c r="E519" s="23">
        <v>4820.3999999999996</v>
      </c>
      <c r="F519" s="23">
        <v>13</v>
      </c>
      <c r="G519" s="23">
        <v>13</v>
      </c>
      <c r="H519" s="23">
        <v>0</v>
      </c>
      <c r="I519" s="23" t="s">
        <v>5</v>
      </c>
      <c r="J519" s="23" t="s">
        <v>327</v>
      </c>
    </row>
    <row r="520" spans="1:10" s="20" customFormat="1" ht="12" x14ac:dyDescent="0.25">
      <c r="A520" s="22">
        <v>1000100915</v>
      </c>
      <c r="B520" s="23" t="s">
        <v>2824</v>
      </c>
      <c r="C520" s="24" t="s">
        <v>4</v>
      </c>
      <c r="D520" s="23" t="s">
        <v>2056</v>
      </c>
      <c r="E520" s="23">
        <v>4812.192</v>
      </c>
      <c r="F520" s="23">
        <v>49500</v>
      </c>
      <c r="G520" s="23">
        <v>49500</v>
      </c>
      <c r="H520" s="23">
        <v>0</v>
      </c>
      <c r="I520" s="23" t="s">
        <v>5</v>
      </c>
      <c r="J520" s="23" t="s">
        <v>1844</v>
      </c>
    </row>
    <row r="521" spans="1:10" s="20" customFormat="1" ht="12" x14ac:dyDescent="0.25">
      <c r="A521" s="22">
        <v>1000095429</v>
      </c>
      <c r="B521" s="23" t="s">
        <v>2825</v>
      </c>
      <c r="C521" s="24" t="s">
        <v>4</v>
      </c>
      <c r="D521" s="23" t="s">
        <v>2090</v>
      </c>
      <c r="E521" s="23">
        <v>4806</v>
      </c>
      <c r="F521" s="23">
        <v>4</v>
      </c>
      <c r="G521" s="23">
        <v>4</v>
      </c>
      <c r="H521" s="23">
        <v>0</v>
      </c>
      <c r="I521" s="23" t="s">
        <v>5</v>
      </c>
      <c r="J521" s="23" t="s">
        <v>327</v>
      </c>
    </row>
    <row r="522" spans="1:10" s="20" customFormat="1" ht="12" x14ac:dyDescent="0.25">
      <c r="A522" s="22">
        <v>1000021227</v>
      </c>
      <c r="B522" s="23" t="s">
        <v>1373</v>
      </c>
      <c r="C522" s="24" t="s">
        <v>4</v>
      </c>
      <c r="D522" s="23" t="s">
        <v>2090</v>
      </c>
      <c r="E522" s="23">
        <v>4794.1642769230702</v>
      </c>
      <c r="F522" s="23">
        <v>22</v>
      </c>
      <c r="G522" s="23">
        <v>22</v>
      </c>
      <c r="H522" s="23">
        <v>0</v>
      </c>
      <c r="I522" s="23" t="s">
        <v>5</v>
      </c>
      <c r="J522" s="23" t="s">
        <v>327</v>
      </c>
    </row>
    <row r="523" spans="1:10" s="20" customFormat="1" ht="12" x14ac:dyDescent="0.25">
      <c r="A523" s="22">
        <v>1000021269</v>
      </c>
      <c r="B523" s="23" t="s">
        <v>1409</v>
      </c>
      <c r="C523" s="24" t="s">
        <v>4</v>
      </c>
      <c r="D523" s="23" t="s">
        <v>2090</v>
      </c>
      <c r="E523" s="23">
        <v>4789.9236666666602</v>
      </c>
      <c r="F523" s="23">
        <v>22</v>
      </c>
      <c r="G523" s="23">
        <v>22</v>
      </c>
      <c r="H523" s="23">
        <v>0</v>
      </c>
      <c r="I523" s="23" t="s">
        <v>5</v>
      </c>
      <c r="J523" s="23" t="s">
        <v>327</v>
      </c>
    </row>
    <row r="524" spans="1:10" s="20" customFormat="1" ht="12" x14ac:dyDescent="0.25">
      <c r="A524" s="22">
        <v>1000102219</v>
      </c>
      <c r="B524" s="23" t="s">
        <v>2827</v>
      </c>
      <c r="C524" s="24" t="s">
        <v>4</v>
      </c>
      <c r="D524" s="23" t="s">
        <v>2090</v>
      </c>
      <c r="E524" s="23">
        <v>4789.6549999999997</v>
      </c>
      <c r="F524" s="23">
        <v>4</v>
      </c>
      <c r="G524" s="23">
        <v>4</v>
      </c>
      <c r="H524" s="23">
        <v>0</v>
      </c>
      <c r="I524" s="23" t="s">
        <v>5</v>
      </c>
      <c r="J524" s="23" t="s">
        <v>327</v>
      </c>
    </row>
    <row r="525" spans="1:10" s="20" customFormat="1" ht="12" x14ac:dyDescent="0.25">
      <c r="A525" s="22">
        <v>1000021260</v>
      </c>
      <c r="B525" s="23" t="s">
        <v>1404</v>
      </c>
      <c r="C525" s="24" t="s">
        <v>4</v>
      </c>
      <c r="D525" s="23" t="s">
        <v>2090</v>
      </c>
      <c r="E525" s="23">
        <v>4785.1000000000004</v>
      </c>
      <c r="F525" s="23">
        <v>5</v>
      </c>
      <c r="G525" s="23">
        <v>5</v>
      </c>
      <c r="H525" s="23">
        <v>0</v>
      </c>
      <c r="I525" s="23" t="s">
        <v>5</v>
      </c>
      <c r="J525" s="23" t="s">
        <v>327</v>
      </c>
    </row>
    <row r="526" spans="1:10" s="20" customFormat="1" ht="12" x14ac:dyDescent="0.25">
      <c r="A526" s="22">
        <v>1000002878</v>
      </c>
      <c r="B526" s="23" t="s">
        <v>13</v>
      </c>
      <c r="C526" s="24" t="s">
        <v>2109</v>
      </c>
      <c r="D526" s="23" t="s">
        <v>2035</v>
      </c>
      <c r="E526" s="23">
        <v>4781.5563333333303</v>
      </c>
      <c r="F526" s="23">
        <v>2</v>
      </c>
      <c r="G526" s="23">
        <v>2</v>
      </c>
      <c r="H526" s="23">
        <v>0</v>
      </c>
      <c r="I526" s="23" t="s">
        <v>5</v>
      </c>
      <c r="J526" s="23" t="s">
        <v>6</v>
      </c>
    </row>
    <row r="527" spans="1:10" s="20" customFormat="1" ht="12" x14ac:dyDescent="0.25">
      <c r="A527" s="22">
        <v>1000100914</v>
      </c>
      <c r="B527" s="23" t="s">
        <v>2828</v>
      </c>
      <c r="C527" s="24" t="s">
        <v>4</v>
      </c>
      <c r="D527" s="23" t="s">
        <v>2056</v>
      </c>
      <c r="E527" s="23">
        <v>4763.5839999999998</v>
      </c>
      <c r="F527" s="23">
        <v>49000</v>
      </c>
      <c r="G527" s="23">
        <v>49000</v>
      </c>
      <c r="H527" s="23">
        <v>0</v>
      </c>
      <c r="I527" s="23" t="s">
        <v>5</v>
      </c>
      <c r="J527" s="23" t="s">
        <v>1844</v>
      </c>
    </row>
    <row r="528" spans="1:10" s="20" customFormat="1" ht="12" x14ac:dyDescent="0.25">
      <c r="A528" s="22">
        <v>1000102226</v>
      </c>
      <c r="B528" s="23" t="s">
        <v>2829</v>
      </c>
      <c r="C528" s="24" t="s">
        <v>4</v>
      </c>
      <c r="D528" s="23" t="s">
        <v>2090</v>
      </c>
      <c r="E528" s="23">
        <v>4761.3374999999996</v>
      </c>
      <c r="F528" s="23">
        <v>1</v>
      </c>
      <c r="G528" s="23">
        <v>1</v>
      </c>
      <c r="H528" s="23">
        <v>0</v>
      </c>
      <c r="I528" s="23" t="s">
        <v>5</v>
      </c>
      <c r="J528" s="23" t="s">
        <v>327</v>
      </c>
    </row>
    <row r="529" spans="1:10" s="20" customFormat="1" ht="12" x14ac:dyDescent="0.25">
      <c r="A529" s="22">
        <v>2500008417</v>
      </c>
      <c r="B529" s="23" t="s">
        <v>2830</v>
      </c>
      <c r="C529" s="24" t="s">
        <v>1996</v>
      </c>
      <c r="D529" s="23" t="s">
        <v>2025</v>
      </c>
      <c r="E529" s="23">
        <v>4751.65625</v>
      </c>
      <c r="F529" s="23">
        <v>2</v>
      </c>
      <c r="G529" s="23">
        <v>2</v>
      </c>
      <c r="H529" s="23">
        <v>0</v>
      </c>
      <c r="I529" s="23" t="s">
        <v>5</v>
      </c>
      <c r="J529" s="23" t="s">
        <v>1993</v>
      </c>
    </row>
    <row r="530" spans="1:10" s="20" customFormat="1" ht="12" x14ac:dyDescent="0.25">
      <c r="A530" s="22">
        <v>1000020509</v>
      </c>
      <c r="B530" s="23" t="s">
        <v>732</v>
      </c>
      <c r="C530" s="24" t="s">
        <v>4</v>
      </c>
      <c r="D530" s="23" t="s">
        <v>2090</v>
      </c>
      <c r="E530" s="23">
        <v>4696.45232142857</v>
      </c>
      <c r="F530" s="23">
        <v>54</v>
      </c>
      <c r="G530" s="23">
        <v>54</v>
      </c>
      <c r="H530" s="23">
        <v>0</v>
      </c>
      <c r="I530" s="23" t="s">
        <v>5</v>
      </c>
      <c r="J530" s="23" t="s">
        <v>327</v>
      </c>
    </row>
    <row r="531" spans="1:10" s="20" customFormat="1" ht="12" x14ac:dyDescent="0.25">
      <c r="A531" s="22">
        <v>1000103074</v>
      </c>
      <c r="B531" s="23" t="s">
        <v>2836</v>
      </c>
      <c r="C531" s="24" t="s">
        <v>4</v>
      </c>
      <c r="D531" s="23" t="s">
        <v>2090</v>
      </c>
      <c r="E531" s="23">
        <v>4676.3999999999996</v>
      </c>
      <c r="F531" s="23">
        <v>10</v>
      </c>
      <c r="G531" s="23">
        <v>10</v>
      </c>
      <c r="H531" s="23">
        <v>0</v>
      </c>
      <c r="I531" s="23" t="s">
        <v>5</v>
      </c>
      <c r="J531" s="23" t="s">
        <v>327</v>
      </c>
    </row>
    <row r="532" spans="1:10" s="20" customFormat="1" ht="12" x14ac:dyDescent="0.25">
      <c r="A532" s="22">
        <v>1000020800</v>
      </c>
      <c r="B532" s="23" t="s">
        <v>1004</v>
      </c>
      <c r="C532" s="24" t="s">
        <v>4</v>
      </c>
      <c r="D532" s="23" t="s">
        <v>2090</v>
      </c>
      <c r="E532" s="23">
        <v>4663.7879166666598</v>
      </c>
      <c r="F532" s="23">
        <v>24</v>
      </c>
      <c r="G532" s="23">
        <v>18</v>
      </c>
      <c r="H532" s="23">
        <v>6</v>
      </c>
      <c r="I532" s="23" t="s">
        <v>71</v>
      </c>
      <c r="J532" s="23" t="s">
        <v>327</v>
      </c>
    </row>
    <row r="533" spans="1:10" s="20" customFormat="1" ht="12" x14ac:dyDescent="0.25">
      <c r="A533" s="22">
        <v>1000021270</v>
      </c>
      <c r="B533" s="23" t="s">
        <v>1410</v>
      </c>
      <c r="C533" s="24" t="s">
        <v>4</v>
      </c>
      <c r="D533" s="23" t="s">
        <v>2090</v>
      </c>
      <c r="E533" s="23">
        <v>4650</v>
      </c>
      <c r="F533" s="23">
        <v>20</v>
      </c>
      <c r="G533" s="23">
        <v>20</v>
      </c>
      <c r="H533" s="23">
        <v>0</v>
      </c>
      <c r="I533" s="23" t="s">
        <v>5</v>
      </c>
      <c r="J533" s="23" t="s">
        <v>327</v>
      </c>
    </row>
    <row r="534" spans="1:10" s="20" customFormat="1" ht="12" x14ac:dyDescent="0.25">
      <c r="A534" s="22">
        <v>1000100386</v>
      </c>
      <c r="B534" s="23" t="s">
        <v>1716</v>
      </c>
      <c r="C534" s="24" t="s">
        <v>4</v>
      </c>
      <c r="D534" s="23" t="s">
        <v>2090</v>
      </c>
      <c r="E534" s="23">
        <v>4638.0375000000004</v>
      </c>
      <c r="F534" s="23">
        <v>1</v>
      </c>
      <c r="G534" s="23">
        <v>1</v>
      </c>
      <c r="H534" s="23">
        <v>0</v>
      </c>
      <c r="I534" s="23" t="s">
        <v>5</v>
      </c>
      <c r="J534" s="23" t="s">
        <v>327</v>
      </c>
    </row>
    <row r="535" spans="1:10" s="20" customFormat="1" ht="12" x14ac:dyDescent="0.25">
      <c r="A535" s="22">
        <v>2700000061</v>
      </c>
      <c r="B535" s="23" t="s">
        <v>242</v>
      </c>
      <c r="C535" s="24" t="s">
        <v>2037</v>
      </c>
      <c r="D535" s="23" t="s">
        <v>2038</v>
      </c>
      <c r="E535" s="23">
        <v>4604.3034782608602</v>
      </c>
      <c r="F535" s="23">
        <v>23</v>
      </c>
      <c r="G535" s="23">
        <v>23</v>
      </c>
      <c r="H535" s="23">
        <v>0</v>
      </c>
      <c r="I535" s="23" t="s">
        <v>5</v>
      </c>
      <c r="J535" s="23" t="s">
        <v>138</v>
      </c>
    </row>
    <row r="536" spans="1:10" s="20" customFormat="1" ht="12" x14ac:dyDescent="0.25">
      <c r="A536" s="22">
        <v>1000108321</v>
      </c>
      <c r="B536" s="23" t="s">
        <v>1834</v>
      </c>
      <c r="C536" s="24" t="s">
        <v>4</v>
      </c>
      <c r="D536" s="23" t="s">
        <v>2090</v>
      </c>
      <c r="E536" s="23">
        <v>4582.5</v>
      </c>
      <c r="F536" s="23">
        <v>8</v>
      </c>
      <c r="G536" s="23">
        <v>8</v>
      </c>
      <c r="H536" s="23">
        <v>0</v>
      </c>
      <c r="I536" s="23" t="s">
        <v>5</v>
      </c>
      <c r="J536" s="23" t="s">
        <v>327</v>
      </c>
    </row>
    <row r="537" spans="1:10" s="20" customFormat="1" ht="12" x14ac:dyDescent="0.25">
      <c r="A537" s="22">
        <v>1000101362</v>
      </c>
      <c r="B537" s="23" t="s">
        <v>2839</v>
      </c>
      <c r="C537" s="24" t="s">
        <v>4</v>
      </c>
      <c r="D537" s="23" t="s">
        <v>2056</v>
      </c>
      <c r="E537" s="23">
        <v>4570.7856774025804</v>
      </c>
      <c r="F537" s="23">
        <v>1410</v>
      </c>
      <c r="G537" s="23">
        <v>1410</v>
      </c>
      <c r="H537" s="23">
        <v>0</v>
      </c>
      <c r="I537" s="23" t="s">
        <v>5</v>
      </c>
      <c r="J537" s="23" t="s">
        <v>1844</v>
      </c>
    </row>
    <row r="538" spans="1:10" s="20" customFormat="1" ht="12" x14ac:dyDescent="0.25">
      <c r="A538" s="22">
        <v>1000100912</v>
      </c>
      <c r="B538" s="23" t="s">
        <v>2840</v>
      </c>
      <c r="C538" s="24" t="s">
        <v>4</v>
      </c>
      <c r="D538" s="23" t="s">
        <v>2056</v>
      </c>
      <c r="E538" s="23">
        <v>4552.3221326643697</v>
      </c>
      <c r="F538" s="23">
        <v>2074</v>
      </c>
      <c r="G538" s="23">
        <v>2074</v>
      </c>
      <c r="H538" s="23">
        <v>0</v>
      </c>
      <c r="I538" s="23" t="s">
        <v>5</v>
      </c>
      <c r="J538" s="23" t="s">
        <v>1844</v>
      </c>
    </row>
    <row r="539" spans="1:10" s="20" customFormat="1" ht="12" x14ac:dyDescent="0.25">
      <c r="A539" s="22">
        <v>1000106119</v>
      </c>
      <c r="B539" s="23" t="s">
        <v>2657</v>
      </c>
      <c r="C539" s="24" t="s">
        <v>4</v>
      </c>
      <c r="D539" s="23" t="s">
        <v>2161</v>
      </c>
      <c r="E539" s="23">
        <v>4539.91</v>
      </c>
      <c r="F539" s="23">
        <v>5</v>
      </c>
      <c r="G539" s="23">
        <v>5</v>
      </c>
      <c r="H539" s="23">
        <v>0</v>
      </c>
      <c r="I539" s="23" t="s">
        <v>5</v>
      </c>
      <c r="J539" s="23" t="s">
        <v>111</v>
      </c>
    </row>
    <row r="540" spans="1:10" s="20" customFormat="1" ht="12" x14ac:dyDescent="0.25">
      <c r="A540" s="22">
        <v>1000020477</v>
      </c>
      <c r="B540" s="23" t="s">
        <v>703</v>
      </c>
      <c r="C540" s="24" t="s">
        <v>4</v>
      </c>
      <c r="D540" s="23" t="s">
        <v>2090</v>
      </c>
      <c r="E540" s="23">
        <v>4525.4070999211599</v>
      </c>
      <c r="F540" s="23">
        <v>165</v>
      </c>
      <c r="G540" s="23">
        <v>165</v>
      </c>
      <c r="H540" s="23">
        <v>0</v>
      </c>
      <c r="I540" s="23" t="s">
        <v>14</v>
      </c>
      <c r="J540" s="23" t="s">
        <v>327</v>
      </c>
    </row>
    <row r="541" spans="1:10" s="20" customFormat="1" ht="12" x14ac:dyDescent="0.25">
      <c r="A541" s="22">
        <v>1000021113</v>
      </c>
      <c r="B541" s="23" t="s">
        <v>1274</v>
      </c>
      <c r="C541" s="24" t="s">
        <v>4</v>
      </c>
      <c r="D541" s="23" t="s">
        <v>2090</v>
      </c>
      <c r="E541" s="23">
        <v>4521.3782142857099</v>
      </c>
      <c r="F541" s="23">
        <v>9</v>
      </c>
      <c r="G541" s="23">
        <v>9</v>
      </c>
      <c r="H541" s="23">
        <v>0</v>
      </c>
      <c r="I541" s="23" t="s">
        <v>5</v>
      </c>
      <c r="J541" s="23" t="s">
        <v>327</v>
      </c>
    </row>
    <row r="542" spans="1:10" s="20" customFormat="1" ht="12" x14ac:dyDescent="0.25">
      <c r="A542" s="22">
        <v>1000103891</v>
      </c>
      <c r="B542" s="23" t="s">
        <v>2841</v>
      </c>
      <c r="C542" s="24" t="s">
        <v>4</v>
      </c>
      <c r="D542" s="23" t="s">
        <v>2161</v>
      </c>
      <c r="E542" s="23">
        <v>4521</v>
      </c>
      <c r="F542" s="23">
        <v>10</v>
      </c>
      <c r="G542" s="23">
        <v>10</v>
      </c>
      <c r="H542" s="23">
        <v>0</v>
      </c>
      <c r="I542" s="23" t="s">
        <v>5</v>
      </c>
      <c r="J542" s="23" t="s">
        <v>111</v>
      </c>
    </row>
    <row r="543" spans="1:10" s="20" customFormat="1" ht="12" x14ac:dyDescent="0.25">
      <c r="A543" s="22">
        <v>1000098469</v>
      </c>
      <c r="B543" s="23" t="s">
        <v>330</v>
      </c>
      <c r="C543" s="24" t="s">
        <v>4</v>
      </c>
      <c r="D543" s="23" t="s">
        <v>2090</v>
      </c>
      <c r="E543" s="23">
        <v>4502.4719999999998</v>
      </c>
      <c r="F543" s="23">
        <v>8</v>
      </c>
      <c r="G543" s="23">
        <v>8</v>
      </c>
      <c r="H543" s="23">
        <v>0</v>
      </c>
      <c r="I543" s="23" t="s">
        <v>5</v>
      </c>
      <c r="J543" s="23" t="s">
        <v>327</v>
      </c>
    </row>
    <row r="544" spans="1:10" s="20" customFormat="1" ht="12" x14ac:dyDescent="0.25">
      <c r="A544" s="22">
        <v>1000021494</v>
      </c>
      <c r="B544" s="23" t="s">
        <v>1497</v>
      </c>
      <c r="C544" s="24" t="s">
        <v>4</v>
      </c>
      <c r="D544" s="23" t="s">
        <v>2090</v>
      </c>
      <c r="E544" s="23">
        <v>4491.04</v>
      </c>
      <c r="F544" s="23">
        <v>3</v>
      </c>
      <c r="G544" s="23">
        <v>3</v>
      </c>
      <c r="H544" s="23">
        <v>0</v>
      </c>
      <c r="I544" s="23" t="s">
        <v>5</v>
      </c>
      <c r="J544" s="23" t="s">
        <v>327</v>
      </c>
    </row>
    <row r="545" spans="1:10" s="20" customFormat="1" ht="12" x14ac:dyDescent="0.25">
      <c r="A545" s="22">
        <v>1000098547</v>
      </c>
      <c r="B545" s="23" t="s">
        <v>1578</v>
      </c>
      <c r="C545" s="24" t="s">
        <v>4</v>
      </c>
      <c r="D545" s="23" t="s">
        <v>2090</v>
      </c>
      <c r="E545" s="23">
        <v>4489.1400000000003</v>
      </c>
      <c r="F545" s="23">
        <v>5</v>
      </c>
      <c r="G545" s="23">
        <v>5</v>
      </c>
      <c r="H545" s="23">
        <v>0</v>
      </c>
      <c r="I545" s="23" t="s">
        <v>5</v>
      </c>
      <c r="J545" s="23" t="s">
        <v>327</v>
      </c>
    </row>
    <row r="546" spans="1:10" s="20" customFormat="1" ht="12" x14ac:dyDescent="0.25">
      <c r="A546" s="22">
        <v>1000093578</v>
      </c>
      <c r="B546" s="23" t="s">
        <v>2848</v>
      </c>
      <c r="C546" s="24" t="s">
        <v>4</v>
      </c>
      <c r="D546" s="23" t="s">
        <v>2056</v>
      </c>
      <c r="E546" s="23">
        <v>4488.6096163348702</v>
      </c>
      <c r="F546" s="23">
        <v>8473</v>
      </c>
      <c r="G546" s="23">
        <v>8473</v>
      </c>
      <c r="H546" s="23">
        <v>0</v>
      </c>
      <c r="I546" s="23" t="s">
        <v>5</v>
      </c>
      <c r="J546" s="23" t="s">
        <v>1844</v>
      </c>
    </row>
    <row r="547" spans="1:10" s="20" customFormat="1" ht="12" x14ac:dyDescent="0.25">
      <c r="A547" s="22">
        <v>1000100924</v>
      </c>
      <c r="B547" s="23" t="s">
        <v>2849</v>
      </c>
      <c r="C547" s="24" t="s">
        <v>4</v>
      </c>
      <c r="D547" s="23" t="s">
        <v>2056</v>
      </c>
      <c r="E547" s="23">
        <v>4471.9359999999997</v>
      </c>
      <c r="F547" s="23">
        <v>46000</v>
      </c>
      <c r="G547" s="23">
        <v>46000</v>
      </c>
      <c r="H547" s="23">
        <v>0</v>
      </c>
      <c r="I547" s="23" t="s">
        <v>5</v>
      </c>
      <c r="J547" s="23" t="s">
        <v>1844</v>
      </c>
    </row>
    <row r="548" spans="1:10" s="20" customFormat="1" ht="12" x14ac:dyDescent="0.25">
      <c r="A548" s="22">
        <v>1000021132</v>
      </c>
      <c r="B548" s="23" t="s">
        <v>1286</v>
      </c>
      <c r="C548" s="24" t="s">
        <v>4</v>
      </c>
      <c r="D548" s="23" t="s">
        <v>2090</v>
      </c>
      <c r="E548" s="23">
        <v>4462.5</v>
      </c>
      <c r="F548" s="23">
        <v>8</v>
      </c>
      <c r="G548" s="23">
        <v>8</v>
      </c>
      <c r="H548" s="23">
        <v>0</v>
      </c>
      <c r="I548" s="23" t="s">
        <v>5</v>
      </c>
      <c r="J548" s="23" t="s">
        <v>327</v>
      </c>
    </row>
    <row r="549" spans="1:10" s="20" customFormat="1" ht="12" x14ac:dyDescent="0.25">
      <c r="A549" s="22">
        <v>1000102778</v>
      </c>
      <c r="B549" s="23" t="s">
        <v>2850</v>
      </c>
      <c r="C549" s="24" t="s">
        <v>4</v>
      </c>
      <c r="D549" s="23" t="s">
        <v>2056</v>
      </c>
      <c r="E549" s="23">
        <v>4446.45</v>
      </c>
      <c r="F549" s="23">
        <v>150</v>
      </c>
      <c r="G549" s="23">
        <v>150</v>
      </c>
      <c r="H549" s="23">
        <v>0</v>
      </c>
      <c r="I549" s="23" t="s">
        <v>5</v>
      </c>
      <c r="J549" s="23" t="s">
        <v>1844</v>
      </c>
    </row>
    <row r="550" spans="1:10" s="20" customFormat="1" ht="12" x14ac:dyDescent="0.25">
      <c r="A550" s="22">
        <v>1000095827</v>
      </c>
      <c r="B550" s="23" t="s">
        <v>2851</v>
      </c>
      <c r="C550" s="24" t="s">
        <v>4</v>
      </c>
      <c r="D550" s="23" t="s">
        <v>2056</v>
      </c>
      <c r="E550" s="23">
        <v>4437.2554399814999</v>
      </c>
      <c r="F550" s="23">
        <v>514</v>
      </c>
      <c r="G550" s="23">
        <v>514</v>
      </c>
      <c r="H550" s="23">
        <v>0</v>
      </c>
      <c r="I550" s="23" t="s">
        <v>5</v>
      </c>
      <c r="J550" s="23" t="s">
        <v>1844</v>
      </c>
    </row>
    <row r="551" spans="1:10" s="20" customFormat="1" ht="12" x14ac:dyDescent="0.25">
      <c r="A551" s="22">
        <v>1000020730</v>
      </c>
      <c r="B551" s="23" t="s">
        <v>938</v>
      </c>
      <c r="C551" s="24" t="s">
        <v>4</v>
      </c>
      <c r="D551" s="23" t="s">
        <v>2090</v>
      </c>
      <c r="E551" s="23">
        <v>4423.9741071428498</v>
      </c>
      <c r="F551" s="23">
        <v>18</v>
      </c>
      <c r="G551" s="23">
        <v>18</v>
      </c>
      <c r="H551" s="23">
        <v>0</v>
      </c>
      <c r="I551" s="23" t="s">
        <v>5</v>
      </c>
      <c r="J551" s="23" t="s">
        <v>327</v>
      </c>
    </row>
    <row r="552" spans="1:10" s="20" customFormat="1" ht="12" x14ac:dyDescent="0.25">
      <c r="A552" s="22">
        <v>2500006877</v>
      </c>
      <c r="B552" s="23" t="s">
        <v>2852</v>
      </c>
      <c r="C552" s="24" t="s">
        <v>1996</v>
      </c>
      <c r="D552" s="23" t="s">
        <v>2025</v>
      </c>
      <c r="E552" s="23">
        <v>4417.5</v>
      </c>
      <c r="F552" s="23">
        <v>4</v>
      </c>
      <c r="G552" s="23">
        <v>4</v>
      </c>
      <c r="H552" s="23">
        <v>0</v>
      </c>
      <c r="I552" s="23" t="s">
        <v>5</v>
      </c>
      <c r="J552" s="23" t="s">
        <v>1993</v>
      </c>
    </row>
    <row r="553" spans="1:10" s="20" customFormat="1" ht="12" x14ac:dyDescent="0.25">
      <c r="A553" s="22">
        <v>1000098620</v>
      </c>
      <c r="B553" s="23" t="s">
        <v>2853</v>
      </c>
      <c r="C553" s="24" t="s">
        <v>4</v>
      </c>
      <c r="D553" s="23" t="s">
        <v>2056</v>
      </c>
      <c r="E553" s="23">
        <v>4416.6292341729304</v>
      </c>
      <c r="F553" s="23">
        <v>230</v>
      </c>
      <c r="G553" s="23">
        <v>230</v>
      </c>
      <c r="H553" s="23">
        <v>0</v>
      </c>
      <c r="I553" s="23" t="s">
        <v>5</v>
      </c>
      <c r="J553" s="23" t="s">
        <v>1844</v>
      </c>
    </row>
    <row r="554" spans="1:10" s="20" customFormat="1" ht="12" x14ac:dyDescent="0.25">
      <c r="A554" s="22">
        <v>1000020492</v>
      </c>
      <c r="B554" s="23" t="s">
        <v>717</v>
      </c>
      <c r="C554" s="24" t="s">
        <v>4</v>
      </c>
      <c r="D554" s="23" t="s">
        <v>2090</v>
      </c>
      <c r="E554" s="23">
        <v>4394.61258147229</v>
      </c>
      <c r="F554" s="23">
        <v>98</v>
      </c>
      <c r="G554" s="23">
        <v>98</v>
      </c>
      <c r="H554" s="23">
        <v>0</v>
      </c>
      <c r="I554" s="23" t="s">
        <v>5</v>
      </c>
      <c r="J554" s="23" t="s">
        <v>327</v>
      </c>
    </row>
    <row r="555" spans="1:10" s="20" customFormat="1" ht="12" x14ac:dyDescent="0.25">
      <c r="A555" s="22">
        <v>1000094199</v>
      </c>
      <c r="B555" s="23" t="s">
        <v>2857</v>
      </c>
      <c r="C555" s="24" t="s">
        <v>4</v>
      </c>
      <c r="D555" s="23" t="s">
        <v>2056</v>
      </c>
      <c r="E555" s="23">
        <v>4367.2079060640499</v>
      </c>
      <c r="F555" s="23">
        <v>1642</v>
      </c>
      <c r="G555" s="23">
        <v>1642</v>
      </c>
      <c r="H555" s="23">
        <v>0</v>
      </c>
      <c r="I555" s="23" t="s">
        <v>5</v>
      </c>
      <c r="J555" s="23" t="s">
        <v>1844</v>
      </c>
    </row>
    <row r="556" spans="1:10" s="20" customFormat="1" ht="12" x14ac:dyDescent="0.25">
      <c r="A556" s="22">
        <v>1000095664</v>
      </c>
      <c r="B556" s="23" t="s">
        <v>2860</v>
      </c>
      <c r="C556" s="24" t="s">
        <v>4</v>
      </c>
      <c r="D556" s="23" t="s">
        <v>2056</v>
      </c>
      <c r="E556" s="23">
        <v>4345.78</v>
      </c>
      <c r="F556" s="23">
        <v>11</v>
      </c>
      <c r="G556" s="23">
        <v>11</v>
      </c>
      <c r="H556" s="23">
        <v>0</v>
      </c>
      <c r="I556" s="23" t="s">
        <v>5</v>
      </c>
      <c r="J556" s="23" t="s">
        <v>1844</v>
      </c>
    </row>
    <row r="557" spans="1:10" s="20" customFormat="1" ht="12" x14ac:dyDescent="0.25">
      <c r="A557" s="22">
        <v>2500008254</v>
      </c>
      <c r="B557" s="23" t="s">
        <v>2861</v>
      </c>
      <c r="C557" s="24" t="s">
        <v>1996</v>
      </c>
      <c r="D557" s="23" t="s">
        <v>2025</v>
      </c>
      <c r="E557" s="23">
        <v>4344.375</v>
      </c>
      <c r="F557" s="23">
        <v>5</v>
      </c>
      <c r="G557" s="23">
        <v>5</v>
      </c>
      <c r="H557" s="23">
        <v>0</v>
      </c>
      <c r="I557" s="23" t="s">
        <v>5</v>
      </c>
      <c r="J557" s="23" t="s">
        <v>1993</v>
      </c>
    </row>
    <row r="558" spans="1:10" s="20" customFormat="1" ht="12" x14ac:dyDescent="0.25">
      <c r="A558" s="22">
        <v>1000020124</v>
      </c>
      <c r="B558" s="23" t="s">
        <v>379</v>
      </c>
      <c r="C558" s="24" t="s">
        <v>4</v>
      </c>
      <c r="D558" s="23" t="s">
        <v>2090</v>
      </c>
      <c r="E558" s="23">
        <v>4336.32</v>
      </c>
      <c r="F558" s="23">
        <v>8</v>
      </c>
      <c r="G558" s="23">
        <v>8</v>
      </c>
      <c r="H558" s="23">
        <v>0</v>
      </c>
      <c r="I558" s="23" t="s">
        <v>5</v>
      </c>
      <c r="J558" s="23" t="s">
        <v>327</v>
      </c>
    </row>
    <row r="559" spans="1:10" s="20" customFormat="1" ht="12" x14ac:dyDescent="0.25">
      <c r="A559" s="22">
        <v>1000010227</v>
      </c>
      <c r="B559" s="23" t="s">
        <v>2862</v>
      </c>
      <c r="C559" s="24" t="s">
        <v>4</v>
      </c>
      <c r="D559" s="23" t="s">
        <v>2161</v>
      </c>
      <c r="E559" s="23">
        <v>4323.8249292929204</v>
      </c>
      <c r="F559" s="23">
        <v>16</v>
      </c>
      <c r="G559" s="23">
        <v>16</v>
      </c>
      <c r="H559" s="23">
        <v>0</v>
      </c>
      <c r="I559" s="23" t="s">
        <v>5</v>
      </c>
      <c r="J559" s="23" t="s">
        <v>111</v>
      </c>
    </row>
    <row r="560" spans="1:10" s="20" customFormat="1" ht="12" x14ac:dyDescent="0.25">
      <c r="A560" s="22">
        <v>1000101987</v>
      </c>
      <c r="B560" s="23" t="s">
        <v>2863</v>
      </c>
      <c r="C560" s="24" t="s">
        <v>4</v>
      </c>
      <c r="D560" s="23" t="s">
        <v>2056</v>
      </c>
      <c r="E560" s="23">
        <v>4323.7634200913199</v>
      </c>
      <c r="F560" s="23">
        <v>154</v>
      </c>
      <c r="G560" s="23">
        <v>154</v>
      </c>
      <c r="H560" s="23">
        <v>0</v>
      </c>
      <c r="I560" s="23" t="s">
        <v>5</v>
      </c>
      <c r="J560" s="23" t="s">
        <v>1844</v>
      </c>
    </row>
    <row r="561" spans="1:10" s="20" customFormat="1" ht="12" x14ac:dyDescent="0.25">
      <c r="A561" s="22">
        <v>1000020745</v>
      </c>
      <c r="B561" s="23" t="s">
        <v>952</v>
      </c>
      <c r="C561" s="24" t="s">
        <v>4</v>
      </c>
      <c r="D561" s="23" t="s">
        <v>2090</v>
      </c>
      <c r="E561" s="23">
        <v>4316.5</v>
      </c>
      <c r="F561" s="23">
        <v>2</v>
      </c>
      <c r="G561" s="23">
        <v>2</v>
      </c>
      <c r="H561" s="23">
        <v>0</v>
      </c>
      <c r="I561" s="23" t="s">
        <v>5</v>
      </c>
      <c r="J561" s="23" t="s">
        <v>327</v>
      </c>
    </row>
    <row r="562" spans="1:10" s="20" customFormat="1" ht="12" x14ac:dyDescent="0.25">
      <c r="A562" s="22">
        <v>1000095637</v>
      </c>
      <c r="B562" s="23" t="s">
        <v>2864</v>
      </c>
      <c r="C562" s="24" t="s">
        <v>4</v>
      </c>
      <c r="D562" s="23" t="s">
        <v>2056</v>
      </c>
      <c r="E562" s="23">
        <v>4297.1040000000003</v>
      </c>
      <c r="F562" s="23">
        <v>29</v>
      </c>
      <c r="G562" s="23">
        <v>29</v>
      </c>
      <c r="H562" s="23">
        <v>0</v>
      </c>
      <c r="I562" s="23" t="s">
        <v>5</v>
      </c>
      <c r="J562" s="23" t="s">
        <v>1844</v>
      </c>
    </row>
    <row r="563" spans="1:10" s="20" customFormat="1" ht="12" x14ac:dyDescent="0.25">
      <c r="A563" s="22">
        <v>2100005179</v>
      </c>
      <c r="B563" s="23" t="s">
        <v>2865</v>
      </c>
      <c r="C563" s="24" t="s">
        <v>2030</v>
      </c>
      <c r="D563" s="23" t="s">
        <v>2075</v>
      </c>
      <c r="E563" s="23">
        <v>4285.6899999999996</v>
      </c>
      <c r="F563" s="23">
        <v>1</v>
      </c>
      <c r="G563" s="23">
        <v>0</v>
      </c>
      <c r="H563" s="23">
        <v>1</v>
      </c>
      <c r="I563" s="23" t="s">
        <v>14</v>
      </c>
      <c r="J563" s="23" t="s">
        <v>138</v>
      </c>
    </row>
    <row r="564" spans="1:10" s="20" customFormat="1" ht="12" x14ac:dyDescent="0.25">
      <c r="A564" s="22">
        <v>1000020695</v>
      </c>
      <c r="B564" s="23" t="s">
        <v>907</v>
      </c>
      <c r="C564" s="24" t="s">
        <v>4</v>
      </c>
      <c r="D564" s="23" t="s">
        <v>2090</v>
      </c>
      <c r="E564" s="23">
        <v>4278.0473437500004</v>
      </c>
      <c r="F564" s="23">
        <v>54</v>
      </c>
      <c r="G564" s="23">
        <v>54</v>
      </c>
      <c r="H564" s="23">
        <v>0</v>
      </c>
      <c r="I564" s="23" t="s">
        <v>5</v>
      </c>
      <c r="J564" s="23" t="s">
        <v>327</v>
      </c>
    </row>
    <row r="565" spans="1:10" s="20" customFormat="1" ht="12" x14ac:dyDescent="0.25">
      <c r="A565" s="22">
        <v>1000020856</v>
      </c>
      <c r="B565" s="23" t="s">
        <v>1046</v>
      </c>
      <c r="C565" s="24" t="s">
        <v>4</v>
      </c>
      <c r="D565" s="23" t="s">
        <v>2218</v>
      </c>
      <c r="E565" s="23">
        <v>4274.0055653981799</v>
      </c>
      <c r="F565" s="23">
        <v>12</v>
      </c>
      <c r="G565" s="23">
        <v>11</v>
      </c>
      <c r="H565" s="23">
        <v>1</v>
      </c>
      <c r="I565" s="23" t="s">
        <v>44</v>
      </c>
      <c r="J565" s="23" t="s">
        <v>327</v>
      </c>
    </row>
    <row r="566" spans="1:10" s="20" customFormat="1" ht="12" x14ac:dyDescent="0.25">
      <c r="A566" s="22">
        <v>1000020132</v>
      </c>
      <c r="B566" s="23" t="s">
        <v>387</v>
      </c>
      <c r="C566" s="24" t="s">
        <v>4</v>
      </c>
      <c r="D566" s="23" t="s">
        <v>2090</v>
      </c>
      <c r="E566" s="23">
        <v>4248.72</v>
      </c>
      <c r="F566" s="23">
        <v>2</v>
      </c>
      <c r="G566" s="23">
        <v>2</v>
      </c>
      <c r="H566" s="23">
        <v>0</v>
      </c>
      <c r="I566" s="23" t="s">
        <v>5</v>
      </c>
      <c r="J566" s="23" t="s">
        <v>327</v>
      </c>
    </row>
    <row r="567" spans="1:10" s="20" customFormat="1" ht="12" x14ac:dyDescent="0.25">
      <c r="A567" s="22">
        <v>1000099243</v>
      </c>
      <c r="B567" s="23" t="s">
        <v>2870</v>
      </c>
      <c r="C567" s="24" t="s">
        <v>4</v>
      </c>
      <c r="D567" s="23" t="s">
        <v>2056</v>
      </c>
      <c r="E567" s="23">
        <v>4242.7524999999996</v>
      </c>
      <c r="F567" s="23">
        <v>4445</v>
      </c>
      <c r="G567" s="23">
        <v>4445</v>
      </c>
      <c r="H567" s="23">
        <v>0</v>
      </c>
      <c r="I567" s="23" t="s">
        <v>5</v>
      </c>
      <c r="J567" s="23" t="s">
        <v>1844</v>
      </c>
    </row>
    <row r="568" spans="1:10" s="20" customFormat="1" ht="12" x14ac:dyDescent="0.25">
      <c r="A568" s="22">
        <v>1000020463</v>
      </c>
      <c r="B568" s="23" t="s">
        <v>689</v>
      </c>
      <c r="C568" s="24" t="s">
        <v>4</v>
      </c>
      <c r="D568" s="23" t="s">
        <v>2090</v>
      </c>
      <c r="E568" s="23">
        <v>4231.2333079847904</v>
      </c>
      <c r="F568" s="23">
        <v>179</v>
      </c>
      <c r="G568" s="23">
        <v>179</v>
      </c>
      <c r="H568" s="23">
        <v>0</v>
      </c>
      <c r="I568" s="23" t="s">
        <v>5</v>
      </c>
      <c r="J568" s="23" t="s">
        <v>327</v>
      </c>
    </row>
    <row r="569" spans="1:10" s="20" customFormat="1" ht="12" x14ac:dyDescent="0.25">
      <c r="A569" s="22">
        <v>1000106112</v>
      </c>
      <c r="B569" s="23" t="s">
        <v>2871</v>
      </c>
      <c r="C569" s="24" t="s">
        <v>4</v>
      </c>
      <c r="D569" s="23" t="s">
        <v>2161</v>
      </c>
      <c r="E569" s="23">
        <v>4227.3100000000004</v>
      </c>
      <c r="F569" s="23">
        <v>10</v>
      </c>
      <c r="G569" s="23">
        <v>10</v>
      </c>
      <c r="H569" s="23">
        <v>0</v>
      </c>
      <c r="I569" s="23" t="s">
        <v>5</v>
      </c>
      <c r="J569" s="23" t="s">
        <v>111</v>
      </c>
    </row>
    <row r="570" spans="1:10" s="20" customFormat="1" ht="12" x14ac:dyDescent="0.25">
      <c r="A570" s="22">
        <v>1000021203</v>
      </c>
      <c r="B570" s="23" t="s">
        <v>1349</v>
      </c>
      <c r="C570" s="24" t="s">
        <v>4</v>
      </c>
      <c r="D570" s="23" t="s">
        <v>2090</v>
      </c>
      <c r="E570" s="23">
        <v>4209.7628571428504</v>
      </c>
      <c r="F570" s="23">
        <v>33</v>
      </c>
      <c r="G570" s="23">
        <v>33</v>
      </c>
      <c r="H570" s="23">
        <v>0</v>
      </c>
      <c r="I570" s="23" t="s">
        <v>5</v>
      </c>
      <c r="J570" s="23" t="s">
        <v>327</v>
      </c>
    </row>
    <row r="571" spans="1:10" s="20" customFormat="1" ht="12" x14ac:dyDescent="0.25">
      <c r="A571" s="22">
        <v>1000021209</v>
      </c>
      <c r="B571" s="23" t="s">
        <v>1355</v>
      </c>
      <c r="C571" s="24" t="s">
        <v>4</v>
      </c>
      <c r="D571" s="23" t="s">
        <v>2090</v>
      </c>
      <c r="E571" s="23">
        <v>4194.375</v>
      </c>
      <c r="F571" s="23">
        <v>25</v>
      </c>
      <c r="G571" s="23">
        <v>25</v>
      </c>
      <c r="H571" s="23">
        <v>0</v>
      </c>
      <c r="I571" s="23" t="s">
        <v>5</v>
      </c>
      <c r="J571" s="23" t="s">
        <v>327</v>
      </c>
    </row>
    <row r="572" spans="1:10" s="20" customFormat="1" ht="12" x14ac:dyDescent="0.25">
      <c r="A572" s="22">
        <v>1000020883</v>
      </c>
      <c r="B572" s="23" t="s">
        <v>1066</v>
      </c>
      <c r="C572" s="24" t="s">
        <v>4</v>
      </c>
      <c r="D572" s="23" t="s">
        <v>2090</v>
      </c>
      <c r="E572" s="23">
        <v>4185.92</v>
      </c>
      <c r="F572" s="23">
        <v>2</v>
      </c>
      <c r="G572" s="23">
        <v>2</v>
      </c>
      <c r="H572" s="23">
        <v>0</v>
      </c>
      <c r="I572" s="23" t="s">
        <v>5</v>
      </c>
      <c r="J572" s="23" t="s">
        <v>327</v>
      </c>
    </row>
    <row r="573" spans="1:10" s="20" customFormat="1" ht="12" x14ac:dyDescent="0.25">
      <c r="A573" s="22">
        <v>1000020810</v>
      </c>
      <c r="B573" s="23" t="s">
        <v>1013</v>
      </c>
      <c r="C573" s="24" t="s">
        <v>4</v>
      </c>
      <c r="D573" s="23" t="s">
        <v>2090</v>
      </c>
      <c r="E573" s="23">
        <v>4182.3787828947297</v>
      </c>
      <c r="F573" s="23">
        <v>12</v>
      </c>
      <c r="G573" s="23">
        <v>12</v>
      </c>
      <c r="H573" s="23">
        <v>0</v>
      </c>
      <c r="I573" s="23" t="s">
        <v>5</v>
      </c>
      <c r="J573" s="23" t="s">
        <v>327</v>
      </c>
    </row>
    <row r="574" spans="1:10" s="20" customFormat="1" ht="12" x14ac:dyDescent="0.25">
      <c r="A574" s="22">
        <v>1000102183</v>
      </c>
      <c r="B574" s="23" t="s">
        <v>1760</v>
      </c>
      <c r="C574" s="24" t="s">
        <v>4</v>
      </c>
      <c r="D574" s="23" t="s">
        <v>2090</v>
      </c>
      <c r="E574" s="23">
        <v>4180.7250000000004</v>
      </c>
      <c r="F574" s="23">
        <v>17</v>
      </c>
      <c r="G574" s="23">
        <v>17</v>
      </c>
      <c r="H574" s="23">
        <v>0</v>
      </c>
      <c r="I574" s="23" t="s">
        <v>5</v>
      </c>
      <c r="J574" s="23" t="s">
        <v>327</v>
      </c>
    </row>
    <row r="575" spans="1:10" s="20" customFormat="1" ht="12" x14ac:dyDescent="0.25">
      <c r="A575" s="22">
        <v>1000100372</v>
      </c>
      <c r="B575" s="23" t="s">
        <v>2872</v>
      </c>
      <c r="C575" s="24" t="s">
        <v>4</v>
      </c>
      <c r="D575" s="23" t="s">
        <v>2090</v>
      </c>
      <c r="E575" s="23">
        <v>4140.0209999999997</v>
      </c>
      <c r="F575" s="23">
        <v>6</v>
      </c>
      <c r="G575" s="23">
        <v>6</v>
      </c>
      <c r="H575" s="23">
        <v>0</v>
      </c>
      <c r="I575" s="23" t="s">
        <v>5</v>
      </c>
      <c r="J575" s="23" t="s">
        <v>327</v>
      </c>
    </row>
    <row r="576" spans="1:10" s="20" customFormat="1" ht="12" x14ac:dyDescent="0.25">
      <c r="A576" s="22">
        <v>1000020031</v>
      </c>
      <c r="B576" s="23" t="s">
        <v>337</v>
      </c>
      <c r="C576" s="24" t="s">
        <v>4</v>
      </c>
      <c r="D576" s="23" t="s">
        <v>2090</v>
      </c>
      <c r="E576" s="23">
        <v>4139.08575757575</v>
      </c>
      <c r="F576" s="23">
        <v>13</v>
      </c>
      <c r="G576" s="23">
        <v>13</v>
      </c>
      <c r="H576" s="23">
        <v>0</v>
      </c>
      <c r="I576" s="23" t="s">
        <v>5</v>
      </c>
      <c r="J576" s="23" t="s">
        <v>327</v>
      </c>
    </row>
    <row r="577" spans="1:10" s="20" customFormat="1" ht="12" x14ac:dyDescent="0.25">
      <c r="A577" s="22">
        <v>1000020747</v>
      </c>
      <c r="B577" s="23" t="s">
        <v>954</v>
      </c>
      <c r="C577" s="24" t="s">
        <v>4</v>
      </c>
      <c r="D577" s="23" t="s">
        <v>2090</v>
      </c>
      <c r="E577" s="23">
        <v>4117.4747058823496</v>
      </c>
      <c r="F577" s="23">
        <v>11</v>
      </c>
      <c r="G577" s="23">
        <v>11</v>
      </c>
      <c r="H577" s="23">
        <v>0</v>
      </c>
      <c r="I577" s="23" t="s">
        <v>5</v>
      </c>
      <c r="J577" s="23" t="s">
        <v>327</v>
      </c>
    </row>
    <row r="578" spans="1:10" s="20" customFormat="1" ht="12" x14ac:dyDescent="0.25">
      <c r="A578" s="22">
        <v>1000017141</v>
      </c>
      <c r="B578" s="23" t="s">
        <v>2181</v>
      </c>
      <c r="C578" s="24" t="s">
        <v>4</v>
      </c>
      <c r="D578" s="23" t="s">
        <v>2056</v>
      </c>
      <c r="E578" s="23">
        <v>4111.8766404491098</v>
      </c>
      <c r="F578" s="23">
        <v>5456</v>
      </c>
      <c r="G578" s="23">
        <v>5456</v>
      </c>
      <c r="H578" s="23">
        <v>0</v>
      </c>
      <c r="I578" s="23" t="s">
        <v>5</v>
      </c>
      <c r="J578" s="23" t="s">
        <v>1844</v>
      </c>
    </row>
    <row r="579" spans="1:10" s="20" customFormat="1" ht="12" x14ac:dyDescent="0.25">
      <c r="A579" s="22">
        <v>1000103209</v>
      </c>
      <c r="B579" s="23" t="s">
        <v>1816</v>
      </c>
      <c r="C579" s="24" t="s">
        <v>4</v>
      </c>
      <c r="D579" s="23" t="s">
        <v>2090</v>
      </c>
      <c r="E579" s="23">
        <v>4076.44</v>
      </c>
      <c r="F579" s="23">
        <v>3</v>
      </c>
      <c r="G579" s="23">
        <v>3</v>
      </c>
      <c r="H579" s="23">
        <v>0</v>
      </c>
      <c r="I579" s="23" t="s">
        <v>5</v>
      </c>
      <c r="J579" s="23" t="s">
        <v>327</v>
      </c>
    </row>
    <row r="580" spans="1:10" s="20" customFormat="1" ht="12" x14ac:dyDescent="0.25">
      <c r="A580" s="22">
        <v>1000020079</v>
      </c>
      <c r="B580" s="23" t="s">
        <v>339</v>
      </c>
      <c r="C580" s="24" t="s">
        <v>4</v>
      </c>
      <c r="D580" s="23" t="s">
        <v>2090</v>
      </c>
      <c r="E580" s="23">
        <v>4065.6471248499402</v>
      </c>
      <c r="F580" s="23">
        <v>34</v>
      </c>
      <c r="G580" s="23">
        <v>34</v>
      </c>
      <c r="H580" s="23">
        <v>0</v>
      </c>
      <c r="I580" s="23" t="s">
        <v>5</v>
      </c>
      <c r="J580" s="23" t="s">
        <v>327</v>
      </c>
    </row>
    <row r="581" spans="1:10" s="20" customFormat="1" ht="12" x14ac:dyDescent="0.25">
      <c r="A581" s="22">
        <v>1000099977</v>
      </c>
      <c r="B581" s="23" t="s">
        <v>2879</v>
      </c>
      <c r="C581" s="24" t="s">
        <v>4</v>
      </c>
      <c r="D581" s="23" t="s">
        <v>2880</v>
      </c>
      <c r="E581" s="23">
        <v>4063.03912118481</v>
      </c>
      <c r="F581" s="23">
        <v>13</v>
      </c>
      <c r="G581" s="23">
        <v>13</v>
      </c>
      <c r="H581" s="23">
        <v>0</v>
      </c>
      <c r="I581" s="23" t="s">
        <v>5</v>
      </c>
      <c r="J581" s="23" t="s">
        <v>111</v>
      </c>
    </row>
    <row r="582" spans="1:10" s="20" customFormat="1" ht="12" x14ac:dyDescent="0.25">
      <c r="A582" s="22">
        <v>1000100392</v>
      </c>
      <c r="B582" s="23" t="s">
        <v>1721</v>
      </c>
      <c r="C582" s="24" t="s">
        <v>4</v>
      </c>
      <c r="D582" s="23" t="s">
        <v>2090</v>
      </c>
      <c r="E582" s="23">
        <v>4059.6029629629602</v>
      </c>
      <c r="F582" s="23">
        <v>16</v>
      </c>
      <c r="G582" s="23">
        <v>16</v>
      </c>
      <c r="H582" s="23">
        <v>0</v>
      </c>
      <c r="I582" s="23" t="s">
        <v>5</v>
      </c>
      <c r="J582" s="23" t="s">
        <v>327</v>
      </c>
    </row>
    <row r="583" spans="1:10" s="20" customFormat="1" ht="12" x14ac:dyDescent="0.25">
      <c r="A583" s="22">
        <v>1000098440</v>
      </c>
      <c r="B583" s="23" t="s">
        <v>1520</v>
      </c>
      <c r="C583" s="24" t="s">
        <v>4</v>
      </c>
      <c r="D583" s="23" t="s">
        <v>2090</v>
      </c>
      <c r="E583" s="23">
        <v>4055.24</v>
      </c>
      <c r="F583" s="23">
        <v>5</v>
      </c>
      <c r="G583" s="23">
        <v>5</v>
      </c>
      <c r="H583" s="23">
        <v>0</v>
      </c>
      <c r="I583" s="23" t="s">
        <v>5</v>
      </c>
      <c r="J583" s="23" t="s">
        <v>327</v>
      </c>
    </row>
    <row r="584" spans="1:10" s="20" customFormat="1" ht="12" x14ac:dyDescent="0.25">
      <c r="A584" s="22">
        <v>1000020576</v>
      </c>
      <c r="B584" s="23" t="s">
        <v>793</v>
      </c>
      <c r="C584" s="24" t="s">
        <v>4</v>
      </c>
      <c r="D584" s="23" t="s">
        <v>2090</v>
      </c>
      <c r="E584" s="23">
        <v>4036.46</v>
      </c>
      <c r="F584" s="23">
        <v>2</v>
      </c>
      <c r="G584" s="23">
        <v>2</v>
      </c>
      <c r="H584" s="23">
        <v>0</v>
      </c>
      <c r="I584" s="23" t="s">
        <v>5</v>
      </c>
      <c r="J584" s="23" t="s">
        <v>327</v>
      </c>
    </row>
    <row r="585" spans="1:10" s="20" customFormat="1" ht="12" x14ac:dyDescent="0.25">
      <c r="A585" s="22">
        <v>1000021027</v>
      </c>
      <c r="B585" s="23" t="s">
        <v>1199</v>
      </c>
      <c r="C585" s="24" t="s">
        <v>4</v>
      </c>
      <c r="D585" s="23" t="s">
        <v>2090</v>
      </c>
      <c r="E585" s="23">
        <v>4032.2159999999999</v>
      </c>
      <c r="F585" s="23">
        <v>9</v>
      </c>
      <c r="G585" s="23">
        <v>9</v>
      </c>
      <c r="H585" s="23">
        <v>0</v>
      </c>
      <c r="I585" s="23" t="s">
        <v>5</v>
      </c>
      <c r="J585" s="23" t="s">
        <v>327</v>
      </c>
    </row>
    <row r="586" spans="1:10" s="20" customFormat="1" ht="12" x14ac:dyDescent="0.25">
      <c r="A586" s="22">
        <v>1000093671</v>
      </c>
      <c r="B586" s="23" t="s">
        <v>2884</v>
      </c>
      <c r="C586" s="24" t="s">
        <v>4</v>
      </c>
      <c r="D586" s="23" t="s">
        <v>2056</v>
      </c>
      <c r="E586" s="23">
        <v>4027.8222139117602</v>
      </c>
      <c r="F586" s="23">
        <v>38</v>
      </c>
      <c r="G586" s="23">
        <v>38</v>
      </c>
      <c r="H586" s="23">
        <v>0</v>
      </c>
      <c r="I586" s="23" t="s">
        <v>5</v>
      </c>
      <c r="J586" s="23" t="s">
        <v>1844</v>
      </c>
    </row>
    <row r="587" spans="1:10" s="20" customFormat="1" ht="12" x14ac:dyDescent="0.25">
      <c r="A587" s="22">
        <v>1000020843</v>
      </c>
      <c r="B587" s="23" t="s">
        <v>1036</v>
      </c>
      <c r="C587" s="24" t="s">
        <v>4</v>
      </c>
      <c r="D587" s="23" t="s">
        <v>2090</v>
      </c>
      <c r="E587" s="23">
        <v>3987.0166681688102</v>
      </c>
      <c r="F587" s="23">
        <v>32</v>
      </c>
      <c r="G587" s="23">
        <v>32</v>
      </c>
      <c r="H587" s="23">
        <v>0</v>
      </c>
      <c r="I587" s="23" t="s">
        <v>5</v>
      </c>
      <c r="J587" s="23" t="s">
        <v>327</v>
      </c>
    </row>
    <row r="588" spans="1:10" s="20" customFormat="1" ht="12" x14ac:dyDescent="0.25">
      <c r="A588" s="22">
        <v>1000021216</v>
      </c>
      <c r="B588" s="23" t="s">
        <v>1362</v>
      </c>
      <c r="C588" s="24" t="s">
        <v>4</v>
      </c>
      <c r="D588" s="23" t="s">
        <v>2090</v>
      </c>
      <c r="E588" s="23">
        <v>3986.1275000000001</v>
      </c>
      <c r="F588" s="23">
        <v>21</v>
      </c>
      <c r="G588" s="23">
        <v>21</v>
      </c>
      <c r="H588" s="23">
        <v>0</v>
      </c>
      <c r="I588" s="23" t="s">
        <v>5</v>
      </c>
      <c r="J588" s="23" t="s">
        <v>327</v>
      </c>
    </row>
    <row r="589" spans="1:10" s="20" customFormat="1" ht="12" x14ac:dyDescent="0.25">
      <c r="A589" s="22">
        <v>2500008206</v>
      </c>
      <c r="B589" s="23" t="s">
        <v>2886</v>
      </c>
      <c r="C589" s="24" t="s">
        <v>1996</v>
      </c>
      <c r="D589" s="23" t="s">
        <v>2643</v>
      </c>
      <c r="E589" s="23">
        <v>3975</v>
      </c>
      <c r="F589" s="23">
        <v>4</v>
      </c>
      <c r="G589" s="23">
        <v>4</v>
      </c>
      <c r="H589" s="23">
        <v>0</v>
      </c>
      <c r="I589" s="23" t="s">
        <v>5</v>
      </c>
      <c r="J589" s="23" t="s">
        <v>1993</v>
      </c>
    </row>
    <row r="590" spans="1:10" s="20" customFormat="1" ht="12" x14ac:dyDescent="0.25">
      <c r="A590" s="22">
        <v>1000098507</v>
      </c>
      <c r="B590" s="23" t="s">
        <v>2892</v>
      </c>
      <c r="C590" s="24" t="s">
        <v>4</v>
      </c>
      <c r="D590" s="23" t="s">
        <v>2161</v>
      </c>
      <c r="E590" s="23">
        <v>3942.5</v>
      </c>
      <c r="F590" s="23">
        <v>1</v>
      </c>
      <c r="G590" s="23">
        <v>1</v>
      </c>
      <c r="H590" s="23">
        <v>0</v>
      </c>
      <c r="I590" s="23" t="s">
        <v>5</v>
      </c>
      <c r="J590" s="23" t="s">
        <v>111</v>
      </c>
    </row>
    <row r="591" spans="1:10" s="20" customFormat="1" ht="12" x14ac:dyDescent="0.25">
      <c r="A591" s="22">
        <v>1000093576</v>
      </c>
      <c r="B591" s="23" t="s">
        <v>2893</v>
      </c>
      <c r="C591" s="24" t="s">
        <v>4</v>
      </c>
      <c r="D591" s="23" t="s">
        <v>2056</v>
      </c>
      <c r="E591" s="23">
        <v>3938.28756705358</v>
      </c>
      <c r="F591" s="23">
        <v>5457</v>
      </c>
      <c r="G591" s="23">
        <v>5457</v>
      </c>
      <c r="H591" s="23">
        <v>0</v>
      </c>
      <c r="I591" s="23" t="s">
        <v>5</v>
      </c>
      <c r="J591" s="23" t="s">
        <v>1844</v>
      </c>
    </row>
    <row r="592" spans="1:10" s="20" customFormat="1" ht="12" x14ac:dyDescent="0.25">
      <c r="A592" s="22">
        <v>1000098739</v>
      </c>
      <c r="B592" s="23" t="s">
        <v>1679</v>
      </c>
      <c r="C592" s="24" t="s">
        <v>4</v>
      </c>
      <c r="D592" s="23" t="s">
        <v>2090</v>
      </c>
      <c r="E592" s="23">
        <v>3919.85</v>
      </c>
      <c r="F592" s="23">
        <v>1</v>
      </c>
      <c r="G592" s="23">
        <v>1</v>
      </c>
      <c r="H592" s="23">
        <v>0</v>
      </c>
      <c r="I592" s="23" t="s">
        <v>5</v>
      </c>
      <c r="J592" s="23" t="s">
        <v>327</v>
      </c>
    </row>
    <row r="593" spans="1:10" s="20" customFormat="1" ht="12" x14ac:dyDescent="0.25">
      <c r="A593" s="22">
        <v>1000100429</v>
      </c>
      <c r="B593" s="23" t="s">
        <v>1740</v>
      </c>
      <c r="C593" s="24" t="s">
        <v>4</v>
      </c>
      <c r="D593" s="23" t="s">
        <v>2090</v>
      </c>
      <c r="E593" s="23">
        <v>3909.5816391509402</v>
      </c>
      <c r="F593" s="23">
        <v>126</v>
      </c>
      <c r="G593" s="23">
        <v>126</v>
      </c>
      <c r="H593" s="23">
        <v>0</v>
      </c>
      <c r="I593" s="23" t="s">
        <v>5</v>
      </c>
      <c r="J593" s="23" t="s">
        <v>327</v>
      </c>
    </row>
    <row r="594" spans="1:10" s="20" customFormat="1" ht="12" x14ac:dyDescent="0.25">
      <c r="A594" s="22">
        <v>1000020462</v>
      </c>
      <c r="B594" s="23" t="s">
        <v>688</v>
      </c>
      <c r="C594" s="24" t="s">
        <v>4</v>
      </c>
      <c r="D594" s="23" t="s">
        <v>2090</v>
      </c>
      <c r="E594" s="23">
        <v>3905.1210081725499</v>
      </c>
      <c r="F594" s="23">
        <v>192</v>
      </c>
      <c r="G594" s="23">
        <v>192</v>
      </c>
      <c r="H594" s="23">
        <v>0</v>
      </c>
      <c r="I594" s="23" t="s">
        <v>5</v>
      </c>
      <c r="J594" s="23" t="s">
        <v>327</v>
      </c>
    </row>
    <row r="595" spans="1:10" s="20" customFormat="1" ht="12" x14ac:dyDescent="0.25">
      <c r="A595" s="22">
        <v>1000100315</v>
      </c>
      <c r="B595" s="23" t="s">
        <v>2897</v>
      </c>
      <c r="C595" s="24" t="s">
        <v>4</v>
      </c>
      <c r="D595" s="23" t="s">
        <v>2090</v>
      </c>
      <c r="E595" s="23">
        <v>3895.76923076923</v>
      </c>
      <c r="F595" s="23">
        <v>10</v>
      </c>
      <c r="G595" s="23">
        <v>10</v>
      </c>
      <c r="H595" s="23">
        <v>0</v>
      </c>
      <c r="I595" s="23" t="s">
        <v>5</v>
      </c>
      <c r="J595" s="23" t="s">
        <v>327</v>
      </c>
    </row>
    <row r="596" spans="1:10" s="20" customFormat="1" ht="12" x14ac:dyDescent="0.25">
      <c r="A596" s="22">
        <v>1000103232</v>
      </c>
      <c r="B596" s="23" t="s">
        <v>2898</v>
      </c>
      <c r="C596" s="24" t="s">
        <v>4</v>
      </c>
      <c r="D596" s="23" t="s">
        <v>2056</v>
      </c>
      <c r="E596" s="23">
        <v>3889.3736078675602</v>
      </c>
      <c r="F596" s="23">
        <v>4980</v>
      </c>
      <c r="G596" s="23">
        <v>4980</v>
      </c>
      <c r="H596" s="23">
        <v>0</v>
      </c>
      <c r="I596" s="23" t="s">
        <v>5</v>
      </c>
      <c r="J596" s="23" t="s">
        <v>1844</v>
      </c>
    </row>
    <row r="597" spans="1:10" s="20" customFormat="1" ht="12" x14ac:dyDescent="0.25">
      <c r="A597" s="22">
        <v>1000093676</v>
      </c>
      <c r="B597" s="23" t="s">
        <v>2901</v>
      </c>
      <c r="C597" s="24" t="s">
        <v>4</v>
      </c>
      <c r="D597" s="23" t="s">
        <v>2056</v>
      </c>
      <c r="E597" s="23">
        <v>3870</v>
      </c>
      <c r="F597" s="23">
        <v>9</v>
      </c>
      <c r="G597" s="23">
        <v>9</v>
      </c>
      <c r="H597" s="23">
        <v>0</v>
      </c>
      <c r="I597" s="23" t="s">
        <v>5</v>
      </c>
      <c r="J597" s="23" t="s">
        <v>1844</v>
      </c>
    </row>
    <row r="598" spans="1:10" s="20" customFormat="1" ht="12" x14ac:dyDescent="0.25">
      <c r="A598" s="22">
        <v>1000095509</v>
      </c>
      <c r="B598" s="23" t="s">
        <v>2902</v>
      </c>
      <c r="C598" s="24" t="s">
        <v>4</v>
      </c>
      <c r="D598" s="23" t="s">
        <v>2056</v>
      </c>
      <c r="E598" s="23">
        <v>3843.36</v>
      </c>
      <c r="F598" s="23">
        <v>288</v>
      </c>
      <c r="G598" s="23">
        <v>288</v>
      </c>
      <c r="H598" s="23">
        <v>0</v>
      </c>
      <c r="I598" s="23" t="s">
        <v>5</v>
      </c>
      <c r="J598" s="23" t="s">
        <v>1844</v>
      </c>
    </row>
    <row r="599" spans="1:10" s="20" customFormat="1" ht="12" x14ac:dyDescent="0.25">
      <c r="A599" s="22">
        <v>1000100913</v>
      </c>
      <c r="B599" s="23" t="s">
        <v>2903</v>
      </c>
      <c r="C599" s="24" t="s">
        <v>4</v>
      </c>
      <c r="D599" s="23" t="s">
        <v>2056</v>
      </c>
      <c r="E599" s="23">
        <v>3840.0320000000002</v>
      </c>
      <c r="F599" s="23">
        <v>39500</v>
      </c>
      <c r="G599" s="23">
        <v>39500</v>
      </c>
      <c r="H599" s="23">
        <v>0</v>
      </c>
      <c r="I599" s="23" t="s">
        <v>5</v>
      </c>
      <c r="J599" s="23" t="s">
        <v>1844</v>
      </c>
    </row>
    <row r="600" spans="1:10" s="20" customFormat="1" ht="12" x14ac:dyDescent="0.25">
      <c r="A600" s="22">
        <v>1000094100</v>
      </c>
      <c r="B600" s="23" t="s">
        <v>2907</v>
      </c>
      <c r="C600" s="24" t="s">
        <v>4</v>
      </c>
      <c r="D600" s="23" t="s">
        <v>2056</v>
      </c>
      <c r="E600" s="23">
        <v>3810.8672000000001</v>
      </c>
      <c r="F600" s="23">
        <v>39200</v>
      </c>
      <c r="G600" s="23">
        <v>39200</v>
      </c>
      <c r="H600" s="23">
        <v>0</v>
      </c>
      <c r="I600" s="23" t="s">
        <v>5</v>
      </c>
      <c r="J600" s="23" t="s">
        <v>1844</v>
      </c>
    </row>
    <row r="601" spans="1:10" s="20" customFormat="1" ht="12" x14ac:dyDescent="0.25">
      <c r="A601" s="22">
        <v>2500009352</v>
      </c>
      <c r="B601" s="23" t="s">
        <v>2908</v>
      </c>
      <c r="C601" s="24" t="s">
        <v>1996</v>
      </c>
      <c r="D601" s="23" t="s">
        <v>2025</v>
      </c>
      <c r="E601" s="23">
        <v>3799.95</v>
      </c>
      <c r="F601" s="23">
        <v>2</v>
      </c>
      <c r="G601" s="23">
        <v>2</v>
      </c>
      <c r="H601" s="23">
        <v>0</v>
      </c>
      <c r="I601" s="23" t="s">
        <v>5</v>
      </c>
      <c r="J601" s="23" t="s">
        <v>1993</v>
      </c>
    </row>
    <row r="602" spans="1:10" s="20" customFormat="1" ht="12" x14ac:dyDescent="0.25">
      <c r="A602" s="22">
        <v>1000100326</v>
      </c>
      <c r="B602" s="23" t="s">
        <v>2909</v>
      </c>
      <c r="C602" s="24" t="s">
        <v>4</v>
      </c>
      <c r="D602" s="23" t="s">
        <v>2090</v>
      </c>
      <c r="E602" s="23">
        <v>3799.5</v>
      </c>
      <c r="F602" s="23">
        <v>8</v>
      </c>
      <c r="G602" s="23">
        <v>8</v>
      </c>
      <c r="H602" s="23">
        <v>0</v>
      </c>
      <c r="I602" s="23" t="s">
        <v>5</v>
      </c>
      <c r="J602" s="23" t="s">
        <v>327</v>
      </c>
    </row>
    <row r="603" spans="1:10" s="20" customFormat="1" ht="12" x14ac:dyDescent="0.25">
      <c r="A603" s="22">
        <v>2500005908</v>
      </c>
      <c r="B603" s="23" t="s">
        <v>2910</v>
      </c>
      <c r="C603" s="24" t="s">
        <v>1996</v>
      </c>
      <c r="D603" s="23" t="s">
        <v>2025</v>
      </c>
      <c r="E603" s="23">
        <v>3799.0034466971301</v>
      </c>
      <c r="F603" s="23">
        <v>6</v>
      </c>
      <c r="G603" s="23">
        <v>6</v>
      </c>
      <c r="H603" s="23">
        <v>0</v>
      </c>
      <c r="I603" s="23" t="s">
        <v>5</v>
      </c>
      <c r="J603" s="23" t="s">
        <v>1993</v>
      </c>
    </row>
    <row r="604" spans="1:10" s="20" customFormat="1" ht="12" x14ac:dyDescent="0.25">
      <c r="A604" s="22">
        <v>1000094134</v>
      </c>
      <c r="B604" s="23" t="s">
        <v>2911</v>
      </c>
      <c r="C604" s="24" t="s">
        <v>4</v>
      </c>
      <c r="D604" s="23" t="s">
        <v>2090</v>
      </c>
      <c r="E604" s="23">
        <v>3769.1854917485898</v>
      </c>
      <c r="F604" s="23">
        <v>5</v>
      </c>
      <c r="G604" s="23">
        <v>5</v>
      </c>
      <c r="H604" s="23">
        <v>0</v>
      </c>
      <c r="I604" s="23" t="s">
        <v>5</v>
      </c>
      <c r="J604" s="23" t="s">
        <v>327</v>
      </c>
    </row>
    <row r="605" spans="1:10" s="20" customFormat="1" ht="12" x14ac:dyDescent="0.25">
      <c r="A605" s="22">
        <v>1000093933</v>
      </c>
      <c r="B605" s="23" t="s">
        <v>2916</v>
      </c>
      <c r="C605" s="24" t="s">
        <v>4</v>
      </c>
      <c r="D605" s="23" t="s">
        <v>2090</v>
      </c>
      <c r="E605" s="23">
        <v>3752.21</v>
      </c>
      <c r="F605" s="23">
        <v>1</v>
      </c>
      <c r="G605" s="23">
        <v>1</v>
      </c>
      <c r="H605" s="23">
        <v>0</v>
      </c>
      <c r="I605" s="23" t="s">
        <v>5</v>
      </c>
      <c r="J605" s="23" t="s">
        <v>327</v>
      </c>
    </row>
    <row r="606" spans="1:10" s="20" customFormat="1" ht="12" x14ac:dyDescent="0.25">
      <c r="A606" s="22">
        <v>1000107197</v>
      </c>
      <c r="B606" s="23" t="s">
        <v>2922</v>
      </c>
      <c r="C606" s="24" t="s">
        <v>2109</v>
      </c>
      <c r="D606" s="23" t="s">
        <v>2035</v>
      </c>
      <c r="E606" s="23">
        <v>3727.5</v>
      </c>
      <c r="F606" s="23">
        <v>1</v>
      </c>
      <c r="G606" s="23">
        <v>1</v>
      </c>
      <c r="H606" s="23">
        <v>0</v>
      </c>
      <c r="I606" s="23" t="s">
        <v>5</v>
      </c>
      <c r="J606" s="23" t="s">
        <v>6</v>
      </c>
    </row>
    <row r="607" spans="1:10" s="20" customFormat="1" ht="12" x14ac:dyDescent="0.25">
      <c r="A607" s="22">
        <v>1000020101</v>
      </c>
      <c r="B607" s="23" t="s">
        <v>357</v>
      </c>
      <c r="C607" s="24" t="s">
        <v>4</v>
      </c>
      <c r="D607" s="23" t="s">
        <v>2090</v>
      </c>
      <c r="E607" s="23">
        <v>3726.2170956632599</v>
      </c>
      <c r="F607" s="23">
        <v>16</v>
      </c>
      <c r="G607" s="23">
        <v>16</v>
      </c>
      <c r="H607" s="23">
        <v>0</v>
      </c>
      <c r="I607" s="23" t="s">
        <v>5</v>
      </c>
      <c r="J607" s="23" t="s">
        <v>327</v>
      </c>
    </row>
    <row r="608" spans="1:10" s="20" customFormat="1" ht="12" x14ac:dyDescent="0.25">
      <c r="A608" s="22">
        <v>1000020707</v>
      </c>
      <c r="B608" s="23" t="s">
        <v>916</v>
      </c>
      <c r="C608" s="24" t="s">
        <v>4</v>
      </c>
      <c r="D608" s="23" t="s">
        <v>2090</v>
      </c>
      <c r="E608" s="23">
        <v>3715.41281828316</v>
      </c>
      <c r="F608" s="23">
        <v>29</v>
      </c>
      <c r="G608" s="23">
        <v>29</v>
      </c>
      <c r="H608" s="23">
        <v>0</v>
      </c>
      <c r="I608" s="23" t="s">
        <v>5</v>
      </c>
      <c r="J608" s="23" t="s">
        <v>327</v>
      </c>
    </row>
    <row r="609" spans="1:10" s="20" customFormat="1" ht="12" x14ac:dyDescent="0.25">
      <c r="A609" s="22">
        <v>1000094200</v>
      </c>
      <c r="B609" s="23" t="s">
        <v>2925</v>
      </c>
      <c r="C609" s="24" t="s">
        <v>4</v>
      </c>
      <c r="D609" s="23" t="s">
        <v>2056</v>
      </c>
      <c r="E609" s="23">
        <v>3704.16</v>
      </c>
      <c r="F609" s="23">
        <v>1420</v>
      </c>
      <c r="G609" s="23">
        <v>1420</v>
      </c>
      <c r="H609" s="23">
        <v>0</v>
      </c>
      <c r="I609" s="23" t="s">
        <v>5</v>
      </c>
      <c r="J609" s="23" t="s">
        <v>1844</v>
      </c>
    </row>
    <row r="610" spans="1:10" s="20" customFormat="1" ht="12" x14ac:dyDescent="0.25">
      <c r="A610" s="22">
        <v>1000020751</v>
      </c>
      <c r="B610" s="23" t="s">
        <v>957</v>
      </c>
      <c r="C610" s="24" t="s">
        <v>4</v>
      </c>
      <c r="D610" s="23" t="s">
        <v>2090</v>
      </c>
      <c r="E610" s="23">
        <v>3702.6</v>
      </c>
      <c r="F610" s="23">
        <v>8</v>
      </c>
      <c r="G610" s="23">
        <v>8</v>
      </c>
      <c r="H610" s="23">
        <v>0</v>
      </c>
      <c r="I610" s="23" t="s">
        <v>5</v>
      </c>
      <c r="J610" s="23" t="s">
        <v>327</v>
      </c>
    </row>
    <row r="611" spans="1:10" s="20" customFormat="1" ht="12" x14ac:dyDescent="0.25">
      <c r="A611" s="22">
        <v>1000020840</v>
      </c>
      <c r="B611" s="23" t="s">
        <v>1033</v>
      </c>
      <c r="C611" s="24" t="s">
        <v>4</v>
      </c>
      <c r="D611" s="23" t="s">
        <v>2090</v>
      </c>
      <c r="E611" s="23">
        <v>3702.0940000000001</v>
      </c>
      <c r="F611" s="23">
        <v>22</v>
      </c>
      <c r="G611" s="23">
        <v>22</v>
      </c>
      <c r="H611" s="23">
        <v>0</v>
      </c>
      <c r="I611" s="23" t="s">
        <v>5</v>
      </c>
      <c r="J611" s="23" t="s">
        <v>327</v>
      </c>
    </row>
    <row r="612" spans="1:10" s="20" customFormat="1" ht="12" x14ac:dyDescent="0.25">
      <c r="A612" s="22">
        <v>1000021238</v>
      </c>
      <c r="B612" s="23" t="s">
        <v>1383</v>
      </c>
      <c r="C612" s="24" t="s">
        <v>4</v>
      </c>
      <c r="D612" s="23" t="s">
        <v>2090</v>
      </c>
      <c r="E612" s="23">
        <v>3689.25</v>
      </c>
      <c r="F612" s="23">
        <v>10</v>
      </c>
      <c r="G612" s="23">
        <v>10</v>
      </c>
      <c r="H612" s="23">
        <v>0</v>
      </c>
      <c r="I612" s="23" t="s">
        <v>5</v>
      </c>
      <c r="J612" s="23" t="s">
        <v>327</v>
      </c>
    </row>
    <row r="613" spans="1:10" s="20" customFormat="1" ht="12" x14ac:dyDescent="0.25">
      <c r="A613" s="22">
        <v>1000095636</v>
      </c>
      <c r="B613" s="23" t="s">
        <v>2926</v>
      </c>
      <c r="C613" s="24" t="s">
        <v>4</v>
      </c>
      <c r="D613" s="23" t="s">
        <v>2056</v>
      </c>
      <c r="E613" s="23">
        <v>3687.7753333333299</v>
      </c>
      <c r="F613" s="23">
        <v>29</v>
      </c>
      <c r="G613" s="23">
        <v>29</v>
      </c>
      <c r="H613" s="23">
        <v>0</v>
      </c>
      <c r="I613" s="23" t="s">
        <v>5</v>
      </c>
      <c r="J613" s="23" t="s">
        <v>1844</v>
      </c>
    </row>
    <row r="614" spans="1:10" s="20" customFormat="1" ht="12" x14ac:dyDescent="0.25">
      <c r="A614" s="22">
        <v>1000020500</v>
      </c>
      <c r="B614" s="23" t="s">
        <v>725</v>
      </c>
      <c r="C614" s="24" t="s">
        <v>4</v>
      </c>
      <c r="D614" s="23" t="s">
        <v>2090</v>
      </c>
      <c r="E614" s="23">
        <v>3686.5</v>
      </c>
      <c r="F614" s="23">
        <v>12</v>
      </c>
      <c r="G614" s="23">
        <v>12</v>
      </c>
      <c r="H614" s="23">
        <v>0</v>
      </c>
      <c r="I614" s="23" t="s">
        <v>5</v>
      </c>
      <c r="J614" s="23" t="s">
        <v>327</v>
      </c>
    </row>
    <row r="615" spans="1:10" s="20" customFormat="1" ht="12" x14ac:dyDescent="0.25">
      <c r="A615" s="22">
        <v>1000096857</v>
      </c>
      <c r="B615" s="23" t="s">
        <v>2927</v>
      </c>
      <c r="C615" s="24" t="s">
        <v>4</v>
      </c>
      <c r="D615" s="23" t="s">
        <v>2090</v>
      </c>
      <c r="E615" s="23">
        <v>3679.2233333333302</v>
      </c>
      <c r="F615" s="23">
        <v>3</v>
      </c>
      <c r="G615" s="23">
        <v>3</v>
      </c>
      <c r="H615" s="23">
        <v>0</v>
      </c>
      <c r="I615" s="23" t="s">
        <v>5</v>
      </c>
      <c r="J615" s="23" t="s">
        <v>327</v>
      </c>
    </row>
    <row r="616" spans="1:10" s="20" customFormat="1" ht="12" x14ac:dyDescent="0.25">
      <c r="A616" s="22">
        <v>1000021025</v>
      </c>
      <c r="B616" s="23" t="s">
        <v>1197</v>
      </c>
      <c r="C616" s="24" t="s">
        <v>4</v>
      </c>
      <c r="D616" s="23" t="s">
        <v>2090</v>
      </c>
      <c r="E616" s="23">
        <v>3677.99</v>
      </c>
      <c r="F616" s="23">
        <v>5</v>
      </c>
      <c r="G616" s="23">
        <v>5</v>
      </c>
      <c r="H616" s="23">
        <v>0</v>
      </c>
      <c r="I616" s="23" t="s">
        <v>5</v>
      </c>
      <c r="J616" s="23" t="s">
        <v>327</v>
      </c>
    </row>
    <row r="617" spans="1:10" s="20" customFormat="1" ht="12" x14ac:dyDescent="0.25">
      <c r="A617" s="22">
        <v>1000020723</v>
      </c>
      <c r="B617" s="23" t="s">
        <v>931</v>
      </c>
      <c r="C617" s="24" t="s">
        <v>4</v>
      </c>
      <c r="D617" s="23" t="s">
        <v>2090</v>
      </c>
      <c r="E617" s="23">
        <v>3663.38</v>
      </c>
      <c r="F617" s="23">
        <v>20</v>
      </c>
      <c r="G617" s="23">
        <v>20</v>
      </c>
      <c r="H617" s="23">
        <v>0</v>
      </c>
      <c r="I617" s="23" t="s">
        <v>5</v>
      </c>
      <c r="J617" s="23" t="s">
        <v>327</v>
      </c>
    </row>
    <row r="618" spans="1:10" s="20" customFormat="1" ht="12" x14ac:dyDescent="0.25">
      <c r="A618" s="22">
        <v>1000020877</v>
      </c>
      <c r="B618" s="23" t="s">
        <v>1061</v>
      </c>
      <c r="C618" s="24" t="s">
        <v>4</v>
      </c>
      <c r="D618" s="23" t="s">
        <v>2090</v>
      </c>
      <c r="E618" s="23">
        <v>3660.3</v>
      </c>
      <c r="F618" s="23">
        <v>3</v>
      </c>
      <c r="G618" s="23">
        <v>3</v>
      </c>
      <c r="H618" s="23">
        <v>0</v>
      </c>
      <c r="I618" s="23" t="s">
        <v>5</v>
      </c>
      <c r="J618" s="23" t="s">
        <v>327</v>
      </c>
    </row>
    <row r="619" spans="1:10" s="20" customFormat="1" ht="12" x14ac:dyDescent="0.25">
      <c r="A619" s="22">
        <v>2500008438</v>
      </c>
      <c r="B619" s="23" t="s">
        <v>1935</v>
      </c>
      <c r="C619" s="24" t="s">
        <v>1996</v>
      </c>
      <c r="D619" s="23" t="s">
        <v>2025</v>
      </c>
      <c r="E619" s="23">
        <v>3655.0749999999998</v>
      </c>
      <c r="F619" s="23">
        <v>7</v>
      </c>
      <c r="G619" s="23">
        <v>7</v>
      </c>
      <c r="H619" s="23">
        <v>0</v>
      </c>
      <c r="I619" s="23" t="s">
        <v>5</v>
      </c>
      <c r="J619" s="23" t="s">
        <v>1993</v>
      </c>
    </row>
    <row r="620" spans="1:10" s="20" customFormat="1" ht="12" x14ac:dyDescent="0.25">
      <c r="A620" s="22">
        <v>1000107659</v>
      </c>
      <c r="B620" s="23" t="s">
        <v>137</v>
      </c>
      <c r="C620" s="24" t="s">
        <v>4</v>
      </c>
      <c r="D620" s="23" t="s">
        <v>2161</v>
      </c>
      <c r="E620" s="23">
        <v>3626.23</v>
      </c>
      <c r="F620" s="23">
        <v>10</v>
      </c>
      <c r="G620" s="23">
        <v>10</v>
      </c>
      <c r="H620" s="23">
        <v>0</v>
      </c>
      <c r="I620" s="23" t="s">
        <v>5</v>
      </c>
      <c r="J620" s="23" t="s">
        <v>111</v>
      </c>
    </row>
    <row r="621" spans="1:10" s="20" customFormat="1" ht="12" x14ac:dyDescent="0.25">
      <c r="A621" s="22">
        <v>1000100367</v>
      </c>
      <c r="B621" s="23" t="s">
        <v>1707</v>
      </c>
      <c r="C621" s="24" t="s">
        <v>4</v>
      </c>
      <c r="D621" s="23" t="s">
        <v>2090</v>
      </c>
      <c r="E621" s="23">
        <v>3597.18631578947</v>
      </c>
      <c r="F621" s="23">
        <v>18</v>
      </c>
      <c r="G621" s="23">
        <v>18</v>
      </c>
      <c r="H621" s="23">
        <v>0</v>
      </c>
      <c r="I621" s="23" t="s">
        <v>5</v>
      </c>
      <c r="J621" s="23" t="s">
        <v>327</v>
      </c>
    </row>
    <row r="622" spans="1:10" s="20" customFormat="1" ht="12" x14ac:dyDescent="0.25">
      <c r="A622" s="22">
        <v>1000100923</v>
      </c>
      <c r="B622" s="23" t="s">
        <v>2931</v>
      </c>
      <c r="C622" s="24" t="s">
        <v>4</v>
      </c>
      <c r="D622" s="23" t="s">
        <v>2056</v>
      </c>
      <c r="E622" s="23">
        <v>3596.9920000000002</v>
      </c>
      <c r="F622" s="23">
        <v>37000</v>
      </c>
      <c r="G622" s="23">
        <v>37000</v>
      </c>
      <c r="H622" s="23">
        <v>0</v>
      </c>
      <c r="I622" s="23" t="s">
        <v>5</v>
      </c>
      <c r="J622" s="23" t="s">
        <v>1844</v>
      </c>
    </row>
    <row r="623" spans="1:10" s="20" customFormat="1" ht="12" x14ac:dyDescent="0.25">
      <c r="A623" s="22">
        <v>1000010096</v>
      </c>
      <c r="B623" s="23" t="s">
        <v>2932</v>
      </c>
      <c r="C623" s="24" t="s">
        <v>4</v>
      </c>
      <c r="D623" s="23" t="s">
        <v>2161</v>
      </c>
      <c r="E623" s="23">
        <v>3586.5297628205099</v>
      </c>
      <c r="F623" s="23">
        <v>19</v>
      </c>
      <c r="G623" s="23">
        <v>19</v>
      </c>
      <c r="H623" s="23">
        <v>0</v>
      </c>
      <c r="I623" s="23" t="s">
        <v>5</v>
      </c>
      <c r="J623" s="23" t="s">
        <v>111</v>
      </c>
    </row>
    <row r="624" spans="1:10" s="20" customFormat="1" ht="12" x14ac:dyDescent="0.25">
      <c r="A624" s="22">
        <v>1000020540</v>
      </c>
      <c r="B624" s="23" t="s">
        <v>761</v>
      </c>
      <c r="C624" s="24" t="s">
        <v>4</v>
      </c>
      <c r="D624" s="23" t="s">
        <v>2090</v>
      </c>
      <c r="E624" s="23">
        <v>3576.9788541666599</v>
      </c>
      <c r="F624" s="23">
        <v>14</v>
      </c>
      <c r="G624" s="23">
        <v>14</v>
      </c>
      <c r="H624" s="23">
        <v>0</v>
      </c>
      <c r="I624" s="23" t="s">
        <v>5</v>
      </c>
      <c r="J624" s="23" t="s">
        <v>327</v>
      </c>
    </row>
    <row r="625" spans="1:10" s="20" customFormat="1" ht="12" x14ac:dyDescent="0.25">
      <c r="A625" s="22">
        <v>2100003851</v>
      </c>
      <c r="B625" s="23" t="s">
        <v>2934</v>
      </c>
      <c r="C625" s="24" t="s">
        <v>2030</v>
      </c>
      <c r="D625" s="23" t="s">
        <v>2935</v>
      </c>
      <c r="E625" s="23">
        <v>3562.5</v>
      </c>
      <c r="F625" s="23">
        <v>1</v>
      </c>
      <c r="G625" s="23">
        <v>1</v>
      </c>
      <c r="H625" s="23">
        <v>0</v>
      </c>
      <c r="I625" s="23" t="s">
        <v>5</v>
      </c>
      <c r="J625" s="23" t="s">
        <v>138</v>
      </c>
    </row>
    <row r="626" spans="1:10" s="20" customFormat="1" ht="12" x14ac:dyDescent="0.25">
      <c r="A626" s="22">
        <v>1000093668</v>
      </c>
      <c r="B626" s="23" t="s">
        <v>2937</v>
      </c>
      <c r="C626" s="24" t="s">
        <v>4</v>
      </c>
      <c r="D626" s="23" t="s">
        <v>2056</v>
      </c>
      <c r="E626" s="23">
        <v>3552.6312908014402</v>
      </c>
      <c r="F626" s="23">
        <v>569</v>
      </c>
      <c r="G626" s="23">
        <v>569</v>
      </c>
      <c r="H626" s="23">
        <v>0</v>
      </c>
      <c r="I626" s="23" t="s">
        <v>5</v>
      </c>
      <c r="J626" s="23" t="s">
        <v>1844</v>
      </c>
    </row>
    <row r="627" spans="1:10" s="20" customFormat="1" ht="12" x14ac:dyDescent="0.25">
      <c r="A627" s="22">
        <v>2100006474</v>
      </c>
      <c r="B627" s="23" t="s">
        <v>144</v>
      </c>
      <c r="C627" s="24" t="s">
        <v>2037</v>
      </c>
      <c r="D627" s="23" t="s">
        <v>2031</v>
      </c>
      <c r="E627" s="23">
        <v>3550.98</v>
      </c>
      <c r="F627" s="23">
        <v>7</v>
      </c>
      <c r="G627" s="23">
        <v>7</v>
      </c>
      <c r="H627" s="23">
        <v>0</v>
      </c>
      <c r="I627" s="23" t="s">
        <v>5</v>
      </c>
      <c r="J627" s="23" t="s">
        <v>138</v>
      </c>
    </row>
    <row r="628" spans="1:10" s="20" customFormat="1" ht="12" x14ac:dyDescent="0.25">
      <c r="A628" s="22">
        <v>1000093574</v>
      </c>
      <c r="B628" s="23" t="s">
        <v>2938</v>
      </c>
      <c r="C628" s="24" t="s">
        <v>4</v>
      </c>
      <c r="D628" s="23" t="s">
        <v>2056</v>
      </c>
      <c r="E628" s="23">
        <v>3539.79976157804</v>
      </c>
      <c r="F628" s="23">
        <v>122</v>
      </c>
      <c r="G628" s="23">
        <v>122</v>
      </c>
      <c r="H628" s="23">
        <v>0</v>
      </c>
      <c r="I628" s="23" t="s">
        <v>5</v>
      </c>
      <c r="J628" s="23" t="s">
        <v>1844</v>
      </c>
    </row>
    <row r="629" spans="1:10" s="20" customFormat="1" ht="12" x14ac:dyDescent="0.25">
      <c r="A629" s="22">
        <v>1000100320</v>
      </c>
      <c r="B629" s="23" t="s">
        <v>2946</v>
      </c>
      <c r="C629" s="24" t="s">
        <v>4</v>
      </c>
      <c r="D629" s="23" t="s">
        <v>2090</v>
      </c>
      <c r="E629" s="23">
        <v>3516.2015999999999</v>
      </c>
      <c r="F629" s="23">
        <v>6</v>
      </c>
      <c r="G629" s="23">
        <v>6</v>
      </c>
      <c r="H629" s="23">
        <v>0</v>
      </c>
      <c r="I629" s="23" t="s">
        <v>5</v>
      </c>
      <c r="J629" s="23" t="s">
        <v>327</v>
      </c>
    </row>
    <row r="630" spans="1:10" s="20" customFormat="1" ht="12" x14ac:dyDescent="0.25">
      <c r="A630" s="22">
        <v>1000099642</v>
      </c>
      <c r="B630" s="23" t="s">
        <v>2947</v>
      </c>
      <c r="C630" s="24" t="s">
        <v>4</v>
      </c>
      <c r="D630" s="23" t="s">
        <v>2161</v>
      </c>
      <c r="E630" s="23">
        <v>3515.57</v>
      </c>
      <c r="F630" s="23">
        <v>15</v>
      </c>
      <c r="G630" s="23">
        <v>15</v>
      </c>
      <c r="H630" s="23">
        <v>0</v>
      </c>
      <c r="I630" s="23" t="s">
        <v>5</v>
      </c>
      <c r="J630" s="23" t="s">
        <v>111</v>
      </c>
    </row>
    <row r="631" spans="1:10" s="20" customFormat="1" ht="12" x14ac:dyDescent="0.25">
      <c r="A631" s="22">
        <v>1000096754</v>
      </c>
      <c r="B631" s="23" t="s">
        <v>2948</v>
      </c>
      <c r="C631" s="24" t="s">
        <v>4</v>
      </c>
      <c r="D631" s="23" t="s">
        <v>2090</v>
      </c>
      <c r="E631" s="23">
        <v>3496.6834285714199</v>
      </c>
      <c r="F631" s="23">
        <v>4</v>
      </c>
      <c r="G631" s="23">
        <v>4</v>
      </c>
      <c r="H631" s="23">
        <v>0</v>
      </c>
      <c r="I631" s="23" t="s">
        <v>5</v>
      </c>
      <c r="J631" s="23" t="s">
        <v>327</v>
      </c>
    </row>
    <row r="632" spans="1:10" s="20" customFormat="1" ht="12" x14ac:dyDescent="0.25">
      <c r="A632" s="22">
        <v>1000020311</v>
      </c>
      <c r="B632" s="23" t="s">
        <v>546</v>
      </c>
      <c r="C632" s="24" t="s">
        <v>4</v>
      </c>
      <c r="D632" s="23" t="s">
        <v>2090</v>
      </c>
      <c r="E632" s="23">
        <v>3463.32</v>
      </c>
      <c r="F632" s="23">
        <v>31</v>
      </c>
      <c r="G632" s="23">
        <v>31</v>
      </c>
      <c r="H632" s="23">
        <v>0</v>
      </c>
      <c r="I632" s="23" t="s">
        <v>5</v>
      </c>
      <c r="J632" s="23" t="s">
        <v>327</v>
      </c>
    </row>
    <row r="633" spans="1:10" s="20" customFormat="1" ht="12" x14ac:dyDescent="0.25">
      <c r="A633" s="22">
        <v>1000096168</v>
      </c>
      <c r="B633" s="23" t="s">
        <v>2952</v>
      </c>
      <c r="C633" s="24" t="s">
        <v>4</v>
      </c>
      <c r="D633" s="23" t="s">
        <v>2161</v>
      </c>
      <c r="E633" s="23">
        <v>3458.25</v>
      </c>
      <c r="F633" s="23">
        <v>3</v>
      </c>
      <c r="G633" s="23">
        <v>3</v>
      </c>
      <c r="H633" s="23">
        <v>0</v>
      </c>
      <c r="I633" s="23" t="s">
        <v>5</v>
      </c>
      <c r="J633" s="23" t="s">
        <v>111</v>
      </c>
    </row>
    <row r="634" spans="1:10" s="20" customFormat="1" ht="12" x14ac:dyDescent="0.25">
      <c r="A634" s="22">
        <v>1000098555</v>
      </c>
      <c r="B634" s="23" t="s">
        <v>2953</v>
      </c>
      <c r="C634" s="24" t="s">
        <v>4</v>
      </c>
      <c r="D634" s="23" t="s">
        <v>2090</v>
      </c>
      <c r="E634" s="23">
        <v>3458.03</v>
      </c>
      <c r="F634" s="23">
        <v>1</v>
      </c>
      <c r="G634" s="23">
        <v>1</v>
      </c>
      <c r="H634" s="23">
        <v>0</v>
      </c>
      <c r="I634" s="23" t="s">
        <v>5</v>
      </c>
      <c r="J634" s="23" t="s">
        <v>327</v>
      </c>
    </row>
    <row r="635" spans="1:10" s="20" customFormat="1" ht="12" x14ac:dyDescent="0.25">
      <c r="A635" s="22">
        <v>1000101641</v>
      </c>
      <c r="B635" s="23" t="s">
        <v>2955</v>
      </c>
      <c r="C635" s="24" t="s">
        <v>4</v>
      </c>
      <c r="D635" s="23" t="s">
        <v>2056</v>
      </c>
      <c r="E635" s="23">
        <v>3455.7200780487801</v>
      </c>
      <c r="F635" s="23">
        <v>176</v>
      </c>
      <c r="G635" s="23">
        <v>176</v>
      </c>
      <c r="H635" s="23">
        <v>0</v>
      </c>
      <c r="I635" s="23" t="s">
        <v>5</v>
      </c>
      <c r="J635" s="23" t="s">
        <v>1844</v>
      </c>
    </row>
    <row r="636" spans="1:10" s="20" customFormat="1" ht="12" x14ac:dyDescent="0.25">
      <c r="A636" s="22">
        <v>1000095815</v>
      </c>
      <c r="B636" s="23" t="s">
        <v>2957</v>
      </c>
      <c r="C636" s="24" t="s">
        <v>4</v>
      </c>
      <c r="D636" s="23" t="s">
        <v>2056</v>
      </c>
      <c r="E636" s="23">
        <v>3440.8</v>
      </c>
      <c r="F636" s="23">
        <v>506</v>
      </c>
      <c r="G636" s="23">
        <v>506</v>
      </c>
      <c r="H636" s="23">
        <v>0</v>
      </c>
      <c r="I636" s="23" t="s">
        <v>5</v>
      </c>
      <c r="J636" s="23" t="s">
        <v>1844</v>
      </c>
    </row>
    <row r="637" spans="1:10" s="20" customFormat="1" ht="12" x14ac:dyDescent="0.25">
      <c r="A637" s="22">
        <v>1000100414</v>
      </c>
      <c r="B637" s="23" t="s">
        <v>1728</v>
      </c>
      <c r="C637" s="24" t="s">
        <v>4</v>
      </c>
      <c r="D637" s="23" t="s">
        <v>2090</v>
      </c>
      <c r="E637" s="23">
        <v>3431.93</v>
      </c>
      <c r="F637" s="23">
        <v>2</v>
      </c>
      <c r="G637" s="23">
        <v>2</v>
      </c>
      <c r="H637" s="23">
        <v>0</v>
      </c>
      <c r="I637" s="23" t="s">
        <v>5</v>
      </c>
      <c r="J637" s="23" t="s">
        <v>327</v>
      </c>
    </row>
    <row r="638" spans="1:10" s="20" customFormat="1" ht="12" x14ac:dyDescent="0.25">
      <c r="A638" s="22">
        <v>1000094387</v>
      </c>
      <c r="B638" s="23" t="s">
        <v>2959</v>
      </c>
      <c r="C638" s="24" t="s">
        <v>4</v>
      </c>
      <c r="D638" s="23" t="s">
        <v>2056</v>
      </c>
      <c r="E638" s="23">
        <v>3431.7210112129701</v>
      </c>
      <c r="F638" s="23">
        <v>3043</v>
      </c>
      <c r="G638" s="23">
        <v>3043</v>
      </c>
      <c r="H638" s="23">
        <v>0</v>
      </c>
      <c r="I638" s="23" t="s">
        <v>5</v>
      </c>
      <c r="J638" s="23" t="s">
        <v>1844</v>
      </c>
    </row>
    <row r="639" spans="1:10" s="20" customFormat="1" ht="12" x14ac:dyDescent="0.25">
      <c r="A639" s="22">
        <v>1000100739</v>
      </c>
      <c r="B639" s="23" t="s">
        <v>2960</v>
      </c>
      <c r="C639" s="24" t="s">
        <v>2027</v>
      </c>
      <c r="D639" s="23" t="s">
        <v>2070</v>
      </c>
      <c r="E639" s="23">
        <v>3429.38</v>
      </c>
      <c r="F639" s="23">
        <v>1</v>
      </c>
      <c r="G639" s="23">
        <v>1</v>
      </c>
      <c r="H639" s="23">
        <v>0</v>
      </c>
      <c r="I639" s="23" t="s">
        <v>5</v>
      </c>
      <c r="J639" s="23" t="s">
        <v>6</v>
      </c>
    </row>
    <row r="640" spans="1:10" s="20" customFormat="1" ht="12" x14ac:dyDescent="0.25">
      <c r="A640" s="22">
        <v>1000097513</v>
      </c>
      <c r="B640" s="23" t="s">
        <v>2962</v>
      </c>
      <c r="C640" s="24" t="s">
        <v>4</v>
      </c>
      <c r="D640" s="23" t="s">
        <v>2056</v>
      </c>
      <c r="E640" s="23">
        <v>3403.08</v>
      </c>
      <c r="F640" s="23">
        <v>200</v>
      </c>
      <c r="G640" s="23">
        <v>200</v>
      </c>
      <c r="H640" s="23">
        <v>0</v>
      </c>
      <c r="I640" s="23" t="s">
        <v>5</v>
      </c>
      <c r="J640" s="23" t="s">
        <v>1844</v>
      </c>
    </row>
    <row r="641" spans="1:10" s="20" customFormat="1" ht="12" x14ac:dyDescent="0.25">
      <c r="A641" s="22">
        <v>1000020636</v>
      </c>
      <c r="B641" s="23" t="s">
        <v>851</v>
      </c>
      <c r="C641" s="24" t="s">
        <v>4</v>
      </c>
      <c r="D641" s="23" t="s">
        <v>2090</v>
      </c>
      <c r="E641" s="23">
        <v>3402.3326775304699</v>
      </c>
      <c r="F641" s="23">
        <v>235</v>
      </c>
      <c r="G641" s="23">
        <v>235</v>
      </c>
      <c r="H641" s="23">
        <v>0</v>
      </c>
      <c r="I641" s="23" t="s">
        <v>5</v>
      </c>
      <c r="J641" s="23" t="s">
        <v>327</v>
      </c>
    </row>
    <row r="642" spans="1:10" s="20" customFormat="1" ht="12" x14ac:dyDescent="0.25">
      <c r="A642" s="22">
        <v>1000010177</v>
      </c>
      <c r="B642" s="23" t="s">
        <v>2963</v>
      </c>
      <c r="C642" s="24" t="s">
        <v>4</v>
      </c>
      <c r="D642" s="23" t="s">
        <v>2161</v>
      </c>
      <c r="E642" s="23">
        <v>3400.65</v>
      </c>
      <c r="F642" s="23">
        <v>5</v>
      </c>
      <c r="G642" s="23">
        <v>5</v>
      </c>
      <c r="H642" s="23">
        <v>0</v>
      </c>
      <c r="I642" s="23" t="s">
        <v>5</v>
      </c>
      <c r="J642" s="23" t="s">
        <v>111</v>
      </c>
    </row>
    <row r="643" spans="1:10" s="20" customFormat="1" ht="12" x14ac:dyDescent="0.25">
      <c r="A643" s="22">
        <v>1000010231</v>
      </c>
      <c r="B643" s="23" t="s">
        <v>2964</v>
      </c>
      <c r="C643" s="24" t="s">
        <v>4</v>
      </c>
      <c r="D643" s="23" t="s">
        <v>2161</v>
      </c>
      <c r="E643" s="23">
        <v>3394.5266666666598</v>
      </c>
      <c r="F643" s="23">
        <v>10</v>
      </c>
      <c r="G643" s="23">
        <v>10</v>
      </c>
      <c r="H643" s="23">
        <v>0</v>
      </c>
      <c r="I643" s="23" t="s">
        <v>5</v>
      </c>
      <c r="J643" s="23" t="s">
        <v>111</v>
      </c>
    </row>
    <row r="644" spans="1:10" s="20" customFormat="1" ht="12" x14ac:dyDescent="0.25">
      <c r="A644" s="22">
        <v>1000100485</v>
      </c>
      <c r="B644" s="23" t="s">
        <v>2965</v>
      </c>
      <c r="C644" s="24" t="s">
        <v>2109</v>
      </c>
      <c r="D644" s="23" t="s">
        <v>2399</v>
      </c>
      <c r="E644" s="23">
        <v>3390</v>
      </c>
      <c r="F644" s="23">
        <v>4</v>
      </c>
      <c r="G644" s="23">
        <v>4</v>
      </c>
      <c r="H644" s="23">
        <v>0</v>
      </c>
      <c r="I644" s="23" t="s">
        <v>5</v>
      </c>
      <c r="J644" s="23" t="s">
        <v>6</v>
      </c>
    </row>
    <row r="645" spans="1:10" s="20" customFormat="1" ht="12" x14ac:dyDescent="0.25">
      <c r="A645" s="22">
        <v>1000021101</v>
      </c>
      <c r="B645" s="23" t="s">
        <v>1262</v>
      </c>
      <c r="C645" s="24" t="s">
        <v>4</v>
      </c>
      <c r="D645" s="23" t="s">
        <v>2090</v>
      </c>
      <c r="E645" s="23">
        <v>3379.5052000000001</v>
      </c>
      <c r="F645" s="23">
        <v>18</v>
      </c>
      <c r="G645" s="23">
        <v>18</v>
      </c>
      <c r="H645" s="23">
        <v>0</v>
      </c>
      <c r="I645" s="23" t="s">
        <v>5</v>
      </c>
      <c r="J645" s="23" t="s">
        <v>327</v>
      </c>
    </row>
    <row r="646" spans="1:10" s="20" customFormat="1" ht="12" x14ac:dyDescent="0.25">
      <c r="A646" s="22">
        <v>2500008354</v>
      </c>
      <c r="B646" s="23" t="s">
        <v>2967</v>
      </c>
      <c r="C646" s="24" t="s">
        <v>1996</v>
      </c>
      <c r="D646" s="23" t="s">
        <v>2811</v>
      </c>
      <c r="E646" s="23">
        <v>3375</v>
      </c>
      <c r="F646" s="23">
        <v>6</v>
      </c>
      <c r="G646" s="23">
        <v>6</v>
      </c>
      <c r="H646" s="23">
        <v>0</v>
      </c>
      <c r="I646" s="23" t="s">
        <v>5</v>
      </c>
      <c r="J646" s="23" t="s">
        <v>1993</v>
      </c>
    </row>
    <row r="647" spans="1:10" s="20" customFormat="1" ht="12" x14ac:dyDescent="0.25">
      <c r="A647" s="22">
        <v>2500009466</v>
      </c>
      <c r="B647" s="23" t="s">
        <v>2968</v>
      </c>
      <c r="C647" s="24" t="s">
        <v>1996</v>
      </c>
      <c r="D647" s="23" t="s">
        <v>2289</v>
      </c>
      <c r="E647" s="23">
        <v>3375</v>
      </c>
      <c r="F647" s="23">
        <v>3</v>
      </c>
      <c r="G647" s="23">
        <v>3</v>
      </c>
      <c r="H647" s="23">
        <v>0</v>
      </c>
      <c r="I647" s="23" t="s">
        <v>5</v>
      </c>
      <c r="J647" s="23" t="s">
        <v>1993</v>
      </c>
    </row>
    <row r="648" spans="1:10" s="20" customFormat="1" ht="12" x14ac:dyDescent="0.25">
      <c r="A648" s="22">
        <v>1000021022</v>
      </c>
      <c r="B648" s="23" t="s">
        <v>1194</v>
      </c>
      <c r="C648" s="24" t="s">
        <v>4</v>
      </c>
      <c r="D648" s="23" t="s">
        <v>2090</v>
      </c>
      <c r="E648" s="23">
        <v>3370.12</v>
      </c>
      <c r="F648" s="23">
        <v>9</v>
      </c>
      <c r="G648" s="23">
        <v>9</v>
      </c>
      <c r="H648" s="23">
        <v>0</v>
      </c>
      <c r="I648" s="23" t="s">
        <v>5</v>
      </c>
      <c r="J648" s="23" t="s">
        <v>327</v>
      </c>
    </row>
    <row r="649" spans="1:10" s="20" customFormat="1" ht="12" x14ac:dyDescent="0.25">
      <c r="A649" s="22">
        <v>1000020125</v>
      </c>
      <c r="B649" s="23" t="s">
        <v>380</v>
      </c>
      <c r="C649" s="24" t="s">
        <v>4</v>
      </c>
      <c r="D649" s="23" t="s">
        <v>2090</v>
      </c>
      <c r="E649" s="23">
        <v>3368.1593181818098</v>
      </c>
      <c r="F649" s="23">
        <v>6</v>
      </c>
      <c r="G649" s="23">
        <v>6</v>
      </c>
      <c r="H649" s="23">
        <v>0</v>
      </c>
      <c r="I649" s="23" t="s">
        <v>5</v>
      </c>
      <c r="J649" s="23" t="s">
        <v>327</v>
      </c>
    </row>
    <row r="650" spans="1:10" s="20" customFormat="1" ht="12" x14ac:dyDescent="0.25">
      <c r="A650" s="22">
        <v>1000098596</v>
      </c>
      <c r="B650" s="23" t="s">
        <v>1601</v>
      </c>
      <c r="C650" s="24" t="s">
        <v>4</v>
      </c>
      <c r="D650" s="23" t="s">
        <v>2090</v>
      </c>
      <c r="E650" s="23">
        <v>3366.85</v>
      </c>
      <c r="F650" s="23">
        <v>5</v>
      </c>
      <c r="G650" s="23">
        <v>5</v>
      </c>
      <c r="H650" s="23">
        <v>0</v>
      </c>
      <c r="I650" s="23" t="s">
        <v>5</v>
      </c>
      <c r="J650" s="23" t="s">
        <v>327</v>
      </c>
    </row>
    <row r="651" spans="1:10" s="20" customFormat="1" ht="12" x14ac:dyDescent="0.25">
      <c r="A651" s="22">
        <v>2500006140</v>
      </c>
      <c r="B651" s="23" t="s">
        <v>1913</v>
      </c>
      <c r="C651" s="24" t="s">
        <v>1996</v>
      </c>
      <c r="D651" s="23" t="s">
        <v>2025</v>
      </c>
      <c r="E651" s="23">
        <v>3366.5302083333299</v>
      </c>
      <c r="F651" s="23">
        <v>5</v>
      </c>
      <c r="G651" s="23">
        <v>5</v>
      </c>
      <c r="H651" s="23">
        <v>0</v>
      </c>
      <c r="I651" s="23" t="s">
        <v>5</v>
      </c>
      <c r="J651" s="23" t="s">
        <v>1993</v>
      </c>
    </row>
    <row r="652" spans="1:10" s="20" customFormat="1" ht="12" x14ac:dyDescent="0.25">
      <c r="A652" s="22">
        <v>2500008222</v>
      </c>
      <c r="B652" s="23" t="s">
        <v>2973</v>
      </c>
      <c r="C652" s="24" t="s">
        <v>1996</v>
      </c>
      <c r="D652" s="23" t="s">
        <v>2025</v>
      </c>
      <c r="E652" s="23">
        <v>3357.23794642857</v>
      </c>
      <c r="F652" s="23">
        <v>5</v>
      </c>
      <c r="G652" s="23">
        <v>5</v>
      </c>
      <c r="H652" s="23">
        <v>0</v>
      </c>
      <c r="I652" s="23" t="s">
        <v>5</v>
      </c>
      <c r="J652" s="23" t="s">
        <v>1993</v>
      </c>
    </row>
    <row r="653" spans="1:10" s="20" customFormat="1" ht="12" x14ac:dyDescent="0.25">
      <c r="A653" s="22">
        <v>1000010070</v>
      </c>
      <c r="B653" s="23" t="s">
        <v>2974</v>
      </c>
      <c r="C653" s="24" t="s">
        <v>4</v>
      </c>
      <c r="D653" s="23" t="s">
        <v>2161</v>
      </c>
      <c r="E653" s="23">
        <v>3355.2965369034</v>
      </c>
      <c r="F653" s="23">
        <v>19</v>
      </c>
      <c r="G653" s="23">
        <v>19</v>
      </c>
      <c r="H653" s="23">
        <v>0</v>
      </c>
      <c r="I653" s="23" t="s">
        <v>5</v>
      </c>
      <c r="J653" s="23" t="s">
        <v>111</v>
      </c>
    </row>
    <row r="654" spans="1:10" s="20" customFormat="1" ht="12" x14ac:dyDescent="0.25">
      <c r="A654" s="22">
        <v>1000021291</v>
      </c>
      <c r="B654" s="23" t="s">
        <v>1427</v>
      </c>
      <c r="C654" s="24" t="s">
        <v>4</v>
      </c>
      <c r="D654" s="23" t="s">
        <v>2090</v>
      </c>
      <c r="E654" s="23">
        <v>3343.06</v>
      </c>
      <c r="F654" s="23">
        <v>7</v>
      </c>
      <c r="G654" s="23">
        <v>7</v>
      </c>
      <c r="H654" s="23">
        <v>0</v>
      </c>
      <c r="I654" s="23" t="s">
        <v>5</v>
      </c>
      <c r="J654" s="23" t="s">
        <v>327</v>
      </c>
    </row>
    <row r="655" spans="1:10" s="20" customFormat="1" ht="12" x14ac:dyDescent="0.25">
      <c r="A655" s="22">
        <v>1000100369</v>
      </c>
      <c r="B655" s="23" t="s">
        <v>1708</v>
      </c>
      <c r="C655" s="24" t="s">
        <v>4</v>
      </c>
      <c r="D655" s="23" t="s">
        <v>2090</v>
      </c>
      <c r="E655" s="23">
        <v>3339.375</v>
      </c>
      <c r="F655" s="23">
        <v>8</v>
      </c>
      <c r="G655" s="23">
        <v>8</v>
      </c>
      <c r="H655" s="23">
        <v>0</v>
      </c>
      <c r="I655" s="23" t="s">
        <v>5</v>
      </c>
      <c r="J655" s="23" t="s">
        <v>327</v>
      </c>
    </row>
    <row r="656" spans="1:10" s="20" customFormat="1" ht="12" x14ac:dyDescent="0.25">
      <c r="A656" s="22">
        <v>1000020904</v>
      </c>
      <c r="B656" s="23" t="s">
        <v>1085</v>
      </c>
      <c r="C656" s="24" t="s">
        <v>4</v>
      </c>
      <c r="D656" s="23" t="s">
        <v>2090</v>
      </c>
      <c r="E656" s="23">
        <v>3328.8673684210498</v>
      </c>
      <c r="F656" s="23">
        <v>16</v>
      </c>
      <c r="G656" s="23">
        <v>16</v>
      </c>
      <c r="H656" s="23">
        <v>0</v>
      </c>
      <c r="I656" s="23" t="s">
        <v>5</v>
      </c>
      <c r="J656" s="23" t="s">
        <v>327</v>
      </c>
    </row>
    <row r="657" spans="1:10" s="20" customFormat="1" ht="12" x14ac:dyDescent="0.25">
      <c r="A657" s="22">
        <v>1000093590</v>
      </c>
      <c r="B657" s="23" t="s">
        <v>2977</v>
      </c>
      <c r="C657" s="24" t="s">
        <v>4</v>
      </c>
      <c r="D657" s="23" t="s">
        <v>2056</v>
      </c>
      <c r="E657" s="23">
        <v>3325.7318746917599</v>
      </c>
      <c r="F657" s="23">
        <v>749</v>
      </c>
      <c r="G657" s="23">
        <v>749</v>
      </c>
      <c r="H657" s="23">
        <v>0</v>
      </c>
      <c r="I657" s="23" t="s">
        <v>5</v>
      </c>
      <c r="J657" s="23" t="s">
        <v>1844</v>
      </c>
    </row>
    <row r="658" spans="1:10" s="20" customFormat="1" ht="12" x14ac:dyDescent="0.25">
      <c r="A658" s="22">
        <v>1000095810</v>
      </c>
      <c r="B658" s="23" t="s">
        <v>2978</v>
      </c>
      <c r="C658" s="24" t="s">
        <v>4</v>
      </c>
      <c r="D658" s="23" t="s">
        <v>2056</v>
      </c>
      <c r="E658" s="23">
        <v>3318.5215873086399</v>
      </c>
      <c r="F658" s="23">
        <v>1906</v>
      </c>
      <c r="G658" s="23">
        <v>1906</v>
      </c>
      <c r="H658" s="23">
        <v>0</v>
      </c>
      <c r="I658" s="23" t="s">
        <v>5</v>
      </c>
      <c r="J658" s="23" t="s">
        <v>1844</v>
      </c>
    </row>
    <row r="659" spans="1:10" s="20" customFormat="1" ht="12" x14ac:dyDescent="0.25">
      <c r="A659" s="22">
        <v>1000100341</v>
      </c>
      <c r="B659" s="23" t="s">
        <v>2983</v>
      </c>
      <c r="C659" s="24" t="s">
        <v>4</v>
      </c>
      <c r="D659" s="23" t="s">
        <v>2090</v>
      </c>
      <c r="E659" s="23">
        <v>3291.8159999999998</v>
      </c>
      <c r="F659" s="23">
        <v>15</v>
      </c>
      <c r="G659" s="23">
        <v>15</v>
      </c>
      <c r="H659" s="23">
        <v>0</v>
      </c>
      <c r="I659" s="23" t="s">
        <v>5</v>
      </c>
      <c r="J659" s="23" t="s">
        <v>327</v>
      </c>
    </row>
    <row r="660" spans="1:10" s="20" customFormat="1" ht="12" x14ac:dyDescent="0.25">
      <c r="A660" s="22">
        <v>1000021087</v>
      </c>
      <c r="B660" s="23" t="s">
        <v>1249</v>
      </c>
      <c r="C660" s="24" t="s">
        <v>4</v>
      </c>
      <c r="D660" s="23" t="s">
        <v>2090</v>
      </c>
      <c r="E660" s="23">
        <v>3290.7840000000001</v>
      </c>
      <c r="F660" s="23">
        <v>28</v>
      </c>
      <c r="G660" s="23">
        <v>28</v>
      </c>
      <c r="H660" s="23">
        <v>0</v>
      </c>
      <c r="I660" s="23" t="s">
        <v>5</v>
      </c>
      <c r="J660" s="23" t="s">
        <v>327</v>
      </c>
    </row>
    <row r="661" spans="1:10" s="20" customFormat="1" ht="12" x14ac:dyDescent="0.25">
      <c r="A661" s="22">
        <v>1000106072</v>
      </c>
      <c r="B661" s="23" t="s">
        <v>2985</v>
      </c>
      <c r="C661" s="24" t="s">
        <v>4</v>
      </c>
      <c r="D661" s="23" t="s">
        <v>2161</v>
      </c>
      <c r="E661" s="23">
        <v>3288</v>
      </c>
      <c r="F661" s="23">
        <v>2</v>
      </c>
      <c r="G661" s="23">
        <v>2</v>
      </c>
      <c r="H661" s="23">
        <v>0</v>
      </c>
      <c r="I661" s="23" t="s">
        <v>5</v>
      </c>
      <c r="J661" s="23" t="s">
        <v>111</v>
      </c>
    </row>
    <row r="662" spans="1:10" s="20" customFormat="1" ht="12" x14ac:dyDescent="0.25">
      <c r="A662" s="22">
        <v>1000094951</v>
      </c>
      <c r="B662" s="23" t="s">
        <v>2986</v>
      </c>
      <c r="C662" s="24" t="s">
        <v>4</v>
      </c>
      <c r="D662" s="23" t="s">
        <v>2056</v>
      </c>
      <c r="E662" s="23">
        <v>3283.98982416736</v>
      </c>
      <c r="F662" s="23">
        <v>1479</v>
      </c>
      <c r="G662" s="23">
        <v>1479</v>
      </c>
      <c r="H662" s="23">
        <v>0</v>
      </c>
      <c r="I662" s="23" t="s">
        <v>5</v>
      </c>
      <c r="J662" s="23" t="s">
        <v>1844</v>
      </c>
    </row>
    <row r="663" spans="1:10" s="20" customFormat="1" ht="12" x14ac:dyDescent="0.25">
      <c r="A663" s="22">
        <v>1000096856</v>
      </c>
      <c r="B663" s="23" t="s">
        <v>2987</v>
      </c>
      <c r="C663" s="24" t="s">
        <v>4</v>
      </c>
      <c r="D663" s="23" t="s">
        <v>2090</v>
      </c>
      <c r="E663" s="23">
        <v>3279.3</v>
      </c>
      <c r="F663" s="23">
        <v>3</v>
      </c>
      <c r="G663" s="23">
        <v>3</v>
      </c>
      <c r="H663" s="23">
        <v>0</v>
      </c>
      <c r="I663" s="23" t="s">
        <v>5</v>
      </c>
      <c r="J663" s="23" t="s">
        <v>327</v>
      </c>
    </row>
    <row r="664" spans="1:10" s="20" customFormat="1" ht="12" x14ac:dyDescent="0.25">
      <c r="A664" s="22">
        <v>2700000024</v>
      </c>
      <c r="B664" s="23" t="s">
        <v>229</v>
      </c>
      <c r="C664" s="24" t="s">
        <v>2037</v>
      </c>
      <c r="D664" s="23" t="s">
        <v>2038</v>
      </c>
      <c r="E664" s="23">
        <v>3269.2045954745399</v>
      </c>
      <c r="F664" s="23">
        <v>14</v>
      </c>
      <c r="G664" s="23">
        <v>14</v>
      </c>
      <c r="H664" s="23">
        <v>0</v>
      </c>
      <c r="I664" s="23" t="s">
        <v>5</v>
      </c>
      <c r="J664" s="23" t="s">
        <v>146</v>
      </c>
    </row>
    <row r="665" spans="1:10" s="20" customFormat="1" ht="12" x14ac:dyDescent="0.25">
      <c r="A665" s="22">
        <v>1000095536</v>
      </c>
      <c r="B665" s="23" t="s">
        <v>2989</v>
      </c>
      <c r="C665" s="24" t="s">
        <v>4</v>
      </c>
      <c r="D665" s="23" t="s">
        <v>2161</v>
      </c>
      <c r="E665" s="23">
        <v>3258.0459999999998</v>
      </c>
      <c r="F665" s="23">
        <v>5</v>
      </c>
      <c r="G665" s="23">
        <v>5</v>
      </c>
      <c r="H665" s="23">
        <v>0</v>
      </c>
      <c r="I665" s="23" t="s">
        <v>5</v>
      </c>
      <c r="J665" s="23" t="s">
        <v>111</v>
      </c>
    </row>
    <row r="666" spans="1:10" s="20" customFormat="1" ht="12" x14ac:dyDescent="0.25">
      <c r="A666" s="22">
        <v>1000094887</v>
      </c>
      <c r="B666" s="23" t="s">
        <v>2990</v>
      </c>
      <c r="C666" s="24" t="s">
        <v>4</v>
      </c>
      <c r="D666" s="23" t="s">
        <v>2230</v>
      </c>
      <c r="E666" s="23">
        <v>3250.0039999999999</v>
      </c>
      <c r="F666" s="23">
        <v>1</v>
      </c>
      <c r="G666" s="23">
        <v>1</v>
      </c>
      <c r="H666" s="23">
        <v>0</v>
      </c>
      <c r="I666" s="23" t="s">
        <v>5</v>
      </c>
      <c r="J666" s="23" t="s">
        <v>111</v>
      </c>
    </row>
    <row r="667" spans="1:10" s="20" customFormat="1" ht="12" x14ac:dyDescent="0.25">
      <c r="A667" s="22">
        <v>1000098519</v>
      </c>
      <c r="B667" s="23" t="s">
        <v>1554</v>
      </c>
      <c r="C667" s="24" t="s">
        <v>4</v>
      </c>
      <c r="D667" s="23" t="s">
        <v>2090</v>
      </c>
      <c r="E667" s="23">
        <v>3248.01</v>
      </c>
      <c r="F667" s="23">
        <v>2</v>
      </c>
      <c r="G667" s="23">
        <v>2</v>
      </c>
      <c r="H667" s="23">
        <v>0</v>
      </c>
      <c r="I667" s="23" t="s">
        <v>5</v>
      </c>
      <c r="J667" s="23" t="s">
        <v>327</v>
      </c>
    </row>
    <row r="668" spans="1:10" s="20" customFormat="1" ht="12" x14ac:dyDescent="0.25">
      <c r="A668" s="22">
        <v>1000098510</v>
      </c>
      <c r="B668" s="23" t="s">
        <v>1548</v>
      </c>
      <c r="C668" s="24" t="s">
        <v>4</v>
      </c>
      <c r="D668" s="23" t="s">
        <v>2090</v>
      </c>
      <c r="E668" s="23">
        <v>3245.39</v>
      </c>
      <c r="F668" s="23">
        <v>4</v>
      </c>
      <c r="G668" s="23">
        <v>4</v>
      </c>
      <c r="H668" s="23">
        <v>0</v>
      </c>
      <c r="I668" s="23" t="s">
        <v>5</v>
      </c>
      <c r="J668" s="23" t="s">
        <v>327</v>
      </c>
    </row>
    <row r="669" spans="1:10" s="20" customFormat="1" ht="12" x14ac:dyDescent="0.25">
      <c r="A669" s="22">
        <v>1000020844</v>
      </c>
      <c r="B669" s="23" t="s">
        <v>1037</v>
      </c>
      <c r="C669" s="24" t="s">
        <v>4</v>
      </c>
      <c r="D669" s="23" t="s">
        <v>2218</v>
      </c>
      <c r="E669" s="23">
        <v>3241.125</v>
      </c>
      <c r="F669" s="23">
        <v>15</v>
      </c>
      <c r="G669" s="23">
        <v>15</v>
      </c>
      <c r="H669" s="23">
        <v>0</v>
      </c>
      <c r="I669" s="23" t="s">
        <v>5</v>
      </c>
      <c r="J669" s="23" t="s">
        <v>327</v>
      </c>
    </row>
    <row r="670" spans="1:10" s="20" customFormat="1" ht="12" x14ac:dyDescent="0.25">
      <c r="A670" s="22">
        <v>1000100380</v>
      </c>
      <c r="B670" s="23" t="s">
        <v>2991</v>
      </c>
      <c r="C670" s="24" t="s">
        <v>4</v>
      </c>
      <c r="D670" s="23" t="s">
        <v>2090</v>
      </c>
      <c r="E670" s="23">
        <v>3222.98</v>
      </c>
      <c r="F670" s="23">
        <v>10</v>
      </c>
      <c r="G670" s="23">
        <v>10</v>
      </c>
      <c r="H670" s="23">
        <v>0</v>
      </c>
      <c r="I670" s="23" t="s">
        <v>5</v>
      </c>
      <c r="J670" s="23" t="s">
        <v>327</v>
      </c>
    </row>
    <row r="671" spans="1:10" s="20" customFormat="1" ht="12" x14ac:dyDescent="0.25">
      <c r="A671" s="22">
        <v>1000100153</v>
      </c>
      <c r="B671" s="23" t="s">
        <v>2992</v>
      </c>
      <c r="C671" s="24" t="s">
        <v>4</v>
      </c>
      <c r="D671" s="23" t="s">
        <v>2090</v>
      </c>
      <c r="E671" s="23">
        <v>3217.3670869565199</v>
      </c>
      <c r="F671" s="23">
        <v>21</v>
      </c>
      <c r="G671" s="23">
        <v>21</v>
      </c>
      <c r="H671" s="23">
        <v>0</v>
      </c>
      <c r="I671" s="23" t="s">
        <v>5</v>
      </c>
      <c r="J671" s="23" t="s">
        <v>327</v>
      </c>
    </row>
    <row r="672" spans="1:10" s="20" customFormat="1" ht="12" x14ac:dyDescent="0.25">
      <c r="A672" s="22">
        <v>1000099990</v>
      </c>
      <c r="B672" s="23" t="s">
        <v>2993</v>
      </c>
      <c r="C672" s="24" t="s">
        <v>4</v>
      </c>
      <c r="D672" s="23" t="s">
        <v>2161</v>
      </c>
      <c r="E672" s="23">
        <v>3216.92</v>
      </c>
      <c r="F672" s="23">
        <v>3</v>
      </c>
      <c r="G672" s="23">
        <v>3</v>
      </c>
      <c r="H672" s="23">
        <v>0</v>
      </c>
      <c r="I672" s="23" t="s">
        <v>5</v>
      </c>
      <c r="J672" s="23" t="s">
        <v>111</v>
      </c>
    </row>
    <row r="673" spans="1:10" s="20" customFormat="1" ht="12" x14ac:dyDescent="0.25">
      <c r="A673" s="22">
        <v>1000021233</v>
      </c>
      <c r="B673" s="23" t="s">
        <v>1378</v>
      </c>
      <c r="C673" s="24" t="s">
        <v>4</v>
      </c>
      <c r="D673" s="23" t="s">
        <v>2090</v>
      </c>
      <c r="E673" s="23">
        <v>3214.2258823529401</v>
      </c>
      <c r="F673" s="23">
        <v>11</v>
      </c>
      <c r="G673" s="23">
        <v>11</v>
      </c>
      <c r="H673" s="23">
        <v>0</v>
      </c>
      <c r="I673" s="23" t="s">
        <v>5</v>
      </c>
      <c r="J673" s="23" t="s">
        <v>327</v>
      </c>
    </row>
    <row r="674" spans="1:10" s="20" customFormat="1" ht="12" x14ac:dyDescent="0.25">
      <c r="A674" s="22">
        <v>1000021330</v>
      </c>
      <c r="B674" s="23" t="s">
        <v>1459</v>
      </c>
      <c r="C674" s="24" t="s">
        <v>4</v>
      </c>
      <c r="D674" s="23" t="s">
        <v>2090</v>
      </c>
      <c r="E674" s="23">
        <v>3208.59</v>
      </c>
      <c r="F674" s="23">
        <v>7</v>
      </c>
      <c r="G674" s="23">
        <v>7</v>
      </c>
      <c r="H674" s="23">
        <v>0</v>
      </c>
      <c r="I674" s="23" t="s">
        <v>5</v>
      </c>
      <c r="J674" s="23" t="s">
        <v>327</v>
      </c>
    </row>
    <row r="675" spans="1:10" s="20" customFormat="1" ht="12" x14ac:dyDescent="0.25">
      <c r="A675" s="22">
        <v>1000100954</v>
      </c>
      <c r="B675" s="23" t="s">
        <v>2995</v>
      </c>
      <c r="C675" s="24" t="s">
        <v>4</v>
      </c>
      <c r="D675" s="23" t="s">
        <v>2056</v>
      </c>
      <c r="E675" s="23">
        <v>3191.44</v>
      </c>
      <c r="F675" s="23">
        <v>140</v>
      </c>
      <c r="G675" s="23">
        <v>140</v>
      </c>
      <c r="H675" s="23">
        <v>0</v>
      </c>
      <c r="I675" s="23" t="s">
        <v>5</v>
      </c>
      <c r="J675" s="23" t="s">
        <v>1844</v>
      </c>
    </row>
    <row r="676" spans="1:10" s="20" customFormat="1" ht="12" x14ac:dyDescent="0.25">
      <c r="A676" s="22">
        <v>1000010087</v>
      </c>
      <c r="B676" s="23" t="s">
        <v>2996</v>
      </c>
      <c r="C676" s="24" t="s">
        <v>4</v>
      </c>
      <c r="D676" s="23" t="s">
        <v>2161</v>
      </c>
      <c r="E676" s="23">
        <v>3186.0720000000001</v>
      </c>
      <c r="F676" s="23">
        <v>19</v>
      </c>
      <c r="G676" s="23">
        <v>19</v>
      </c>
      <c r="H676" s="23">
        <v>0</v>
      </c>
      <c r="I676" s="23" t="s">
        <v>5</v>
      </c>
      <c r="J676" s="23" t="s">
        <v>111</v>
      </c>
    </row>
    <row r="677" spans="1:10" s="20" customFormat="1" ht="12" x14ac:dyDescent="0.25">
      <c r="A677" s="22">
        <v>1000020566</v>
      </c>
      <c r="B677" s="23" t="s">
        <v>783</v>
      </c>
      <c r="C677" s="24" t="s">
        <v>4</v>
      </c>
      <c r="D677" s="23" t="s">
        <v>2090</v>
      </c>
      <c r="E677" s="23">
        <v>3182.6959999999999</v>
      </c>
      <c r="F677" s="23">
        <v>8</v>
      </c>
      <c r="G677" s="23">
        <v>8</v>
      </c>
      <c r="H677" s="23">
        <v>0</v>
      </c>
      <c r="I677" s="23" t="s">
        <v>5</v>
      </c>
      <c r="J677" s="23" t="s">
        <v>327</v>
      </c>
    </row>
    <row r="678" spans="1:10" s="20" customFormat="1" ht="12" x14ac:dyDescent="0.25">
      <c r="A678" s="22">
        <v>1000102334</v>
      </c>
      <c r="B678" s="23" t="s">
        <v>3002</v>
      </c>
      <c r="C678" s="24" t="s">
        <v>4</v>
      </c>
      <c r="D678" s="23" t="s">
        <v>2161</v>
      </c>
      <c r="E678" s="23">
        <v>3155.75</v>
      </c>
      <c r="F678" s="23">
        <v>3</v>
      </c>
      <c r="G678" s="23">
        <v>3</v>
      </c>
      <c r="H678" s="23">
        <v>0</v>
      </c>
      <c r="I678" s="23" t="s">
        <v>5</v>
      </c>
      <c r="J678" s="23" t="s">
        <v>111</v>
      </c>
    </row>
    <row r="679" spans="1:10" s="20" customFormat="1" ht="12" x14ac:dyDescent="0.25">
      <c r="A679" s="22">
        <v>1000090908</v>
      </c>
      <c r="B679" s="23" t="s">
        <v>3005</v>
      </c>
      <c r="C679" s="24" t="s">
        <v>2027</v>
      </c>
      <c r="D679" s="23" t="s">
        <v>3006</v>
      </c>
      <c r="E679" s="23">
        <v>3145.5</v>
      </c>
      <c r="F679" s="23">
        <v>1</v>
      </c>
      <c r="G679" s="23">
        <v>1</v>
      </c>
      <c r="H679" s="23">
        <v>0</v>
      </c>
      <c r="I679" s="23" t="s">
        <v>5</v>
      </c>
      <c r="J679" s="23" t="s">
        <v>6</v>
      </c>
    </row>
    <row r="680" spans="1:10" s="20" customFormat="1" ht="12" x14ac:dyDescent="0.25">
      <c r="A680" s="22">
        <v>1000094678</v>
      </c>
      <c r="B680" s="23" t="s">
        <v>3007</v>
      </c>
      <c r="C680" s="24" t="s">
        <v>4</v>
      </c>
      <c r="D680" s="23" t="s">
        <v>2230</v>
      </c>
      <c r="E680" s="23">
        <v>3139.0835999999999</v>
      </c>
      <c r="F680" s="23">
        <v>3</v>
      </c>
      <c r="G680" s="23">
        <v>3</v>
      </c>
      <c r="H680" s="23">
        <v>0</v>
      </c>
      <c r="I680" s="23" t="s">
        <v>5</v>
      </c>
      <c r="J680" s="23" t="s">
        <v>111</v>
      </c>
    </row>
    <row r="681" spans="1:10" s="20" customFormat="1" ht="12" x14ac:dyDescent="0.25">
      <c r="A681" s="22">
        <v>2500002370</v>
      </c>
      <c r="B681" s="23" t="s">
        <v>1899</v>
      </c>
      <c r="C681" s="24" t="s">
        <v>1996</v>
      </c>
      <c r="D681" s="23" t="s">
        <v>2025</v>
      </c>
      <c r="E681" s="23">
        <v>3127.90333333333</v>
      </c>
      <c r="F681" s="23">
        <v>4</v>
      </c>
      <c r="G681" s="23">
        <v>4</v>
      </c>
      <c r="H681" s="23">
        <v>0</v>
      </c>
      <c r="I681" s="23" t="s">
        <v>5</v>
      </c>
      <c r="J681" s="23" t="s">
        <v>1993</v>
      </c>
    </row>
    <row r="682" spans="1:10" s="20" customFormat="1" ht="12" x14ac:dyDescent="0.25">
      <c r="A682" s="22">
        <v>2500008158</v>
      </c>
      <c r="B682" s="23" t="s">
        <v>1919</v>
      </c>
      <c r="C682" s="24" t="s">
        <v>1996</v>
      </c>
      <c r="D682" s="23" t="s">
        <v>2025</v>
      </c>
      <c r="E682" s="23">
        <v>3116.0571428571402</v>
      </c>
      <c r="F682" s="23">
        <v>4</v>
      </c>
      <c r="G682" s="23">
        <v>4</v>
      </c>
      <c r="H682" s="23">
        <v>0</v>
      </c>
      <c r="I682" s="23" t="s">
        <v>5</v>
      </c>
      <c r="J682" s="23" t="s">
        <v>1993</v>
      </c>
    </row>
    <row r="683" spans="1:10" s="20" customFormat="1" ht="12" x14ac:dyDescent="0.25">
      <c r="A683" s="22">
        <v>1000100354</v>
      </c>
      <c r="B683" s="23" t="s">
        <v>3010</v>
      </c>
      <c r="C683" s="24" t="s">
        <v>4</v>
      </c>
      <c r="D683" s="23" t="s">
        <v>2090</v>
      </c>
      <c r="E683" s="23">
        <v>3111.3821052631502</v>
      </c>
      <c r="F683" s="23">
        <v>14</v>
      </c>
      <c r="G683" s="23">
        <v>14</v>
      </c>
      <c r="H683" s="23">
        <v>0</v>
      </c>
      <c r="I683" s="23" t="s">
        <v>5</v>
      </c>
      <c r="J683" s="23" t="s">
        <v>327</v>
      </c>
    </row>
    <row r="684" spans="1:10" s="20" customFormat="1" ht="12" x14ac:dyDescent="0.25">
      <c r="A684" s="22">
        <v>1000100324</v>
      </c>
      <c r="B684" s="23" t="s">
        <v>3011</v>
      </c>
      <c r="C684" s="24" t="s">
        <v>4</v>
      </c>
      <c r="D684" s="23" t="s">
        <v>2090</v>
      </c>
      <c r="E684" s="23">
        <v>3102.2337815126002</v>
      </c>
      <c r="F684" s="23">
        <v>19</v>
      </c>
      <c r="G684" s="23">
        <v>19</v>
      </c>
      <c r="H684" s="23">
        <v>0</v>
      </c>
      <c r="I684" s="23" t="s">
        <v>5</v>
      </c>
      <c r="J684" s="23" t="s">
        <v>327</v>
      </c>
    </row>
    <row r="685" spans="1:10" s="20" customFormat="1" ht="12" x14ac:dyDescent="0.25">
      <c r="A685" s="22">
        <v>1000020245</v>
      </c>
      <c r="B685" s="23" t="s">
        <v>484</v>
      </c>
      <c r="C685" s="24" t="s">
        <v>4</v>
      </c>
      <c r="D685" s="23" t="s">
        <v>2090</v>
      </c>
      <c r="E685" s="23">
        <v>3099.2998282887002</v>
      </c>
      <c r="F685" s="23">
        <v>435</v>
      </c>
      <c r="G685" s="23">
        <v>435</v>
      </c>
      <c r="H685" s="23">
        <v>0</v>
      </c>
      <c r="I685" s="23" t="s">
        <v>5</v>
      </c>
      <c r="J685" s="23" t="s">
        <v>327</v>
      </c>
    </row>
    <row r="686" spans="1:10" s="20" customFormat="1" ht="12" x14ac:dyDescent="0.25">
      <c r="A686" s="22">
        <v>1000020087</v>
      </c>
      <c r="B686" s="23" t="s">
        <v>346</v>
      </c>
      <c r="C686" s="24" t="s">
        <v>4</v>
      </c>
      <c r="D686" s="23" t="s">
        <v>2090</v>
      </c>
      <c r="E686" s="23">
        <v>3098.8229999999999</v>
      </c>
      <c r="F686" s="23">
        <v>21</v>
      </c>
      <c r="G686" s="23">
        <v>21</v>
      </c>
      <c r="H686" s="23">
        <v>0</v>
      </c>
      <c r="I686" s="23" t="s">
        <v>5</v>
      </c>
      <c r="J686" s="23" t="s">
        <v>327</v>
      </c>
    </row>
    <row r="687" spans="1:10" s="20" customFormat="1" ht="12" x14ac:dyDescent="0.25">
      <c r="A687" s="22">
        <v>2500003460</v>
      </c>
      <c r="B687" s="23" t="s">
        <v>1900</v>
      </c>
      <c r="C687" s="24" t="s">
        <v>1996</v>
      </c>
      <c r="D687" s="23" t="s">
        <v>2025</v>
      </c>
      <c r="E687" s="23">
        <v>3094.5</v>
      </c>
      <c r="F687" s="23">
        <v>4</v>
      </c>
      <c r="G687" s="23">
        <v>4</v>
      </c>
      <c r="H687" s="23">
        <v>0</v>
      </c>
      <c r="I687" s="23" t="s">
        <v>5</v>
      </c>
      <c r="J687" s="23" t="s">
        <v>1993</v>
      </c>
    </row>
    <row r="688" spans="1:10" s="20" customFormat="1" ht="12" x14ac:dyDescent="0.25">
      <c r="A688" s="22">
        <v>1000100639</v>
      </c>
      <c r="B688" s="23" t="s">
        <v>3012</v>
      </c>
      <c r="C688" s="24" t="s">
        <v>4</v>
      </c>
      <c r="D688" s="23" t="s">
        <v>2056</v>
      </c>
      <c r="E688" s="23">
        <v>3091.1206447887198</v>
      </c>
      <c r="F688" s="23">
        <v>5</v>
      </c>
      <c r="G688" s="23">
        <v>5</v>
      </c>
      <c r="H688" s="23">
        <v>0</v>
      </c>
      <c r="I688" s="23" t="s">
        <v>5</v>
      </c>
      <c r="J688" s="23" t="s">
        <v>1844</v>
      </c>
    </row>
    <row r="689" spans="1:10" s="20" customFormat="1" ht="12" x14ac:dyDescent="0.25">
      <c r="A689" s="22">
        <v>1000100343</v>
      </c>
      <c r="B689" s="23" t="s">
        <v>3013</v>
      </c>
      <c r="C689" s="24" t="s">
        <v>4</v>
      </c>
      <c r="D689" s="23" t="s">
        <v>2090</v>
      </c>
      <c r="E689" s="23">
        <v>3090.2669999999998</v>
      </c>
      <c r="F689" s="23">
        <v>12</v>
      </c>
      <c r="G689" s="23">
        <v>12</v>
      </c>
      <c r="H689" s="23">
        <v>0</v>
      </c>
      <c r="I689" s="23" t="s">
        <v>5</v>
      </c>
      <c r="J689" s="23" t="s">
        <v>327</v>
      </c>
    </row>
    <row r="690" spans="1:10" s="20" customFormat="1" ht="12" x14ac:dyDescent="0.25">
      <c r="A690" s="22">
        <v>1000099971</v>
      </c>
      <c r="B690" s="23" t="s">
        <v>3014</v>
      </c>
      <c r="C690" s="24" t="s">
        <v>4</v>
      </c>
      <c r="D690" s="23" t="s">
        <v>2161</v>
      </c>
      <c r="E690" s="23">
        <v>3088.13</v>
      </c>
      <c r="F690" s="23">
        <v>3</v>
      </c>
      <c r="G690" s="23">
        <v>3</v>
      </c>
      <c r="H690" s="23">
        <v>0</v>
      </c>
      <c r="I690" s="23" t="s">
        <v>5</v>
      </c>
      <c r="J690" s="23" t="s">
        <v>111</v>
      </c>
    </row>
    <row r="691" spans="1:10" s="20" customFormat="1" ht="12" x14ac:dyDescent="0.25">
      <c r="A691" s="22">
        <v>2500008436</v>
      </c>
      <c r="B691" s="23" t="s">
        <v>3016</v>
      </c>
      <c r="C691" s="24" t="s">
        <v>1996</v>
      </c>
      <c r="D691" s="23" t="s">
        <v>2025</v>
      </c>
      <c r="E691" s="23">
        <v>3074.4650000000001</v>
      </c>
      <c r="F691" s="23">
        <v>4</v>
      </c>
      <c r="G691" s="23">
        <v>4</v>
      </c>
      <c r="H691" s="23">
        <v>0</v>
      </c>
      <c r="I691" s="23" t="s">
        <v>5</v>
      </c>
      <c r="J691" s="23" t="s">
        <v>1993</v>
      </c>
    </row>
    <row r="692" spans="1:10" s="20" customFormat="1" ht="12" x14ac:dyDescent="0.25">
      <c r="A692" s="22">
        <v>1000099431</v>
      </c>
      <c r="B692" s="23" t="s">
        <v>3017</v>
      </c>
      <c r="C692" s="24" t="s">
        <v>4</v>
      </c>
      <c r="D692" s="23" t="s">
        <v>2090</v>
      </c>
      <c r="E692" s="23">
        <v>3060.4688973606999</v>
      </c>
      <c r="F692" s="23">
        <v>69</v>
      </c>
      <c r="G692" s="23">
        <v>69</v>
      </c>
      <c r="H692" s="23">
        <v>0</v>
      </c>
      <c r="I692" s="23" t="s">
        <v>5</v>
      </c>
      <c r="J692" s="23" t="s">
        <v>327</v>
      </c>
    </row>
    <row r="693" spans="1:10" s="20" customFormat="1" ht="12" x14ac:dyDescent="0.25">
      <c r="A693" s="22">
        <v>1000096788</v>
      </c>
      <c r="B693" s="23" t="s">
        <v>3018</v>
      </c>
      <c r="C693" s="24" t="s">
        <v>4</v>
      </c>
      <c r="D693" s="23" t="s">
        <v>2090</v>
      </c>
      <c r="E693" s="23">
        <v>3054.83</v>
      </c>
      <c r="F693" s="23">
        <v>36</v>
      </c>
      <c r="G693" s="23">
        <v>36</v>
      </c>
      <c r="H693" s="23">
        <v>0</v>
      </c>
      <c r="I693" s="23" t="s">
        <v>5</v>
      </c>
      <c r="J693" s="23" t="s">
        <v>327</v>
      </c>
    </row>
    <row r="694" spans="1:10" s="20" customFormat="1" ht="12" x14ac:dyDescent="0.25">
      <c r="A694" s="22">
        <v>1000020323</v>
      </c>
      <c r="B694" s="23" t="s">
        <v>557</v>
      </c>
      <c r="C694" s="24" t="s">
        <v>4</v>
      </c>
      <c r="D694" s="23" t="s">
        <v>2090</v>
      </c>
      <c r="E694" s="23">
        <v>3052.25</v>
      </c>
      <c r="F694" s="23">
        <v>15</v>
      </c>
      <c r="G694" s="23">
        <v>15</v>
      </c>
      <c r="H694" s="23">
        <v>0</v>
      </c>
      <c r="I694" s="23" t="s">
        <v>5</v>
      </c>
      <c r="J694" s="23" t="s">
        <v>327</v>
      </c>
    </row>
    <row r="695" spans="1:10" s="20" customFormat="1" ht="12" x14ac:dyDescent="0.25">
      <c r="A695" s="22">
        <v>2500008255</v>
      </c>
      <c r="B695" s="23" t="s">
        <v>3019</v>
      </c>
      <c r="C695" s="24" t="s">
        <v>1996</v>
      </c>
      <c r="D695" s="23" t="s">
        <v>2025</v>
      </c>
      <c r="E695" s="23">
        <v>3040.0000285000001</v>
      </c>
      <c r="F695" s="23">
        <v>6</v>
      </c>
      <c r="G695" s="23">
        <v>6</v>
      </c>
      <c r="H695" s="23">
        <v>0</v>
      </c>
      <c r="I695" s="23" t="s">
        <v>5</v>
      </c>
      <c r="J695" s="23" t="s">
        <v>1993</v>
      </c>
    </row>
    <row r="696" spans="1:10" s="20" customFormat="1" ht="12" x14ac:dyDescent="0.25">
      <c r="A696" s="22">
        <v>1000020679</v>
      </c>
      <c r="B696" s="23" t="s">
        <v>892</v>
      </c>
      <c r="C696" s="24" t="s">
        <v>4</v>
      </c>
      <c r="D696" s="23" t="s">
        <v>2218</v>
      </c>
      <c r="E696" s="23">
        <v>3031.6598062953899</v>
      </c>
      <c r="F696" s="23">
        <v>60</v>
      </c>
      <c r="G696" s="23">
        <v>60</v>
      </c>
      <c r="H696" s="23">
        <v>0</v>
      </c>
      <c r="I696" s="23" t="s">
        <v>5</v>
      </c>
      <c r="J696" s="23" t="s">
        <v>327</v>
      </c>
    </row>
    <row r="697" spans="1:10" s="20" customFormat="1" ht="12" x14ac:dyDescent="0.25">
      <c r="A697" s="22">
        <v>1000098587</v>
      </c>
      <c r="B697" s="23" t="s">
        <v>1594</v>
      </c>
      <c r="C697" s="24" t="s">
        <v>4</v>
      </c>
      <c r="D697" s="23" t="s">
        <v>2090</v>
      </c>
      <c r="E697" s="23">
        <v>3031.46</v>
      </c>
      <c r="F697" s="23">
        <v>10</v>
      </c>
      <c r="G697" s="23">
        <v>10</v>
      </c>
      <c r="H697" s="23">
        <v>0</v>
      </c>
      <c r="I697" s="23" t="s">
        <v>5</v>
      </c>
      <c r="J697" s="23" t="s">
        <v>327</v>
      </c>
    </row>
    <row r="698" spans="1:10" s="20" customFormat="1" ht="12" x14ac:dyDescent="0.25">
      <c r="A698" s="22">
        <v>1000021324</v>
      </c>
      <c r="B698" s="23" t="s">
        <v>1456</v>
      </c>
      <c r="C698" s="24" t="s">
        <v>4</v>
      </c>
      <c r="D698" s="23" t="s">
        <v>2090</v>
      </c>
      <c r="E698" s="23">
        <v>3026.57</v>
      </c>
      <c r="F698" s="23">
        <v>6</v>
      </c>
      <c r="G698" s="23">
        <v>6</v>
      </c>
      <c r="H698" s="23">
        <v>0</v>
      </c>
      <c r="I698" s="23" t="s">
        <v>5</v>
      </c>
      <c r="J698" s="23" t="s">
        <v>327</v>
      </c>
    </row>
    <row r="699" spans="1:10" s="20" customFormat="1" ht="12" x14ac:dyDescent="0.25">
      <c r="A699" s="22">
        <v>2500008263</v>
      </c>
      <c r="B699" s="23" t="s">
        <v>1925</v>
      </c>
      <c r="C699" s="24" t="s">
        <v>1996</v>
      </c>
      <c r="D699" s="23" t="s">
        <v>2025</v>
      </c>
      <c r="E699" s="23">
        <v>3015</v>
      </c>
      <c r="F699" s="23">
        <v>2</v>
      </c>
      <c r="G699" s="23">
        <v>2</v>
      </c>
      <c r="H699" s="23">
        <v>0</v>
      </c>
      <c r="I699" s="23" t="s">
        <v>5</v>
      </c>
      <c r="J699" s="23" t="s">
        <v>1993</v>
      </c>
    </row>
    <row r="700" spans="1:10" s="20" customFormat="1" ht="12" x14ac:dyDescent="0.25">
      <c r="A700" s="22">
        <v>1000010236</v>
      </c>
      <c r="B700" s="23" t="s">
        <v>3022</v>
      </c>
      <c r="C700" s="24" t="s">
        <v>4</v>
      </c>
      <c r="D700" s="23" t="s">
        <v>2161</v>
      </c>
      <c r="E700" s="23">
        <v>3011.4479999999999</v>
      </c>
      <c r="F700" s="23">
        <v>12</v>
      </c>
      <c r="G700" s="23">
        <v>12</v>
      </c>
      <c r="H700" s="23">
        <v>0</v>
      </c>
      <c r="I700" s="23" t="s">
        <v>5</v>
      </c>
      <c r="J700" s="23" t="s">
        <v>111</v>
      </c>
    </row>
    <row r="701" spans="1:10" s="20" customFormat="1" ht="12" x14ac:dyDescent="0.25">
      <c r="A701" s="22">
        <v>2500008590</v>
      </c>
      <c r="B701" s="23" t="s">
        <v>3023</v>
      </c>
      <c r="C701" s="24" t="s">
        <v>1996</v>
      </c>
      <c r="D701" s="23" t="s">
        <v>2025</v>
      </c>
      <c r="E701" s="23">
        <v>3010</v>
      </c>
      <c r="F701" s="23">
        <v>2</v>
      </c>
      <c r="G701" s="23">
        <v>2</v>
      </c>
      <c r="H701" s="23">
        <v>0</v>
      </c>
      <c r="I701" s="23" t="s">
        <v>5</v>
      </c>
      <c r="J701" s="23" t="s">
        <v>1993</v>
      </c>
    </row>
    <row r="702" spans="1:10" s="20" customFormat="1" ht="12" x14ac:dyDescent="0.25">
      <c r="A702" s="22">
        <v>1000098590</v>
      </c>
      <c r="B702" s="23" t="s">
        <v>1597</v>
      </c>
      <c r="C702" s="24" t="s">
        <v>4</v>
      </c>
      <c r="D702" s="23" t="s">
        <v>2090</v>
      </c>
      <c r="E702" s="23">
        <v>3006.74</v>
      </c>
      <c r="F702" s="23">
        <v>2</v>
      </c>
      <c r="G702" s="23">
        <v>2</v>
      </c>
      <c r="H702" s="23">
        <v>0</v>
      </c>
      <c r="I702" s="23" t="s">
        <v>5</v>
      </c>
      <c r="J702" s="23" t="s">
        <v>327</v>
      </c>
    </row>
    <row r="703" spans="1:10" s="20" customFormat="1" ht="12" x14ac:dyDescent="0.25">
      <c r="A703" s="22">
        <v>1000020526</v>
      </c>
      <c r="B703" s="23" t="s">
        <v>747</v>
      </c>
      <c r="C703" s="24" t="s">
        <v>4</v>
      </c>
      <c r="D703" s="23" t="s">
        <v>2090</v>
      </c>
      <c r="E703" s="23">
        <v>3003.9243333333302</v>
      </c>
      <c r="F703" s="23">
        <v>25</v>
      </c>
      <c r="G703" s="23">
        <v>25</v>
      </c>
      <c r="H703" s="23">
        <v>0</v>
      </c>
      <c r="I703" s="23" t="s">
        <v>5</v>
      </c>
      <c r="J703" s="23" t="s">
        <v>327</v>
      </c>
    </row>
    <row r="704" spans="1:10" s="20" customFormat="1" ht="12" x14ac:dyDescent="0.25">
      <c r="A704" s="22">
        <v>1000021003</v>
      </c>
      <c r="B704" s="23" t="s">
        <v>1176</v>
      </c>
      <c r="C704" s="24" t="s">
        <v>4</v>
      </c>
      <c r="D704" s="23" t="s">
        <v>2090</v>
      </c>
      <c r="E704" s="23">
        <v>3000.72</v>
      </c>
      <c r="F704" s="23">
        <v>23</v>
      </c>
      <c r="G704" s="23">
        <v>23</v>
      </c>
      <c r="H704" s="23">
        <v>0</v>
      </c>
      <c r="I704" s="23" t="s">
        <v>5</v>
      </c>
      <c r="J704" s="23" t="s">
        <v>327</v>
      </c>
    </row>
    <row r="705" spans="1:10" s="20" customFormat="1" ht="12" x14ac:dyDescent="0.25">
      <c r="A705" s="22">
        <v>1000100356</v>
      </c>
      <c r="B705" s="23" t="s">
        <v>3024</v>
      </c>
      <c r="C705" s="24" t="s">
        <v>4</v>
      </c>
      <c r="D705" s="23" t="s">
        <v>2090</v>
      </c>
      <c r="E705" s="23">
        <v>2998.06</v>
      </c>
      <c r="F705" s="23">
        <v>29</v>
      </c>
      <c r="G705" s="23">
        <v>29</v>
      </c>
      <c r="H705" s="23">
        <v>0</v>
      </c>
      <c r="I705" s="23" t="s">
        <v>5</v>
      </c>
      <c r="J705" s="23" t="s">
        <v>327</v>
      </c>
    </row>
    <row r="706" spans="1:10" s="20" customFormat="1" ht="12" x14ac:dyDescent="0.25">
      <c r="A706" s="22">
        <v>1000098743</v>
      </c>
      <c r="B706" s="23" t="s">
        <v>1683</v>
      </c>
      <c r="C706" s="24" t="s">
        <v>4</v>
      </c>
      <c r="D706" s="23" t="s">
        <v>2090</v>
      </c>
      <c r="E706" s="23">
        <v>2995.65</v>
      </c>
      <c r="F706" s="23">
        <v>1</v>
      </c>
      <c r="G706" s="23">
        <v>1</v>
      </c>
      <c r="H706" s="23">
        <v>0</v>
      </c>
      <c r="I706" s="23" t="s">
        <v>5</v>
      </c>
      <c r="J706" s="23" t="s">
        <v>327</v>
      </c>
    </row>
    <row r="707" spans="1:10" s="20" customFormat="1" ht="12" x14ac:dyDescent="0.25">
      <c r="A707" s="22">
        <v>1000020863</v>
      </c>
      <c r="B707" s="23" t="s">
        <v>1052</v>
      </c>
      <c r="C707" s="24" t="s">
        <v>4</v>
      </c>
      <c r="D707" s="23" t="s">
        <v>2090</v>
      </c>
      <c r="E707" s="23">
        <v>2992.8083333333302</v>
      </c>
      <c r="F707" s="23">
        <v>10</v>
      </c>
      <c r="G707" s="23">
        <v>10</v>
      </c>
      <c r="H707" s="23">
        <v>0</v>
      </c>
      <c r="I707" s="23" t="s">
        <v>5</v>
      </c>
      <c r="J707" s="23" t="s">
        <v>327</v>
      </c>
    </row>
    <row r="708" spans="1:10" s="20" customFormat="1" ht="12" x14ac:dyDescent="0.25">
      <c r="A708" s="22">
        <v>1000020111</v>
      </c>
      <c r="B708" s="23" t="s">
        <v>367</v>
      </c>
      <c r="C708" s="24" t="s">
        <v>4</v>
      </c>
      <c r="D708" s="23" t="s">
        <v>2090</v>
      </c>
      <c r="E708" s="23">
        <v>2985.3</v>
      </c>
      <c r="F708" s="23">
        <v>10</v>
      </c>
      <c r="G708" s="23">
        <v>10</v>
      </c>
      <c r="H708" s="23">
        <v>0</v>
      </c>
      <c r="I708" s="23" t="s">
        <v>5</v>
      </c>
      <c r="J708" s="23" t="s">
        <v>327</v>
      </c>
    </row>
    <row r="709" spans="1:10" s="20" customFormat="1" ht="12" x14ac:dyDescent="0.25">
      <c r="A709" s="22">
        <v>1000100347</v>
      </c>
      <c r="B709" s="23" t="s">
        <v>3025</v>
      </c>
      <c r="C709" s="24" t="s">
        <v>4</v>
      </c>
      <c r="D709" s="23" t="s">
        <v>2090</v>
      </c>
      <c r="E709" s="23">
        <v>2973.64</v>
      </c>
      <c r="F709" s="23">
        <v>24</v>
      </c>
      <c r="G709" s="23">
        <v>24</v>
      </c>
      <c r="H709" s="23">
        <v>0</v>
      </c>
      <c r="I709" s="23" t="s">
        <v>5</v>
      </c>
      <c r="J709" s="23" t="s">
        <v>327</v>
      </c>
    </row>
    <row r="710" spans="1:10" s="20" customFormat="1" ht="12" x14ac:dyDescent="0.25">
      <c r="A710" s="22">
        <v>1000102203</v>
      </c>
      <c r="B710" s="23" t="s">
        <v>1766</v>
      </c>
      <c r="C710" s="24" t="s">
        <v>4</v>
      </c>
      <c r="D710" s="23" t="s">
        <v>2090</v>
      </c>
      <c r="E710" s="23">
        <v>2968.8125</v>
      </c>
      <c r="F710" s="23">
        <v>20</v>
      </c>
      <c r="G710" s="23">
        <v>20</v>
      </c>
      <c r="H710" s="23">
        <v>0</v>
      </c>
      <c r="I710" s="23" t="s">
        <v>5</v>
      </c>
      <c r="J710" s="23" t="s">
        <v>327</v>
      </c>
    </row>
    <row r="711" spans="1:10" s="20" customFormat="1" ht="12" x14ac:dyDescent="0.25">
      <c r="A711" s="22">
        <v>1000094024</v>
      </c>
      <c r="B711" s="23" t="s">
        <v>3026</v>
      </c>
      <c r="C711" s="24" t="s">
        <v>4</v>
      </c>
      <c r="D711" s="23" t="s">
        <v>2090</v>
      </c>
      <c r="E711" s="23">
        <v>2960.67</v>
      </c>
      <c r="F711" s="23">
        <v>2</v>
      </c>
      <c r="G711" s="23">
        <v>2</v>
      </c>
      <c r="H711" s="23">
        <v>0</v>
      </c>
      <c r="I711" s="23" t="s">
        <v>5</v>
      </c>
      <c r="J711" s="23" t="s">
        <v>327</v>
      </c>
    </row>
    <row r="712" spans="1:10" s="20" customFormat="1" ht="12" x14ac:dyDescent="0.25">
      <c r="A712" s="22">
        <v>1000103025</v>
      </c>
      <c r="B712" s="23" t="s">
        <v>3028</v>
      </c>
      <c r="C712" s="24" t="s">
        <v>4</v>
      </c>
      <c r="D712" s="23" t="s">
        <v>2161</v>
      </c>
      <c r="E712" s="23">
        <v>2949.91</v>
      </c>
      <c r="F712" s="23">
        <v>15</v>
      </c>
      <c r="G712" s="23">
        <v>15</v>
      </c>
      <c r="H712" s="23">
        <v>0</v>
      </c>
      <c r="I712" s="23" t="s">
        <v>5</v>
      </c>
      <c r="J712" s="23" t="s">
        <v>111</v>
      </c>
    </row>
    <row r="713" spans="1:10" s="20" customFormat="1" ht="12" x14ac:dyDescent="0.25">
      <c r="A713" s="22">
        <v>1000021026</v>
      </c>
      <c r="B713" s="23" t="s">
        <v>1198</v>
      </c>
      <c r="C713" s="24" t="s">
        <v>4</v>
      </c>
      <c r="D713" s="23" t="s">
        <v>2090</v>
      </c>
      <c r="E713" s="23">
        <v>2943.68</v>
      </c>
      <c r="F713" s="23">
        <v>4</v>
      </c>
      <c r="G713" s="23">
        <v>4</v>
      </c>
      <c r="H713" s="23">
        <v>0</v>
      </c>
      <c r="I713" s="23" t="s">
        <v>5</v>
      </c>
      <c r="J713" s="23" t="s">
        <v>327</v>
      </c>
    </row>
    <row r="714" spans="1:10" s="20" customFormat="1" ht="12" x14ac:dyDescent="0.25">
      <c r="A714" s="22">
        <v>2500008172</v>
      </c>
      <c r="B714" s="23" t="s">
        <v>3030</v>
      </c>
      <c r="C714" s="24" t="s">
        <v>1996</v>
      </c>
      <c r="D714" s="23" t="s">
        <v>2025</v>
      </c>
      <c r="E714" s="23">
        <v>2934.6916666666598</v>
      </c>
      <c r="F714" s="23">
        <v>5</v>
      </c>
      <c r="G714" s="23">
        <v>5</v>
      </c>
      <c r="H714" s="23">
        <v>0</v>
      </c>
      <c r="I714" s="23" t="s">
        <v>5</v>
      </c>
      <c r="J714" s="23" t="s">
        <v>1993</v>
      </c>
    </row>
    <row r="715" spans="1:10" s="20" customFormat="1" ht="12" x14ac:dyDescent="0.25">
      <c r="A715" s="22">
        <v>1000020193</v>
      </c>
      <c r="B715" s="23" t="s">
        <v>434</v>
      </c>
      <c r="C715" s="24" t="s">
        <v>4</v>
      </c>
      <c r="D715" s="23" t="s">
        <v>2090</v>
      </c>
      <c r="E715" s="23">
        <v>2925.26</v>
      </c>
      <c r="F715" s="23">
        <v>2</v>
      </c>
      <c r="G715" s="23">
        <v>2</v>
      </c>
      <c r="H715" s="23">
        <v>0</v>
      </c>
      <c r="I715" s="23" t="s">
        <v>5</v>
      </c>
      <c r="J715" s="23" t="s">
        <v>327</v>
      </c>
    </row>
    <row r="716" spans="1:10" s="20" customFormat="1" ht="12" x14ac:dyDescent="0.25">
      <c r="A716" s="22">
        <v>1000020977</v>
      </c>
      <c r="B716" s="23" t="s">
        <v>1151</v>
      </c>
      <c r="C716" s="24" t="s">
        <v>4</v>
      </c>
      <c r="D716" s="23" t="s">
        <v>2090</v>
      </c>
      <c r="E716" s="23">
        <v>2923.22</v>
      </c>
      <c r="F716" s="23">
        <v>5</v>
      </c>
      <c r="G716" s="23">
        <v>5</v>
      </c>
      <c r="H716" s="23">
        <v>0</v>
      </c>
      <c r="I716" s="23" t="s">
        <v>5</v>
      </c>
      <c r="J716" s="23" t="s">
        <v>327</v>
      </c>
    </row>
    <row r="717" spans="1:10" s="20" customFormat="1" ht="12" x14ac:dyDescent="0.25">
      <c r="A717" s="22">
        <v>1000021122</v>
      </c>
      <c r="B717" s="23" t="s">
        <v>1281</v>
      </c>
      <c r="C717" s="24" t="s">
        <v>4</v>
      </c>
      <c r="D717" s="23" t="s">
        <v>2090</v>
      </c>
      <c r="E717" s="23">
        <v>2922.75</v>
      </c>
      <c r="F717" s="23">
        <v>8</v>
      </c>
      <c r="G717" s="23">
        <v>8</v>
      </c>
      <c r="H717" s="23">
        <v>0</v>
      </c>
      <c r="I717" s="23" t="s">
        <v>5</v>
      </c>
      <c r="J717" s="23" t="s">
        <v>327</v>
      </c>
    </row>
    <row r="718" spans="1:10" s="20" customFormat="1" ht="12" x14ac:dyDescent="0.25">
      <c r="A718" s="22">
        <v>1000020713</v>
      </c>
      <c r="B718" s="23" t="s">
        <v>922</v>
      </c>
      <c r="C718" s="24" t="s">
        <v>4</v>
      </c>
      <c r="D718" s="23" t="s">
        <v>2090</v>
      </c>
      <c r="E718" s="23">
        <v>2919.72</v>
      </c>
      <c r="F718" s="23">
        <v>21</v>
      </c>
      <c r="G718" s="23">
        <v>21</v>
      </c>
      <c r="H718" s="23">
        <v>0</v>
      </c>
      <c r="I718" s="23" t="s">
        <v>5</v>
      </c>
      <c r="J718" s="23" t="s">
        <v>327</v>
      </c>
    </row>
    <row r="719" spans="1:10" s="20" customFormat="1" ht="12" x14ac:dyDescent="0.25">
      <c r="A719" s="22">
        <v>1000020579</v>
      </c>
      <c r="B719" s="23" t="s">
        <v>796</v>
      </c>
      <c r="C719" s="24" t="s">
        <v>4</v>
      </c>
      <c r="D719" s="23" t="s">
        <v>2218</v>
      </c>
      <c r="E719" s="23">
        <v>2918.25</v>
      </c>
      <c r="F719" s="23">
        <v>5</v>
      </c>
      <c r="G719" s="23">
        <v>5</v>
      </c>
      <c r="H719" s="23">
        <v>0</v>
      </c>
      <c r="I719" s="23" t="s">
        <v>5</v>
      </c>
      <c r="J719" s="23" t="s">
        <v>327</v>
      </c>
    </row>
    <row r="720" spans="1:10" s="20" customFormat="1" ht="12" x14ac:dyDescent="0.25">
      <c r="A720" s="22">
        <v>1000098549</v>
      </c>
      <c r="B720" s="23" t="s">
        <v>1579</v>
      </c>
      <c r="C720" s="24" t="s">
        <v>4</v>
      </c>
      <c r="D720" s="23" t="s">
        <v>2090</v>
      </c>
      <c r="E720" s="23">
        <v>2912.4720000000002</v>
      </c>
      <c r="F720" s="23">
        <v>3</v>
      </c>
      <c r="G720" s="23">
        <v>3</v>
      </c>
      <c r="H720" s="23">
        <v>0</v>
      </c>
      <c r="I720" s="23" t="s">
        <v>5</v>
      </c>
      <c r="J720" s="23" t="s">
        <v>327</v>
      </c>
    </row>
    <row r="721" spans="1:10" s="20" customFormat="1" ht="12" x14ac:dyDescent="0.25">
      <c r="A721" s="22">
        <v>1000098456</v>
      </c>
      <c r="B721" s="23" t="s">
        <v>1533</v>
      </c>
      <c r="C721" s="24" t="s">
        <v>4</v>
      </c>
      <c r="D721" s="23" t="s">
        <v>2090</v>
      </c>
      <c r="E721" s="23">
        <v>2912.47</v>
      </c>
      <c r="F721" s="23">
        <v>3</v>
      </c>
      <c r="G721" s="23">
        <v>3</v>
      </c>
      <c r="H721" s="23">
        <v>0</v>
      </c>
      <c r="I721" s="23" t="s">
        <v>5</v>
      </c>
      <c r="J721" s="23" t="s">
        <v>327</v>
      </c>
    </row>
    <row r="722" spans="1:10" s="20" customFormat="1" ht="12" x14ac:dyDescent="0.25">
      <c r="A722" s="22">
        <v>1000020516</v>
      </c>
      <c r="B722" s="23" t="s">
        <v>738</v>
      </c>
      <c r="C722" s="24" t="s">
        <v>4</v>
      </c>
      <c r="D722" s="23" t="s">
        <v>2090</v>
      </c>
      <c r="E722" s="23">
        <v>2910.9</v>
      </c>
      <c r="F722" s="23">
        <v>21</v>
      </c>
      <c r="G722" s="23">
        <v>21</v>
      </c>
      <c r="H722" s="23">
        <v>0</v>
      </c>
      <c r="I722" s="23" t="s">
        <v>5</v>
      </c>
      <c r="J722" s="23" t="s">
        <v>327</v>
      </c>
    </row>
    <row r="723" spans="1:10" s="20" customFormat="1" ht="12" x14ac:dyDescent="0.25">
      <c r="A723" s="22">
        <v>1000093685</v>
      </c>
      <c r="B723" s="23" t="s">
        <v>2616</v>
      </c>
      <c r="C723" s="24" t="s">
        <v>4</v>
      </c>
      <c r="D723" s="23" t="s">
        <v>2056</v>
      </c>
      <c r="E723" s="23">
        <v>2905.7440435653298</v>
      </c>
      <c r="F723" s="23">
        <v>33250</v>
      </c>
      <c r="G723" s="23">
        <v>18250</v>
      </c>
      <c r="H723" s="23">
        <v>15000</v>
      </c>
      <c r="I723" s="23" t="s">
        <v>32</v>
      </c>
      <c r="J723" s="23" t="s">
        <v>1844</v>
      </c>
    </row>
    <row r="724" spans="1:10" s="20" customFormat="1" ht="12" x14ac:dyDescent="0.25">
      <c r="A724" s="22">
        <v>1000020657</v>
      </c>
      <c r="B724" s="23" t="s">
        <v>870</v>
      </c>
      <c r="C724" s="24" t="s">
        <v>4</v>
      </c>
      <c r="D724" s="23" t="s">
        <v>2090</v>
      </c>
      <c r="E724" s="23">
        <v>2905.4711159270701</v>
      </c>
      <c r="F724" s="23">
        <v>88</v>
      </c>
      <c r="G724" s="23">
        <v>88</v>
      </c>
      <c r="H724" s="23">
        <v>0</v>
      </c>
      <c r="I724" s="23" t="s">
        <v>5</v>
      </c>
      <c r="J724" s="23" t="s">
        <v>327</v>
      </c>
    </row>
    <row r="725" spans="1:10" s="20" customFormat="1" ht="12" x14ac:dyDescent="0.25">
      <c r="A725" s="22">
        <v>1000092753</v>
      </c>
      <c r="B725" s="23" t="s">
        <v>3033</v>
      </c>
      <c r="C725" s="24" t="s">
        <v>2109</v>
      </c>
      <c r="D725" s="23" t="s">
        <v>2070</v>
      </c>
      <c r="E725" s="23">
        <v>2891.35</v>
      </c>
      <c r="F725" s="23">
        <v>1</v>
      </c>
      <c r="G725" s="23">
        <v>1</v>
      </c>
      <c r="H725" s="23">
        <v>0</v>
      </c>
      <c r="I725" s="23" t="s">
        <v>5</v>
      </c>
      <c r="J725" s="23" t="s">
        <v>6</v>
      </c>
    </row>
    <row r="726" spans="1:10" s="20" customFormat="1" ht="12" x14ac:dyDescent="0.25">
      <c r="A726" s="22">
        <v>1000020715</v>
      </c>
      <c r="B726" s="23" t="s">
        <v>924</v>
      </c>
      <c r="C726" s="24" t="s">
        <v>4</v>
      </c>
      <c r="D726" s="23" t="s">
        <v>2090</v>
      </c>
      <c r="E726" s="23">
        <v>2884.4868009868401</v>
      </c>
      <c r="F726" s="23">
        <v>19</v>
      </c>
      <c r="G726" s="23">
        <v>19</v>
      </c>
      <c r="H726" s="23">
        <v>0</v>
      </c>
      <c r="I726" s="23" t="s">
        <v>5</v>
      </c>
      <c r="J726" s="23" t="s">
        <v>327</v>
      </c>
    </row>
    <row r="727" spans="1:10" s="20" customFormat="1" ht="12" x14ac:dyDescent="0.25">
      <c r="A727" s="22">
        <v>2500005891</v>
      </c>
      <c r="B727" s="23" t="s">
        <v>3034</v>
      </c>
      <c r="C727" s="24" t="s">
        <v>1996</v>
      </c>
      <c r="D727" s="23" t="s">
        <v>2025</v>
      </c>
      <c r="E727" s="23">
        <v>2881.88</v>
      </c>
      <c r="F727" s="23">
        <v>15</v>
      </c>
      <c r="G727" s="23">
        <v>15</v>
      </c>
      <c r="H727" s="23">
        <v>0</v>
      </c>
      <c r="I727" s="23" t="s">
        <v>5</v>
      </c>
      <c r="J727" s="23" t="s">
        <v>1993</v>
      </c>
    </row>
    <row r="728" spans="1:10" s="20" customFormat="1" ht="12" x14ac:dyDescent="0.25">
      <c r="A728" s="22">
        <v>1000102445</v>
      </c>
      <c r="B728" s="23" t="s">
        <v>3035</v>
      </c>
      <c r="C728" s="24" t="s">
        <v>4</v>
      </c>
      <c r="D728" s="23" t="s">
        <v>2161</v>
      </c>
      <c r="E728" s="23">
        <v>2877</v>
      </c>
      <c r="F728" s="23">
        <v>20</v>
      </c>
      <c r="G728" s="23">
        <v>20</v>
      </c>
      <c r="H728" s="23">
        <v>0</v>
      </c>
      <c r="I728" s="23" t="s">
        <v>5</v>
      </c>
      <c r="J728" s="23" t="s">
        <v>111</v>
      </c>
    </row>
    <row r="729" spans="1:10" s="20" customFormat="1" ht="12" x14ac:dyDescent="0.25">
      <c r="A729" s="22">
        <v>1000020817</v>
      </c>
      <c r="B729" s="23" t="s">
        <v>1019</v>
      </c>
      <c r="C729" s="24" t="s">
        <v>4</v>
      </c>
      <c r="D729" s="23" t="s">
        <v>2090</v>
      </c>
      <c r="E729" s="23">
        <v>2868.1875</v>
      </c>
      <c r="F729" s="23">
        <v>5</v>
      </c>
      <c r="G729" s="23">
        <v>5</v>
      </c>
      <c r="H729" s="23">
        <v>0</v>
      </c>
      <c r="I729" s="23" t="s">
        <v>5</v>
      </c>
      <c r="J729" s="23" t="s">
        <v>327</v>
      </c>
    </row>
    <row r="730" spans="1:10" s="20" customFormat="1" ht="12" x14ac:dyDescent="0.25">
      <c r="A730" s="22">
        <v>1000020461</v>
      </c>
      <c r="B730" s="23" t="s">
        <v>687</v>
      </c>
      <c r="C730" s="24" t="s">
        <v>4</v>
      </c>
      <c r="D730" s="23" t="s">
        <v>2090</v>
      </c>
      <c r="E730" s="23">
        <v>2863.5577028305902</v>
      </c>
      <c r="F730" s="23">
        <v>117</v>
      </c>
      <c r="G730" s="23">
        <v>117</v>
      </c>
      <c r="H730" s="23">
        <v>0</v>
      </c>
      <c r="I730" s="23" t="s">
        <v>5</v>
      </c>
      <c r="J730" s="23" t="s">
        <v>327</v>
      </c>
    </row>
    <row r="731" spans="1:10" s="20" customFormat="1" ht="12" x14ac:dyDescent="0.25">
      <c r="A731" s="22">
        <v>2500008252</v>
      </c>
      <c r="B731" s="23" t="s">
        <v>3041</v>
      </c>
      <c r="C731" s="24" t="s">
        <v>1996</v>
      </c>
      <c r="D731" s="23" t="s">
        <v>2025</v>
      </c>
      <c r="E731" s="23">
        <v>2851.5050000000001</v>
      </c>
      <c r="F731" s="23">
        <v>8</v>
      </c>
      <c r="G731" s="23">
        <v>8</v>
      </c>
      <c r="H731" s="23">
        <v>0</v>
      </c>
      <c r="I731" s="23" t="s">
        <v>5</v>
      </c>
      <c r="J731" s="23" t="s">
        <v>1993</v>
      </c>
    </row>
    <row r="732" spans="1:10" s="20" customFormat="1" ht="12" x14ac:dyDescent="0.25">
      <c r="A732" s="22">
        <v>2200000294</v>
      </c>
      <c r="B732" s="23" t="s">
        <v>3042</v>
      </c>
      <c r="C732" s="24" t="s">
        <v>2037</v>
      </c>
      <c r="D732" s="23" t="s">
        <v>2038</v>
      </c>
      <c r="E732" s="23">
        <v>2845.92</v>
      </c>
      <c r="F732" s="23">
        <v>2</v>
      </c>
      <c r="G732" s="23">
        <v>2</v>
      </c>
      <c r="H732" s="23">
        <v>0</v>
      </c>
      <c r="I732" s="23" t="s">
        <v>5</v>
      </c>
      <c r="J732" s="23" t="s">
        <v>146</v>
      </c>
    </row>
    <row r="733" spans="1:10" s="20" customFormat="1" ht="12" x14ac:dyDescent="0.25">
      <c r="A733" s="22">
        <v>1000098514</v>
      </c>
      <c r="B733" s="23" t="s">
        <v>1550</v>
      </c>
      <c r="C733" s="24" t="s">
        <v>4</v>
      </c>
      <c r="D733" s="23" t="s">
        <v>2090</v>
      </c>
      <c r="E733" s="23">
        <v>2827.19</v>
      </c>
      <c r="F733" s="23">
        <v>3</v>
      </c>
      <c r="G733" s="23">
        <v>3</v>
      </c>
      <c r="H733" s="23">
        <v>0</v>
      </c>
      <c r="I733" s="23" t="s">
        <v>5</v>
      </c>
      <c r="J733" s="23" t="s">
        <v>327</v>
      </c>
    </row>
    <row r="734" spans="1:10" s="20" customFormat="1" ht="12" x14ac:dyDescent="0.25">
      <c r="A734" s="22">
        <v>1000020629</v>
      </c>
      <c r="B734" s="23" t="s">
        <v>844</v>
      </c>
      <c r="C734" s="24" t="s">
        <v>4</v>
      </c>
      <c r="D734" s="23" t="s">
        <v>2090</v>
      </c>
      <c r="E734" s="23">
        <v>2807.19032487309</v>
      </c>
      <c r="F734" s="23">
        <v>187</v>
      </c>
      <c r="G734" s="23">
        <v>187</v>
      </c>
      <c r="H734" s="23">
        <v>0</v>
      </c>
      <c r="I734" s="23" t="s">
        <v>5</v>
      </c>
      <c r="J734" s="23" t="s">
        <v>327</v>
      </c>
    </row>
    <row r="735" spans="1:10" s="20" customFormat="1" ht="12" x14ac:dyDescent="0.25">
      <c r="A735" s="22">
        <v>1000020127</v>
      </c>
      <c r="B735" s="23" t="s">
        <v>382</v>
      </c>
      <c r="C735" s="24" t="s">
        <v>4</v>
      </c>
      <c r="D735" s="23" t="s">
        <v>2090</v>
      </c>
      <c r="E735" s="23">
        <v>2801.76</v>
      </c>
      <c r="F735" s="23">
        <v>4</v>
      </c>
      <c r="G735" s="23">
        <v>4</v>
      </c>
      <c r="H735" s="23">
        <v>0</v>
      </c>
      <c r="I735" s="23" t="s">
        <v>5</v>
      </c>
      <c r="J735" s="23" t="s">
        <v>327</v>
      </c>
    </row>
    <row r="736" spans="1:10" s="20" customFormat="1" ht="12" x14ac:dyDescent="0.25">
      <c r="A736" s="22">
        <v>1000020134</v>
      </c>
      <c r="B736" s="23" t="s">
        <v>388</v>
      </c>
      <c r="C736" s="24" t="s">
        <v>4</v>
      </c>
      <c r="D736" s="23" t="s">
        <v>2090</v>
      </c>
      <c r="E736" s="23">
        <v>2790.41</v>
      </c>
      <c r="F736" s="23">
        <v>1</v>
      </c>
      <c r="G736" s="23">
        <v>1</v>
      </c>
      <c r="H736" s="23">
        <v>0</v>
      </c>
      <c r="I736" s="23" t="s">
        <v>5</v>
      </c>
      <c r="J736" s="23" t="s">
        <v>327</v>
      </c>
    </row>
    <row r="737" spans="1:10" s="20" customFormat="1" ht="12" x14ac:dyDescent="0.25">
      <c r="A737" s="22">
        <v>1000020716</v>
      </c>
      <c r="B737" s="23" t="s">
        <v>925</v>
      </c>
      <c r="C737" s="24" t="s">
        <v>4</v>
      </c>
      <c r="D737" s="23" t="s">
        <v>2090</v>
      </c>
      <c r="E737" s="23">
        <v>2789.7750000000001</v>
      </c>
      <c r="F737" s="23">
        <v>18</v>
      </c>
      <c r="G737" s="23">
        <v>18</v>
      </c>
      <c r="H737" s="23">
        <v>0</v>
      </c>
      <c r="I737" s="23" t="s">
        <v>5</v>
      </c>
      <c r="J737" s="23" t="s">
        <v>327</v>
      </c>
    </row>
    <row r="738" spans="1:10" s="20" customFormat="1" ht="12" x14ac:dyDescent="0.25">
      <c r="A738" s="22">
        <v>2500008288</v>
      </c>
      <c r="B738" s="23" t="s">
        <v>3050</v>
      </c>
      <c r="C738" s="24" t="s">
        <v>1996</v>
      </c>
      <c r="D738" s="23" t="s">
        <v>2025</v>
      </c>
      <c r="E738" s="23">
        <v>2784.76283333333</v>
      </c>
      <c r="F738" s="23">
        <v>13</v>
      </c>
      <c r="G738" s="23">
        <v>2</v>
      </c>
      <c r="H738" s="23">
        <v>11</v>
      </c>
      <c r="I738" s="23" t="s">
        <v>1995</v>
      </c>
      <c r="J738" s="23" t="s">
        <v>1993</v>
      </c>
    </row>
    <row r="739" spans="1:10" s="20" customFormat="1" ht="12" x14ac:dyDescent="0.25">
      <c r="A739" s="22">
        <v>1000093949</v>
      </c>
      <c r="B739" s="23" t="s">
        <v>3051</v>
      </c>
      <c r="C739" s="24" t="s">
        <v>4</v>
      </c>
      <c r="D739" s="23" t="s">
        <v>2090</v>
      </c>
      <c r="E739" s="23">
        <v>2780.5302000000001</v>
      </c>
      <c r="F739" s="23">
        <v>3</v>
      </c>
      <c r="G739" s="23">
        <v>3</v>
      </c>
      <c r="H739" s="23">
        <v>0</v>
      </c>
      <c r="I739" s="23" t="s">
        <v>5</v>
      </c>
      <c r="J739" s="23" t="s">
        <v>327</v>
      </c>
    </row>
    <row r="740" spans="1:10" s="20" customFormat="1" ht="12" x14ac:dyDescent="0.25">
      <c r="A740" s="22">
        <v>1000020722</v>
      </c>
      <c r="B740" s="23" t="s">
        <v>930</v>
      </c>
      <c r="C740" s="24" t="s">
        <v>4</v>
      </c>
      <c r="D740" s="23" t="s">
        <v>2090</v>
      </c>
      <c r="E740" s="23">
        <v>2765.63</v>
      </c>
      <c r="F740" s="23">
        <v>10</v>
      </c>
      <c r="G740" s="23">
        <v>10</v>
      </c>
      <c r="H740" s="23">
        <v>0</v>
      </c>
      <c r="I740" s="23" t="s">
        <v>5</v>
      </c>
      <c r="J740" s="23" t="s">
        <v>327</v>
      </c>
    </row>
    <row r="741" spans="1:10" s="20" customFormat="1" ht="12" x14ac:dyDescent="0.25">
      <c r="A741" s="22">
        <v>1000107062</v>
      </c>
      <c r="B741" s="23" t="s">
        <v>3053</v>
      </c>
      <c r="C741" s="24" t="s">
        <v>4</v>
      </c>
      <c r="D741" s="23" t="s">
        <v>2161</v>
      </c>
      <c r="E741" s="23">
        <v>2750.23</v>
      </c>
      <c r="F741" s="23">
        <v>3</v>
      </c>
      <c r="G741" s="23">
        <v>3</v>
      </c>
      <c r="H741" s="23">
        <v>0</v>
      </c>
      <c r="I741" s="23" t="s">
        <v>5</v>
      </c>
      <c r="J741" s="23" t="s">
        <v>111</v>
      </c>
    </row>
    <row r="742" spans="1:10" s="20" customFormat="1" ht="12" x14ac:dyDescent="0.25">
      <c r="A742" s="22">
        <v>1000020584</v>
      </c>
      <c r="B742" s="23" t="s">
        <v>800</v>
      </c>
      <c r="C742" s="24" t="s">
        <v>4</v>
      </c>
      <c r="D742" s="23" t="s">
        <v>2090</v>
      </c>
      <c r="E742" s="23">
        <v>2742.98</v>
      </c>
      <c r="F742" s="23">
        <v>46</v>
      </c>
      <c r="G742" s="23">
        <v>46</v>
      </c>
      <c r="H742" s="23">
        <v>0</v>
      </c>
      <c r="I742" s="23" t="s">
        <v>44</v>
      </c>
      <c r="J742" s="23" t="s">
        <v>327</v>
      </c>
    </row>
    <row r="743" spans="1:10" s="20" customFormat="1" ht="12" x14ac:dyDescent="0.25">
      <c r="A743" s="22">
        <v>1000105118</v>
      </c>
      <c r="B743" s="23" t="s">
        <v>3057</v>
      </c>
      <c r="C743" s="24" t="s">
        <v>4</v>
      </c>
      <c r="D743" s="23" t="s">
        <v>2161</v>
      </c>
      <c r="E743" s="23">
        <v>2741.0937406584899</v>
      </c>
      <c r="F743" s="23">
        <v>1</v>
      </c>
      <c r="G743" s="23">
        <v>1</v>
      </c>
      <c r="H743" s="23">
        <v>0</v>
      </c>
      <c r="I743" s="23" t="s">
        <v>5</v>
      </c>
      <c r="J743" s="23" t="s">
        <v>111</v>
      </c>
    </row>
    <row r="744" spans="1:10" s="20" customFormat="1" ht="12" x14ac:dyDescent="0.25">
      <c r="A744" s="22">
        <v>1000021193</v>
      </c>
      <c r="B744" s="23" t="s">
        <v>1340</v>
      </c>
      <c r="C744" s="24" t="s">
        <v>4</v>
      </c>
      <c r="D744" s="23" t="s">
        <v>2090</v>
      </c>
      <c r="E744" s="23">
        <v>2738.66</v>
      </c>
      <c r="F744" s="23">
        <v>19</v>
      </c>
      <c r="G744" s="23">
        <v>19</v>
      </c>
      <c r="H744" s="23">
        <v>0</v>
      </c>
      <c r="I744" s="23" t="s">
        <v>5</v>
      </c>
      <c r="J744" s="23" t="s">
        <v>327</v>
      </c>
    </row>
    <row r="745" spans="1:10" s="20" customFormat="1" ht="12" x14ac:dyDescent="0.25">
      <c r="A745" s="22">
        <v>1000099634</v>
      </c>
      <c r="B745" s="23" t="s">
        <v>3058</v>
      </c>
      <c r="C745" s="24" t="s">
        <v>4</v>
      </c>
      <c r="D745" s="23" t="s">
        <v>2090</v>
      </c>
      <c r="E745" s="23">
        <v>2738.44</v>
      </c>
      <c r="F745" s="23">
        <v>25</v>
      </c>
      <c r="G745" s="23">
        <v>25</v>
      </c>
      <c r="H745" s="23">
        <v>0</v>
      </c>
      <c r="I745" s="23" t="s">
        <v>5</v>
      </c>
      <c r="J745" s="23" t="s">
        <v>327</v>
      </c>
    </row>
    <row r="746" spans="1:10" s="20" customFormat="1" ht="12" x14ac:dyDescent="0.25">
      <c r="A746" s="22">
        <v>1000020655</v>
      </c>
      <c r="B746" s="23" t="s">
        <v>868</v>
      </c>
      <c r="C746" s="24" t="s">
        <v>4</v>
      </c>
      <c r="D746" s="23" t="s">
        <v>2090</v>
      </c>
      <c r="E746" s="23">
        <v>2736.4</v>
      </c>
      <c r="F746" s="23">
        <v>70</v>
      </c>
      <c r="G746" s="23">
        <v>70</v>
      </c>
      <c r="H746" s="23">
        <v>0</v>
      </c>
      <c r="I746" s="23" t="s">
        <v>5</v>
      </c>
      <c r="J746" s="23" t="s">
        <v>327</v>
      </c>
    </row>
    <row r="747" spans="1:10" s="20" customFormat="1" ht="12" x14ac:dyDescent="0.25">
      <c r="A747" s="22">
        <v>1000021364</v>
      </c>
      <c r="B747" s="23" t="s">
        <v>1460</v>
      </c>
      <c r="C747" s="24" t="s">
        <v>4</v>
      </c>
      <c r="D747" s="23" t="s">
        <v>2090</v>
      </c>
      <c r="E747" s="23">
        <v>2733.4044574203599</v>
      </c>
      <c r="F747" s="23">
        <v>13</v>
      </c>
      <c r="G747" s="23">
        <v>13</v>
      </c>
      <c r="H747" s="23">
        <v>0</v>
      </c>
      <c r="I747" s="23" t="s">
        <v>5</v>
      </c>
      <c r="J747" s="23" t="s">
        <v>327</v>
      </c>
    </row>
    <row r="748" spans="1:10" s="20" customFormat="1" ht="12" x14ac:dyDescent="0.25">
      <c r="A748" s="22">
        <v>1000020686</v>
      </c>
      <c r="B748" s="23" t="s">
        <v>898</v>
      </c>
      <c r="C748" s="24" t="s">
        <v>4</v>
      </c>
      <c r="D748" s="23" t="s">
        <v>2090</v>
      </c>
      <c r="E748" s="23">
        <v>2717.35977910156</v>
      </c>
      <c r="F748" s="23">
        <v>32</v>
      </c>
      <c r="G748" s="23">
        <v>32</v>
      </c>
      <c r="H748" s="23">
        <v>0</v>
      </c>
      <c r="I748" s="23" t="s">
        <v>5</v>
      </c>
      <c r="J748" s="23" t="s">
        <v>327</v>
      </c>
    </row>
    <row r="749" spans="1:10" s="20" customFormat="1" ht="12" x14ac:dyDescent="0.25">
      <c r="A749" s="22">
        <v>1000095826</v>
      </c>
      <c r="B749" s="23" t="s">
        <v>3062</v>
      </c>
      <c r="C749" s="24" t="s">
        <v>4</v>
      </c>
      <c r="D749" s="23" t="s">
        <v>2056</v>
      </c>
      <c r="E749" s="23">
        <v>2712.8795969255798</v>
      </c>
      <c r="F749" s="23">
        <v>1309</v>
      </c>
      <c r="G749" s="23">
        <v>1309</v>
      </c>
      <c r="H749" s="23">
        <v>0</v>
      </c>
      <c r="I749" s="23" t="s">
        <v>5</v>
      </c>
      <c r="J749" s="23" t="s">
        <v>1844</v>
      </c>
    </row>
    <row r="750" spans="1:10" s="20" customFormat="1" ht="12" x14ac:dyDescent="0.25">
      <c r="A750" s="22">
        <v>1000098449</v>
      </c>
      <c r="B750" s="23" t="s">
        <v>1527</v>
      </c>
      <c r="C750" s="24" t="s">
        <v>4</v>
      </c>
      <c r="D750" s="23" t="s">
        <v>2090</v>
      </c>
      <c r="E750" s="23">
        <v>2708.09</v>
      </c>
      <c r="F750" s="23">
        <v>2</v>
      </c>
      <c r="G750" s="23">
        <v>2</v>
      </c>
      <c r="H750" s="23">
        <v>0</v>
      </c>
      <c r="I750" s="23" t="s">
        <v>5</v>
      </c>
      <c r="J750" s="23" t="s">
        <v>327</v>
      </c>
    </row>
    <row r="751" spans="1:10" s="20" customFormat="1" ht="12" x14ac:dyDescent="0.25">
      <c r="A751" s="22">
        <v>2500004256</v>
      </c>
      <c r="B751" s="23" t="s">
        <v>1903</v>
      </c>
      <c r="C751" s="24" t="s">
        <v>1996</v>
      </c>
      <c r="D751" s="23" t="s">
        <v>2025</v>
      </c>
      <c r="E751" s="23">
        <v>2706.9833335130202</v>
      </c>
      <c r="F751" s="23">
        <v>5</v>
      </c>
      <c r="G751" s="23">
        <v>5</v>
      </c>
      <c r="H751" s="23">
        <v>0</v>
      </c>
      <c r="I751" s="23" t="s">
        <v>5</v>
      </c>
      <c r="J751" s="23" t="s">
        <v>1993</v>
      </c>
    </row>
    <row r="752" spans="1:10" s="20" customFormat="1" ht="12" x14ac:dyDescent="0.25">
      <c r="A752" s="22">
        <v>2500009187</v>
      </c>
      <c r="B752" s="23" t="s">
        <v>3063</v>
      </c>
      <c r="C752" s="24" t="s">
        <v>1996</v>
      </c>
      <c r="D752" s="23" t="s">
        <v>2025</v>
      </c>
      <c r="E752" s="23">
        <v>2700</v>
      </c>
      <c r="F752" s="23">
        <v>4</v>
      </c>
      <c r="G752" s="23">
        <v>4</v>
      </c>
      <c r="H752" s="23">
        <v>0</v>
      </c>
      <c r="I752" s="23" t="s">
        <v>5</v>
      </c>
      <c r="J752" s="23" t="s">
        <v>1993</v>
      </c>
    </row>
    <row r="753" spans="1:10" s="20" customFormat="1" ht="12" x14ac:dyDescent="0.25">
      <c r="A753" s="22">
        <v>2500008558</v>
      </c>
      <c r="B753" s="23" t="s">
        <v>3064</v>
      </c>
      <c r="C753" s="24" t="s">
        <v>1996</v>
      </c>
      <c r="D753" s="23" t="s">
        <v>2025</v>
      </c>
      <c r="E753" s="23">
        <v>2696.6261111111098</v>
      </c>
      <c r="F753" s="23">
        <v>12</v>
      </c>
      <c r="G753" s="23">
        <v>12</v>
      </c>
      <c r="H753" s="23">
        <v>0</v>
      </c>
      <c r="I753" s="23" t="s">
        <v>5</v>
      </c>
      <c r="J753" s="23" t="s">
        <v>1993</v>
      </c>
    </row>
    <row r="754" spans="1:10" s="20" customFormat="1" ht="12" x14ac:dyDescent="0.25">
      <c r="A754" s="22">
        <v>1000106060</v>
      </c>
      <c r="B754" s="23" t="s">
        <v>3065</v>
      </c>
      <c r="C754" s="24" t="s">
        <v>4</v>
      </c>
      <c r="D754" s="23" t="s">
        <v>2161</v>
      </c>
      <c r="E754" s="23">
        <v>2689.65</v>
      </c>
      <c r="F754" s="23">
        <v>5</v>
      </c>
      <c r="G754" s="23">
        <v>5</v>
      </c>
      <c r="H754" s="23">
        <v>0</v>
      </c>
      <c r="I754" s="23" t="s">
        <v>5</v>
      </c>
      <c r="J754" s="23" t="s">
        <v>111</v>
      </c>
    </row>
    <row r="755" spans="1:10" s="20" customFormat="1" ht="12" x14ac:dyDescent="0.25">
      <c r="A755" s="22">
        <v>1000096711</v>
      </c>
      <c r="B755" s="23" t="s">
        <v>3066</v>
      </c>
      <c r="C755" s="24" t="s">
        <v>4</v>
      </c>
      <c r="D755" s="23" t="s">
        <v>2090</v>
      </c>
      <c r="E755" s="23">
        <v>2689.1120454545398</v>
      </c>
      <c r="F755" s="23">
        <v>21</v>
      </c>
      <c r="G755" s="23">
        <v>21</v>
      </c>
      <c r="H755" s="23">
        <v>0</v>
      </c>
      <c r="I755" s="23" t="s">
        <v>5</v>
      </c>
      <c r="J755" s="23" t="s">
        <v>327</v>
      </c>
    </row>
    <row r="756" spans="1:10" s="20" customFormat="1" ht="12" x14ac:dyDescent="0.25">
      <c r="A756" s="22">
        <v>1000097644</v>
      </c>
      <c r="B756" s="23" t="s">
        <v>3067</v>
      </c>
      <c r="C756" s="24" t="s">
        <v>4</v>
      </c>
      <c r="D756" s="23" t="s">
        <v>2090</v>
      </c>
      <c r="E756" s="23">
        <v>2683.31</v>
      </c>
      <c r="F756" s="23">
        <v>5</v>
      </c>
      <c r="G756" s="23">
        <v>5</v>
      </c>
      <c r="H756" s="23">
        <v>0</v>
      </c>
      <c r="I756" s="23" t="s">
        <v>5</v>
      </c>
      <c r="J756" s="23" t="s">
        <v>327</v>
      </c>
    </row>
    <row r="757" spans="1:10" s="20" customFormat="1" ht="12" x14ac:dyDescent="0.25">
      <c r="A757" s="22">
        <v>1000100339</v>
      </c>
      <c r="B757" s="23" t="s">
        <v>3068</v>
      </c>
      <c r="C757" s="24" t="s">
        <v>4</v>
      </c>
      <c r="D757" s="23" t="s">
        <v>2090</v>
      </c>
      <c r="E757" s="23">
        <v>2682.74</v>
      </c>
      <c r="F757" s="23">
        <v>21</v>
      </c>
      <c r="G757" s="23">
        <v>21</v>
      </c>
      <c r="H757" s="23">
        <v>0</v>
      </c>
      <c r="I757" s="23" t="s">
        <v>5</v>
      </c>
      <c r="J757" s="23" t="s">
        <v>327</v>
      </c>
    </row>
    <row r="758" spans="1:10" s="20" customFormat="1" ht="12" x14ac:dyDescent="0.25">
      <c r="A758" s="22">
        <v>1000103521</v>
      </c>
      <c r="B758" s="23" t="s">
        <v>1823</v>
      </c>
      <c r="C758" s="24" t="s">
        <v>4</v>
      </c>
      <c r="D758" s="23" t="s">
        <v>2090</v>
      </c>
      <c r="E758" s="23">
        <v>2679.79</v>
      </c>
      <c r="F758" s="23">
        <v>1</v>
      </c>
      <c r="G758" s="23">
        <v>1</v>
      </c>
      <c r="H758" s="23">
        <v>0</v>
      </c>
      <c r="I758" s="23" t="s">
        <v>5</v>
      </c>
      <c r="J758" s="23" t="s">
        <v>327</v>
      </c>
    </row>
    <row r="759" spans="1:10" s="20" customFormat="1" ht="12" x14ac:dyDescent="0.25">
      <c r="A759" s="22">
        <v>2500009353</v>
      </c>
      <c r="B759" s="23" t="s">
        <v>3069</v>
      </c>
      <c r="C759" s="24" t="s">
        <v>1996</v>
      </c>
      <c r="D759" s="23" t="s">
        <v>2025</v>
      </c>
      <c r="E759" s="23">
        <v>2679</v>
      </c>
      <c r="F759" s="23">
        <v>4</v>
      </c>
      <c r="G759" s="23">
        <v>4</v>
      </c>
      <c r="H759" s="23">
        <v>0</v>
      </c>
      <c r="I759" s="23" t="s">
        <v>5</v>
      </c>
      <c r="J759" s="23" t="s">
        <v>1993</v>
      </c>
    </row>
    <row r="760" spans="1:10" s="20" customFormat="1" ht="12" x14ac:dyDescent="0.25">
      <c r="A760" s="22">
        <v>1000020987</v>
      </c>
      <c r="B760" s="23" t="s">
        <v>1161</v>
      </c>
      <c r="C760" s="24" t="s">
        <v>4</v>
      </c>
      <c r="D760" s="23" t="s">
        <v>2090</v>
      </c>
      <c r="E760" s="23">
        <v>2676.63</v>
      </c>
      <c r="F760" s="23">
        <v>29</v>
      </c>
      <c r="G760" s="23">
        <v>29</v>
      </c>
      <c r="H760" s="23">
        <v>0</v>
      </c>
      <c r="I760" s="23" t="s">
        <v>5</v>
      </c>
      <c r="J760" s="23" t="s">
        <v>327</v>
      </c>
    </row>
    <row r="761" spans="1:10" s="20" customFormat="1" ht="12" x14ac:dyDescent="0.25">
      <c r="A761" s="22">
        <v>2500008238</v>
      </c>
      <c r="B761" s="23" t="s">
        <v>1921</v>
      </c>
      <c r="C761" s="24" t="s">
        <v>1996</v>
      </c>
      <c r="D761" s="23" t="s">
        <v>2025</v>
      </c>
      <c r="E761" s="23">
        <v>2673.75</v>
      </c>
      <c r="F761" s="23">
        <v>1</v>
      </c>
      <c r="G761" s="23">
        <v>1</v>
      </c>
      <c r="H761" s="23">
        <v>0</v>
      </c>
      <c r="I761" s="23" t="s">
        <v>5</v>
      </c>
      <c r="J761" s="23" t="s">
        <v>1993</v>
      </c>
    </row>
    <row r="762" spans="1:10" s="20" customFormat="1" ht="12" x14ac:dyDescent="0.25">
      <c r="A762" s="22">
        <v>2500008956</v>
      </c>
      <c r="B762" s="23" t="s">
        <v>1950</v>
      </c>
      <c r="C762" s="24" t="s">
        <v>1996</v>
      </c>
      <c r="D762" s="23" t="s">
        <v>2025</v>
      </c>
      <c r="E762" s="23">
        <v>2662.88</v>
      </c>
      <c r="F762" s="23">
        <v>1</v>
      </c>
      <c r="G762" s="23">
        <v>1</v>
      </c>
      <c r="H762" s="23">
        <v>0</v>
      </c>
      <c r="I762" s="23" t="s">
        <v>5</v>
      </c>
      <c r="J762" s="23" t="s">
        <v>1993</v>
      </c>
    </row>
    <row r="763" spans="1:10" s="20" customFormat="1" ht="12" x14ac:dyDescent="0.25">
      <c r="A763" s="22">
        <v>1000107658</v>
      </c>
      <c r="B763" s="23" t="s">
        <v>136</v>
      </c>
      <c r="C763" s="24" t="s">
        <v>4</v>
      </c>
      <c r="D763" s="23" t="s">
        <v>2161</v>
      </c>
      <c r="E763" s="23">
        <v>2660.46</v>
      </c>
      <c r="F763" s="23">
        <v>10</v>
      </c>
      <c r="G763" s="23">
        <v>10</v>
      </c>
      <c r="H763" s="23">
        <v>0</v>
      </c>
      <c r="I763" s="23" t="s">
        <v>5</v>
      </c>
      <c r="J763" s="23" t="s">
        <v>111</v>
      </c>
    </row>
    <row r="764" spans="1:10" s="20" customFormat="1" ht="12" x14ac:dyDescent="0.25">
      <c r="A764" s="22">
        <v>1000106109</v>
      </c>
      <c r="B764" s="23" t="s">
        <v>127</v>
      </c>
      <c r="C764" s="24" t="s">
        <v>4</v>
      </c>
      <c r="D764" s="23" t="s">
        <v>2161</v>
      </c>
      <c r="E764" s="23">
        <v>2655.42</v>
      </c>
      <c r="F764" s="23">
        <v>10</v>
      </c>
      <c r="G764" s="23">
        <v>10</v>
      </c>
      <c r="H764" s="23">
        <v>0</v>
      </c>
      <c r="I764" s="23" t="s">
        <v>5</v>
      </c>
      <c r="J764" s="23" t="s">
        <v>111</v>
      </c>
    </row>
    <row r="765" spans="1:10" s="20" customFormat="1" ht="12" x14ac:dyDescent="0.25">
      <c r="A765" s="22">
        <v>1000020690</v>
      </c>
      <c r="B765" s="23" t="s">
        <v>902</v>
      </c>
      <c r="C765" s="24" t="s">
        <v>4</v>
      </c>
      <c r="D765" s="23" t="s">
        <v>2090</v>
      </c>
      <c r="E765" s="23">
        <v>2649.3437142857101</v>
      </c>
      <c r="F765" s="23">
        <v>33</v>
      </c>
      <c r="G765" s="23">
        <v>33</v>
      </c>
      <c r="H765" s="23">
        <v>0</v>
      </c>
      <c r="I765" s="23" t="s">
        <v>5</v>
      </c>
      <c r="J765" s="23" t="s">
        <v>327</v>
      </c>
    </row>
    <row r="766" spans="1:10" s="20" customFormat="1" ht="12" x14ac:dyDescent="0.25">
      <c r="A766" s="22">
        <v>1000020962</v>
      </c>
      <c r="B766" s="23" t="s">
        <v>1139</v>
      </c>
      <c r="C766" s="24" t="s">
        <v>4</v>
      </c>
      <c r="D766" s="23" t="s">
        <v>2090</v>
      </c>
      <c r="E766" s="23">
        <v>2641.8311111111102</v>
      </c>
      <c r="F766" s="23">
        <v>8</v>
      </c>
      <c r="G766" s="23">
        <v>8</v>
      </c>
      <c r="H766" s="23">
        <v>0</v>
      </c>
      <c r="I766" s="23" t="s">
        <v>5</v>
      </c>
      <c r="J766" s="23" t="s">
        <v>327</v>
      </c>
    </row>
    <row r="767" spans="1:10" s="20" customFormat="1" ht="12" x14ac:dyDescent="0.25">
      <c r="A767" s="22">
        <v>1000020841</v>
      </c>
      <c r="B767" s="23" t="s">
        <v>1034</v>
      </c>
      <c r="C767" s="24" t="s">
        <v>4</v>
      </c>
      <c r="D767" s="23" t="s">
        <v>2090</v>
      </c>
      <c r="E767" s="23">
        <v>2639.8419776002502</v>
      </c>
      <c r="F767" s="23">
        <v>17</v>
      </c>
      <c r="G767" s="23">
        <v>17</v>
      </c>
      <c r="H767" s="23">
        <v>0</v>
      </c>
      <c r="I767" s="23" t="s">
        <v>5</v>
      </c>
      <c r="J767" s="23" t="s">
        <v>327</v>
      </c>
    </row>
    <row r="768" spans="1:10" s="20" customFormat="1" ht="12" x14ac:dyDescent="0.25">
      <c r="A768" s="22">
        <v>2500005842</v>
      </c>
      <c r="B768" s="23" t="s">
        <v>1907</v>
      </c>
      <c r="C768" s="24" t="s">
        <v>1996</v>
      </c>
      <c r="D768" s="23" t="s">
        <v>2025</v>
      </c>
      <c r="E768" s="23">
        <v>2637.19</v>
      </c>
      <c r="F768" s="23">
        <v>16</v>
      </c>
      <c r="G768" s="23">
        <v>16</v>
      </c>
      <c r="H768" s="23">
        <v>0</v>
      </c>
      <c r="I768" s="23" t="s">
        <v>5</v>
      </c>
      <c r="J768" s="23" t="s">
        <v>1993</v>
      </c>
    </row>
    <row r="769" spans="1:10" s="20" customFormat="1" ht="12" x14ac:dyDescent="0.25">
      <c r="A769" s="22">
        <v>1000020706</v>
      </c>
      <c r="B769" s="23" t="s">
        <v>915</v>
      </c>
      <c r="C769" s="24" t="s">
        <v>4</v>
      </c>
      <c r="D769" s="23" t="s">
        <v>2218</v>
      </c>
      <c r="E769" s="23">
        <v>2632.5</v>
      </c>
      <c r="F769" s="23">
        <v>20</v>
      </c>
      <c r="G769" s="23">
        <v>20</v>
      </c>
      <c r="H769" s="23">
        <v>0</v>
      </c>
      <c r="I769" s="23" t="s">
        <v>5</v>
      </c>
      <c r="J769" s="23" t="s">
        <v>327</v>
      </c>
    </row>
    <row r="770" spans="1:10" s="20" customFormat="1" ht="12" x14ac:dyDescent="0.25">
      <c r="A770" s="22">
        <v>1000020790</v>
      </c>
      <c r="B770" s="23" t="s">
        <v>994</v>
      </c>
      <c r="C770" s="24" t="s">
        <v>4</v>
      </c>
      <c r="D770" s="23" t="s">
        <v>2090</v>
      </c>
      <c r="E770" s="23">
        <v>2632.31</v>
      </c>
      <c r="F770" s="23">
        <v>27</v>
      </c>
      <c r="G770" s="23">
        <v>27</v>
      </c>
      <c r="H770" s="23">
        <v>0</v>
      </c>
      <c r="I770" s="23" t="s">
        <v>5</v>
      </c>
      <c r="J770" s="23" t="s">
        <v>327</v>
      </c>
    </row>
    <row r="771" spans="1:10" s="20" customFormat="1" ht="12" x14ac:dyDescent="0.25">
      <c r="A771" s="22">
        <v>1000108324</v>
      </c>
      <c r="B771" s="23" t="s">
        <v>1837</v>
      </c>
      <c r="C771" s="24" t="s">
        <v>4</v>
      </c>
      <c r="D771" s="23" t="s">
        <v>2090</v>
      </c>
      <c r="E771" s="23">
        <v>2631</v>
      </c>
      <c r="F771" s="23">
        <v>5</v>
      </c>
      <c r="G771" s="23">
        <v>5</v>
      </c>
      <c r="H771" s="23">
        <v>0</v>
      </c>
      <c r="I771" s="23" t="s">
        <v>5</v>
      </c>
      <c r="J771" s="23" t="s">
        <v>327</v>
      </c>
    </row>
    <row r="772" spans="1:10" s="20" customFormat="1" ht="12" x14ac:dyDescent="0.25">
      <c r="A772" s="22">
        <v>1000020475</v>
      </c>
      <c r="B772" s="23" t="s">
        <v>701</v>
      </c>
      <c r="C772" s="24" t="s">
        <v>4</v>
      </c>
      <c r="D772" s="23" t="s">
        <v>2090</v>
      </c>
      <c r="E772" s="23">
        <v>2622</v>
      </c>
      <c r="F772" s="23">
        <v>95</v>
      </c>
      <c r="G772" s="23">
        <v>95</v>
      </c>
      <c r="H772" s="23">
        <v>0</v>
      </c>
      <c r="I772" s="23" t="s">
        <v>5</v>
      </c>
      <c r="J772" s="23" t="s">
        <v>327</v>
      </c>
    </row>
    <row r="773" spans="1:10" s="20" customFormat="1" ht="12" x14ac:dyDescent="0.25">
      <c r="A773" s="22">
        <v>1000020089</v>
      </c>
      <c r="B773" s="23" t="s">
        <v>348</v>
      </c>
      <c r="C773" s="24" t="s">
        <v>4</v>
      </c>
      <c r="D773" s="23" t="s">
        <v>2090</v>
      </c>
      <c r="E773" s="23">
        <v>2620.125</v>
      </c>
      <c r="F773" s="23">
        <v>15</v>
      </c>
      <c r="G773" s="23">
        <v>15</v>
      </c>
      <c r="H773" s="23">
        <v>0</v>
      </c>
      <c r="I773" s="23" t="s">
        <v>5</v>
      </c>
      <c r="J773" s="23" t="s">
        <v>327</v>
      </c>
    </row>
    <row r="774" spans="1:10" s="20" customFormat="1" ht="12" x14ac:dyDescent="0.25">
      <c r="A774" s="22">
        <v>2500008141</v>
      </c>
      <c r="B774" s="23" t="s">
        <v>3073</v>
      </c>
      <c r="C774" s="24" t="s">
        <v>1996</v>
      </c>
      <c r="D774" s="23" t="s">
        <v>2025</v>
      </c>
      <c r="E774" s="23">
        <v>2604.0949999999998</v>
      </c>
      <c r="F774" s="23">
        <v>5</v>
      </c>
      <c r="G774" s="23">
        <v>5</v>
      </c>
      <c r="H774" s="23">
        <v>0</v>
      </c>
      <c r="I774" s="23" t="s">
        <v>5</v>
      </c>
      <c r="J774" s="23" t="s">
        <v>1993</v>
      </c>
    </row>
    <row r="775" spans="1:10" s="20" customFormat="1" ht="12" x14ac:dyDescent="0.25">
      <c r="A775" s="22">
        <v>1000101359</v>
      </c>
      <c r="B775" s="23" t="s">
        <v>3074</v>
      </c>
      <c r="C775" s="24" t="s">
        <v>4</v>
      </c>
      <c r="D775" s="23" t="s">
        <v>2056</v>
      </c>
      <c r="E775" s="23">
        <v>2600.8161987875701</v>
      </c>
      <c r="F775" s="23">
        <v>158</v>
      </c>
      <c r="G775" s="23">
        <v>158</v>
      </c>
      <c r="H775" s="23">
        <v>0</v>
      </c>
      <c r="I775" s="23" t="s">
        <v>5</v>
      </c>
      <c r="J775" s="23" t="s">
        <v>1844</v>
      </c>
    </row>
    <row r="776" spans="1:10" s="20" customFormat="1" ht="12" x14ac:dyDescent="0.25">
      <c r="A776" s="22">
        <v>2200002602</v>
      </c>
      <c r="B776" s="23" t="s">
        <v>180</v>
      </c>
      <c r="C776" s="24" t="s">
        <v>2037</v>
      </c>
      <c r="D776" s="23" t="s">
        <v>2038</v>
      </c>
      <c r="E776" s="23">
        <v>2593.36</v>
      </c>
      <c r="F776" s="23">
        <v>1</v>
      </c>
      <c r="G776" s="23">
        <v>1</v>
      </c>
      <c r="H776" s="23">
        <v>0</v>
      </c>
      <c r="I776" s="23" t="s">
        <v>5</v>
      </c>
      <c r="J776" s="23" t="s">
        <v>138</v>
      </c>
    </row>
    <row r="777" spans="1:10" s="20" customFormat="1" ht="12" x14ac:dyDescent="0.25">
      <c r="A777" s="22">
        <v>1000105184</v>
      </c>
      <c r="B777" s="23" t="s">
        <v>3078</v>
      </c>
      <c r="C777" s="24" t="s">
        <v>4</v>
      </c>
      <c r="D777" s="23" t="s">
        <v>2056</v>
      </c>
      <c r="E777" s="23">
        <v>2592.1815999999999</v>
      </c>
      <c r="F777" s="23">
        <v>940</v>
      </c>
      <c r="G777" s="23">
        <v>940</v>
      </c>
      <c r="H777" s="23">
        <v>0</v>
      </c>
      <c r="I777" s="23" t="s">
        <v>5</v>
      </c>
      <c r="J777" s="23" t="s">
        <v>1844</v>
      </c>
    </row>
    <row r="778" spans="1:10" s="20" customFormat="1" ht="12" x14ac:dyDescent="0.25">
      <c r="A778" s="22">
        <v>1000020488</v>
      </c>
      <c r="B778" s="23" t="s">
        <v>713</v>
      </c>
      <c r="C778" s="24" t="s">
        <v>4</v>
      </c>
      <c r="D778" s="23" t="s">
        <v>2090</v>
      </c>
      <c r="E778" s="23">
        <v>2588.1694520547899</v>
      </c>
      <c r="F778" s="23">
        <v>63</v>
      </c>
      <c r="G778" s="23">
        <v>63</v>
      </c>
      <c r="H778" s="23">
        <v>0</v>
      </c>
      <c r="I778" s="23" t="s">
        <v>5</v>
      </c>
      <c r="J778" s="23" t="s">
        <v>327</v>
      </c>
    </row>
    <row r="779" spans="1:10" s="20" customFormat="1" ht="12" x14ac:dyDescent="0.25">
      <c r="A779" s="22">
        <v>1000020869</v>
      </c>
      <c r="B779" s="23" t="s">
        <v>1056</v>
      </c>
      <c r="C779" s="24" t="s">
        <v>4</v>
      </c>
      <c r="D779" s="23" t="s">
        <v>2090</v>
      </c>
      <c r="E779" s="23">
        <v>2576.26827913533</v>
      </c>
      <c r="F779" s="23">
        <v>3</v>
      </c>
      <c r="G779" s="23">
        <v>3</v>
      </c>
      <c r="H779" s="23">
        <v>0</v>
      </c>
      <c r="I779" s="23" t="s">
        <v>5</v>
      </c>
      <c r="J779" s="23" t="s">
        <v>327</v>
      </c>
    </row>
    <row r="780" spans="1:10" s="20" customFormat="1" ht="12" x14ac:dyDescent="0.25">
      <c r="A780" s="22">
        <v>1000101343</v>
      </c>
      <c r="B780" s="23" t="s">
        <v>3080</v>
      </c>
      <c r="C780" s="24" t="s">
        <v>4</v>
      </c>
      <c r="D780" s="23" t="s">
        <v>2056</v>
      </c>
      <c r="E780" s="23">
        <v>2576.0918095237998</v>
      </c>
      <c r="F780" s="23">
        <v>419</v>
      </c>
      <c r="G780" s="23">
        <v>419</v>
      </c>
      <c r="H780" s="23">
        <v>0</v>
      </c>
      <c r="I780" s="23" t="s">
        <v>5</v>
      </c>
      <c r="J780" s="23" t="s">
        <v>1844</v>
      </c>
    </row>
    <row r="781" spans="1:10" s="20" customFormat="1" ht="12" x14ac:dyDescent="0.25">
      <c r="A781" s="22">
        <v>2500008973</v>
      </c>
      <c r="B781" s="23" t="s">
        <v>1953</v>
      </c>
      <c r="C781" s="24" t="s">
        <v>1996</v>
      </c>
      <c r="D781" s="23" t="s">
        <v>2025</v>
      </c>
      <c r="E781" s="23">
        <v>2575.12</v>
      </c>
      <c r="F781" s="23">
        <v>1</v>
      </c>
      <c r="G781" s="23">
        <v>1</v>
      </c>
      <c r="H781" s="23">
        <v>0</v>
      </c>
      <c r="I781" s="23" t="s">
        <v>5</v>
      </c>
      <c r="J781" s="23" t="s">
        <v>1993</v>
      </c>
    </row>
    <row r="782" spans="1:10" s="20" customFormat="1" ht="12" x14ac:dyDescent="0.25">
      <c r="A782" s="22">
        <v>1000020782</v>
      </c>
      <c r="B782" s="23" t="s">
        <v>986</v>
      </c>
      <c r="C782" s="24" t="s">
        <v>4</v>
      </c>
      <c r="D782" s="23" t="s">
        <v>2090</v>
      </c>
      <c r="E782" s="23">
        <v>2573.2575000000002</v>
      </c>
      <c r="F782" s="23">
        <v>99</v>
      </c>
      <c r="G782" s="23">
        <v>99</v>
      </c>
      <c r="H782" s="23">
        <v>0</v>
      </c>
      <c r="I782" s="23" t="s">
        <v>5</v>
      </c>
      <c r="J782" s="23" t="s">
        <v>327</v>
      </c>
    </row>
    <row r="783" spans="1:10" s="20" customFormat="1" ht="12" x14ac:dyDescent="0.25">
      <c r="A783" s="22">
        <v>1000021316</v>
      </c>
      <c r="B783" s="23" t="s">
        <v>1448</v>
      </c>
      <c r="C783" s="24" t="s">
        <v>4</v>
      </c>
      <c r="D783" s="23" t="s">
        <v>2090</v>
      </c>
      <c r="E783" s="23">
        <v>2567.98</v>
      </c>
      <c r="F783" s="23">
        <v>1</v>
      </c>
      <c r="G783" s="23">
        <v>1</v>
      </c>
      <c r="H783" s="23">
        <v>0</v>
      </c>
      <c r="I783" s="23" t="s">
        <v>5</v>
      </c>
      <c r="J783" s="23" t="s">
        <v>327</v>
      </c>
    </row>
    <row r="784" spans="1:10" s="20" customFormat="1" ht="12" x14ac:dyDescent="0.25">
      <c r="A784" s="22">
        <v>1000093781</v>
      </c>
      <c r="B784" s="23" t="s">
        <v>3082</v>
      </c>
      <c r="C784" s="24" t="s">
        <v>4</v>
      </c>
      <c r="D784" s="23" t="s">
        <v>2218</v>
      </c>
      <c r="E784" s="23">
        <v>2567.8359587493701</v>
      </c>
      <c r="F784" s="23">
        <v>150</v>
      </c>
      <c r="G784" s="23">
        <v>150</v>
      </c>
      <c r="H784" s="23">
        <v>0</v>
      </c>
      <c r="I784" s="23" t="s">
        <v>5</v>
      </c>
      <c r="J784" s="23" t="s">
        <v>327</v>
      </c>
    </row>
    <row r="785" spans="1:10" s="20" customFormat="1" ht="12" x14ac:dyDescent="0.25">
      <c r="A785" s="22">
        <v>1000098684</v>
      </c>
      <c r="B785" s="23" t="s">
        <v>1637</v>
      </c>
      <c r="C785" s="24" t="s">
        <v>4</v>
      </c>
      <c r="D785" s="23" t="s">
        <v>2090</v>
      </c>
      <c r="E785" s="23">
        <v>2563.3000000000002</v>
      </c>
      <c r="F785" s="23">
        <v>2</v>
      </c>
      <c r="G785" s="23">
        <v>2</v>
      </c>
      <c r="H785" s="23">
        <v>0</v>
      </c>
      <c r="I785" s="23" t="s">
        <v>5</v>
      </c>
      <c r="J785" s="23" t="s">
        <v>327</v>
      </c>
    </row>
    <row r="786" spans="1:10" s="20" customFormat="1" ht="12" x14ac:dyDescent="0.25">
      <c r="A786" s="22">
        <v>1000098677</v>
      </c>
      <c r="B786" s="23" t="s">
        <v>1636</v>
      </c>
      <c r="C786" s="24" t="s">
        <v>4</v>
      </c>
      <c r="D786" s="23" t="s">
        <v>2090</v>
      </c>
      <c r="E786" s="23">
        <v>2563.29</v>
      </c>
      <c r="F786" s="23">
        <v>2</v>
      </c>
      <c r="G786" s="23">
        <v>2</v>
      </c>
      <c r="H786" s="23">
        <v>0</v>
      </c>
      <c r="I786" s="23" t="s">
        <v>5</v>
      </c>
      <c r="J786" s="23" t="s">
        <v>327</v>
      </c>
    </row>
    <row r="787" spans="1:10" s="20" customFormat="1" ht="12" x14ac:dyDescent="0.25">
      <c r="A787" s="22">
        <v>1000020833</v>
      </c>
      <c r="B787" s="23" t="s">
        <v>1028</v>
      </c>
      <c r="C787" s="24" t="s">
        <v>4</v>
      </c>
      <c r="D787" s="23" t="s">
        <v>2090</v>
      </c>
      <c r="E787" s="23">
        <v>2551.6028477078398</v>
      </c>
      <c r="F787" s="23">
        <v>17</v>
      </c>
      <c r="G787" s="23">
        <v>17</v>
      </c>
      <c r="H787" s="23">
        <v>0</v>
      </c>
      <c r="I787" s="23" t="s">
        <v>5</v>
      </c>
      <c r="J787" s="23" t="s">
        <v>327</v>
      </c>
    </row>
    <row r="788" spans="1:10" s="20" customFormat="1" ht="12" x14ac:dyDescent="0.25">
      <c r="A788" s="22">
        <v>1000020440</v>
      </c>
      <c r="B788" s="23" t="s">
        <v>667</v>
      </c>
      <c r="C788" s="24" t="s">
        <v>4</v>
      </c>
      <c r="D788" s="23" t="s">
        <v>2090</v>
      </c>
      <c r="E788" s="23">
        <v>2548.0349448306101</v>
      </c>
      <c r="F788" s="23">
        <v>185</v>
      </c>
      <c r="G788" s="23">
        <v>175</v>
      </c>
      <c r="H788" s="23">
        <v>10</v>
      </c>
      <c r="I788" s="23" t="s">
        <v>44</v>
      </c>
      <c r="J788" s="23" t="s">
        <v>327</v>
      </c>
    </row>
    <row r="789" spans="1:10" s="20" customFormat="1" ht="12" x14ac:dyDescent="0.25">
      <c r="A789" s="22">
        <v>1000099415</v>
      </c>
      <c r="B789" s="23" t="s">
        <v>3083</v>
      </c>
      <c r="C789" s="24" t="s">
        <v>4</v>
      </c>
      <c r="D789" s="23" t="s">
        <v>2056</v>
      </c>
      <c r="E789" s="23">
        <v>2547.2115183615801</v>
      </c>
      <c r="F789" s="23">
        <v>5</v>
      </c>
      <c r="G789" s="23">
        <v>5</v>
      </c>
      <c r="H789" s="23">
        <v>0</v>
      </c>
      <c r="I789" s="23" t="s">
        <v>5</v>
      </c>
      <c r="J789" s="23" t="s">
        <v>1844</v>
      </c>
    </row>
    <row r="790" spans="1:10" s="20" customFormat="1" ht="12" x14ac:dyDescent="0.25">
      <c r="A790" s="22">
        <v>1000010205</v>
      </c>
      <c r="B790" s="23" t="s">
        <v>3084</v>
      </c>
      <c r="C790" s="24" t="s">
        <v>4</v>
      </c>
      <c r="D790" s="23" t="s">
        <v>2230</v>
      </c>
      <c r="E790" s="23">
        <v>2546.9526133333302</v>
      </c>
      <c r="F790" s="23">
        <v>4</v>
      </c>
      <c r="G790" s="23">
        <v>4</v>
      </c>
      <c r="H790" s="23">
        <v>0</v>
      </c>
      <c r="I790" s="23" t="s">
        <v>5</v>
      </c>
      <c r="J790" s="23" t="s">
        <v>111</v>
      </c>
    </row>
    <row r="791" spans="1:10" s="20" customFormat="1" ht="12" x14ac:dyDescent="0.25">
      <c r="A791" s="22">
        <v>1000098219</v>
      </c>
      <c r="B791" s="23" t="s">
        <v>3085</v>
      </c>
      <c r="C791" s="24" t="s">
        <v>4</v>
      </c>
      <c r="D791" s="23" t="s">
        <v>2218</v>
      </c>
      <c r="E791" s="23">
        <v>2544.6728870858601</v>
      </c>
      <c r="F791" s="23">
        <v>160</v>
      </c>
      <c r="G791" s="23">
        <v>160</v>
      </c>
      <c r="H791" s="23">
        <v>0</v>
      </c>
      <c r="I791" s="23" t="s">
        <v>5</v>
      </c>
      <c r="J791" s="23" t="s">
        <v>327</v>
      </c>
    </row>
    <row r="792" spans="1:10" s="20" customFormat="1" ht="12" x14ac:dyDescent="0.25">
      <c r="A792" s="22">
        <v>1000021275</v>
      </c>
      <c r="B792" s="23" t="s">
        <v>1414</v>
      </c>
      <c r="C792" s="24" t="s">
        <v>4</v>
      </c>
      <c r="D792" s="23" t="s">
        <v>2090</v>
      </c>
      <c r="E792" s="23">
        <v>2540.85</v>
      </c>
      <c r="F792" s="23">
        <v>7</v>
      </c>
      <c r="G792" s="23">
        <v>7</v>
      </c>
      <c r="H792" s="23">
        <v>0</v>
      </c>
      <c r="I792" s="23" t="s">
        <v>5</v>
      </c>
      <c r="J792" s="23" t="s">
        <v>327</v>
      </c>
    </row>
    <row r="793" spans="1:10" s="20" customFormat="1" ht="12" x14ac:dyDescent="0.25">
      <c r="A793" s="22">
        <v>1000020130</v>
      </c>
      <c r="B793" s="23" t="s">
        <v>385</v>
      </c>
      <c r="C793" s="24" t="s">
        <v>4</v>
      </c>
      <c r="D793" s="23" t="s">
        <v>2090</v>
      </c>
      <c r="E793" s="23">
        <v>2539.6799999999998</v>
      </c>
      <c r="F793" s="23">
        <v>2</v>
      </c>
      <c r="G793" s="23">
        <v>2</v>
      </c>
      <c r="H793" s="23">
        <v>0</v>
      </c>
      <c r="I793" s="23" t="s">
        <v>5</v>
      </c>
      <c r="J793" s="23" t="s">
        <v>327</v>
      </c>
    </row>
    <row r="794" spans="1:10" s="20" customFormat="1" ht="12" x14ac:dyDescent="0.25">
      <c r="A794" s="22">
        <v>1000020131</v>
      </c>
      <c r="B794" s="23" t="s">
        <v>386</v>
      </c>
      <c r="C794" s="24" t="s">
        <v>4</v>
      </c>
      <c r="D794" s="23" t="s">
        <v>2090</v>
      </c>
      <c r="E794" s="23">
        <v>2539.6799999999998</v>
      </c>
      <c r="F794" s="23">
        <v>2</v>
      </c>
      <c r="G794" s="23">
        <v>2</v>
      </c>
      <c r="H794" s="23">
        <v>0</v>
      </c>
      <c r="I794" s="23" t="s">
        <v>5</v>
      </c>
      <c r="J794" s="23" t="s">
        <v>327</v>
      </c>
    </row>
    <row r="795" spans="1:10" s="20" customFormat="1" ht="12" x14ac:dyDescent="0.25">
      <c r="A795" s="22">
        <v>1000021490</v>
      </c>
      <c r="B795" s="23" t="s">
        <v>1496</v>
      </c>
      <c r="C795" s="24" t="s">
        <v>4</v>
      </c>
      <c r="D795" s="23" t="s">
        <v>2090</v>
      </c>
      <c r="E795" s="23">
        <v>2537.5479999999998</v>
      </c>
      <c r="F795" s="23">
        <v>19</v>
      </c>
      <c r="G795" s="23">
        <v>19</v>
      </c>
      <c r="H795" s="23">
        <v>0</v>
      </c>
      <c r="I795" s="23" t="s">
        <v>5</v>
      </c>
      <c r="J795" s="23" t="s">
        <v>327</v>
      </c>
    </row>
    <row r="796" spans="1:10" s="20" customFormat="1" ht="12" x14ac:dyDescent="0.25">
      <c r="A796" s="22">
        <v>1000098839</v>
      </c>
      <c r="B796" s="23" t="s">
        <v>3086</v>
      </c>
      <c r="C796" s="24" t="s">
        <v>4</v>
      </c>
      <c r="D796" s="23" t="s">
        <v>2056</v>
      </c>
      <c r="E796" s="23">
        <v>2524.8573230769198</v>
      </c>
      <c r="F796" s="23">
        <v>150</v>
      </c>
      <c r="G796" s="23">
        <v>150</v>
      </c>
      <c r="H796" s="23">
        <v>0</v>
      </c>
      <c r="I796" s="23" t="s">
        <v>5</v>
      </c>
      <c r="J796" s="23" t="s">
        <v>1844</v>
      </c>
    </row>
    <row r="797" spans="1:10" s="20" customFormat="1" ht="12" x14ac:dyDescent="0.25">
      <c r="A797" s="22">
        <v>1000021325</v>
      </c>
      <c r="B797" s="23" t="s">
        <v>1457</v>
      </c>
      <c r="C797" s="24" t="s">
        <v>4</v>
      </c>
      <c r="D797" s="23" t="s">
        <v>2090</v>
      </c>
      <c r="E797" s="23">
        <v>2523.65</v>
      </c>
      <c r="F797" s="23">
        <v>5</v>
      </c>
      <c r="G797" s="23">
        <v>5</v>
      </c>
      <c r="H797" s="23">
        <v>0</v>
      </c>
      <c r="I797" s="23" t="s">
        <v>5</v>
      </c>
      <c r="J797" s="23" t="s">
        <v>327</v>
      </c>
    </row>
    <row r="798" spans="1:10" s="20" customFormat="1" ht="12" x14ac:dyDescent="0.25">
      <c r="A798" s="22">
        <v>1000098607</v>
      </c>
      <c r="B798" s="23" t="s">
        <v>1611</v>
      </c>
      <c r="C798" s="24" t="s">
        <v>4</v>
      </c>
      <c r="D798" s="23" t="s">
        <v>2090</v>
      </c>
      <c r="E798" s="23">
        <v>2518.8209499999998</v>
      </c>
      <c r="F798" s="23">
        <v>3</v>
      </c>
      <c r="G798" s="23">
        <v>3</v>
      </c>
      <c r="H798" s="23">
        <v>0</v>
      </c>
      <c r="I798" s="23" t="s">
        <v>5</v>
      </c>
      <c r="J798" s="23" t="s">
        <v>327</v>
      </c>
    </row>
    <row r="799" spans="1:10" s="20" customFormat="1" ht="12" x14ac:dyDescent="0.25">
      <c r="A799" s="22">
        <v>1000097167</v>
      </c>
      <c r="B799" s="23" t="s">
        <v>1849</v>
      </c>
      <c r="C799" s="24" t="s">
        <v>4</v>
      </c>
      <c r="D799" s="23" t="s">
        <v>2056</v>
      </c>
      <c r="E799" s="23">
        <v>2515.3200000000002</v>
      </c>
      <c r="F799" s="23">
        <v>850</v>
      </c>
      <c r="G799" s="23">
        <v>850</v>
      </c>
      <c r="H799" s="23">
        <v>0</v>
      </c>
      <c r="I799" s="23" t="s">
        <v>5</v>
      </c>
      <c r="J799" s="23" t="s">
        <v>1844</v>
      </c>
    </row>
    <row r="800" spans="1:10" s="20" customFormat="1" ht="12" x14ac:dyDescent="0.25">
      <c r="A800" s="22">
        <v>1000021091</v>
      </c>
      <c r="B800" s="23" t="s">
        <v>1253</v>
      </c>
      <c r="C800" s="24" t="s">
        <v>4</v>
      </c>
      <c r="D800" s="23" t="s">
        <v>2090</v>
      </c>
      <c r="E800" s="23">
        <v>2504.2141093117398</v>
      </c>
      <c r="F800" s="23">
        <v>26</v>
      </c>
      <c r="G800" s="23">
        <v>26</v>
      </c>
      <c r="H800" s="23">
        <v>0</v>
      </c>
      <c r="I800" s="23" t="s">
        <v>5</v>
      </c>
      <c r="J800" s="23" t="s">
        <v>327</v>
      </c>
    </row>
    <row r="801" spans="1:10" s="20" customFormat="1" ht="12" x14ac:dyDescent="0.25">
      <c r="A801" s="22">
        <v>1000020704</v>
      </c>
      <c r="B801" s="23" t="s">
        <v>914</v>
      </c>
      <c r="C801" s="24" t="s">
        <v>4</v>
      </c>
      <c r="D801" s="23" t="s">
        <v>2218</v>
      </c>
      <c r="E801" s="23">
        <v>2503.9392440117199</v>
      </c>
      <c r="F801" s="23">
        <v>20</v>
      </c>
      <c r="G801" s="23">
        <v>0</v>
      </c>
      <c r="H801" s="23">
        <v>20</v>
      </c>
      <c r="I801" s="23" t="s">
        <v>44</v>
      </c>
      <c r="J801" s="23" t="s">
        <v>327</v>
      </c>
    </row>
    <row r="802" spans="1:10" s="20" customFormat="1" ht="12" x14ac:dyDescent="0.25">
      <c r="A802" s="22">
        <v>1000103202</v>
      </c>
      <c r="B802" s="23" t="s">
        <v>1809</v>
      </c>
      <c r="C802" s="24" t="s">
        <v>4</v>
      </c>
      <c r="D802" s="23" t="s">
        <v>2090</v>
      </c>
      <c r="E802" s="23">
        <v>2503.46</v>
      </c>
      <c r="F802" s="23">
        <v>15</v>
      </c>
      <c r="G802" s="23">
        <v>15</v>
      </c>
      <c r="H802" s="23">
        <v>0</v>
      </c>
      <c r="I802" s="23" t="s">
        <v>5</v>
      </c>
      <c r="J802" s="23" t="s">
        <v>327</v>
      </c>
    </row>
    <row r="803" spans="1:10" s="20" customFormat="1" ht="12" x14ac:dyDescent="0.25">
      <c r="A803" s="22">
        <v>1000021059</v>
      </c>
      <c r="B803" s="23" t="s">
        <v>1224</v>
      </c>
      <c r="C803" s="24" t="s">
        <v>4</v>
      </c>
      <c r="D803" s="23" t="s">
        <v>2090</v>
      </c>
      <c r="E803" s="23">
        <v>2502.5675000000001</v>
      </c>
      <c r="F803" s="23">
        <v>3</v>
      </c>
      <c r="G803" s="23">
        <v>3</v>
      </c>
      <c r="H803" s="23">
        <v>0</v>
      </c>
      <c r="I803" s="23" t="s">
        <v>5</v>
      </c>
      <c r="J803" s="23" t="s">
        <v>327</v>
      </c>
    </row>
    <row r="804" spans="1:10" s="20" customFormat="1" ht="12" x14ac:dyDescent="0.25">
      <c r="A804" s="22">
        <v>1000020106</v>
      </c>
      <c r="B804" s="23" t="s">
        <v>362</v>
      </c>
      <c r="C804" s="24" t="s">
        <v>4</v>
      </c>
      <c r="D804" s="23" t="s">
        <v>2090</v>
      </c>
      <c r="E804" s="23">
        <v>2488.1999999999998</v>
      </c>
      <c r="F804" s="23">
        <v>8</v>
      </c>
      <c r="G804" s="23">
        <v>8</v>
      </c>
      <c r="H804" s="23">
        <v>0</v>
      </c>
      <c r="I804" s="23" t="s">
        <v>5</v>
      </c>
      <c r="J804" s="23" t="s">
        <v>327</v>
      </c>
    </row>
    <row r="805" spans="1:10" s="20" customFormat="1" ht="12" x14ac:dyDescent="0.25">
      <c r="A805" s="22">
        <v>1000021283</v>
      </c>
      <c r="B805" s="23" t="s">
        <v>1420</v>
      </c>
      <c r="C805" s="24" t="s">
        <v>4</v>
      </c>
      <c r="D805" s="23" t="s">
        <v>2090</v>
      </c>
      <c r="E805" s="23">
        <v>2486.89</v>
      </c>
      <c r="F805" s="23">
        <v>7</v>
      </c>
      <c r="G805" s="23">
        <v>7</v>
      </c>
      <c r="H805" s="23">
        <v>0</v>
      </c>
      <c r="I805" s="23" t="s">
        <v>5</v>
      </c>
      <c r="J805" s="23" t="s">
        <v>327</v>
      </c>
    </row>
    <row r="806" spans="1:10" s="20" customFormat="1" ht="12" x14ac:dyDescent="0.25">
      <c r="A806" s="22">
        <v>1000098636</v>
      </c>
      <c r="B806" s="23" t="s">
        <v>1614</v>
      </c>
      <c r="C806" s="24" t="s">
        <v>4</v>
      </c>
      <c r="D806" s="23" t="s">
        <v>2090</v>
      </c>
      <c r="E806" s="23">
        <v>2485.73</v>
      </c>
      <c r="F806" s="23">
        <v>3</v>
      </c>
      <c r="G806" s="23">
        <v>3</v>
      </c>
      <c r="H806" s="23">
        <v>0</v>
      </c>
      <c r="I806" s="23" t="s">
        <v>5</v>
      </c>
      <c r="J806" s="23" t="s">
        <v>327</v>
      </c>
    </row>
    <row r="807" spans="1:10" s="20" customFormat="1" ht="12" x14ac:dyDescent="0.25">
      <c r="A807" s="22">
        <v>1000108302</v>
      </c>
      <c r="B807" s="23" t="s">
        <v>110</v>
      </c>
      <c r="C807" s="24" t="s">
        <v>4</v>
      </c>
      <c r="D807" s="23" t="s">
        <v>2161</v>
      </c>
      <c r="E807" s="23">
        <v>2485.6799999999998</v>
      </c>
      <c r="F807" s="23">
        <v>4</v>
      </c>
      <c r="G807" s="23">
        <v>4</v>
      </c>
      <c r="H807" s="23">
        <v>0</v>
      </c>
      <c r="I807" s="23" t="s">
        <v>5</v>
      </c>
      <c r="J807" s="23" t="s">
        <v>111</v>
      </c>
    </row>
    <row r="808" spans="1:10" s="20" customFormat="1" ht="12" x14ac:dyDescent="0.25">
      <c r="A808" s="22">
        <v>1000098982</v>
      </c>
      <c r="B808" s="23" t="s">
        <v>3089</v>
      </c>
      <c r="C808" s="24" t="s">
        <v>4</v>
      </c>
      <c r="D808" s="23" t="s">
        <v>2056</v>
      </c>
      <c r="E808" s="23">
        <v>2479.5066666666598</v>
      </c>
      <c r="F808" s="23">
        <v>20</v>
      </c>
      <c r="G808" s="23">
        <v>20</v>
      </c>
      <c r="H808" s="23">
        <v>0</v>
      </c>
      <c r="I808" s="23" t="s">
        <v>5</v>
      </c>
      <c r="J808" s="23" t="s">
        <v>1844</v>
      </c>
    </row>
    <row r="809" spans="1:10" s="20" customFormat="1" ht="12" x14ac:dyDescent="0.25">
      <c r="A809" s="22">
        <v>1000110640</v>
      </c>
      <c r="B809" s="23" t="s">
        <v>3090</v>
      </c>
      <c r="C809" s="24" t="s">
        <v>4</v>
      </c>
      <c r="D809" s="23" t="s">
        <v>2043</v>
      </c>
      <c r="E809" s="23">
        <v>2477.0300000000002</v>
      </c>
      <c r="F809" s="23">
        <v>7</v>
      </c>
      <c r="G809" s="23">
        <v>7</v>
      </c>
      <c r="H809" s="23">
        <v>0</v>
      </c>
      <c r="I809" s="23" t="s">
        <v>71</v>
      </c>
      <c r="J809" s="23" t="s">
        <v>33</v>
      </c>
    </row>
    <row r="810" spans="1:10" s="20" customFormat="1" ht="12" x14ac:dyDescent="0.25">
      <c r="A810" s="22">
        <v>1000098672</v>
      </c>
      <c r="B810" s="23" t="s">
        <v>1632</v>
      </c>
      <c r="C810" s="24" t="s">
        <v>4</v>
      </c>
      <c r="D810" s="23" t="s">
        <v>2090</v>
      </c>
      <c r="E810" s="23">
        <v>2469.0495999999998</v>
      </c>
      <c r="F810" s="23">
        <v>67</v>
      </c>
      <c r="G810" s="23">
        <v>67</v>
      </c>
      <c r="H810" s="23">
        <v>0</v>
      </c>
      <c r="I810" s="23" t="s">
        <v>5</v>
      </c>
      <c r="J810" s="23" t="s">
        <v>327</v>
      </c>
    </row>
    <row r="811" spans="1:10" s="20" customFormat="1" ht="12" x14ac:dyDescent="0.25">
      <c r="A811" s="22">
        <v>1000020536</v>
      </c>
      <c r="B811" s="23" t="s">
        <v>757</v>
      </c>
      <c r="C811" s="24" t="s">
        <v>4</v>
      </c>
      <c r="D811" s="23" t="s">
        <v>2090</v>
      </c>
      <c r="E811" s="23">
        <v>2468.1999999999998</v>
      </c>
      <c r="F811" s="23">
        <v>10</v>
      </c>
      <c r="G811" s="23">
        <v>10</v>
      </c>
      <c r="H811" s="23">
        <v>0</v>
      </c>
      <c r="I811" s="23" t="s">
        <v>5</v>
      </c>
      <c r="J811" s="23" t="s">
        <v>327</v>
      </c>
    </row>
    <row r="812" spans="1:10" s="20" customFormat="1" ht="12" x14ac:dyDescent="0.25">
      <c r="A812" s="22">
        <v>1000097847</v>
      </c>
      <c r="B812" s="23" t="s">
        <v>3091</v>
      </c>
      <c r="C812" s="24" t="s">
        <v>4</v>
      </c>
      <c r="D812" s="23" t="s">
        <v>2161</v>
      </c>
      <c r="E812" s="23">
        <v>2467.13</v>
      </c>
      <c r="F812" s="23">
        <v>3</v>
      </c>
      <c r="G812" s="23">
        <v>3</v>
      </c>
      <c r="H812" s="23">
        <v>0</v>
      </c>
      <c r="I812" s="23" t="s">
        <v>5</v>
      </c>
      <c r="J812" s="23" t="s">
        <v>111</v>
      </c>
    </row>
    <row r="813" spans="1:10" s="20" customFormat="1" ht="12" x14ac:dyDescent="0.25">
      <c r="A813" s="22">
        <v>1000100371</v>
      </c>
      <c r="B813" s="23" t="s">
        <v>1710</v>
      </c>
      <c r="C813" s="24" t="s">
        <v>4</v>
      </c>
      <c r="D813" s="23" t="s">
        <v>2090</v>
      </c>
      <c r="E813" s="23">
        <v>2465.6999999999998</v>
      </c>
      <c r="F813" s="23">
        <v>13</v>
      </c>
      <c r="G813" s="23">
        <v>13</v>
      </c>
      <c r="H813" s="23">
        <v>0</v>
      </c>
      <c r="I813" s="23" t="s">
        <v>5</v>
      </c>
      <c r="J813" s="23" t="s">
        <v>327</v>
      </c>
    </row>
    <row r="814" spans="1:10" s="20" customFormat="1" ht="12" x14ac:dyDescent="0.25">
      <c r="A814" s="22">
        <v>1000020874</v>
      </c>
      <c r="B814" s="23" t="s">
        <v>1059</v>
      </c>
      <c r="C814" s="24" t="s">
        <v>4</v>
      </c>
      <c r="D814" s="23" t="s">
        <v>2090</v>
      </c>
      <c r="E814" s="23">
        <v>2460.06</v>
      </c>
      <c r="F814" s="23">
        <v>3</v>
      </c>
      <c r="G814" s="23">
        <v>3</v>
      </c>
      <c r="H814" s="23">
        <v>0</v>
      </c>
      <c r="I814" s="23" t="s">
        <v>5</v>
      </c>
      <c r="J814" s="23" t="s">
        <v>327</v>
      </c>
    </row>
    <row r="815" spans="1:10" s="20" customFormat="1" ht="12" x14ac:dyDescent="0.25">
      <c r="A815" s="22">
        <v>1000020879</v>
      </c>
      <c r="B815" s="23" t="s">
        <v>1063</v>
      </c>
      <c r="C815" s="24" t="s">
        <v>4</v>
      </c>
      <c r="D815" s="23" t="s">
        <v>2090</v>
      </c>
      <c r="E815" s="23">
        <v>2456.6799999999998</v>
      </c>
      <c r="F815" s="23">
        <v>2</v>
      </c>
      <c r="G815" s="23">
        <v>2</v>
      </c>
      <c r="H815" s="23">
        <v>0</v>
      </c>
      <c r="I815" s="23" t="s">
        <v>5</v>
      </c>
      <c r="J815" s="23" t="s">
        <v>327</v>
      </c>
    </row>
    <row r="816" spans="1:10" s="20" customFormat="1" ht="12" x14ac:dyDescent="0.25">
      <c r="A816" s="22">
        <v>1000020472</v>
      </c>
      <c r="B816" s="23" t="s">
        <v>698</v>
      </c>
      <c r="C816" s="24" t="s">
        <v>4</v>
      </c>
      <c r="D816" s="23" t="s">
        <v>2090</v>
      </c>
      <c r="E816" s="23">
        <v>2454.3000000000002</v>
      </c>
      <c r="F816" s="23">
        <v>101</v>
      </c>
      <c r="G816" s="23">
        <v>101</v>
      </c>
      <c r="H816" s="23">
        <v>0</v>
      </c>
      <c r="I816" s="23" t="s">
        <v>5</v>
      </c>
      <c r="J816" s="23" t="s">
        <v>327</v>
      </c>
    </row>
    <row r="817" spans="1:10" s="20" customFormat="1" ht="12" x14ac:dyDescent="0.25">
      <c r="A817" s="22">
        <v>1000098974</v>
      </c>
      <c r="B817" s="23" t="s">
        <v>3093</v>
      </c>
      <c r="C817" s="24" t="s">
        <v>4</v>
      </c>
      <c r="D817" s="23" t="s">
        <v>2056</v>
      </c>
      <c r="E817" s="23">
        <v>2449.9783333333298</v>
      </c>
      <c r="F817" s="23">
        <v>6</v>
      </c>
      <c r="G817" s="23">
        <v>6</v>
      </c>
      <c r="H817" s="23">
        <v>0</v>
      </c>
      <c r="I817" s="23" t="s">
        <v>5</v>
      </c>
      <c r="J817" s="23" t="s">
        <v>1844</v>
      </c>
    </row>
    <row r="818" spans="1:10" s="20" customFormat="1" ht="12" x14ac:dyDescent="0.25">
      <c r="A818" s="22">
        <v>1000095439</v>
      </c>
      <c r="B818" s="23" t="s">
        <v>3094</v>
      </c>
      <c r="C818" s="24" t="s">
        <v>4</v>
      </c>
      <c r="D818" s="23" t="s">
        <v>2090</v>
      </c>
      <c r="E818" s="23">
        <v>2444.44</v>
      </c>
      <c r="F818" s="23">
        <v>1</v>
      </c>
      <c r="G818" s="23">
        <v>1</v>
      </c>
      <c r="H818" s="23">
        <v>0</v>
      </c>
      <c r="I818" s="23" t="s">
        <v>5</v>
      </c>
      <c r="J818" s="23" t="s">
        <v>327</v>
      </c>
    </row>
    <row r="819" spans="1:10" s="20" customFormat="1" ht="12" x14ac:dyDescent="0.25">
      <c r="A819" s="22">
        <v>1000102209</v>
      </c>
      <c r="B819" s="23" t="s">
        <v>1771</v>
      </c>
      <c r="C819" s="24" t="s">
        <v>4</v>
      </c>
      <c r="D819" s="23" t="s">
        <v>2090</v>
      </c>
      <c r="E819" s="23">
        <v>2441.59</v>
      </c>
      <c r="F819" s="23">
        <v>1</v>
      </c>
      <c r="G819" s="23">
        <v>1</v>
      </c>
      <c r="H819" s="23">
        <v>0</v>
      </c>
      <c r="I819" s="23" t="s">
        <v>5</v>
      </c>
      <c r="J819" s="23" t="s">
        <v>327</v>
      </c>
    </row>
    <row r="820" spans="1:10" s="20" customFormat="1" ht="12" x14ac:dyDescent="0.25">
      <c r="A820" s="22">
        <v>1000020139</v>
      </c>
      <c r="B820" s="23" t="s">
        <v>393</v>
      </c>
      <c r="C820" s="24" t="s">
        <v>4</v>
      </c>
      <c r="D820" s="23" t="s">
        <v>2090</v>
      </c>
      <c r="E820" s="23">
        <v>2441.0839999999998</v>
      </c>
      <c r="F820" s="23">
        <v>95</v>
      </c>
      <c r="G820" s="23">
        <v>95</v>
      </c>
      <c r="H820" s="23">
        <v>0</v>
      </c>
      <c r="I820" s="23" t="s">
        <v>5</v>
      </c>
      <c r="J820" s="23" t="s">
        <v>327</v>
      </c>
    </row>
    <row r="821" spans="1:10" s="20" customFormat="1" ht="12" x14ac:dyDescent="0.25">
      <c r="A821" s="22">
        <v>1000093580</v>
      </c>
      <c r="B821" s="23" t="s">
        <v>3096</v>
      </c>
      <c r="C821" s="24" t="s">
        <v>4</v>
      </c>
      <c r="D821" s="23" t="s">
        <v>2056</v>
      </c>
      <c r="E821" s="23">
        <v>2439.5184283827298</v>
      </c>
      <c r="F821" s="23">
        <v>1478</v>
      </c>
      <c r="G821" s="23">
        <v>1478</v>
      </c>
      <c r="H821" s="23">
        <v>0</v>
      </c>
      <c r="I821" s="23" t="s">
        <v>5</v>
      </c>
      <c r="J821" s="23" t="s">
        <v>1844</v>
      </c>
    </row>
    <row r="822" spans="1:10" s="20" customFormat="1" ht="12" x14ac:dyDescent="0.25">
      <c r="A822" s="22">
        <v>2100004248</v>
      </c>
      <c r="B822" s="23" t="s">
        <v>3097</v>
      </c>
      <c r="C822" s="24" t="s">
        <v>2037</v>
      </c>
      <c r="D822" s="23" t="s">
        <v>2031</v>
      </c>
      <c r="E822" s="23">
        <v>2430.1055494141701</v>
      </c>
      <c r="F822" s="23">
        <v>21</v>
      </c>
      <c r="G822" s="23">
        <v>21</v>
      </c>
      <c r="H822" s="23">
        <v>0</v>
      </c>
      <c r="I822" s="23" t="s">
        <v>5</v>
      </c>
      <c r="J822" s="23" t="s">
        <v>138</v>
      </c>
    </row>
    <row r="823" spans="1:10" s="20" customFormat="1" ht="12" x14ac:dyDescent="0.25">
      <c r="A823" s="22">
        <v>1000021218</v>
      </c>
      <c r="B823" s="23" t="s">
        <v>1364</v>
      </c>
      <c r="C823" s="24" t="s">
        <v>4</v>
      </c>
      <c r="D823" s="23" t="s">
        <v>2218</v>
      </c>
      <c r="E823" s="23">
        <v>2424.152</v>
      </c>
      <c r="F823" s="23">
        <v>12</v>
      </c>
      <c r="G823" s="23">
        <v>12</v>
      </c>
      <c r="H823" s="23">
        <v>0</v>
      </c>
      <c r="I823" s="23" t="s">
        <v>5</v>
      </c>
      <c r="J823" s="23" t="s">
        <v>327</v>
      </c>
    </row>
    <row r="824" spans="1:10" s="20" customFormat="1" ht="12" x14ac:dyDescent="0.25">
      <c r="A824" s="22">
        <v>1000021262</v>
      </c>
      <c r="B824" s="23" t="s">
        <v>1406</v>
      </c>
      <c r="C824" s="24" t="s">
        <v>4</v>
      </c>
      <c r="D824" s="23" t="s">
        <v>2090</v>
      </c>
      <c r="E824" s="23">
        <v>2423.1750000000002</v>
      </c>
      <c r="F824" s="23">
        <v>2</v>
      </c>
      <c r="G824" s="23">
        <v>2</v>
      </c>
      <c r="H824" s="23">
        <v>0</v>
      </c>
      <c r="I824" s="23" t="s">
        <v>5</v>
      </c>
      <c r="J824" s="23" t="s">
        <v>327</v>
      </c>
    </row>
    <row r="825" spans="1:10" s="20" customFormat="1" ht="12" x14ac:dyDescent="0.25">
      <c r="A825" s="22">
        <v>1000021264</v>
      </c>
      <c r="B825" s="23" t="s">
        <v>1407</v>
      </c>
      <c r="C825" s="24" t="s">
        <v>4</v>
      </c>
      <c r="D825" s="23" t="s">
        <v>2090</v>
      </c>
      <c r="E825" s="23">
        <v>2414.5</v>
      </c>
      <c r="F825" s="23">
        <v>2</v>
      </c>
      <c r="G825" s="23">
        <v>2</v>
      </c>
      <c r="H825" s="23">
        <v>0</v>
      </c>
      <c r="I825" s="23" t="s">
        <v>5</v>
      </c>
      <c r="J825" s="23" t="s">
        <v>327</v>
      </c>
    </row>
    <row r="826" spans="1:10" s="20" customFormat="1" ht="12" x14ac:dyDescent="0.25">
      <c r="A826" s="22">
        <v>1000021300</v>
      </c>
      <c r="B826" s="23" t="s">
        <v>1435</v>
      </c>
      <c r="C826" s="24" t="s">
        <v>4</v>
      </c>
      <c r="D826" s="23" t="s">
        <v>2090</v>
      </c>
      <c r="E826" s="23">
        <v>2412.1999999999998</v>
      </c>
      <c r="F826" s="23">
        <v>4</v>
      </c>
      <c r="G826" s="23">
        <v>4</v>
      </c>
      <c r="H826" s="23">
        <v>0</v>
      </c>
      <c r="I826" s="23" t="s">
        <v>5</v>
      </c>
      <c r="J826" s="23" t="s">
        <v>327</v>
      </c>
    </row>
    <row r="827" spans="1:10" s="20" customFormat="1" ht="12" x14ac:dyDescent="0.25">
      <c r="A827" s="22">
        <v>2500008168</v>
      </c>
      <c r="B827" s="23" t="s">
        <v>3099</v>
      </c>
      <c r="C827" s="24" t="s">
        <v>1996</v>
      </c>
      <c r="D827" s="23" t="s">
        <v>2025</v>
      </c>
      <c r="E827" s="23">
        <v>2411.4850000000001</v>
      </c>
      <c r="F827" s="23">
        <v>10</v>
      </c>
      <c r="G827" s="23">
        <v>10</v>
      </c>
      <c r="H827" s="23">
        <v>0</v>
      </c>
      <c r="I827" s="23" t="s">
        <v>5</v>
      </c>
      <c r="J827" s="23" t="s">
        <v>1993</v>
      </c>
    </row>
    <row r="828" spans="1:10" s="20" customFormat="1" ht="12" x14ac:dyDescent="0.25">
      <c r="A828" s="22">
        <v>1000101549</v>
      </c>
      <c r="B828" s="23" t="s">
        <v>3101</v>
      </c>
      <c r="C828" s="24" t="s">
        <v>4</v>
      </c>
      <c r="D828" s="23" t="s">
        <v>2056</v>
      </c>
      <c r="E828" s="23">
        <v>2399.4195992724599</v>
      </c>
      <c r="F828" s="23">
        <v>3349</v>
      </c>
      <c r="G828" s="23">
        <v>3349</v>
      </c>
      <c r="H828" s="23">
        <v>0</v>
      </c>
      <c r="I828" s="23" t="s">
        <v>5</v>
      </c>
      <c r="J828" s="23" t="s">
        <v>1844</v>
      </c>
    </row>
    <row r="829" spans="1:10" s="20" customFormat="1" ht="12" x14ac:dyDescent="0.25">
      <c r="A829" s="22">
        <v>1000020399</v>
      </c>
      <c r="B829" s="23" t="s">
        <v>629</v>
      </c>
      <c r="C829" s="24" t="s">
        <v>4</v>
      </c>
      <c r="D829" s="23" t="s">
        <v>2090</v>
      </c>
      <c r="E829" s="23">
        <v>2387.7600000000002</v>
      </c>
      <c r="F829" s="23">
        <v>1</v>
      </c>
      <c r="G829" s="23">
        <v>1</v>
      </c>
      <c r="H829" s="23">
        <v>0</v>
      </c>
      <c r="I829" s="23" t="s">
        <v>5</v>
      </c>
      <c r="J829" s="23" t="s">
        <v>327</v>
      </c>
    </row>
    <row r="830" spans="1:10" s="20" customFormat="1" ht="12" x14ac:dyDescent="0.25">
      <c r="A830" s="22">
        <v>1000102418</v>
      </c>
      <c r="B830" s="23" t="s">
        <v>1795</v>
      </c>
      <c r="C830" s="24" t="s">
        <v>4</v>
      </c>
      <c r="D830" s="23" t="s">
        <v>2090</v>
      </c>
      <c r="E830" s="23">
        <v>2384.14</v>
      </c>
      <c r="F830" s="23">
        <v>1</v>
      </c>
      <c r="G830" s="23">
        <v>1</v>
      </c>
      <c r="H830" s="23">
        <v>0</v>
      </c>
      <c r="I830" s="23" t="s">
        <v>5</v>
      </c>
      <c r="J830" s="23" t="s">
        <v>327</v>
      </c>
    </row>
    <row r="831" spans="1:10" s="20" customFormat="1" ht="12" x14ac:dyDescent="0.25">
      <c r="A831" s="22">
        <v>1000106067</v>
      </c>
      <c r="B831" s="23" t="s">
        <v>3103</v>
      </c>
      <c r="C831" s="24" t="s">
        <v>4</v>
      </c>
      <c r="D831" s="23" t="s">
        <v>2161</v>
      </c>
      <c r="E831" s="23">
        <v>2383.8000000000002</v>
      </c>
      <c r="F831" s="23">
        <v>2</v>
      </c>
      <c r="G831" s="23">
        <v>2</v>
      </c>
      <c r="H831" s="23">
        <v>0</v>
      </c>
      <c r="I831" s="23" t="s">
        <v>5</v>
      </c>
      <c r="J831" s="23" t="s">
        <v>111</v>
      </c>
    </row>
    <row r="832" spans="1:10" s="20" customFormat="1" ht="12" x14ac:dyDescent="0.25">
      <c r="A832" s="22">
        <v>1000020191</v>
      </c>
      <c r="B832" s="23" t="s">
        <v>432</v>
      </c>
      <c r="C832" s="24" t="s">
        <v>4</v>
      </c>
      <c r="D832" s="23" t="s">
        <v>2090</v>
      </c>
      <c r="E832" s="23">
        <v>2379.69</v>
      </c>
      <c r="F832" s="23">
        <v>3</v>
      </c>
      <c r="G832" s="23">
        <v>3</v>
      </c>
      <c r="H832" s="23">
        <v>0</v>
      </c>
      <c r="I832" s="23" t="s">
        <v>5</v>
      </c>
      <c r="J832" s="23" t="s">
        <v>327</v>
      </c>
    </row>
    <row r="833" spans="1:10" s="20" customFormat="1" ht="12" x14ac:dyDescent="0.25">
      <c r="A833" s="22">
        <v>1000100028</v>
      </c>
      <c r="B833" s="23" t="s">
        <v>3104</v>
      </c>
      <c r="C833" s="24" t="s">
        <v>4</v>
      </c>
      <c r="D833" s="23" t="s">
        <v>2090</v>
      </c>
      <c r="E833" s="23">
        <v>2368.3125</v>
      </c>
      <c r="F833" s="23">
        <v>20</v>
      </c>
      <c r="G833" s="23">
        <v>20</v>
      </c>
      <c r="H833" s="23">
        <v>0</v>
      </c>
      <c r="I833" s="23" t="s">
        <v>5</v>
      </c>
      <c r="J833" s="23" t="s">
        <v>327</v>
      </c>
    </row>
    <row r="834" spans="1:10" s="20" customFormat="1" ht="12" x14ac:dyDescent="0.25">
      <c r="A834" s="22">
        <v>1000102442</v>
      </c>
      <c r="B834" s="23" t="s">
        <v>3107</v>
      </c>
      <c r="C834" s="24" t="s">
        <v>4</v>
      </c>
      <c r="D834" s="23" t="s">
        <v>2090</v>
      </c>
      <c r="E834" s="23">
        <v>2361.7476923076902</v>
      </c>
      <c r="F834" s="23">
        <v>12</v>
      </c>
      <c r="G834" s="23">
        <v>12</v>
      </c>
      <c r="H834" s="23">
        <v>0</v>
      </c>
      <c r="I834" s="23" t="s">
        <v>5</v>
      </c>
      <c r="J834" s="23" t="s">
        <v>327</v>
      </c>
    </row>
    <row r="835" spans="1:10" s="20" customFormat="1" ht="12" x14ac:dyDescent="0.25">
      <c r="A835" s="22">
        <v>1000020522</v>
      </c>
      <c r="B835" s="23" t="s">
        <v>744</v>
      </c>
      <c r="C835" s="24" t="s">
        <v>4</v>
      </c>
      <c r="D835" s="23" t="s">
        <v>2090</v>
      </c>
      <c r="E835" s="23">
        <v>2361.5100000000002</v>
      </c>
      <c r="F835" s="23">
        <v>19</v>
      </c>
      <c r="G835" s="23">
        <v>19</v>
      </c>
      <c r="H835" s="23">
        <v>0</v>
      </c>
      <c r="I835" s="23" t="s">
        <v>5</v>
      </c>
      <c r="J835" s="23" t="s">
        <v>327</v>
      </c>
    </row>
    <row r="836" spans="1:10" s="20" customFormat="1" ht="12" x14ac:dyDescent="0.25">
      <c r="A836" s="22">
        <v>1000020264</v>
      </c>
      <c r="B836" s="23" t="s">
        <v>503</v>
      </c>
      <c r="C836" s="24" t="s">
        <v>4</v>
      </c>
      <c r="D836" s="23" t="s">
        <v>2090</v>
      </c>
      <c r="E836" s="23">
        <v>2357.01490384615</v>
      </c>
      <c r="F836" s="23">
        <v>126</v>
      </c>
      <c r="G836" s="23">
        <v>126</v>
      </c>
      <c r="H836" s="23">
        <v>0</v>
      </c>
      <c r="I836" s="23" t="s">
        <v>5</v>
      </c>
      <c r="J836" s="23" t="s">
        <v>327</v>
      </c>
    </row>
    <row r="837" spans="1:10" s="20" customFormat="1" ht="12" x14ac:dyDescent="0.25">
      <c r="A837" s="22">
        <v>1000021141</v>
      </c>
      <c r="B837" s="23" t="s">
        <v>1292</v>
      </c>
      <c r="C837" s="24" t="s">
        <v>4</v>
      </c>
      <c r="D837" s="23" t="s">
        <v>2090</v>
      </c>
      <c r="E837" s="23">
        <v>2352.1999999999998</v>
      </c>
      <c r="F837" s="23">
        <v>4</v>
      </c>
      <c r="G837" s="23">
        <v>4</v>
      </c>
      <c r="H837" s="23">
        <v>0</v>
      </c>
      <c r="I837" s="23" t="s">
        <v>5</v>
      </c>
      <c r="J837" s="23" t="s">
        <v>327</v>
      </c>
    </row>
    <row r="838" spans="1:10" s="20" customFormat="1" ht="12" x14ac:dyDescent="0.25">
      <c r="A838" s="22">
        <v>1000021179</v>
      </c>
      <c r="B838" s="23" t="s">
        <v>1326</v>
      </c>
      <c r="C838" s="24" t="s">
        <v>4</v>
      </c>
      <c r="D838" s="23" t="s">
        <v>2090</v>
      </c>
      <c r="E838" s="23">
        <v>2347</v>
      </c>
      <c r="F838" s="23">
        <v>25</v>
      </c>
      <c r="G838" s="23">
        <v>25</v>
      </c>
      <c r="H838" s="23">
        <v>0</v>
      </c>
      <c r="I838" s="23" t="s">
        <v>5</v>
      </c>
      <c r="J838" s="23" t="s">
        <v>327</v>
      </c>
    </row>
    <row r="839" spans="1:10" s="20" customFormat="1" ht="12" x14ac:dyDescent="0.25">
      <c r="A839" s="22">
        <v>1000098740</v>
      </c>
      <c r="B839" s="23" t="s">
        <v>1680</v>
      </c>
      <c r="C839" s="24" t="s">
        <v>4</v>
      </c>
      <c r="D839" s="23" t="s">
        <v>2090</v>
      </c>
      <c r="E839" s="23">
        <v>2324.87</v>
      </c>
      <c r="F839" s="23">
        <v>1</v>
      </c>
      <c r="G839" s="23">
        <v>1</v>
      </c>
      <c r="H839" s="23">
        <v>0</v>
      </c>
      <c r="I839" s="23" t="s">
        <v>5</v>
      </c>
      <c r="J839" s="23" t="s">
        <v>327</v>
      </c>
    </row>
    <row r="840" spans="1:10" s="20" customFormat="1" ht="12" x14ac:dyDescent="0.25">
      <c r="A840" s="22">
        <v>1000095824</v>
      </c>
      <c r="B840" s="23" t="s">
        <v>3111</v>
      </c>
      <c r="C840" s="24" t="s">
        <v>4</v>
      </c>
      <c r="D840" s="23" t="s">
        <v>2056</v>
      </c>
      <c r="E840" s="23">
        <v>2317.4033993141602</v>
      </c>
      <c r="F840" s="23">
        <v>2317</v>
      </c>
      <c r="G840" s="23">
        <v>2317</v>
      </c>
      <c r="H840" s="23">
        <v>0</v>
      </c>
      <c r="I840" s="23" t="s">
        <v>5</v>
      </c>
      <c r="J840" s="23" t="s">
        <v>1844</v>
      </c>
    </row>
    <row r="841" spans="1:10" s="20" customFormat="1" ht="12" x14ac:dyDescent="0.25">
      <c r="A841" s="22">
        <v>1000107209</v>
      </c>
      <c r="B841" s="23" t="s">
        <v>130</v>
      </c>
      <c r="C841" s="24" t="s">
        <v>4</v>
      </c>
      <c r="D841" s="23" t="s">
        <v>2161</v>
      </c>
      <c r="E841" s="23">
        <v>2308.9</v>
      </c>
      <c r="F841" s="23">
        <v>5</v>
      </c>
      <c r="G841" s="23">
        <v>5</v>
      </c>
      <c r="H841" s="23">
        <v>0</v>
      </c>
      <c r="I841" s="23" t="s">
        <v>5</v>
      </c>
      <c r="J841" s="23" t="s">
        <v>111</v>
      </c>
    </row>
    <row r="842" spans="1:10" s="20" customFormat="1" ht="12" x14ac:dyDescent="0.25">
      <c r="A842" s="22">
        <v>1000100331</v>
      </c>
      <c r="B842" s="23" t="s">
        <v>3013</v>
      </c>
      <c r="C842" s="24" t="s">
        <v>4</v>
      </c>
      <c r="D842" s="23" t="s">
        <v>2090</v>
      </c>
      <c r="E842" s="23">
        <v>2308.5711000000001</v>
      </c>
      <c r="F842" s="23">
        <v>9</v>
      </c>
      <c r="G842" s="23">
        <v>9</v>
      </c>
      <c r="H842" s="23">
        <v>0</v>
      </c>
      <c r="I842" s="23" t="s">
        <v>5</v>
      </c>
      <c r="J842" s="23" t="s">
        <v>327</v>
      </c>
    </row>
    <row r="843" spans="1:10" s="20" customFormat="1" ht="12" x14ac:dyDescent="0.25">
      <c r="A843" s="22">
        <v>1000099416</v>
      </c>
      <c r="B843" s="23" t="s">
        <v>3115</v>
      </c>
      <c r="C843" s="24" t="s">
        <v>4</v>
      </c>
      <c r="D843" s="23" t="s">
        <v>2056</v>
      </c>
      <c r="E843" s="23">
        <v>2301.06494814814</v>
      </c>
      <c r="F843" s="23">
        <v>8</v>
      </c>
      <c r="G843" s="23">
        <v>8</v>
      </c>
      <c r="H843" s="23">
        <v>0</v>
      </c>
      <c r="I843" s="23" t="s">
        <v>5</v>
      </c>
      <c r="J843" s="23" t="s">
        <v>1844</v>
      </c>
    </row>
    <row r="844" spans="1:10" s="20" customFormat="1" ht="12" x14ac:dyDescent="0.25">
      <c r="A844" s="22">
        <v>1000020192</v>
      </c>
      <c r="B844" s="23" t="s">
        <v>433</v>
      </c>
      <c r="C844" s="24" t="s">
        <v>4</v>
      </c>
      <c r="D844" s="23" t="s">
        <v>2090</v>
      </c>
      <c r="E844" s="23">
        <v>2299.9</v>
      </c>
      <c r="F844" s="23">
        <v>2</v>
      </c>
      <c r="G844" s="23">
        <v>2</v>
      </c>
      <c r="H844" s="23">
        <v>0</v>
      </c>
      <c r="I844" s="23" t="s">
        <v>5</v>
      </c>
      <c r="J844" s="23" t="s">
        <v>327</v>
      </c>
    </row>
    <row r="845" spans="1:10" s="20" customFormat="1" ht="12" x14ac:dyDescent="0.25">
      <c r="A845" s="22">
        <v>1000021478</v>
      </c>
      <c r="B845" s="23" t="s">
        <v>1492</v>
      </c>
      <c r="C845" s="24" t="s">
        <v>4</v>
      </c>
      <c r="D845" s="23" t="s">
        <v>2090</v>
      </c>
      <c r="E845" s="23">
        <v>2299.1</v>
      </c>
      <c r="F845" s="23">
        <v>3</v>
      </c>
      <c r="G845" s="23">
        <v>3</v>
      </c>
      <c r="H845" s="23">
        <v>0</v>
      </c>
      <c r="I845" s="23" t="s">
        <v>5</v>
      </c>
      <c r="J845" s="23" t="s">
        <v>327</v>
      </c>
    </row>
    <row r="846" spans="1:10" s="20" customFormat="1" ht="12" x14ac:dyDescent="0.25">
      <c r="A846" s="22">
        <v>2500006443</v>
      </c>
      <c r="B846" s="23" t="s">
        <v>3116</v>
      </c>
      <c r="C846" s="24" t="s">
        <v>1996</v>
      </c>
      <c r="D846" s="23" t="s">
        <v>2025</v>
      </c>
      <c r="E846" s="23">
        <v>2299.0915465367898</v>
      </c>
      <c r="F846" s="23">
        <v>26</v>
      </c>
      <c r="G846" s="23">
        <v>26</v>
      </c>
      <c r="H846" s="23">
        <v>0</v>
      </c>
      <c r="I846" s="23" t="s">
        <v>5</v>
      </c>
      <c r="J846" s="23" t="s">
        <v>1993</v>
      </c>
    </row>
    <row r="847" spans="1:10" s="20" customFormat="1" ht="12" x14ac:dyDescent="0.25">
      <c r="A847" s="22">
        <v>2500006616</v>
      </c>
      <c r="B847" s="23" t="s">
        <v>1914</v>
      </c>
      <c r="C847" s="24" t="s">
        <v>1996</v>
      </c>
      <c r="D847" s="23" t="s">
        <v>2025</v>
      </c>
      <c r="E847" s="23">
        <v>2298.2605796350199</v>
      </c>
      <c r="F847" s="23">
        <v>10</v>
      </c>
      <c r="G847" s="23">
        <v>10</v>
      </c>
      <c r="H847" s="23">
        <v>0</v>
      </c>
      <c r="I847" s="23" t="s">
        <v>5</v>
      </c>
      <c r="J847" s="23" t="s">
        <v>1993</v>
      </c>
    </row>
    <row r="848" spans="1:10" s="20" customFormat="1" ht="12" x14ac:dyDescent="0.25">
      <c r="A848" s="22">
        <v>2500008150</v>
      </c>
      <c r="B848" s="23" t="s">
        <v>3117</v>
      </c>
      <c r="C848" s="24" t="s">
        <v>1996</v>
      </c>
      <c r="D848" s="23" t="s">
        <v>2025</v>
      </c>
      <c r="E848" s="23">
        <v>2291.625</v>
      </c>
      <c r="F848" s="23">
        <v>23</v>
      </c>
      <c r="G848" s="23">
        <v>19</v>
      </c>
      <c r="H848" s="23">
        <v>4</v>
      </c>
      <c r="I848" s="23" t="s">
        <v>1995</v>
      </c>
      <c r="J848" s="23" t="s">
        <v>1993</v>
      </c>
    </row>
    <row r="849" spans="1:10" s="20" customFormat="1" ht="12" x14ac:dyDescent="0.25">
      <c r="A849" s="22">
        <v>2500002166</v>
      </c>
      <c r="B849" s="23" t="s">
        <v>1898</v>
      </c>
      <c r="C849" s="24" t="s">
        <v>1996</v>
      </c>
      <c r="D849" s="23" t="s">
        <v>2025</v>
      </c>
      <c r="E849" s="23">
        <v>2289.5729999999999</v>
      </c>
      <c r="F849" s="23">
        <v>6</v>
      </c>
      <c r="G849" s="23">
        <v>6</v>
      </c>
      <c r="H849" s="23">
        <v>0</v>
      </c>
      <c r="I849" s="23" t="s">
        <v>5</v>
      </c>
      <c r="J849" s="23" t="s">
        <v>1993</v>
      </c>
    </row>
    <row r="850" spans="1:10" s="20" customFormat="1" ht="12" x14ac:dyDescent="0.25">
      <c r="A850" s="22">
        <v>1000093395</v>
      </c>
      <c r="B850" s="23" t="s">
        <v>3118</v>
      </c>
      <c r="C850" s="24" t="s">
        <v>4</v>
      </c>
      <c r="D850" s="23" t="s">
        <v>2090</v>
      </c>
      <c r="E850" s="23">
        <v>2283.3302941176398</v>
      </c>
      <c r="F850" s="23">
        <v>6</v>
      </c>
      <c r="G850" s="23">
        <v>6</v>
      </c>
      <c r="H850" s="23">
        <v>0</v>
      </c>
      <c r="I850" s="23" t="s">
        <v>5</v>
      </c>
      <c r="J850" s="23" t="s">
        <v>327</v>
      </c>
    </row>
    <row r="851" spans="1:10" s="20" customFormat="1" ht="12" x14ac:dyDescent="0.25">
      <c r="A851" s="22">
        <v>1000020649</v>
      </c>
      <c r="B851" s="23" t="s">
        <v>863</v>
      </c>
      <c r="C851" s="24" t="s">
        <v>4</v>
      </c>
      <c r="D851" s="23" t="s">
        <v>2090</v>
      </c>
      <c r="E851" s="23">
        <v>2268.1677789473601</v>
      </c>
      <c r="F851" s="23">
        <v>97</v>
      </c>
      <c r="G851" s="23">
        <v>97</v>
      </c>
      <c r="H851" s="23">
        <v>0</v>
      </c>
      <c r="I851" s="23" t="s">
        <v>5</v>
      </c>
      <c r="J851" s="23" t="s">
        <v>327</v>
      </c>
    </row>
    <row r="852" spans="1:10" s="20" customFormat="1" ht="12" x14ac:dyDescent="0.25">
      <c r="A852" s="22">
        <v>1000020648</v>
      </c>
      <c r="B852" s="23" t="s">
        <v>862</v>
      </c>
      <c r="C852" s="24" t="s">
        <v>4</v>
      </c>
      <c r="D852" s="23" t="s">
        <v>2090</v>
      </c>
      <c r="E852" s="23">
        <v>2268</v>
      </c>
      <c r="F852" s="23">
        <v>90</v>
      </c>
      <c r="G852" s="23">
        <v>90</v>
      </c>
      <c r="H852" s="23">
        <v>0</v>
      </c>
      <c r="I852" s="23" t="s">
        <v>5</v>
      </c>
      <c r="J852" s="23" t="s">
        <v>327</v>
      </c>
    </row>
    <row r="853" spans="1:10" s="20" customFormat="1" ht="12" x14ac:dyDescent="0.25">
      <c r="A853" s="22">
        <v>2500007806</v>
      </c>
      <c r="B853" s="23" t="s">
        <v>3122</v>
      </c>
      <c r="C853" s="24" t="s">
        <v>1996</v>
      </c>
      <c r="D853" s="23" t="s">
        <v>2025</v>
      </c>
      <c r="E853" s="23">
        <v>2261.7610677083298</v>
      </c>
      <c r="F853" s="23">
        <v>5</v>
      </c>
      <c r="G853" s="23">
        <v>5</v>
      </c>
      <c r="H853" s="23">
        <v>0</v>
      </c>
      <c r="I853" s="23" t="s">
        <v>5</v>
      </c>
      <c r="J853" s="23" t="s">
        <v>1993</v>
      </c>
    </row>
    <row r="854" spans="1:10" s="20" customFormat="1" ht="12" x14ac:dyDescent="0.25">
      <c r="A854" s="22">
        <v>1000100402</v>
      </c>
      <c r="B854" s="23" t="s">
        <v>3123</v>
      </c>
      <c r="C854" s="24" t="s">
        <v>4</v>
      </c>
      <c r="D854" s="23" t="s">
        <v>2090</v>
      </c>
      <c r="E854" s="23">
        <v>2261.59</v>
      </c>
      <c r="F854" s="23">
        <v>9</v>
      </c>
      <c r="G854" s="23">
        <v>9</v>
      </c>
      <c r="H854" s="23">
        <v>0</v>
      </c>
      <c r="I854" s="23" t="s">
        <v>5</v>
      </c>
      <c r="J854" s="23" t="s">
        <v>327</v>
      </c>
    </row>
    <row r="855" spans="1:10" s="20" customFormat="1" ht="12" x14ac:dyDescent="0.25">
      <c r="A855" s="22">
        <v>1000020460</v>
      </c>
      <c r="B855" s="23" t="s">
        <v>686</v>
      </c>
      <c r="C855" s="24" t="s">
        <v>4</v>
      </c>
      <c r="D855" s="23" t="s">
        <v>2090</v>
      </c>
      <c r="E855" s="23">
        <v>2258.9105573663601</v>
      </c>
      <c r="F855" s="23">
        <v>114</v>
      </c>
      <c r="G855" s="23">
        <v>114</v>
      </c>
      <c r="H855" s="23">
        <v>0</v>
      </c>
      <c r="I855" s="23" t="s">
        <v>5</v>
      </c>
      <c r="J855" s="23" t="s">
        <v>327</v>
      </c>
    </row>
    <row r="856" spans="1:10" s="20" customFormat="1" ht="12" x14ac:dyDescent="0.25">
      <c r="A856" s="22">
        <v>1000015108</v>
      </c>
      <c r="B856" s="23" t="s">
        <v>3124</v>
      </c>
      <c r="C856" s="24" t="s">
        <v>4</v>
      </c>
      <c r="D856" s="23" t="s">
        <v>2043</v>
      </c>
      <c r="E856" s="23">
        <v>2257.5</v>
      </c>
      <c r="F856" s="23">
        <v>3</v>
      </c>
      <c r="G856" s="23">
        <v>3</v>
      </c>
      <c r="H856" s="23">
        <v>0</v>
      </c>
      <c r="I856" s="23" t="s">
        <v>5</v>
      </c>
      <c r="J856" s="23" t="s">
        <v>33</v>
      </c>
    </row>
    <row r="857" spans="1:10" s="20" customFormat="1" ht="12" x14ac:dyDescent="0.25">
      <c r="A857" s="22">
        <v>1000099692</v>
      </c>
      <c r="B857" s="23" t="s">
        <v>3125</v>
      </c>
      <c r="C857" s="24" t="s">
        <v>4</v>
      </c>
      <c r="D857" s="23" t="s">
        <v>2090</v>
      </c>
      <c r="E857" s="23">
        <v>2253.4875000000002</v>
      </c>
      <c r="F857" s="23">
        <v>1</v>
      </c>
      <c r="G857" s="23">
        <v>1</v>
      </c>
      <c r="H857" s="23">
        <v>0</v>
      </c>
      <c r="I857" s="23" t="s">
        <v>5</v>
      </c>
      <c r="J857" s="23" t="s">
        <v>327</v>
      </c>
    </row>
    <row r="858" spans="1:10" s="20" customFormat="1" ht="12" x14ac:dyDescent="0.25">
      <c r="A858" s="22">
        <v>1000021007</v>
      </c>
      <c r="B858" s="23" t="s">
        <v>1179</v>
      </c>
      <c r="C858" s="24" t="s">
        <v>4</v>
      </c>
      <c r="D858" s="23" t="s">
        <v>2090</v>
      </c>
      <c r="E858" s="23">
        <v>2252.0239999999999</v>
      </c>
      <c r="F858" s="23">
        <v>17</v>
      </c>
      <c r="G858" s="23">
        <v>17</v>
      </c>
      <c r="H858" s="23">
        <v>0</v>
      </c>
      <c r="I858" s="23" t="s">
        <v>5</v>
      </c>
      <c r="J858" s="23" t="s">
        <v>327</v>
      </c>
    </row>
    <row r="859" spans="1:10" s="20" customFormat="1" ht="12" x14ac:dyDescent="0.25">
      <c r="A859" s="22">
        <v>1000021050</v>
      </c>
      <c r="B859" s="23" t="s">
        <v>1217</v>
      </c>
      <c r="C859" s="24" t="s">
        <v>4</v>
      </c>
      <c r="D859" s="23" t="s">
        <v>2090</v>
      </c>
      <c r="E859" s="23">
        <v>2248.6472727272699</v>
      </c>
      <c r="F859" s="23">
        <v>6</v>
      </c>
      <c r="G859" s="23">
        <v>6</v>
      </c>
      <c r="H859" s="23">
        <v>0</v>
      </c>
      <c r="I859" s="23" t="s">
        <v>5</v>
      </c>
      <c r="J859" s="23" t="s">
        <v>327</v>
      </c>
    </row>
    <row r="860" spans="1:10" s="20" customFormat="1" ht="12" x14ac:dyDescent="0.25">
      <c r="A860" s="22">
        <v>1000020196</v>
      </c>
      <c r="B860" s="23" t="s">
        <v>437</v>
      </c>
      <c r="C860" s="24" t="s">
        <v>4</v>
      </c>
      <c r="D860" s="23" t="s">
        <v>2090</v>
      </c>
      <c r="E860" s="23">
        <v>2246.4</v>
      </c>
      <c r="F860" s="23">
        <v>13</v>
      </c>
      <c r="G860" s="23">
        <v>13</v>
      </c>
      <c r="H860" s="23">
        <v>0</v>
      </c>
      <c r="I860" s="23" t="s">
        <v>5</v>
      </c>
      <c r="J860" s="23" t="s">
        <v>327</v>
      </c>
    </row>
    <row r="861" spans="1:10" s="20" customFormat="1" ht="12" x14ac:dyDescent="0.25">
      <c r="A861" s="22">
        <v>1000099558</v>
      </c>
      <c r="B861" s="23" t="s">
        <v>3131</v>
      </c>
      <c r="C861" s="24" t="s">
        <v>4</v>
      </c>
      <c r="D861" s="23" t="s">
        <v>2090</v>
      </c>
      <c r="E861" s="23">
        <v>2226.15</v>
      </c>
      <c r="F861" s="23">
        <v>12</v>
      </c>
      <c r="G861" s="23">
        <v>12</v>
      </c>
      <c r="H861" s="23">
        <v>0</v>
      </c>
      <c r="I861" s="23" t="s">
        <v>5</v>
      </c>
      <c r="J861" s="23" t="s">
        <v>327</v>
      </c>
    </row>
    <row r="862" spans="1:10" s="20" customFormat="1" ht="12" x14ac:dyDescent="0.25">
      <c r="A862" s="22">
        <v>1000020474</v>
      </c>
      <c r="B862" s="23" t="s">
        <v>700</v>
      </c>
      <c r="C862" s="24" t="s">
        <v>4</v>
      </c>
      <c r="D862" s="23" t="s">
        <v>2090</v>
      </c>
      <c r="E862" s="23">
        <v>2225.9340659340601</v>
      </c>
      <c r="F862" s="23">
        <v>75</v>
      </c>
      <c r="G862" s="23">
        <v>65</v>
      </c>
      <c r="H862" s="23">
        <v>10</v>
      </c>
      <c r="I862" s="23" t="s">
        <v>44</v>
      </c>
      <c r="J862" s="23" t="s">
        <v>327</v>
      </c>
    </row>
    <row r="863" spans="1:10" s="20" customFormat="1" ht="12" x14ac:dyDescent="0.25">
      <c r="A863" s="22">
        <v>1000021303</v>
      </c>
      <c r="B863" s="23" t="s">
        <v>1438</v>
      </c>
      <c r="C863" s="24" t="s">
        <v>4</v>
      </c>
      <c r="D863" s="23" t="s">
        <v>2090</v>
      </c>
      <c r="E863" s="23">
        <v>2208.9299999999998</v>
      </c>
      <c r="F863" s="23">
        <v>3</v>
      </c>
      <c r="G863" s="23">
        <v>3</v>
      </c>
      <c r="H863" s="23">
        <v>0</v>
      </c>
      <c r="I863" s="23" t="s">
        <v>5</v>
      </c>
      <c r="J863" s="23" t="s">
        <v>327</v>
      </c>
    </row>
    <row r="864" spans="1:10" s="20" customFormat="1" ht="12" x14ac:dyDescent="0.25">
      <c r="A864" s="22">
        <v>1000100397</v>
      </c>
      <c r="B864" s="23" t="s">
        <v>1725</v>
      </c>
      <c r="C864" s="24" t="s">
        <v>4</v>
      </c>
      <c r="D864" s="23" t="s">
        <v>2090</v>
      </c>
      <c r="E864" s="23">
        <v>2206.8000000000002</v>
      </c>
      <c r="F864" s="23">
        <v>4</v>
      </c>
      <c r="G864" s="23">
        <v>4</v>
      </c>
      <c r="H864" s="23">
        <v>0</v>
      </c>
      <c r="I864" s="23" t="s">
        <v>5</v>
      </c>
      <c r="J864" s="23" t="s">
        <v>327</v>
      </c>
    </row>
    <row r="865" spans="1:10" s="20" customFormat="1" ht="12" x14ac:dyDescent="0.25">
      <c r="A865" s="22">
        <v>1000020680</v>
      </c>
      <c r="B865" s="23" t="s">
        <v>893</v>
      </c>
      <c r="C865" s="24" t="s">
        <v>4</v>
      </c>
      <c r="D865" s="23" t="s">
        <v>2090</v>
      </c>
      <c r="E865" s="23">
        <v>2202.91</v>
      </c>
      <c r="F865" s="23">
        <v>7</v>
      </c>
      <c r="G865" s="23">
        <v>7</v>
      </c>
      <c r="H865" s="23">
        <v>0</v>
      </c>
      <c r="I865" s="23" t="s">
        <v>5</v>
      </c>
      <c r="J865" s="23" t="s">
        <v>327</v>
      </c>
    </row>
    <row r="866" spans="1:10" s="20" customFormat="1" ht="12" x14ac:dyDescent="0.25">
      <c r="A866" s="22">
        <v>2500008131</v>
      </c>
      <c r="B866" s="23" t="s">
        <v>3135</v>
      </c>
      <c r="C866" s="24" t="s">
        <v>1996</v>
      </c>
      <c r="D866" s="23" t="s">
        <v>2025</v>
      </c>
      <c r="E866" s="23">
        <v>2198.4375</v>
      </c>
      <c r="F866" s="23">
        <v>7</v>
      </c>
      <c r="G866" s="23">
        <v>7</v>
      </c>
      <c r="H866" s="23">
        <v>0</v>
      </c>
      <c r="I866" s="23" t="s">
        <v>5</v>
      </c>
      <c r="J866" s="23" t="s">
        <v>1993</v>
      </c>
    </row>
    <row r="867" spans="1:10" s="20" customFormat="1" ht="12" x14ac:dyDescent="0.25">
      <c r="A867" s="22">
        <v>1000102212</v>
      </c>
      <c r="B867" s="23" t="s">
        <v>1772</v>
      </c>
      <c r="C867" s="24" t="s">
        <v>4</v>
      </c>
      <c r="D867" s="23" t="s">
        <v>2090</v>
      </c>
      <c r="E867" s="23">
        <v>2190.8200000000002</v>
      </c>
      <c r="F867" s="23">
        <v>2</v>
      </c>
      <c r="G867" s="23">
        <v>2</v>
      </c>
      <c r="H867" s="23">
        <v>0</v>
      </c>
      <c r="I867" s="23" t="s">
        <v>5</v>
      </c>
      <c r="J867" s="23" t="s">
        <v>327</v>
      </c>
    </row>
    <row r="868" spans="1:10" s="20" customFormat="1" ht="12" x14ac:dyDescent="0.25">
      <c r="A868" s="22">
        <v>1000097295</v>
      </c>
      <c r="B868" s="23" t="s">
        <v>3137</v>
      </c>
      <c r="C868" s="24" t="s">
        <v>4</v>
      </c>
      <c r="D868" s="23" t="s">
        <v>2161</v>
      </c>
      <c r="E868" s="23">
        <v>2187</v>
      </c>
      <c r="F868" s="23">
        <v>2</v>
      </c>
      <c r="G868" s="23">
        <v>2</v>
      </c>
      <c r="H868" s="23">
        <v>0</v>
      </c>
      <c r="I868" s="23" t="s">
        <v>5</v>
      </c>
      <c r="J868" s="23" t="s">
        <v>111</v>
      </c>
    </row>
    <row r="869" spans="1:10" s="20" customFormat="1" ht="12" x14ac:dyDescent="0.25">
      <c r="A869" s="22">
        <v>1000021248</v>
      </c>
      <c r="B869" s="23" t="s">
        <v>1393</v>
      </c>
      <c r="C869" s="24" t="s">
        <v>4</v>
      </c>
      <c r="D869" s="23" t="s">
        <v>2090</v>
      </c>
      <c r="E869" s="23">
        <v>2186.4499999999998</v>
      </c>
      <c r="F869" s="23">
        <v>5</v>
      </c>
      <c r="G869" s="23">
        <v>5</v>
      </c>
      <c r="H869" s="23">
        <v>0</v>
      </c>
      <c r="I869" s="23" t="s">
        <v>5</v>
      </c>
      <c r="J869" s="23" t="s">
        <v>327</v>
      </c>
    </row>
    <row r="870" spans="1:10" s="20" customFormat="1" ht="12" x14ac:dyDescent="0.25">
      <c r="A870" s="22">
        <v>1000020709</v>
      </c>
      <c r="B870" s="23" t="s">
        <v>918</v>
      </c>
      <c r="C870" s="24" t="s">
        <v>4</v>
      </c>
      <c r="D870" s="23" t="s">
        <v>2090</v>
      </c>
      <c r="E870" s="23">
        <v>2186.28666666666</v>
      </c>
      <c r="F870" s="23">
        <v>10</v>
      </c>
      <c r="G870" s="23">
        <v>10</v>
      </c>
      <c r="H870" s="23">
        <v>0</v>
      </c>
      <c r="I870" s="23" t="s">
        <v>5</v>
      </c>
      <c r="J870" s="23" t="s">
        <v>327</v>
      </c>
    </row>
    <row r="871" spans="1:10" s="20" customFormat="1" ht="12" x14ac:dyDescent="0.25">
      <c r="A871" s="22">
        <v>1000020836</v>
      </c>
      <c r="B871" s="23" t="s">
        <v>1030</v>
      </c>
      <c r="C871" s="24" t="s">
        <v>4</v>
      </c>
      <c r="D871" s="23" t="s">
        <v>2090</v>
      </c>
      <c r="E871" s="23">
        <v>2179.5509999999999</v>
      </c>
      <c r="F871" s="23">
        <v>22</v>
      </c>
      <c r="G871" s="23">
        <v>22</v>
      </c>
      <c r="H871" s="23">
        <v>0</v>
      </c>
      <c r="I871" s="23" t="s">
        <v>5</v>
      </c>
      <c r="J871" s="23" t="s">
        <v>327</v>
      </c>
    </row>
    <row r="872" spans="1:10" s="20" customFormat="1" ht="12" x14ac:dyDescent="0.25">
      <c r="A872" s="22">
        <v>1000100321</v>
      </c>
      <c r="B872" s="23" t="s">
        <v>3138</v>
      </c>
      <c r="C872" s="24" t="s">
        <v>4</v>
      </c>
      <c r="D872" s="23" t="s">
        <v>2090</v>
      </c>
      <c r="E872" s="23">
        <v>2179.4428571428498</v>
      </c>
      <c r="F872" s="23">
        <v>1</v>
      </c>
      <c r="G872" s="23">
        <v>1</v>
      </c>
      <c r="H872" s="23">
        <v>0</v>
      </c>
      <c r="I872" s="23" t="s">
        <v>5</v>
      </c>
      <c r="J872" s="23" t="s">
        <v>327</v>
      </c>
    </row>
    <row r="873" spans="1:10" s="20" customFormat="1" ht="12" x14ac:dyDescent="0.25">
      <c r="A873" s="22">
        <v>1000093784</v>
      </c>
      <c r="B873" s="23" t="s">
        <v>3139</v>
      </c>
      <c r="C873" s="24" t="s">
        <v>4</v>
      </c>
      <c r="D873" s="23" t="s">
        <v>2090</v>
      </c>
      <c r="E873" s="23">
        <v>2171.0065185185099</v>
      </c>
      <c r="F873" s="23">
        <v>106</v>
      </c>
      <c r="G873" s="23">
        <v>106</v>
      </c>
      <c r="H873" s="23">
        <v>0</v>
      </c>
      <c r="I873" s="23" t="s">
        <v>5</v>
      </c>
      <c r="J873" s="23" t="s">
        <v>327</v>
      </c>
    </row>
    <row r="874" spans="1:10" s="20" customFormat="1" ht="12" x14ac:dyDescent="0.25">
      <c r="A874" s="22">
        <v>1000020742</v>
      </c>
      <c r="B874" s="23" t="s">
        <v>950</v>
      </c>
      <c r="C874" s="24" t="s">
        <v>4</v>
      </c>
      <c r="D874" s="23" t="s">
        <v>2090</v>
      </c>
      <c r="E874" s="23">
        <v>2165.15</v>
      </c>
      <c r="F874" s="23">
        <v>5</v>
      </c>
      <c r="G874" s="23">
        <v>5</v>
      </c>
      <c r="H874" s="23">
        <v>0</v>
      </c>
      <c r="I874" s="23" t="s">
        <v>5</v>
      </c>
      <c r="J874" s="23" t="s">
        <v>327</v>
      </c>
    </row>
    <row r="875" spans="1:10" s="20" customFormat="1" ht="12" x14ac:dyDescent="0.25">
      <c r="A875" s="22">
        <v>1000020583</v>
      </c>
      <c r="B875" s="23" t="s">
        <v>799</v>
      </c>
      <c r="C875" s="24" t="s">
        <v>4</v>
      </c>
      <c r="D875" s="23" t="s">
        <v>2090</v>
      </c>
      <c r="E875" s="23">
        <v>2165</v>
      </c>
      <c r="F875" s="23">
        <v>50</v>
      </c>
      <c r="G875" s="23">
        <v>50</v>
      </c>
      <c r="H875" s="23">
        <v>0</v>
      </c>
      <c r="I875" s="23" t="s">
        <v>5</v>
      </c>
      <c r="J875" s="23" t="s">
        <v>327</v>
      </c>
    </row>
    <row r="876" spans="1:10" s="20" customFormat="1" ht="12" x14ac:dyDescent="0.25">
      <c r="A876" s="22">
        <v>1000020674</v>
      </c>
      <c r="B876" s="23" t="s">
        <v>887</v>
      </c>
      <c r="C876" s="24" t="s">
        <v>4</v>
      </c>
      <c r="D876" s="23" t="s">
        <v>2090</v>
      </c>
      <c r="E876" s="23">
        <v>2154.0725806451601</v>
      </c>
      <c r="F876" s="23">
        <v>50</v>
      </c>
      <c r="G876" s="23">
        <v>50</v>
      </c>
      <c r="H876" s="23">
        <v>0</v>
      </c>
      <c r="I876" s="23" t="s">
        <v>5</v>
      </c>
      <c r="J876" s="23" t="s">
        <v>327</v>
      </c>
    </row>
    <row r="877" spans="1:10" s="20" customFormat="1" ht="12" x14ac:dyDescent="0.25">
      <c r="A877" s="22">
        <v>1000010245</v>
      </c>
      <c r="B877" s="23" t="s">
        <v>3142</v>
      </c>
      <c r="C877" s="24" t="s">
        <v>4</v>
      </c>
      <c r="D877" s="23" t="s">
        <v>2230</v>
      </c>
      <c r="E877" s="23">
        <v>2153.5724</v>
      </c>
      <c r="F877" s="23">
        <v>1</v>
      </c>
      <c r="G877" s="23">
        <v>1</v>
      </c>
      <c r="H877" s="23">
        <v>0</v>
      </c>
      <c r="I877" s="23" t="s">
        <v>5</v>
      </c>
      <c r="J877" s="23" t="s">
        <v>111</v>
      </c>
    </row>
    <row r="878" spans="1:10" s="20" customFormat="1" ht="12" x14ac:dyDescent="0.25">
      <c r="A878" s="22">
        <v>1000021257</v>
      </c>
      <c r="B878" s="23" t="s">
        <v>1402</v>
      </c>
      <c r="C878" s="24" t="s">
        <v>4</v>
      </c>
      <c r="D878" s="23" t="s">
        <v>2090</v>
      </c>
      <c r="E878" s="23">
        <v>2150.4299999999998</v>
      </c>
      <c r="F878" s="23">
        <v>3</v>
      </c>
      <c r="G878" s="23">
        <v>3</v>
      </c>
      <c r="H878" s="23">
        <v>0</v>
      </c>
      <c r="I878" s="23" t="s">
        <v>5</v>
      </c>
      <c r="J878" s="23" t="s">
        <v>327</v>
      </c>
    </row>
    <row r="879" spans="1:10" s="20" customFormat="1" ht="12" x14ac:dyDescent="0.25">
      <c r="A879" s="22">
        <v>1000096963</v>
      </c>
      <c r="B879" s="23" t="s">
        <v>3143</v>
      </c>
      <c r="C879" s="24" t="s">
        <v>4</v>
      </c>
      <c r="D879" s="23" t="s">
        <v>2161</v>
      </c>
      <c r="E879" s="23">
        <v>2150.0700000000002</v>
      </c>
      <c r="F879" s="23">
        <v>12</v>
      </c>
      <c r="G879" s="23">
        <v>12</v>
      </c>
      <c r="H879" s="23">
        <v>0</v>
      </c>
      <c r="I879" s="23" t="s">
        <v>5</v>
      </c>
      <c r="J879" s="23" t="s">
        <v>111</v>
      </c>
    </row>
    <row r="880" spans="1:10" s="20" customFormat="1" ht="12" x14ac:dyDescent="0.25">
      <c r="A880" s="22">
        <v>1000020855</v>
      </c>
      <c r="B880" s="23" t="s">
        <v>1045</v>
      </c>
      <c r="C880" s="24" t="s">
        <v>4</v>
      </c>
      <c r="D880" s="23" t="s">
        <v>2090</v>
      </c>
      <c r="E880" s="23">
        <v>2141.5765151515102</v>
      </c>
      <c r="F880" s="23">
        <v>7</v>
      </c>
      <c r="G880" s="23">
        <v>7</v>
      </c>
      <c r="H880" s="23">
        <v>0</v>
      </c>
      <c r="I880" s="23" t="s">
        <v>5</v>
      </c>
      <c r="J880" s="23" t="s">
        <v>327</v>
      </c>
    </row>
    <row r="881" spans="1:10" s="20" customFormat="1" ht="12" x14ac:dyDescent="0.25">
      <c r="A881" s="22">
        <v>1000103211</v>
      </c>
      <c r="B881" s="23" t="s">
        <v>1818</v>
      </c>
      <c r="C881" s="24" t="s">
        <v>4</v>
      </c>
      <c r="D881" s="23" t="s">
        <v>2090</v>
      </c>
      <c r="E881" s="23">
        <v>2136.64</v>
      </c>
      <c r="F881" s="23">
        <v>19</v>
      </c>
      <c r="G881" s="23">
        <v>19</v>
      </c>
      <c r="H881" s="23">
        <v>0</v>
      </c>
      <c r="I881" s="23" t="s">
        <v>5</v>
      </c>
      <c r="J881" s="23" t="s">
        <v>327</v>
      </c>
    </row>
    <row r="882" spans="1:10" s="20" customFormat="1" ht="12" x14ac:dyDescent="0.25">
      <c r="A882" s="22">
        <v>1000021479</v>
      </c>
      <c r="B882" s="23" t="s">
        <v>1493</v>
      </c>
      <c r="C882" s="24" t="s">
        <v>4</v>
      </c>
      <c r="D882" s="23" t="s">
        <v>2090</v>
      </c>
      <c r="E882" s="23">
        <v>2133.5120000000002</v>
      </c>
      <c r="F882" s="23">
        <v>2</v>
      </c>
      <c r="G882" s="23">
        <v>2</v>
      </c>
      <c r="H882" s="23">
        <v>0</v>
      </c>
      <c r="I882" s="23" t="s">
        <v>5</v>
      </c>
      <c r="J882" s="23" t="s">
        <v>327</v>
      </c>
    </row>
    <row r="883" spans="1:10" s="20" customFormat="1" ht="12" x14ac:dyDescent="0.25">
      <c r="A883" s="22">
        <v>1000020733</v>
      </c>
      <c r="B883" s="23" t="s">
        <v>941</v>
      </c>
      <c r="C883" s="24" t="s">
        <v>4</v>
      </c>
      <c r="D883" s="23" t="s">
        <v>2090</v>
      </c>
      <c r="E883" s="23">
        <v>2129.9630000000002</v>
      </c>
      <c r="F883" s="23">
        <v>11</v>
      </c>
      <c r="G883" s="23">
        <v>11</v>
      </c>
      <c r="H883" s="23">
        <v>0</v>
      </c>
      <c r="I883" s="23" t="s">
        <v>5</v>
      </c>
      <c r="J883" s="23" t="s">
        <v>327</v>
      </c>
    </row>
    <row r="884" spans="1:10" s="20" customFormat="1" ht="12" x14ac:dyDescent="0.25">
      <c r="A884" s="22">
        <v>1000020039</v>
      </c>
      <c r="B884" s="23" t="s">
        <v>3150</v>
      </c>
      <c r="C884" s="24" t="s">
        <v>4</v>
      </c>
      <c r="D884" s="23" t="s">
        <v>2090</v>
      </c>
      <c r="E884" s="23">
        <v>2121.25</v>
      </c>
      <c r="F884" s="23">
        <v>6</v>
      </c>
      <c r="G884" s="23">
        <v>6</v>
      </c>
      <c r="H884" s="23">
        <v>0</v>
      </c>
      <c r="I884" s="23" t="s">
        <v>5</v>
      </c>
      <c r="J884" s="23" t="s">
        <v>327</v>
      </c>
    </row>
    <row r="885" spans="1:10" s="20" customFormat="1" ht="12" x14ac:dyDescent="0.25">
      <c r="A885" s="22">
        <v>1000021009</v>
      </c>
      <c r="B885" s="23" t="s">
        <v>1181</v>
      </c>
      <c r="C885" s="24" t="s">
        <v>4</v>
      </c>
      <c r="D885" s="23" t="s">
        <v>2090</v>
      </c>
      <c r="E885" s="23">
        <v>2120.0033139858901</v>
      </c>
      <c r="F885" s="23">
        <v>4</v>
      </c>
      <c r="G885" s="23">
        <v>4</v>
      </c>
      <c r="H885" s="23">
        <v>0</v>
      </c>
      <c r="I885" s="23" t="s">
        <v>5</v>
      </c>
      <c r="J885" s="23" t="s">
        <v>327</v>
      </c>
    </row>
    <row r="886" spans="1:10" s="20" customFormat="1" ht="12" x14ac:dyDescent="0.25">
      <c r="A886" s="22">
        <v>1000098706</v>
      </c>
      <c r="B886" s="23" t="s">
        <v>334</v>
      </c>
      <c r="C886" s="24" t="s">
        <v>4</v>
      </c>
      <c r="D886" s="23" t="s">
        <v>2090</v>
      </c>
      <c r="E886" s="23">
        <v>2111.61</v>
      </c>
      <c r="F886" s="23">
        <v>4</v>
      </c>
      <c r="G886" s="23">
        <v>4</v>
      </c>
      <c r="H886" s="23">
        <v>0</v>
      </c>
      <c r="I886" s="23" t="s">
        <v>5</v>
      </c>
      <c r="J886" s="23" t="s">
        <v>327</v>
      </c>
    </row>
    <row r="887" spans="1:10" s="20" customFormat="1" ht="12" x14ac:dyDescent="0.25">
      <c r="A887" s="22">
        <v>1000099258</v>
      </c>
      <c r="B887" s="23" t="s">
        <v>3152</v>
      </c>
      <c r="C887" s="24" t="s">
        <v>4</v>
      </c>
      <c r="D887" s="23" t="s">
        <v>2090</v>
      </c>
      <c r="E887" s="23">
        <v>2106</v>
      </c>
      <c r="F887" s="23">
        <v>2</v>
      </c>
      <c r="G887" s="23">
        <v>2</v>
      </c>
      <c r="H887" s="23">
        <v>0</v>
      </c>
      <c r="I887" s="23" t="s">
        <v>5</v>
      </c>
      <c r="J887" s="23" t="s">
        <v>327</v>
      </c>
    </row>
    <row r="888" spans="1:10" s="20" customFormat="1" ht="12" x14ac:dyDescent="0.25">
      <c r="A888" s="22">
        <v>2500008597</v>
      </c>
      <c r="B888" s="23" t="s">
        <v>1941</v>
      </c>
      <c r="C888" s="24" t="s">
        <v>1996</v>
      </c>
      <c r="D888" s="23" t="s">
        <v>2025</v>
      </c>
      <c r="E888" s="23">
        <v>2106</v>
      </c>
      <c r="F888" s="23">
        <v>3</v>
      </c>
      <c r="G888" s="23">
        <v>3</v>
      </c>
      <c r="H888" s="23">
        <v>0</v>
      </c>
      <c r="I888" s="23" t="s">
        <v>5</v>
      </c>
      <c r="J888" s="23" t="s">
        <v>1993</v>
      </c>
    </row>
    <row r="889" spans="1:10" s="20" customFormat="1" ht="12" x14ac:dyDescent="0.25">
      <c r="A889" s="22">
        <v>1000020523</v>
      </c>
      <c r="B889" s="23" t="s">
        <v>745</v>
      </c>
      <c r="C889" s="24" t="s">
        <v>4</v>
      </c>
      <c r="D889" s="23" t="s">
        <v>2090</v>
      </c>
      <c r="E889" s="23">
        <v>2105.34176470588</v>
      </c>
      <c r="F889" s="23">
        <v>11</v>
      </c>
      <c r="G889" s="23">
        <v>11</v>
      </c>
      <c r="H889" s="23">
        <v>0</v>
      </c>
      <c r="I889" s="23" t="s">
        <v>5</v>
      </c>
      <c r="J889" s="23" t="s">
        <v>327</v>
      </c>
    </row>
    <row r="890" spans="1:10" s="20" customFormat="1" ht="12" x14ac:dyDescent="0.25">
      <c r="A890" s="22">
        <v>1000020850</v>
      </c>
      <c r="B890" s="23" t="s">
        <v>1042</v>
      </c>
      <c r="C890" s="24" t="s">
        <v>4</v>
      </c>
      <c r="D890" s="23" t="s">
        <v>2090</v>
      </c>
      <c r="E890" s="23">
        <v>2105.3062891774798</v>
      </c>
      <c r="F890" s="23">
        <v>12</v>
      </c>
      <c r="G890" s="23">
        <v>12</v>
      </c>
      <c r="H890" s="23">
        <v>0</v>
      </c>
      <c r="I890" s="23" t="s">
        <v>5</v>
      </c>
      <c r="J890" s="23" t="s">
        <v>327</v>
      </c>
    </row>
    <row r="891" spans="1:10" s="20" customFormat="1" ht="12" x14ac:dyDescent="0.25">
      <c r="A891" s="22">
        <v>1000021205</v>
      </c>
      <c r="B891" s="23" t="s">
        <v>1351</v>
      </c>
      <c r="C891" s="24" t="s">
        <v>4</v>
      </c>
      <c r="D891" s="23" t="s">
        <v>2090</v>
      </c>
      <c r="E891" s="23">
        <v>2104.1999999999998</v>
      </c>
      <c r="F891" s="23">
        <v>18</v>
      </c>
      <c r="G891" s="23">
        <v>18</v>
      </c>
      <c r="H891" s="23">
        <v>0</v>
      </c>
      <c r="I891" s="23" t="s">
        <v>5</v>
      </c>
      <c r="J891" s="23" t="s">
        <v>327</v>
      </c>
    </row>
    <row r="892" spans="1:10" s="20" customFormat="1" ht="12" x14ac:dyDescent="0.25">
      <c r="A892" s="22">
        <v>1000021016</v>
      </c>
      <c r="B892" s="23" t="s">
        <v>1188</v>
      </c>
      <c r="C892" s="24" t="s">
        <v>4</v>
      </c>
      <c r="D892" s="23" t="s">
        <v>2090</v>
      </c>
      <c r="E892" s="23">
        <v>2098.9241666666599</v>
      </c>
      <c r="F892" s="23">
        <v>9</v>
      </c>
      <c r="G892" s="23">
        <v>9</v>
      </c>
      <c r="H892" s="23">
        <v>0</v>
      </c>
      <c r="I892" s="23" t="s">
        <v>5</v>
      </c>
      <c r="J892" s="23" t="s">
        <v>327</v>
      </c>
    </row>
    <row r="893" spans="1:10" s="20" customFormat="1" ht="12" x14ac:dyDescent="0.25">
      <c r="A893" s="22">
        <v>1000106063</v>
      </c>
      <c r="B893" s="23" t="s">
        <v>3154</v>
      </c>
      <c r="C893" s="24" t="s">
        <v>4</v>
      </c>
      <c r="D893" s="23" t="s">
        <v>2161</v>
      </c>
      <c r="E893" s="23">
        <v>2096.1</v>
      </c>
      <c r="F893" s="23">
        <v>2</v>
      </c>
      <c r="G893" s="23">
        <v>2</v>
      </c>
      <c r="H893" s="23">
        <v>0</v>
      </c>
      <c r="I893" s="23" t="s">
        <v>5</v>
      </c>
      <c r="J893" s="23" t="s">
        <v>111</v>
      </c>
    </row>
    <row r="894" spans="1:10" s="20" customFormat="1" ht="12" x14ac:dyDescent="0.25">
      <c r="A894" s="22">
        <v>1000106071</v>
      </c>
      <c r="B894" s="23" t="s">
        <v>3155</v>
      </c>
      <c r="C894" s="24" t="s">
        <v>4</v>
      </c>
      <c r="D894" s="23" t="s">
        <v>2161</v>
      </c>
      <c r="E894" s="23">
        <v>2096.1</v>
      </c>
      <c r="F894" s="23">
        <v>2</v>
      </c>
      <c r="G894" s="23">
        <v>2</v>
      </c>
      <c r="H894" s="23">
        <v>0</v>
      </c>
      <c r="I894" s="23" t="s">
        <v>5</v>
      </c>
      <c r="J894" s="23" t="s">
        <v>111</v>
      </c>
    </row>
    <row r="895" spans="1:10" s="20" customFormat="1" ht="12" x14ac:dyDescent="0.25">
      <c r="A895" s="22">
        <v>1000020471</v>
      </c>
      <c r="B895" s="23" t="s">
        <v>697</v>
      </c>
      <c r="C895" s="24" t="s">
        <v>4</v>
      </c>
      <c r="D895" s="23" t="s">
        <v>2090</v>
      </c>
      <c r="E895" s="23">
        <v>2088.5606382978699</v>
      </c>
      <c r="F895" s="23">
        <v>92</v>
      </c>
      <c r="G895" s="23">
        <v>92</v>
      </c>
      <c r="H895" s="23">
        <v>0</v>
      </c>
      <c r="I895" s="23" t="s">
        <v>5</v>
      </c>
      <c r="J895" s="23" t="s">
        <v>327</v>
      </c>
    </row>
    <row r="896" spans="1:10" s="20" customFormat="1" ht="12" x14ac:dyDescent="0.25">
      <c r="A896" s="22">
        <v>1000098700</v>
      </c>
      <c r="B896" s="23" t="s">
        <v>1651</v>
      </c>
      <c r="C896" s="24" t="s">
        <v>4</v>
      </c>
      <c r="D896" s="23" t="s">
        <v>2090</v>
      </c>
      <c r="E896" s="23">
        <v>2085.1950000000002</v>
      </c>
      <c r="F896" s="23">
        <v>12</v>
      </c>
      <c r="G896" s="23">
        <v>12</v>
      </c>
      <c r="H896" s="23">
        <v>0</v>
      </c>
      <c r="I896" s="23" t="s">
        <v>5</v>
      </c>
      <c r="J896" s="23" t="s">
        <v>327</v>
      </c>
    </row>
    <row r="897" spans="1:10" s="20" customFormat="1" ht="12" x14ac:dyDescent="0.25">
      <c r="A897" s="22">
        <v>1000020764</v>
      </c>
      <c r="B897" s="23" t="s">
        <v>968</v>
      </c>
      <c r="C897" s="24" t="s">
        <v>4</v>
      </c>
      <c r="D897" s="23" t="s">
        <v>2090</v>
      </c>
      <c r="E897" s="23">
        <v>2085.0149999999999</v>
      </c>
      <c r="F897" s="23">
        <v>25</v>
      </c>
      <c r="G897" s="23">
        <v>25</v>
      </c>
      <c r="H897" s="23">
        <v>0</v>
      </c>
      <c r="I897" s="23" t="s">
        <v>5</v>
      </c>
      <c r="J897" s="23" t="s">
        <v>327</v>
      </c>
    </row>
    <row r="898" spans="1:10" s="20" customFormat="1" ht="12" x14ac:dyDescent="0.25">
      <c r="A898" s="22">
        <v>2500003026</v>
      </c>
      <c r="B898" s="23" t="s">
        <v>3157</v>
      </c>
      <c r="C898" s="24" t="s">
        <v>1996</v>
      </c>
      <c r="D898" s="23" t="s">
        <v>2025</v>
      </c>
      <c r="E898" s="23">
        <v>2082.9560631909899</v>
      </c>
      <c r="F898" s="23">
        <v>4</v>
      </c>
      <c r="G898" s="23">
        <v>4</v>
      </c>
      <c r="H898" s="23">
        <v>0</v>
      </c>
      <c r="I898" s="23" t="s">
        <v>5</v>
      </c>
      <c r="J898" s="23" t="s">
        <v>1993</v>
      </c>
    </row>
    <row r="899" spans="1:10" s="20" customFormat="1" ht="12" x14ac:dyDescent="0.25">
      <c r="A899" s="22">
        <v>2500008201</v>
      </c>
      <c r="B899" s="23" t="s">
        <v>3159</v>
      </c>
      <c r="C899" s="24" t="s">
        <v>1996</v>
      </c>
      <c r="D899" s="23" t="s">
        <v>2025</v>
      </c>
      <c r="E899" s="23">
        <v>2077.5</v>
      </c>
      <c r="F899" s="23">
        <v>2</v>
      </c>
      <c r="G899" s="23">
        <v>2</v>
      </c>
      <c r="H899" s="23">
        <v>0</v>
      </c>
      <c r="I899" s="23" t="s">
        <v>5</v>
      </c>
      <c r="J899" s="23" t="s">
        <v>1993</v>
      </c>
    </row>
    <row r="900" spans="1:10" s="20" customFormat="1" ht="12" x14ac:dyDescent="0.25">
      <c r="A900" s="22">
        <v>1000021191</v>
      </c>
      <c r="B900" s="23" t="s">
        <v>1338</v>
      </c>
      <c r="C900" s="24" t="s">
        <v>4</v>
      </c>
      <c r="D900" s="23" t="s">
        <v>2090</v>
      </c>
      <c r="E900" s="23">
        <v>2076.8159999999998</v>
      </c>
      <c r="F900" s="23">
        <v>4</v>
      </c>
      <c r="G900" s="23">
        <v>4</v>
      </c>
      <c r="H900" s="23">
        <v>0</v>
      </c>
      <c r="I900" s="23" t="s">
        <v>5</v>
      </c>
      <c r="J900" s="23" t="s">
        <v>327</v>
      </c>
    </row>
    <row r="901" spans="1:10" s="20" customFormat="1" ht="12" x14ac:dyDescent="0.25">
      <c r="A901" s="22">
        <v>2500008185</v>
      </c>
      <c r="B901" s="23" t="s">
        <v>3160</v>
      </c>
      <c r="C901" s="24" t="s">
        <v>1996</v>
      </c>
      <c r="D901" s="23" t="s">
        <v>2025</v>
      </c>
      <c r="E901" s="23">
        <v>2073.0016009599999</v>
      </c>
      <c r="F901" s="23">
        <v>4</v>
      </c>
      <c r="G901" s="23">
        <v>4</v>
      </c>
      <c r="H901" s="23">
        <v>0</v>
      </c>
      <c r="I901" s="23" t="s">
        <v>5</v>
      </c>
      <c r="J901" s="23" t="s">
        <v>1993</v>
      </c>
    </row>
    <row r="902" spans="1:10" s="20" customFormat="1" ht="12" x14ac:dyDescent="0.25">
      <c r="A902" s="22">
        <v>1000020424</v>
      </c>
      <c r="B902" s="23" t="s">
        <v>652</v>
      </c>
      <c r="C902" s="24" t="s">
        <v>4</v>
      </c>
      <c r="D902" s="23" t="s">
        <v>2090</v>
      </c>
      <c r="E902" s="23">
        <v>2071.1</v>
      </c>
      <c r="F902" s="23">
        <v>278</v>
      </c>
      <c r="G902" s="23">
        <v>278</v>
      </c>
      <c r="H902" s="23">
        <v>0</v>
      </c>
      <c r="I902" s="23" t="s">
        <v>5</v>
      </c>
      <c r="J902" s="23" t="s">
        <v>327</v>
      </c>
    </row>
    <row r="903" spans="1:10" s="20" customFormat="1" ht="12" x14ac:dyDescent="0.25">
      <c r="A903" s="22">
        <v>1000021153</v>
      </c>
      <c r="B903" s="23" t="s">
        <v>1302</v>
      </c>
      <c r="C903" s="24" t="s">
        <v>4</v>
      </c>
      <c r="D903" s="23" t="s">
        <v>2090</v>
      </c>
      <c r="E903" s="23">
        <v>2061.04</v>
      </c>
      <c r="F903" s="23">
        <v>8</v>
      </c>
      <c r="G903" s="23">
        <v>8</v>
      </c>
      <c r="H903" s="23">
        <v>0</v>
      </c>
      <c r="I903" s="23" t="s">
        <v>5</v>
      </c>
      <c r="J903" s="23" t="s">
        <v>327</v>
      </c>
    </row>
    <row r="904" spans="1:10" s="20" customFormat="1" ht="12" x14ac:dyDescent="0.25">
      <c r="A904" s="22">
        <v>1000104146</v>
      </c>
      <c r="B904" s="23" t="s">
        <v>3162</v>
      </c>
      <c r="C904" s="24" t="s">
        <v>4</v>
      </c>
      <c r="D904" s="23" t="s">
        <v>2161</v>
      </c>
      <c r="E904" s="23">
        <v>2055</v>
      </c>
      <c r="F904" s="23">
        <v>2</v>
      </c>
      <c r="G904" s="23">
        <v>2</v>
      </c>
      <c r="H904" s="23">
        <v>0</v>
      </c>
      <c r="I904" s="23" t="s">
        <v>5</v>
      </c>
      <c r="J904" s="23" t="s">
        <v>111</v>
      </c>
    </row>
    <row r="905" spans="1:10" s="20" customFormat="1" ht="12" x14ac:dyDescent="0.25">
      <c r="A905" s="22">
        <v>1000021243</v>
      </c>
      <c r="B905" s="23" t="s">
        <v>1388</v>
      </c>
      <c r="C905" s="24" t="s">
        <v>4</v>
      </c>
      <c r="D905" s="23" t="s">
        <v>2090</v>
      </c>
      <c r="E905" s="23">
        <v>2049.2550000000001</v>
      </c>
      <c r="F905" s="23">
        <v>5</v>
      </c>
      <c r="G905" s="23">
        <v>5</v>
      </c>
      <c r="H905" s="23">
        <v>0</v>
      </c>
      <c r="I905" s="23" t="s">
        <v>5</v>
      </c>
      <c r="J905" s="23" t="s">
        <v>327</v>
      </c>
    </row>
    <row r="906" spans="1:10" s="20" customFormat="1" ht="12" x14ac:dyDescent="0.25">
      <c r="A906" s="22">
        <v>1000020878</v>
      </c>
      <c r="B906" s="23" t="s">
        <v>1062</v>
      </c>
      <c r="C906" s="24" t="s">
        <v>4</v>
      </c>
      <c r="D906" s="23" t="s">
        <v>2090</v>
      </c>
      <c r="E906" s="23">
        <v>2042.44</v>
      </c>
      <c r="F906" s="23">
        <v>2</v>
      </c>
      <c r="G906" s="23">
        <v>2</v>
      </c>
      <c r="H906" s="23">
        <v>0</v>
      </c>
      <c r="I906" s="23" t="s">
        <v>5</v>
      </c>
      <c r="J906" s="23" t="s">
        <v>327</v>
      </c>
    </row>
    <row r="907" spans="1:10" s="20" customFormat="1" ht="12" x14ac:dyDescent="0.25">
      <c r="A907" s="22">
        <v>1000021037</v>
      </c>
      <c r="B907" s="23" t="s">
        <v>1208</v>
      </c>
      <c r="C907" s="24" t="s">
        <v>4</v>
      </c>
      <c r="D907" s="23" t="s">
        <v>2090</v>
      </c>
      <c r="E907" s="23">
        <v>2039.5975000000001</v>
      </c>
      <c r="F907" s="23">
        <v>25</v>
      </c>
      <c r="G907" s="23">
        <v>25</v>
      </c>
      <c r="H907" s="23">
        <v>0</v>
      </c>
      <c r="I907" s="23" t="s">
        <v>5</v>
      </c>
      <c r="J907" s="23" t="s">
        <v>327</v>
      </c>
    </row>
    <row r="908" spans="1:10" s="20" customFormat="1" ht="12" x14ac:dyDescent="0.25">
      <c r="A908" s="22">
        <v>1000103066</v>
      </c>
      <c r="B908" s="23" t="s">
        <v>3164</v>
      </c>
      <c r="C908" s="24" t="s">
        <v>4</v>
      </c>
      <c r="D908" s="23" t="s">
        <v>2090</v>
      </c>
      <c r="E908" s="23">
        <v>2038.4829388297801</v>
      </c>
      <c r="F908" s="23">
        <v>77</v>
      </c>
      <c r="G908" s="23">
        <v>77</v>
      </c>
      <c r="H908" s="23">
        <v>0</v>
      </c>
      <c r="I908" s="23" t="s">
        <v>5</v>
      </c>
      <c r="J908" s="23" t="s">
        <v>327</v>
      </c>
    </row>
    <row r="909" spans="1:10" s="20" customFormat="1" ht="12" x14ac:dyDescent="0.25">
      <c r="A909" s="22">
        <v>1000098709</v>
      </c>
      <c r="B909" s="23" t="s">
        <v>1657</v>
      </c>
      <c r="C909" s="24" t="s">
        <v>4</v>
      </c>
      <c r="D909" s="23" t="s">
        <v>2090</v>
      </c>
      <c r="E909" s="23">
        <v>2035.36</v>
      </c>
      <c r="F909" s="23">
        <v>2</v>
      </c>
      <c r="G909" s="23">
        <v>2</v>
      </c>
      <c r="H909" s="23">
        <v>0</v>
      </c>
      <c r="I909" s="23" t="s">
        <v>5</v>
      </c>
      <c r="J909" s="23" t="s">
        <v>327</v>
      </c>
    </row>
    <row r="910" spans="1:10" s="20" customFormat="1" ht="12" x14ac:dyDescent="0.25">
      <c r="A910" s="22">
        <v>1000021162</v>
      </c>
      <c r="B910" s="23" t="s">
        <v>1310</v>
      </c>
      <c r="C910" s="24" t="s">
        <v>4</v>
      </c>
      <c r="D910" s="23" t="s">
        <v>2090</v>
      </c>
      <c r="E910" s="23">
        <v>2030.37</v>
      </c>
      <c r="F910" s="23">
        <v>3</v>
      </c>
      <c r="G910" s="23">
        <v>3</v>
      </c>
      <c r="H910" s="23">
        <v>0</v>
      </c>
      <c r="I910" s="23" t="s">
        <v>5</v>
      </c>
      <c r="J910" s="23" t="s">
        <v>327</v>
      </c>
    </row>
    <row r="911" spans="1:10" s="20" customFormat="1" ht="12" x14ac:dyDescent="0.25">
      <c r="A911" s="22">
        <v>2500008860</v>
      </c>
      <c r="B911" s="23" t="s">
        <v>3168</v>
      </c>
      <c r="C911" s="24" t="s">
        <v>1996</v>
      </c>
      <c r="D911" s="23" t="s">
        <v>2875</v>
      </c>
      <c r="E911" s="23">
        <v>2028.6</v>
      </c>
      <c r="F911" s="23">
        <v>110</v>
      </c>
      <c r="G911" s="23">
        <v>110</v>
      </c>
      <c r="H911" s="23">
        <v>0</v>
      </c>
      <c r="I911" s="23" t="s">
        <v>5</v>
      </c>
      <c r="J911" s="23" t="s">
        <v>1993</v>
      </c>
    </row>
    <row r="912" spans="1:10" s="20" customFormat="1" ht="12" x14ac:dyDescent="0.25">
      <c r="A912" s="22">
        <v>1000020725</v>
      </c>
      <c r="B912" s="23" t="s">
        <v>933</v>
      </c>
      <c r="C912" s="24" t="s">
        <v>4</v>
      </c>
      <c r="D912" s="23" t="s">
        <v>2090</v>
      </c>
      <c r="E912" s="23">
        <v>2028.2504109588999</v>
      </c>
      <c r="F912" s="23">
        <v>10</v>
      </c>
      <c r="G912" s="23">
        <v>4</v>
      </c>
      <c r="H912" s="23">
        <v>6</v>
      </c>
      <c r="I912" s="23" t="s">
        <v>71</v>
      </c>
      <c r="J912" s="23" t="s">
        <v>327</v>
      </c>
    </row>
    <row r="913" spans="1:10" s="20" customFormat="1" ht="12" x14ac:dyDescent="0.25">
      <c r="A913" s="22">
        <v>2500004253</v>
      </c>
      <c r="B913" s="23" t="s">
        <v>1902</v>
      </c>
      <c r="C913" s="24" t="s">
        <v>1996</v>
      </c>
      <c r="D913" s="23" t="s">
        <v>2025</v>
      </c>
      <c r="E913" s="23">
        <v>2024.1985714285699</v>
      </c>
      <c r="F913" s="23">
        <v>3</v>
      </c>
      <c r="G913" s="23">
        <v>3</v>
      </c>
      <c r="H913" s="23">
        <v>0</v>
      </c>
      <c r="I913" s="23" t="s">
        <v>5</v>
      </c>
      <c r="J913" s="23" t="s">
        <v>1993</v>
      </c>
    </row>
    <row r="914" spans="1:10" s="20" customFormat="1" ht="12" x14ac:dyDescent="0.25">
      <c r="A914" s="22">
        <v>1000021318</v>
      </c>
      <c r="B914" s="23" t="s">
        <v>1450</v>
      </c>
      <c r="C914" s="24" t="s">
        <v>4</v>
      </c>
      <c r="D914" s="23" t="s">
        <v>2090</v>
      </c>
      <c r="E914" s="23">
        <v>2022.88</v>
      </c>
      <c r="F914" s="23">
        <v>4</v>
      </c>
      <c r="G914" s="23">
        <v>4</v>
      </c>
      <c r="H914" s="23">
        <v>0</v>
      </c>
      <c r="I914" s="23" t="s">
        <v>5</v>
      </c>
      <c r="J914" s="23" t="s">
        <v>327</v>
      </c>
    </row>
    <row r="915" spans="1:10" s="20" customFormat="1" ht="12" x14ac:dyDescent="0.25">
      <c r="A915" s="22">
        <v>1000020443</v>
      </c>
      <c r="B915" s="23" t="s">
        <v>670</v>
      </c>
      <c r="C915" s="24" t="s">
        <v>4</v>
      </c>
      <c r="D915" s="23" t="s">
        <v>2090</v>
      </c>
      <c r="E915" s="23">
        <v>2022.2218740092101</v>
      </c>
      <c r="F915" s="23">
        <v>157</v>
      </c>
      <c r="G915" s="23">
        <v>157</v>
      </c>
      <c r="H915" s="23">
        <v>0</v>
      </c>
      <c r="I915" s="23" t="s">
        <v>5</v>
      </c>
      <c r="J915" s="23" t="s">
        <v>327</v>
      </c>
    </row>
    <row r="916" spans="1:10" s="20" customFormat="1" ht="12" x14ac:dyDescent="0.25">
      <c r="A916" s="22">
        <v>1000021058</v>
      </c>
      <c r="B916" s="23" t="s">
        <v>1223</v>
      </c>
      <c r="C916" s="24" t="s">
        <v>4</v>
      </c>
      <c r="D916" s="23" t="s">
        <v>2090</v>
      </c>
      <c r="E916" s="23">
        <v>2017.5</v>
      </c>
      <c r="F916" s="23">
        <v>3</v>
      </c>
      <c r="G916" s="23">
        <v>3</v>
      </c>
      <c r="H916" s="23">
        <v>0</v>
      </c>
      <c r="I916" s="23" t="s">
        <v>5</v>
      </c>
      <c r="J916" s="23" t="s">
        <v>327</v>
      </c>
    </row>
    <row r="917" spans="1:10" s="20" customFormat="1" ht="12" x14ac:dyDescent="0.25">
      <c r="A917" s="22">
        <v>1000103785</v>
      </c>
      <c r="B917" s="23" t="s">
        <v>3173</v>
      </c>
      <c r="C917" s="24" t="s">
        <v>4</v>
      </c>
      <c r="D917" s="23" t="s">
        <v>2161</v>
      </c>
      <c r="E917" s="23">
        <v>2014.9753846153801</v>
      </c>
      <c r="F917" s="23">
        <v>11</v>
      </c>
      <c r="G917" s="23">
        <v>11</v>
      </c>
      <c r="H917" s="23">
        <v>0</v>
      </c>
      <c r="I917" s="23" t="s">
        <v>5</v>
      </c>
      <c r="J917" s="23" t="s">
        <v>111</v>
      </c>
    </row>
    <row r="918" spans="1:10" s="20" customFormat="1" ht="12" x14ac:dyDescent="0.25">
      <c r="A918" s="22">
        <v>2100005160</v>
      </c>
      <c r="B918" s="23" t="s">
        <v>3175</v>
      </c>
      <c r="C918" s="24" t="s">
        <v>2030</v>
      </c>
      <c r="D918" s="23" t="s">
        <v>2075</v>
      </c>
      <c r="E918" s="23">
        <v>2004.75</v>
      </c>
      <c r="F918" s="23">
        <v>2</v>
      </c>
      <c r="G918" s="23">
        <v>2</v>
      </c>
      <c r="H918" s="23">
        <v>0</v>
      </c>
      <c r="I918" s="23" t="s">
        <v>5</v>
      </c>
      <c r="J918" s="23" t="s">
        <v>138</v>
      </c>
    </row>
    <row r="919" spans="1:10" s="20" customFormat="1" ht="12" x14ac:dyDescent="0.25">
      <c r="A919" s="22">
        <v>1000101872</v>
      </c>
      <c r="B919" s="23" t="s">
        <v>1756</v>
      </c>
      <c r="C919" s="24" t="s">
        <v>4</v>
      </c>
      <c r="D919" s="23" t="s">
        <v>2090</v>
      </c>
      <c r="E919" s="23">
        <v>2000.18</v>
      </c>
      <c r="F919" s="23">
        <v>11</v>
      </c>
      <c r="G919" s="23">
        <v>11</v>
      </c>
      <c r="H919" s="23">
        <v>0</v>
      </c>
      <c r="I919" s="23" t="s">
        <v>5</v>
      </c>
      <c r="J919" s="23" t="s">
        <v>327</v>
      </c>
    </row>
    <row r="920" spans="1:10" s="20" customFormat="1" ht="12" x14ac:dyDescent="0.25">
      <c r="A920" s="22">
        <v>2500008573</v>
      </c>
      <c r="B920" s="23" t="s">
        <v>3176</v>
      </c>
      <c r="C920" s="24" t="s">
        <v>1996</v>
      </c>
      <c r="D920" s="23" t="s">
        <v>2117</v>
      </c>
      <c r="E920" s="23">
        <v>1996.875</v>
      </c>
      <c r="F920" s="23">
        <v>3</v>
      </c>
      <c r="G920" s="23">
        <v>3</v>
      </c>
      <c r="H920" s="23">
        <v>0</v>
      </c>
      <c r="I920" s="23" t="s">
        <v>5</v>
      </c>
      <c r="J920" s="23" t="s">
        <v>1993</v>
      </c>
    </row>
    <row r="921" spans="1:10" s="20" customFormat="1" ht="12" x14ac:dyDescent="0.25">
      <c r="A921" s="22">
        <v>1000103144</v>
      </c>
      <c r="B921" s="23" t="s">
        <v>3177</v>
      </c>
      <c r="C921" s="24" t="s">
        <v>4</v>
      </c>
      <c r="D921" s="23" t="s">
        <v>2090</v>
      </c>
      <c r="E921" s="23">
        <v>1974.6</v>
      </c>
      <c r="F921" s="23">
        <v>8</v>
      </c>
      <c r="G921" s="23">
        <v>8</v>
      </c>
      <c r="H921" s="23">
        <v>0</v>
      </c>
      <c r="I921" s="23" t="s">
        <v>5</v>
      </c>
      <c r="J921" s="23" t="s">
        <v>327</v>
      </c>
    </row>
    <row r="922" spans="1:10" s="20" customFormat="1" ht="12" x14ac:dyDescent="0.25">
      <c r="A922" s="22">
        <v>1000091497</v>
      </c>
      <c r="B922" s="23" t="s">
        <v>3178</v>
      </c>
      <c r="C922" s="24" t="s">
        <v>2257</v>
      </c>
      <c r="D922" s="23" t="s">
        <v>2399</v>
      </c>
      <c r="E922" s="23">
        <v>1973.78904292372</v>
      </c>
      <c r="F922" s="23">
        <v>19</v>
      </c>
      <c r="G922" s="23">
        <v>19</v>
      </c>
      <c r="H922" s="23">
        <v>0</v>
      </c>
      <c r="I922" s="23" t="s">
        <v>5</v>
      </c>
      <c r="J922" s="23" t="s">
        <v>6</v>
      </c>
    </row>
    <row r="923" spans="1:10" s="20" customFormat="1" ht="12" x14ac:dyDescent="0.25">
      <c r="A923" s="22">
        <v>1000098465</v>
      </c>
      <c r="B923" s="23" t="s">
        <v>1540</v>
      </c>
      <c r="C923" s="24" t="s">
        <v>4</v>
      </c>
      <c r="D923" s="23" t="s">
        <v>2090</v>
      </c>
      <c r="E923" s="23">
        <v>1967.79</v>
      </c>
      <c r="F923" s="23">
        <v>5</v>
      </c>
      <c r="G923" s="23">
        <v>5</v>
      </c>
      <c r="H923" s="23">
        <v>0</v>
      </c>
      <c r="I923" s="23" t="s">
        <v>5</v>
      </c>
      <c r="J923" s="23" t="s">
        <v>327</v>
      </c>
    </row>
    <row r="924" spans="1:10" s="20" customFormat="1" ht="12" x14ac:dyDescent="0.25">
      <c r="A924" s="22">
        <v>1000020188</v>
      </c>
      <c r="B924" s="23" t="s">
        <v>430</v>
      </c>
      <c r="C924" s="24" t="s">
        <v>4</v>
      </c>
      <c r="D924" s="23" t="s">
        <v>2090</v>
      </c>
      <c r="E924" s="23">
        <v>1962.75</v>
      </c>
      <c r="F924" s="23">
        <v>5</v>
      </c>
      <c r="G924" s="23">
        <v>5</v>
      </c>
      <c r="H924" s="23">
        <v>0</v>
      </c>
      <c r="I924" s="23" t="s">
        <v>5</v>
      </c>
      <c r="J924" s="23" t="s">
        <v>327</v>
      </c>
    </row>
    <row r="925" spans="1:10" s="20" customFormat="1" ht="12" x14ac:dyDescent="0.25">
      <c r="A925" s="22">
        <v>1000098086</v>
      </c>
      <c r="B925" s="23" t="s">
        <v>3181</v>
      </c>
      <c r="C925" s="24" t="s">
        <v>4</v>
      </c>
      <c r="D925" s="23" t="s">
        <v>2161</v>
      </c>
      <c r="E925" s="23">
        <v>1962.1283066666599</v>
      </c>
      <c r="F925" s="23">
        <v>2</v>
      </c>
      <c r="G925" s="23">
        <v>2</v>
      </c>
      <c r="H925" s="23">
        <v>0</v>
      </c>
      <c r="I925" s="23" t="s">
        <v>5</v>
      </c>
      <c r="J925" s="23" t="s">
        <v>111</v>
      </c>
    </row>
    <row r="926" spans="1:10" s="20" customFormat="1" ht="12" x14ac:dyDescent="0.25">
      <c r="A926" s="22">
        <v>1000021239</v>
      </c>
      <c r="B926" s="23" t="s">
        <v>1384</v>
      </c>
      <c r="C926" s="24" t="s">
        <v>4</v>
      </c>
      <c r="D926" s="23" t="s">
        <v>2090</v>
      </c>
      <c r="E926" s="23">
        <v>1958.04</v>
      </c>
      <c r="F926" s="23">
        <v>6</v>
      </c>
      <c r="G926" s="23">
        <v>6</v>
      </c>
      <c r="H926" s="23">
        <v>0</v>
      </c>
      <c r="I926" s="23" t="s">
        <v>5</v>
      </c>
      <c r="J926" s="23" t="s">
        <v>327</v>
      </c>
    </row>
    <row r="927" spans="1:10" s="20" customFormat="1" ht="12" x14ac:dyDescent="0.25">
      <c r="A927" s="22">
        <v>1000010164</v>
      </c>
      <c r="B927" s="23" t="s">
        <v>3182</v>
      </c>
      <c r="C927" s="24" t="s">
        <v>4</v>
      </c>
      <c r="D927" s="23" t="s">
        <v>2161</v>
      </c>
      <c r="E927" s="23">
        <v>1951.5509999999999</v>
      </c>
      <c r="F927" s="23">
        <v>9</v>
      </c>
      <c r="G927" s="23">
        <v>9</v>
      </c>
      <c r="H927" s="23">
        <v>0</v>
      </c>
      <c r="I927" s="23" t="s">
        <v>5</v>
      </c>
      <c r="J927" s="23" t="s">
        <v>111</v>
      </c>
    </row>
    <row r="928" spans="1:10" s="20" customFormat="1" ht="12" x14ac:dyDescent="0.25">
      <c r="A928" s="22">
        <v>2500009328</v>
      </c>
      <c r="B928" s="23" t="s">
        <v>3183</v>
      </c>
      <c r="C928" s="24" t="s">
        <v>1996</v>
      </c>
      <c r="D928" s="23" t="s">
        <v>2289</v>
      </c>
      <c r="E928" s="23">
        <v>1950</v>
      </c>
      <c r="F928" s="23">
        <v>10</v>
      </c>
      <c r="G928" s="23">
        <v>10</v>
      </c>
      <c r="H928" s="23">
        <v>0</v>
      </c>
      <c r="I928" s="23" t="s">
        <v>5</v>
      </c>
      <c r="J928" s="23" t="s">
        <v>1993</v>
      </c>
    </row>
    <row r="929" spans="1:10" s="20" customFormat="1" ht="12" x14ac:dyDescent="0.25">
      <c r="A929" s="22">
        <v>1000020607</v>
      </c>
      <c r="B929" s="23" t="s">
        <v>823</v>
      </c>
      <c r="C929" s="24" t="s">
        <v>4</v>
      </c>
      <c r="D929" s="23" t="s">
        <v>2090</v>
      </c>
      <c r="E929" s="23">
        <v>1944.05</v>
      </c>
      <c r="F929" s="23">
        <v>54</v>
      </c>
      <c r="G929" s="23">
        <v>54</v>
      </c>
      <c r="H929" s="23">
        <v>0</v>
      </c>
      <c r="I929" s="23" t="s">
        <v>5</v>
      </c>
      <c r="J929" s="23" t="s">
        <v>327</v>
      </c>
    </row>
    <row r="930" spans="1:10" s="20" customFormat="1" ht="12" x14ac:dyDescent="0.25">
      <c r="A930" s="22">
        <v>1000020490</v>
      </c>
      <c r="B930" s="23" t="s">
        <v>715</v>
      </c>
      <c r="C930" s="24" t="s">
        <v>4</v>
      </c>
      <c r="D930" s="23" t="s">
        <v>2090</v>
      </c>
      <c r="E930" s="23">
        <v>1943.5229411764701</v>
      </c>
      <c r="F930" s="23">
        <v>83</v>
      </c>
      <c r="G930" s="23">
        <v>83</v>
      </c>
      <c r="H930" s="23">
        <v>0</v>
      </c>
      <c r="I930" s="23" t="s">
        <v>5</v>
      </c>
      <c r="J930" s="23" t="s">
        <v>327</v>
      </c>
    </row>
    <row r="931" spans="1:10" s="20" customFormat="1" ht="12" x14ac:dyDescent="0.25">
      <c r="A931" s="22">
        <v>1000020578</v>
      </c>
      <c r="B931" s="23" t="s">
        <v>795</v>
      </c>
      <c r="C931" s="24" t="s">
        <v>4</v>
      </c>
      <c r="D931" s="23" t="s">
        <v>2090</v>
      </c>
      <c r="E931" s="23">
        <v>1936.84</v>
      </c>
      <c r="F931" s="23">
        <v>4</v>
      </c>
      <c r="G931" s="23">
        <v>4</v>
      </c>
      <c r="H931" s="23">
        <v>0</v>
      </c>
      <c r="I931" s="23" t="s">
        <v>5</v>
      </c>
      <c r="J931" s="23" t="s">
        <v>327</v>
      </c>
    </row>
    <row r="932" spans="1:10" s="20" customFormat="1" ht="12" x14ac:dyDescent="0.25">
      <c r="A932" s="22">
        <v>2500008240</v>
      </c>
      <c r="B932" s="23" t="s">
        <v>3190</v>
      </c>
      <c r="C932" s="24" t="s">
        <v>1996</v>
      </c>
      <c r="D932" s="23" t="s">
        <v>2025</v>
      </c>
      <c r="E932" s="23">
        <v>1931.7</v>
      </c>
      <c r="F932" s="23">
        <v>1</v>
      </c>
      <c r="G932" s="23">
        <v>1</v>
      </c>
      <c r="H932" s="23">
        <v>0</v>
      </c>
      <c r="I932" s="23" t="s">
        <v>5</v>
      </c>
      <c r="J932" s="23" t="s">
        <v>1993</v>
      </c>
    </row>
    <row r="933" spans="1:10" s="20" customFormat="1" ht="12" x14ac:dyDescent="0.25">
      <c r="A933" s="22">
        <v>2500008452</v>
      </c>
      <c r="B933" s="23" t="s">
        <v>3191</v>
      </c>
      <c r="C933" s="24" t="s">
        <v>1996</v>
      </c>
      <c r="D933" s="23" t="s">
        <v>2025</v>
      </c>
      <c r="E933" s="23">
        <v>1927.35172923294</v>
      </c>
      <c r="F933" s="23">
        <v>11</v>
      </c>
      <c r="G933" s="23">
        <v>11</v>
      </c>
      <c r="H933" s="23">
        <v>0</v>
      </c>
      <c r="I933" s="23" t="s">
        <v>5</v>
      </c>
      <c r="J933" s="23" t="s">
        <v>1993</v>
      </c>
    </row>
    <row r="934" spans="1:10" s="20" customFormat="1" ht="12" x14ac:dyDescent="0.25">
      <c r="A934" s="22">
        <v>2500008894</v>
      </c>
      <c r="B934" s="23" t="s">
        <v>3192</v>
      </c>
      <c r="C934" s="24" t="s">
        <v>1996</v>
      </c>
      <c r="D934" s="23" t="s">
        <v>2875</v>
      </c>
      <c r="E934" s="23">
        <v>1918.8</v>
      </c>
      <c r="F934" s="23">
        <v>104</v>
      </c>
      <c r="G934" s="23">
        <v>104</v>
      </c>
      <c r="H934" s="23">
        <v>0</v>
      </c>
      <c r="I934" s="23" t="s">
        <v>5</v>
      </c>
      <c r="J934" s="23" t="s">
        <v>1993</v>
      </c>
    </row>
    <row r="935" spans="1:10" s="20" customFormat="1" ht="12" x14ac:dyDescent="0.25">
      <c r="A935" s="22">
        <v>1000021017</v>
      </c>
      <c r="B935" s="23" t="s">
        <v>1189</v>
      </c>
      <c r="C935" s="24" t="s">
        <v>4</v>
      </c>
      <c r="D935" s="23" t="s">
        <v>2090</v>
      </c>
      <c r="E935" s="23">
        <v>1913.56</v>
      </c>
      <c r="F935" s="23">
        <v>4</v>
      </c>
      <c r="G935" s="23">
        <v>4</v>
      </c>
      <c r="H935" s="23">
        <v>0</v>
      </c>
      <c r="I935" s="23" t="s">
        <v>5</v>
      </c>
      <c r="J935" s="23" t="s">
        <v>327</v>
      </c>
    </row>
    <row r="936" spans="1:10" s="20" customFormat="1" ht="12" x14ac:dyDescent="0.25">
      <c r="A936" s="22">
        <v>1000021281</v>
      </c>
      <c r="B936" s="23" t="s">
        <v>1418</v>
      </c>
      <c r="C936" s="24" t="s">
        <v>4</v>
      </c>
      <c r="D936" s="23" t="s">
        <v>2090</v>
      </c>
      <c r="E936" s="23">
        <v>1909.768</v>
      </c>
      <c r="F936" s="23">
        <v>24</v>
      </c>
      <c r="G936" s="23">
        <v>24</v>
      </c>
      <c r="H936" s="23">
        <v>0</v>
      </c>
      <c r="I936" s="23" t="s">
        <v>5</v>
      </c>
      <c r="J936" s="23" t="s">
        <v>327</v>
      </c>
    </row>
    <row r="937" spans="1:10" s="20" customFormat="1" ht="12" x14ac:dyDescent="0.25">
      <c r="A937" s="22">
        <v>2500008243</v>
      </c>
      <c r="B937" s="23" t="s">
        <v>1923</v>
      </c>
      <c r="C937" s="24" t="s">
        <v>1996</v>
      </c>
      <c r="D937" s="23" t="s">
        <v>2643</v>
      </c>
      <c r="E937" s="23">
        <v>1905</v>
      </c>
      <c r="F937" s="23">
        <v>2</v>
      </c>
      <c r="G937" s="23">
        <v>2</v>
      </c>
      <c r="H937" s="23">
        <v>0</v>
      </c>
      <c r="I937" s="23" t="s">
        <v>5</v>
      </c>
      <c r="J937" s="23" t="s">
        <v>1993</v>
      </c>
    </row>
    <row r="938" spans="1:10" s="20" customFormat="1" ht="12" x14ac:dyDescent="0.25">
      <c r="A938" s="22">
        <v>1000100756</v>
      </c>
      <c r="B938" s="23" t="s">
        <v>3194</v>
      </c>
      <c r="C938" s="24" t="s">
        <v>4</v>
      </c>
      <c r="D938" s="23" t="s">
        <v>2056</v>
      </c>
      <c r="E938" s="23">
        <v>1903.6849999999999</v>
      </c>
      <c r="F938" s="23">
        <v>7</v>
      </c>
      <c r="G938" s="23">
        <v>7</v>
      </c>
      <c r="H938" s="23">
        <v>0</v>
      </c>
      <c r="I938" s="23" t="s">
        <v>5</v>
      </c>
      <c r="J938" s="23" t="s">
        <v>1844</v>
      </c>
    </row>
    <row r="939" spans="1:10" s="20" customFormat="1" ht="12" x14ac:dyDescent="0.25">
      <c r="A939" s="22">
        <v>2500008353</v>
      </c>
      <c r="B939" s="23" t="s">
        <v>3195</v>
      </c>
      <c r="C939" s="24" t="s">
        <v>1996</v>
      </c>
      <c r="D939" s="23" t="s">
        <v>2025</v>
      </c>
      <c r="E939" s="23">
        <v>1897.4800002474999</v>
      </c>
      <c r="F939" s="23">
        <v>2</v>
      </c>
      <c r="G939" s="23">
        <v>2</v>
      </c>
      <c r="H939" s="23">
        <v>0</v>
      </c>
      <c r="I939" s="23" t="s">
        <v>5</v>
      </c>
      <c r="J939" s="23" t="s">
        <v>1993</v>
      </c>
    </row>
    <row r="940" spans="1:10" s="20" customFormat="1" ht="12" x14ac:dyDescent="0.25">
      <c r="A940" s="22">
        <v>1000020720</v>
      </c>
      <c r="B940" s="23" t="s">
        <v>928</v>
      </c>
      <c r="C940" s="24" t="s">
        <v>4</v>
      </c>
      <c r="D940" s="23" t="s">
        <v>2090</v>
      </c>
      <c r="E940" s="23">
        <v>1894.3273638344201</v>
      </c>
      <c r="F940" s="23">
        <v>12</v>
      </c>
      <c r="G940" s="23">
        <v>12</v>
      </c>
      <c r="H940" s="23">
        <v>0</v>
      </c>
      <c r="I940" s="23" t="s">
        <v>5</v>
      </c>
      <c r="J940" s="23" t="s">
        <v>327</v>
      </c>
    </row>
    <row r="941" spans="1:10" s="20" customFormat="1" ht="12" x14ac:dyDescent="0.25">
      <c r="A941" s="22">
        <v>1000107343</v>
      </c>
      <c r="B941" s="23" t="s">
        <v>134</v>
      </c>
      <c r="C941" s="24" t="s">
        <v>4</v>
      </c>
      <c r="D941" s="23" t="s">
        <v>2161</v>
      </c>
      <c r="E941" s="23">
        <v>1892.13673289434</v>
      </c>
      <c r="F941" s="23">
        <v>16</v>
      </c>
      <c r="G941" s="23">
        <v>16</v>
      </c>
      <c r="H941" s="23">
        <v>0</v>
      </c>
      <c r="I941" s="23" t="s">
        <v>5</v>
      </c>
      <c r="J941" s="23" t="s">
        <v>111</v>
      </c>
    </row>
    <row r="942" spans="1:10" s="20" customFormat="1" ht="12" x14ac:dyDescent="0.25">
      <c r="A942" s="22">
        <v>1000106075</v>
      </c>
      <c r="B942" s="23" t="s">
        <v>3196</v>
      </c>
      <c r="C942" s="24" t="s">
        <v>4</v>
      </c>
      <c r="D942" s="23" t="s">
        <v>2161</v>
      </c>
      <c r="E942" s="23">
        <v>1890.6</v>
      </c>
      <c r="F942" s="23">
        <v>2</v>
      </c>
      <c r="G942" s="23">
        <v>2</v>
      </c>
      <c r="H942" s="23">
        <v>0</v>
      </c>
      <c r="I942" s="23" t="s">
        <v>5</v>
      </c>
      <c r="J942" s="23" t="s">
        <v>111</v>
      </c>
    </row>
    <row r="943" spans="1:10" s="20" customFormat="1" ht="12" x14ac:dyDescent="0.25">
      <c r="A943" s="22">
        <v>1000020938</v>
      </c>
      <c r="B943" s="23" t="s">
        <v>1117</v>
      </c>
      <c r="C943" s="24" t="s">
        <v>4</v>
      </c>
      <c r="D943" s="23" t="s">
        <v>2090</v>
      </c>
      <c r="E943" s="23">
        <v>1889.16</v>
      </c>
      <c r="F943" s="23">
        <v>6</v>
      </c>
      <c r="G943" s="23">
        <v>6</v>
      </c>
      <c r="H943" s="23">
        <v>0</v>
      </c>
      <c r="I943" s="23" t="s">
        <v>5</v>
      </c>
      <c r="J943" s="23" t="s">
        <v>327</v>
      </c>
    </row>
    <row r="944" spans="1:10" s="20" customFormat="1" ht="12" x14ac:dyDescent="0.25">
      <c r="A944" s="22">
        <v>1000020639</v>
      </c>
      <c r="B944" s="23" t="s">
        <v>854</v>
      </c>
      <c r="C944" s="24" t="s">
        <v>4</v>
      </c>
      <c r="D944" s="23" t="s">
        <v>2090</v>
      </c>
      <c r="E944" s="23">
        <v>1888.4595585096599</v>
      </c>
      <c r="F944" s="23">
        <v>111</v>
      </c>
      <c r="G944" s="23">
        <v>111</v>
      </c>
      <c r="H944" s="23">
        <v>0</v>
      </c>
      <c r="I944" s="23" t="s">
        <v>5</v>
      </c>
      <c r="J944" s="23" t="s">
        <v>327</v>
      </c>
    </row>
    <row r="945" spans="1:10" s="20" customFormat="1" ht="12" x14ac:dyDescent="0.25">
      <c r="A945" s="22">
        <v>1000020941</v>
      </c>
      <c r="B945" s="23" t="s">
        <v>1120</v>
      </c>
      <c r="C945" s="24" t="s">
        <v>4</v>
      </c>
      <c r="D945" s="23" t="s">
        <v>2090</v>
      </c>
      <c r="E945" s="23">
        <v>1886.76</v>
      </c>
      <c r="F945" s="23">
        <v>4</v>
      </c>
      <c r="G945" s="23">
        <v>4</v>
      </c>
      <c r="H945" s="23">
        <v>0</v>
      </c>
      <c r="I945" s="23" t="s">
        <v>5</v>
      </c>
      <c r="J945" s="23" t="s">
        <v>327</v>
      </c>
    </row>
    <row r="946" spans="1:10" s="20" customFormat="1" ht="12" x14ac:dyDescent="0.25">
      <c r="A946" s="22">
        <v>2500001767</v>
      </c>
      <c r="B946" s="23" t="s">
        <v>3197</v>
      </c>
      <c r="C946" s="24" t="s">
        <v>1996</v>
      </c>
      <c r="D946" s="23" t="s">
        <v>2025</v>
      </c>
      <c r="E946" s="23">
        <v>1882.96</v>
      </c>
      <c r="F946" s="23">
        <v>3</v>
      </c>
      <c r="G946" s="23">
        <v>3</v>
      </c>
      <c r="H946" s="23">
        <v>0</v>
      </c>
      <c r="I946" s="23" t="s">
        <v>5</v>
      </c>
      <c r="J946" s="23" t="s">
        <v>1993</v>
      </c>
    </row>
    <row r="947" spans="1:10" s="20" customFormat="1" ht="12" x14ac:dyDescent="0.25">
      <c r="A947" s="22">
        <v>2500001778</v>
      </c>
      <c r="B947" s="23" t="s">
        <v>3198</v>
      </c>
      <c r="C947" s="24" t="s">
        <v>1996</v>
      </c>
      <c r="D947" s="23" t="s">
        <v>2025</v>
      </c>
      <c r="E947" s="23">
        <v>1881.0875000000001</v>
      </c>
      <c r="F947" s="23">
        <v>2</v>
      </c>
      <c r="G947" s="23">
        <v>1</v>
      </c>
      <c r="H947" s="23">
        <v>1</v>
      </c>
      <c r="I947" s="23" t="s">
        <v>1994</v>
      </c>
      <c r="J947" s="23" t="s">
        <v>1993</v>
      </c>
    </row>
    <row r="948" spans="1:10" s="20" customFormat="1" ht="12" x14ac:dyDescent="0.25">
      <c r="A948" s="22">
        <v>1000094849</v>
      </c>
      <c r="B948" s="23" t="s">
        <v>3199</v>
      </c>
      <c r="C948" s="24" t="s">
        <v>4</v>
      </c>
      <c r="D948" s="23" t="s">
        <v>2056</v>
      </c>
      <c r="E948" s="23">
        <v>1880.32</v>
      </c>
      <c r="F948" s="23">
        <v>50</v>
      </c>
      <c r="G948" s="23">
        <v>50</v>
      </c>
      <c r="H948" s="23">
        <v>0</v>
      </c>
      <c r="I948" s="23" t="s">
        <v>5</v>
      </c>
      <c r="J948" s="23" t="s">
        <v>1844</v>
      </c>
    </row>
    <row r="949" spans="1:10" s="20" customFormat="1" ht="12" x14ac:dyDescent="0.25">
      <c r="A949" s="22">
        <v>1000021292</v>
      </c>
      <c r="B949" s="23" t="s">
        <v>1428</v>
      </c>
      <c r="C949" s="24" t="s">
        <v>4</v>
      </c>
      <c r="D949" s="23" t="s">
        <v>2090</v>
      </c>
      <c r="E949" s="23">
        <v>1879.68</v>
      </c>
      <c r="F949" s="23">
        <v>4</v>
      </c>
      <c r="G949" s="23">
        <v>4</v>
      </c>
      <c r="H949" s="23">
        <v>0</v>
      </c>
      <c r="I949" s="23" t="s">
        <v>5</v>
      </c>
      <c r="J949" s="23" t="s">
        <v>327</v>
      </c>
    </row>
    <row r="950" spans="1:10" s="20" customFormat="1" ht="12" x14ac:dyDescent="0.25">
      <c r="A950" s="22">
        <v>1000096643</v>
      </c>
      <c r="B950" s="23" t="s">
        <v>3201</v>
      </c>
      <c r="C950" s="24" t="s">
        <v>4</v>
      </c>
      <c r="D950" s="23" t="s">
        <v>2090</v>
      </c>
      <c r="E950" s="23">
        <v>1871.54</v>
      </c>
      <c r="F950" s="23">
        <v>1</v>
      </c>
      <c r="G950" s="23">
        <v>1</v>
      </c>
      <c r="H950" s="23">
        <v>0</v>
      </c>
      <c r="I950" s="23" t="s">
        <v>5</v>
      </c>
      <c r="J950" s="23" t="s">
        <v>327</v>
      </c>
    </row>
    <row r="951" spans="1:10" s="20" customFormat="1" ht="12" x14ac:dyDescent="0.25">
      <c r="A951" s="22">
        <v>1000020575</v>
      </c>
      <c r="B951" s="23" t="s">
        <v>792</v>
      </c>
      <c r="C951" s="24" t="s">
        <v>4</v>
      </c>
      <c r="D951" s="23" t="s">
        <v>2090</v>
      </c>
      <c r="E951" s="23">
        <v>1863.1092857142801</v>
      </c>
      <c r="F951" s="23">
        <v>5</v>
      </c>
      <c r="G951" s="23">
        <v>5</v>
      </c>
      <c r="H951" s="23">
        <v>0</v>
      </c>
      <c r="I951" s="23" t="s">
        <v>5</v>
      </c>
      <c r="J951" s="23" t="s">
        <v>327</v>
      </c>
    </row>
    <row r="952" spans="1:10" s="20" customFormat="1" ht="12" x14ac:dyDescent="0.25">
      <c r="A952" s="22">
        <v>1000098599</v>
      </c>
      <c r="B952" s="23" t="s">
        <v>1604</v>
      </c>
      <c r="C952" s="24" t="s">
        <v>4</v>
      </c>
      <c r="D952" s="23" t="s">
        <v>2090</v>
      </c>
      <c r="E952" s="23">
        <v>1861.2375</v>
      </c>
      <c r="F952" s="23">
        <v>15</v>
      </c>
      <c r="G952" s="23">
        <v>15</v>
      </c>
      <c r="H952" s="23">
        <v>0</v>
      </c>
      <c r="I952" s="23" t="s">
        <v>5</v>
      </c>
      <c r="J952" s="23" t="s">
        <v>327</v>
      </c>
    </row>
    <row r="953" spans="1:10" s="20" customFormat="1" ht="12" x14ac:dyDescent="0.25">
      <c r="A953" s="22">
        <v>2500008140</v>
      </c>
      <c r="B953" s="23" t="s">
        <v>3202</v>
      </c>
      <c r="C953" s="24" t="s">
        <v>1996</v>
      </c>
      <c r="D953" s="23" t="s">
        <v>2025</v>
      </c>
      <c r="E953" s="23">
        <v>1860.9255000000001</v>
      </c>
      <c r="F953" s="23">
        <v>4</v>
      </c>
      <c r="G953" s="23">
        <v>4</v>
      </c>
      <c r="H953" s="23">
        <v>0</v>
      </c>
      <c r="I953" s="23" t="s">
        <v>1995</v>
      </c>
      <c r="J953" s="23" t="s">
        <v>1993</v>
      </c>
    </row>
    <row r="954" spans="1:10" s="20" customFormat="1" ht="12" x14ac:dyDescent="0.25">
      <c r="A954" s="22">
        <v>1000020319</v>
      </c>
      <c r="B954" s="23" t="s">
        <v>553</v>
      </c>
      <c r="C954" s="24" t="s">
        <v>4</v>
      </c>
      <c r="D954" s="23" t="s">
        <v>2090</v>
      </c>
      <c r="E954" s="23">
        <v>1856.8</v>
      </c>
      <c r="F954" s="23">
        <v>10</v>
      </c>
      <c r="G954" s="23">
        <v>10</v>
      </c>
      <c r="H954" s="23">
        <v>0</v>
      </c>
      <c r="I954" s="23" t="s">
        <v>5</v>
      </c>
      <c r="J954" s="23" t="s">
        <v>327</v>
      </c>
    </row>
    <row r="955" spans="1:10" s="20" customFormat="1" ht="12" x14ac:dyDescent="0.25">
      <c r="A955" s="22">
        <v>1000097239</v>
      </c>
      <c r="B955" s="23" t="s">
        <v>3203</v>
      </c>
      <c r="C955" s="24" t="s">
        <v>4</v>
      </c>
      <c r="D955" s="23" t="s">
        <v>2090</v>
      </c>
      <c r="E955" s="23">
        <v>1854.94</v>
      </c>
      <c r="F955" s="23">
        <v>3</v>
      </c>
      <c r="G955" s="23">
        <v>3</v>
      </c>
      <c r="H955" s="23">
        <v>0</v>
      </c>
      <c r="I955" s="23" t="s">
        <v>5</v>
      </c>
      <c r="J955" s="23" t="s">
        <v>327</v>
      </c>
    </row>
    <row r="956" spans="1:10" s="20" customFormat="1" ht="12" x14ac:dyDescent="0.25">
      <c r="A956" s="22">
        <v>1000097815</v>
      </c>
      <c r="B956" s="23" t="s">
        <v>3205</v>
      </c>
      <c r="C956" s="24" t="s">
        <v>4</v>
      </c>
      <c r="D956" s="23" t="s">
        <v>2090</v>
      </c>
      <c r="E956" s="23">
        <v>1849.7625</v>
      </c>
      <c r="F956" s="23">
        <v>17</v>
      </c>
      <c r="G956" s="23">
        <v>17</v>
      </c>
      <c r="H956" s="23">
        <v>0</v>
      </c>
      <c r="I956" s="23" t="s">
        <v>5</v>
      </c>
      <c r="J956" s="23" t="s">
        <v>327</v>
      </c>
    </row>
    <row r="957" spans="1:10" s="20" customFormat="1" ht="12" x14ac:dyDescent="0.25">
      <c r="A957" s="22">
        <v>1000098690</v>
      </c>
      <c r="B957" s="23" t="s">
        <v>1643</v>
      </c>
      <c r="C957" s="24" t="s">
        <v>4</v>
      </c>
      <c r="D957" s="23" t="s">
        <v>2090</v>
      </c>
      <c r="E957" s="23">
        <v>1846.3050000000001</v>
      </c>
      <c r="F957" s="23">
        <v>16</v>
      </c>
      <c r="G957" s="23">
        <v>16</v>
      </c>
      <c r="H957" s="23">
        <v>0</v>
      </c>
      <c r="I957" s="23" t="s">
        <v>5</v>
      </c>
      <c r="J957" s="23" t="s">
        <v>327</v>
      </c>
    </row>
    <row r="958" spans="1:10" s="20" customFormat="1" ht="12" x14ac:dyDescent="0.25">
      <c r="A958" s="22">
        <v>2500008285</v>
      </c>
      <c r="B958" s="23" t="s">
        <v>3207</v>
      </c>
      <c r="C958" s="24" t="s">
        <v>1996</v>
      </c>
      <c r="D958" s="23" t="s">
        <v>2025</v>
      </c>
      <c r="E958" s="23">
        <v>1845.6666666666599</v>
      </c>
      <c r="F958" s="23">
        <v>8</v>
      </c>
      <c r="G958" s="23">
        <v>7</v>
      </c>
      <c r="H958" s="23">
        <v>1</v>
      </c>
      <c r="I958" s="23" t="s">
        <v>1995</v>
      </c>
      <c r="J958" s="23" t="s">
        <v>1993</v>
      </c>
    </row>
    <row r="959" spans="1:10" s="20" customFormat="1" ht="12" x14ac:dyDescent="0.25">
      <c r="A959" s="22">
        <v>1000020746</v>
      </c>
      <c r="B959" s="23" t="s">
        <v>953</v>
      </c>
      <c r="C959" s="24" t="s">
        <v>4</v>
      </c>
      <c r="D959" s="23" t="s">
        <v>2090</v>
      </c>
      <c r="E959" s="23">
        <v>1842.1875</v>
      </c>
      <c r="F959" s="23">
        <v>5</v>
      </c>
      <c r="G959" s="23">
        <v>6</v>
      </c>
      <c r="H959" s="23">
        <v>-1</v>
      </c>
      <c r="I959" s="23" t="s">
        <v>14</v>
      </c>
      <c r="J959" s="23" t="s">
        <v>327</v>
      </c>
    </row>
    <row r="960" spans="1:10" s="20" customFormat="1" ht="12" x14ac:dyDescent="0.25">
      <c r="A960" s="22">
        <v>1000098689</v>
      </c>
      <c r="B960" s="23" t="s">
        <v>1642</v>
      </c>
      <c r="C960" s="24" t="s">
        <v>4</v>
      </c>
      <c r="D960" s="23" t="s">
        <v>2090</v>
      </c>
      <c r="E960" s="23">
        <v>1834.91</v>
      </c>
      <c r="F960" s="23">
        <v>2</v>
      </c>
      <c r="G960" s="23">
        <v>2</v>
      </c>
      <c r="H960" s="23">
        <v>0</v>
      </c>
      <c r="I960" s="23" t="s">
        <v>5</v>
      </c>
      <c r="J960" s="23" t="s">
        <v>327</v>
      </c>
    </row>
    <row r="961" spans="1:10" s="20" customFormat="1" ht="12" x14ac:dyDescent="0.25">
      <c r="A961" s="22">
        <v>1000020452</v>
      </c>
      <c r="B961" s="23" t="s">
        <v>678</v>
      </c>
      <c r="C961" s="24" t="s">
        <v>4</v>
      </c>
      <c r="D961" s="23" t="s">
        <v>2090</v>
      </c>
      <c r="E961" s="23">
        <v>1825.69342541527</v>
      </c>
      <c r="F961" s="23">
        <v>104</v>
      </c>
      <c r="G961" s="23">
        <v>104</v>
      </c>
      <c r="H961" s="23">
        <v>0</v>
      </c>
      <c r="I961" s="23" t="s">
        <v>5</v>
      </c>
      <c r="J961" s="23" t="s">
        <v>327</v>
      </c>
    </row>
    <row r="962" spans="1:10" s="20" customFormat="1" ht="12" x14ac:dyDescent="0.25">
      <c r="A962" s="22">
        <v>1000106108</v>
      </c>
      <c r="B962" s="23" t="s">
        <v>3215</v>
      </c>
      <c r="C962" s="24" t="s">
        <v>4</v>
      </c>
      <c r="D962" s="23" t="s">
        <v>2161</v>
      </c>
      <c r="E962" s="23">
        <v>1819.51</v>
      </c>
      <c r="F962" s="23">
        <v>5</v>
      </c>
      <c r="G962" s="23">
        <v>5</v>
      </c>
      <c r="H962" s="23">
        <v>0</v>
      </c>
      <c r="I962" s="23" t="s">
        <v>5</v>
      </c>
      <c r="J962" s="23" t="s">
        <v>111</v>
      </c>
    </row>
    <row r="963" spans="1:10" s="20" customFormat="1" ht="12" x14ac:dyDescent="0.25">
      <c r="A963" s="22">
        <v>1000098646</v>
      </c>
      <c r="B963" s="23" t="s">
        <v>1623</v>
      </c>
      <c r="C963" s="24" t="s">
        <v>4</v>
      </c>
      <c r="D963" s="23" t="s">
        <v>2090</v>
      </c>
      <c r="E963" s="23">
        <v>1815.83</v>
      </c>
      <c r="F963" s="23">
        <v>2</v>
      </c>
      <c r="G963" s="23">
        <v>2</v>
      </c>
      <c r="H963" s="23">
        <v>0</v>
      </c>
      <c r="I963" s="23" t="s">
        <v>5</v>
      </c>
      <c r="J963" s="23" t="s">
        <v>327</v>
      </c>
    </row>
    <row r="964" spans="1:10" s="20" customFormat="1" ht="12" x14ac:dyDescent="0.25">
      <c r="A964" s="22">
        <v>2500008630</v>
      </c>
      <c r="B964" s="23" t="s">
        <v>3219</v>
      </c>
      <c r="C964" s="24" t="s">
        <v>1996</v>
      </c>
      <c r="D964" s="23" t="s">
        <v>2025</v>
      </c>
      <c r="E964" s="23">
        <v>1811.25</v>
      </c>
      <c r="F964" s="23">
        <v>3</v>
      </c>
      <c r="G964" s="23">
        <v>3</v>
      </c>
      <c r="H964" s="23">
        <v>0</v>
      </c>
      <c r="I964" s="23" t="s">
        <v>5</v>
      </c>
      <c r="J964" s="23" t="s">
        <v>1993</v>
      </c>
    </row>
    <row r="965" spans="1:10" s="20" customFormat="1" ht="12" x14ac:dyDescent="0.25">
      <c r="A965" s="22">
        <v>1000099142</v>
      </c>
      <c r="B965" s="23" t="s">
        <v>3220</v>
      </c>
      <c r="C965" s="24" t="s">
        <v>4</v>
      </c>
      <c r="D965" s="23" t="s">
        <v>2090</v>
      </c>
      <c r="E965" s="23">
        <v>1810.4749999999999</v>
      </c>
      <c r="F965" s="23">
        <v>2</v>
      </c>
      <c r="G965" s="23">
        <v>2</v>
      </c>
      <c r="H965" s="23">
        <v>0</v>
      </c>
      <c r="I965" s="23" t="s">
        <v>5</v>
      </c>
      <c r="J965" s="23" t="s">
        <v>327</v>
      </c>
    </row>
    <row r="966" spans="1:10" s="20" customFormat="1" ht="12" x14ac:dyDescent="0.25">
      <c r="A966" s="22">
        <v>1000101076</v>
      </c>
      <c r="B966" s="23" t="s">
        <v>3221</v>
      </c>
      <c r="C966" s="24" t="s">
        <v>4</v>
      </c>
      <c r="D966" s="23" t="s">
        <v>2056</v>
      </c>
      <c r="E966" s="23">
        <v>1810.2</v>
      </c>
      <c r="F966" s="23">
        <v>5</v>
      </c>
      <c r="G966" s="23">
        <v>5</v>
      </c>
      <c r="H966" s="23">
        <v>0</v>
      </c>
      <c r="I966" s="23" t="s">
        <v>5</v>
      </c>
      <c r="J966" s="23" t="s">
        <v>1844</v>
      </c>
    </row>
    <row r="967" spans="1:10" s="20" customFormat="1" ht="12" x14ac:dyDescent="0.25">
      <c r="A967" s="22">
        <v>1000021288</v>
      </c>
      <c r="B967" s="23" t="s">
        <v>1424</v>
      </c>
      <c r="C967" s="24" t="s">
        <v>4</v>
      </c>
      <c r="D967" s="23" t="s">
        <v>2090</v>
      </c>
      <c r="E967" s="23">
        <v>1810.1608799999999</v>
      </c>
      <c r="F967" s="23">
        <v>4</v>
      </c>
      <c r="G967" s="23">
        <v>4</v>
      </c>
      <c r="H967" s="23">
        <v>0</v>
      </c>
      <c r="I967" s="23" t="s">
        <v>5</v>
      </c>
      <c r="J967" s="23" t="s">
        <v>327</v>
      </c>
    </row>
    <row r="968" spans="1:10" s="20" customFormat="1" ht="12" x14ac:dyDescent="0.25">
      <c r="A968" s="22">
        <v>1000100312</v>
      </c>
      <c r="B968" s="23" t="s">
        <v>3222</v>
      </c>
      <c r="C968" s="24" t="s">
        <v>4</v>
      </c>
      <c r="D968" s="23" t="s">
        <v>2090</v>
      </c>
      <c r="E968" s="23">
        <v>1809.7149999999999</v>
      </c>
      <c r="F968" s="23">
        <v>1</v>
      </c>
      <c r="G968" s="23">
        <v>1</v>
      </c>
      <c r="H968" s="23">
        <v>0</v>
      </c>
      <c r="I968" s="23" t="s">
        <v>5</v>
      </c>
      <c r="J968" s="23" t="s">
        <v>327</v>
      </c>
    </row>
    <row r="969" spans="1:10" s="20" customFormat="1" ht="12" x14ac:dyDescent="0.25">
      <c r="A969" s="22">
        <v>1000021301</v>
      </c>
      <c r="B969" s="23" t="s">
        <v>1436</v>
      </c>
      <c r="C969" s="24" t="s">
        <v>4</v>
      </c>
      <c r="D969" s="23" t="s">
        <v>2090</v>
      </c>
      <c r="E969" s="23">
        <v>1809.15</v>
      </c>
      <c r="F969" s="23">
        <v>3</v>
      </c>
      <c r="G969" s="23">
        <v>3</v>
      </c>
      <c r="H969" s="23">
        <v>0</v>
      </c>
      <c r="I969" s="23" t="s">
        <v>5</v>
      </c>
      <c r="J969" s="23" t="s">
        <v>327</v>
      </c>
    </row>
    <row r="970" spans="1:10" s="20" customFormat="1" ht="12" x14ac:dyDescent="0.25">
      <c r="A970" s="22">
        <v>1000102204</v>
      </c>
      <c r="B970" s="23" t="s">
        <v>1767</v>
      </c>
      <c r="C970" s="24" t="s">
        <v>4</v>
      </c>
      <c r="D970" s="23" t="s">
        <v>2090</v>
      </c>
      <c r="E970" s="23">
        <v>1807.69</v>
      </c>
      <c r="F970" s="23">
        <v>20</v>
      </c>
      <c r="G970" s="23">
        <v>20</v>
      </c>
      <c r="H970" s="23">
        <v>0</v>
      </c>
      <c r="I970" s="23" t="s">
        <v>5</v>
      </c>
      <c r="J970" s="23" t="s">
        <v>327</v>
      </c>
    </row>
    <row r="971" spans="1:10" s="20" customFormat="1" ht="12" x14ac:dyDescent="0.25">
      <c r="A971" s="22">
        <v>1000099220</v>
      </c>
      <c r="B971" s="23" t="s">
        <v>3223</v>
      </c>
      <c r="C971" s="24" t="s">
        <v>4</v>
      </c>
      <c r="D971" s="23" t="s">
        <v>2090</v>
      </c>
      <c r="E971" s="23">
        <v>1806.83</v>
      </c>
      <c r="F971" s="23">
        <v>2</v>
      </c>
      <c r="G971" s="23">
        <v>2</v>
      </c>
      <c r="H971" s="23">
        <v>0</v>
      </c>
      <c r="I971" s="23" t="s">
        <v>5</v>
      </c>
      <c r="J971" s="23" t="s">
        <v>327</v>
      </c>
    </row>
    <row r="972" spans="1:10" s="20" customFormat="1" ht="12" x14ac:dyDescent="0.25">
      <c r="A972" s="22">
        <v>1000098875</v>
      </c>
      <c r="B972" s="23" t="s">
        <v>2181</v>
      </c>
      <c r="C972" s="24" t="s">
        <v>4</v>
      </c>
      <c r="D972" s="23" t="s">
        <v>2056</v>
      </c>
      <c r="E972" s="23">
        <v>1804.4475688616401</v>
      </c>
      <c r="F972" s="23">
        <v>108</v>
      </c>
      <c r="G972" s="23">
        <v>108</v>
      </c>
      <c r="H972" s="23">
        <v>0</v>
      </c>
      <c r="I972" s="23" t="s">
        <v>5</v>
      </c>
      <c r="J972" s="23" t="s">
        <v>1844</v>
      </c>
    </row>
    <row r="973" spans="1:10" s="20" customFormat="1" ht="12" x14ac:dyDescent="0.25">
      <c r="A973" s="22">
        <v>2100002078</v>
      </c>
      <c r="B973" s="23" t="s">
        <v>1896</v>
      </c>
      <c r="C973" s="24" t="s">
        <v>1996</v>
      </c>
      <c r="D973" s="23" t="s">
        <v>2811</v>
      </c>
      <c r="E973" s="23">
        <v>1802.5</v>
      </c>
      <c r="F973" s="23">
        <v>2</v>
      </c>
      <c r="G973" s="23">
        <v>2</v>
      </c>
      <c r="H973" s="23">
        <v>0</v>
      </c>
      <c r="I973" s="23" t="s">
        <v>5</v>
      </c>
      <c r="J973" s="23" t="s">
        <v>1993</v>
      </c>
    </row>
    <row r="974" spans="1:10" s="20" customFormat="1" ht="12" x14ac:dyDescent="0.25">
      <c r="A974" s="22">
        <v>1000020802</v>
      </c>
      <c r="B974" s="23" t="s">
        <v>1006</v>
      </c>
      <c r="C974" s="24" t="s">
        <v>4</v>
      </c>
      <c r="D974" s="23" t="s">
        <v>2090</v>
      </c>
      <c r="E974" s="23">
        <v>1801.1852083333299</v>
      </c>
      <c r="F974" s="23">
        <v>13</v>
      </c>
      <c r="G974" s="23">
        <v>13</v>
      </c>
      <c r="H974" s="23">
        <v>0</v>
      </c>
      <c r="I974" s="23" t="s">
        <v>5</v>
      </c>
      <c r="J974" s="23" t="s">
        <v>327</v>
      </c>
    </row>
    <row r="975" spans="1:10" s="20" customFormat="1" ht="12" x14ac:dyDescent="0.25">
      <c r="A975" s="22">
        <v>1000020975</v>
      </c>
      <c r="B975" s="23" t="s">
        <v>1149</v>
      </c>
      <c r="C975" s="24" t="s">
        <v>4</v>
      </c>
      <c r="D975" s="23" t="s">
        <v>2090</v>
      </c>
      <c r="E975" s="23">
        <v>1796.55</v>
      </c>
      <c r="F975" s="23">
        <v>8</v>
      </c>
      <c r="G975" s="23">
        <v>8</v>
      </c>
      <c r="H975" s="23">
        <v>0</v>
      </c>
      <c r="I975" s="23" t="s">
        <v>5</v>
      </c>
      <c r="J975" s="23" t="s">
        <v>327</v>
      </c>
    </row>
    <row r="976" spans="1:10" s="20" customFormat="1" ht="12" x14ac:dyDescent="0.25">
      <c r="A976" s="22">
        <v>2500008945</v>
      </c>
      <c r="B976" s="23" t="s">
        <v>3227</v>
      </c>
      <c r="C976" s="24" t="s">
        <v>1996</v>
      </c>
      <c r="D976" s="23" t="s">
        <v>2875</v>
      </c>
      <c r="E976" s="23">
        <v>1793.75</v>
      </c>
      <c r="F976" s="23">
        <v>50</v>
      </c>
      <c r="G976" s="23">
        <v>50</v>
      </c>
      <c r="H976" s="23">
        <v>0</v>
      </c>
      <c r="I976" s="23" t="s">
        <v>5</v>
      </c>
      <c r="J976" s="23" t="s">
        <v>1993</v>
      </c>
    </row>
    <row r="977" spans="1:10" s="20" customFormat="1" ht="12" x14ac:dyDescent="0.25">
      <c r="A977" s="22">
        <v>1000010156</v>
      </c>
      <c r="B977" s="23" t="s">
        <v>3228</v>
      </c>
      <c r="C977" s="24" t="s">
        <v>4</v>
      </c>
      <c r="D977" s="23" t="s">
        <v>2161</v>
      </c>
      <c r="E977" s="23">
        <v>1792.22</v>
      </c>
      <c r="F977" s="23">
        <v>3</v>
      </c>
      <c r="G977" s="23">
        <v>3</v>
      </c>
      <c r="H977" s="23">
        <v>0</v>
      </c>
      <c r="I977" s="23" t="s">
        <v>5</v>
      </c>
      <c r="J977" s="23" t="s">
        <v>111</v>
      </c>
    </row>
    <row r="978" spans="1:10" s="20" customFormat="1" ht="12" x14ac:dyDescent="0.25">
      <c r="A978" s="22">
        <v>1000020515</v>
      </c>
      <c r="B978" s="23" t="s">
        <v>737</v>
      </c>
      <c r="C978" s="24" t="s">
        <v>4</v>
      </c>
      <c r="D978" s="23" t="s">
        <v>2090</v>
      </c>
      <c r="E978" s="23">
        <v>1786.19</v>
      </c>
      <c r="F978" s="23">
        <v>17</v>
      </c>
      <c r="G978" s="23">
        <v>17</v>
      </c>
      <c r="H978" s="23">
        <v>0</v>
      </c>
      <c r="I978" s="23" t="s">
        <v>5</v>
      </c>
      <c r="J978" s="23" t="s">
        <v>327</v>
      </c>
    </row>
    <row r="979" spans="1:10" s="20" customFormat="1" ht="12" x14ac:dyDescent="0.25">
      <c r="A979" s="22">
        <v>1000021117</v>
      </c>
      <c r="B979" s="23" t="s">
        <v>1277</v>
      </c>
      <c r="C979" s="24" t="s">
        <v>4</v>
      </c>
      <c r="D979" s="23" t="s">
        <v>2090</v>
      </c>
      <c r="E979" s="23">
        <v>1782</v>
      </c>
      <c r="F979" s="23">
        <v>5</v>
      </c>
      <c r="G979" s="23">
        <v>5</v>
      </c>
      <c r="H979" s="23">
        <v>0</v>
      </c>
      <c r="I979" s="23" t="s">
        <v>5</v>
      </c>
      <c r="J979" s="23" t="s">
        <v>327</v>
      </c>
    </row>
    <row r="980" spans="1:10" s="20" customFormat="1" ht="12" x14ac:dyDescent="0.25">
      <c r="A980" s="22">
        <v>1000010154</v>
      </c>
      <c r="B980" s="23" t="s">
        <v>3232</v>
      </c>
      <c r="C980" s="24" t="s">
        <v>4</v>
      </c>
      <c r="D980" s="23" t="s">
        <v>2161</v>
      </c>
      <c r="E980" s="23">
        <v>1775.52</v>
      </c>
      <c r="F980" s="23">
        <v>6</v>
      </c>
      <c r="G980" s="23">
        <v>6</v>
      </c>
      <c r="H980" s="23">
        <v>0</v>
      </c>
      <c r="I980" s="23" t="s">
        <v>5</v>
      </c>
      <c r="J980" s="23" t="s">
        <v>111</v>
      </c>
    </row>
    <row r="981" spans="1:10" s="20" customFormat="1" ht="12" x14ac:dyDescent="0.25">
      <c r="A981" s="22">
        <v>2500008145</v>
      </c>
      <c r="B981" s="23" t="s">
        <v>3233</v>
      </c>
      <c r="C981" s="24" t="s">
        <v>1996</v>
      </c>
      <c r="D981" s="23" t="s">
        <v>2025</v>
      </c>
      <c r="E981" s="23">
        <v>1773.75</v>
      </c>
      <c r="F981" s="23">
        <v>1</v>
      </c>
      <c r="G981" s="23">
        <v>1</v>
      </c>
      <c r="H981" s="23">
        <v>0</v>
      </c>
      <c r="I981" s="23" t="s">
        <v>5</v>
      </c>
      <c r="J981" s="23" t="s">
        <v>1993</v>
      </c>
    </row>
    <row r="982" spans="1:10" s="20" customFormat="1" ht="12" x14ac:dyDescent="0.25">
      <c r="A982" s="22">
        <v>1000098602</v>
      </c>
      <c r="B982" s="23" t="s">
        <v>1607</v>
      </c>
      <c r="C982" s="24" t="s">
        <v>4</v>
      </c>
      <c r="D982" s="23" t="s">
        <v>2090</v>
      </c>
      <c r="E982" s="23">
        <v>1772.55</v>
      </c>
      <c r="F982" s="23">
        <v>7</v>
      </c>
      <c r="G982" s="23">
        <v>7</v>
      </c>
      <c r="H982" s="23">
        <v>0</v>
      </c>
      <c r="I982" s="23" t="s">
        <v>5</v>
      </c>
      <c r="J982" s="23" t="s">
        <v>327</v>
      </c>
    </row>
    <row r="983" spans="1:10" s="20" customFormat="1" ht="12" x14ac:dyDescent="0.25">
      <c r="A983" s="22">
        <v>1000020482</v>
      </c>
      <c r="B983" s="23" t="s">
        <v>708</v>
      </c>
      <c r="C983" s="24" t="s">
        <v>4</v>
      </c>
      <c r="D983" s="23" t="s">
        <v>2218</v>
      </c>
      <c r="E983" s="23">
        <v>1771.9713529098599</v>
      </c>
      <c r="F983" s="23">
        <v>58</v>
      </c>
      <c r="G983" s="23">
        <v>58</v>
      </c>
      <c r="H983" s="23">
        <v>0</v>
      </c>
      <c r="I983" s="23" t="s">
        <v>5</v>
      </c>
      <c r="J983" s="23" t="s">
        <v>327</v>
      </c>
    </row>
    <row r="984" spans="1:10" s="20" customFormat="1" ht="12" x14ac:dyDescent="0.25">
      <c r="A984" s="22">
        <v>2500009467</v>
      </c>
      <c r="B984" s="23" t="s">
        <v>3234</v>
      </c>
      <c r="C984" s="24" t="s">
        <v>1996</v>
      </c>
      <c r="D984" s="23" t="s">
        <v>2289</v>
      </c>
      <c r="E984" s="23">
        <v>1766.25</v>
      </c>
      <c r="F984" s="23">
        <v>3</v>
      </c>
      <c r="G984" s="23">
        <v>3</v>
      </c>
      <c r="H984" s="23">
        <v>0</v>
      </c>
      <c r="I984" s="23" t="s">
        <v>5</v>
      </c>
      <c r="J984" s="23" t="s">
        <v>1993</v>
      </c>
    </row>
    <row r="985" spans="1:10" s="20" customFormat="1" ht="12" x14ac:dyDescent="0.25">
      <c r="A985" s="22">
        <v>1000107098</v>
      </c>
      <c r="B985" s="23" t="s">
        <v>3235</v>
      </c>
      <c r="C985" s="24" t="s">
        <v>4</v>
      </c>
      <c r="D985" s="23" t="s">
        <v>2056</v>
      </c>
      <c r="E985" s="23">
        <v>1765.74</v>
      </c>
      <c r="F985" s="23">
        <v>2</v>
      </c>
      <c r="G985" s="23">
        <v>2</v>
      </c>
      <c r="H985" s="23">
        <v>0</v>
      </c>
      <c r="I985" s="23" t="s">
        <v>5</v>
      </c>
      <c r="J985" s="23" t="s">
        <v>1844</v>
      </c>
    </row>
    <row r="986" spans="1:10" s="20" customFormat="1" ht="12" x14ac:dyDescent="0.25">
      <c r="A986" s="22">
        <v>1000021023</v>
      </c>
      <c r="B986" s="23" t="s">
        <v>1195</v>
      </c>
      <c r="C986" s="24" t="s">
        <v>4</v>
      </c>
      <c r="D986" s="23" t="s">
        <v>2090</v>
      </c>
      <c r="E986" s="23">
        <v>1760.34</v>
      </c>
      <c r="F986" s="23">
        <v>3</v>
      </c>
      <c r="G986" s="23">
        <v>3</v>
      </c>
      <c r="H986" s="23">
        <v>0</v>
      </c>
      <c r="I986" s="23" t="s">
        <v>5</v>
      </c>
      <c r="J986" s="23" t="s">
        <v>327</v>
      </c>
    </row>
    <row r="987" spans="1:10" s="20" customFormat="1" ht="12" x14ac:dyDescent="0.25">
      <c r="A987" s="22">
        <v>1000095107</v>
      </c>
      <c r="B987" s="23" t="s">
        <v>3236</v>
      </c>
      <c r="C987" s="24" t="s">
        <v>4</v>
      </c>
      <c r="D987" s="23" t="s">
        <v>2090</v>
      </c>
      <c r="E987" s="23">
        <v>1758.12</v>
      </c>
      <c r="F987" s="23">
        <v>3</v>
      </c>
      <c r="G987" s="23">
        <v>3</v>
      </c>
      <c r="H987" s="23">
        <v>0</v>
      </c>
      <c r="I987" s="23" t="s">
        <v>5</v>
      </c>
      <c r="J987" s="23" t="s">
        <v>327</v>
      </c>
    </row>
    <row r="988" spans="1:10" s="20" customFormat="1" ht="12" x14ac:dyDescent="0.25">
      <c r="A988" s="22">
        <v>1000020650</v>
      </c>
      <c r="B988" s="23" t="s">
        <v>864</v>
      </c>
      <c r="C988" s="24" t="s">
        <v>4</v>
      </c>
      <c r="D988" s="23" t="s">
        <v>2090</v>
      </c>
      <c r="E988" s="23">
        <v>1757.1603260869499</v>
      </c>
      <c r="F988" s="23">
        <v>75</v>
      </c>
      <c r="G988" s="23">
        <v>75</v>
      </c>
      <c r="H988" s="23">
        <v>0</v>
      </c>
      <c r="I988" s="23" t="s">
        <v>71</v>
      </c>
      <c r="J988" s="23" t="s">
        <v>327</v>
      </c>
    </row>
    <row r="989" spans="1:10" s="20" customFormat="1" ht="12" x14ac:dyDescent="0.25">
      <c r="A989" s="22">
        <v>1000099259</v>
      </c>
      <c r="B989" s="23" t="s">
        <v>3237</v>
      </c>
      <c r="C989" s="24" t="s">
        <v>4</v>
      </c>
      <c r="D989" s="23" t="s">
        <v>2090</v>
      </c>
      <c r="E989" s="23">
        <v>1755.27</v>
      </c>
      <c r="F989" s="23">
        <v>13</v>
      </c>
      <c r="G989" s="23">
        <v>13</v>
      </c>
      <c r="H989" s="23">
        <v>0</v>
      </c>
      <c r="I989" s="23" t="s">
        <v>5</v>
      </c>
      <c r="J989" s="23" t="s">
        <v>327</v>
      </c>
    </row>
    <row r="990" spans="1:10" s="20" customFormat="1" ht="12" x14ac:dyDescent="0.25">
      <c r="A990" s="22">
        <v>1000094464</v>
      </c>
      <c r="B990" s="23" t="s">
        <v>3238</v>
      </c>
      <c r="C990" s="24" t="s">
        <v>4</v>
      </c>
      <c r="D990" s="23" t="s">
        <v>2161</v>
      </c>
      <c r="E990" s="23">
        <v>1754.3848666666599</v>
      </c>
      <c r="F990" s="23">
        <v>6</v>
      </c>
      <c r="G990" s="23">
        <v>6</v>
      </c>
      <c r="H990" s="23">
        <v>0</v>
      </c>
      <c r="I990" s="23" t="s">
        <v>5</v>
      </c>
      <c r="J990" s="23" t="s">
        <v>111</v>
      </c>
    </row>
    <row r="991" spans="1:10" s="20" customFormat="1" ht="12" x14ac:dyDescent="0.25">
      <c r="A991" s="22">
        <v>1000105834</v>
      </c>
      <c r="B991" s="23" t="s">
        <v>3239</v>
      </c>
      <c r="C991" s="24" t="s">
        <v>4</v>
      </c>
      <c r="D991" s="23" t="s">
        <v>2161</v>
      </c>
      <c r="E991" s="23">
        <v>1751.86</v>
      </c>
      <c r="F991" s="23">
        <v>5</v>
      </c>
      <c r="G991" s="23">
        <v>5</v>
      </c>
      <c r="H991" s="23">
        <v>0</v>
      </c>
      <c r="I991" s="23" t="s">
        <v>5</v>
      </c>
      <c r="J991" s="23" t="s">
        <v>111</v>
      </c>
    </row>
    <row r="992" spans="1:10" s="20" customFormat="1" ht="12" x14ac:dyDescent="0.25">
      <c r="A992" s="22">
        <v>1000020905</v>
      </c>
      <c r="B992" s="23" t="s">
        <v>1086</v>
      </c>
      <c r="C992" s="24" t="s">
        <v>4</v>
      </c>
      <c r="D992" s="23" t="s">
        <v>2090</v>
      </c>
      <c r="E992" s="23">
        <v>1745.42</v>
      </c>
      <c r="F992" s="23">
        <v>7</v>
      </c>
      <c r="G992" s="23">
        <v>7</v>
      </c>
      <c r="H992" s="23">
        <v>0</v>
      </c>
      <c r="I992" s="23" t="s">
        <v>5</v>
      </c>
      <c r="J992" s="23" t="s">
        <v>327</v>
      </c>
    </row>
    <row r="993" spans="1:10" s="20" customFormat="1" ht="12" x14ac:dyDescent="0.25">
      <c r="A993" s="22">
        <v>2500009330</v>
      </c>
      <c r="B993" s="23" t="s">
        <v>3245</v>
      </c>
      <c r="C993" s="24" t="s">
        <v>1996</v>
      </c>
      <c r="D993" s="23" t="s">
        <v>2289</v>
      </c>
      <c r="E993" s="23">
        <v>1743.75</v>
      </c>
      <c r="F993" s="23">
        <v>15</v>
      </c>
      <c r="G993" s="23">
        <v>15</v>
      </c>
      <c r="H993" s="23">
        <v>0</v>
      </c>
      <c r="I993" s="23" t="s">
        <v>5</v>
      </c>
      <c r="J993" s="23" t="s">
        <v>1993</v>
      </c>
    </row>
    <row r="994" spans="1:10" s="20" customFormat="1" ht="12" x14ac:dyDescent="0.25">
      <c r="A994" s="22">
        <v>1000098940</v>
      </c>
      <c r="B994" s="23" t="s">
        <v>3247</v>
      </c>
      <c r="C994" s="24" t="s">
        <v>4</v>
      </c>
      <c r="D994" s="23" t="s">
        <v>2161</v>
      </c>
      <c r="E994" s="23">
        <v>1734.9863</v>
      </c>
      <c r="F994" s="23">
        <v>1</v>
      </c>
      <c r="G994" s="23">
        <v>1</v>
      </c>
      <c r="H994" s="23">
        <v>0</v>
      </c>
      <c r="I994" s="23" t="s">
        <v>5</v>
      </c>
      <c r="J994" s="23" t="s">
        <v>111</v>
      </c>
    </row>
    <row r="995" spans="1:10" s="20" customFormat="1" ht="12" x14ac:dyDescent="0.25">
      <c r="A995" s="22">
        <v>1000100319</v>
      </c>
      <c r="B995" s="23" t="s">
        <v>3248</v>
      </c>
      <c r="C995" s="24" t="s">
        <v>4</v>
      </c>
      <c r="D995" s="23" t="s">
        <v>2090</v>
      </c>
      <c r="E995" s="23">
        <v>1729.05</v>
      </c>
      <c r="F995" s="23">
        <v>4</v>
      </c>
      <c r="G995" s="23">
        <v>4</v>
      </c>
      <c r="H995" s="23">
        <v>0</v>
      </c>
      <c r="I995" s="23" t="s">
        <v>5</v>
      </c>
      <c r="J995" s="23" t="s">
        <v>327</v>
      </c>
    </row>
    <row r="996" spans="1:10" s="20" customFormat="1" ht="12" x14ac:dyDescent="0.25">
      <c r="A996" s="22">
        <v>1000103012</v>
      </c>
      <c r="B996" s="23" t="s">
        <v>3249</v>
      </c>
      <c r="C996" s="24" t="s">
        <v>4</v>
      </c>
      <c r="D996" s="23" t="s">
        <v>2090</v>
      </c>
      <c r="E996" s="23">
        <v>1727.8164489795899</v>
      </c>
      <c r="F996" s="23">
        <v>58</v>
      </c>
      <c r="G996" s="23">
        <v>58</v>
      </c>
      <c r="H996" s="23">
        <v>0</v>
      </c>
      <c r="I996" s="23" t="s">
        <v>5</v>
      </c>
      <c r="J996" s="23" t="s">
        <v>327</v>
      </c>
    </row>
    <row r="997" spans="1:10" s="20" customFormat="1" ht="12" x14ac:dyDescent="0.25">
      <c r="A997" s="22">
        <v>1000093526</v>
      </c>
      <c r="B997" s="23" t="s">
        <v>3250</v>
      </c>
      <c r="C997" s="24" t="s">
        <v>2109</v>
      </c>
      <c r="D997" s="23" t="s">
        <v>2070</v>
      </c>
      <c r="E997" s="23">
        <v>1727.3</v>
      </c>
      <c r="F997" s="23">
        <v>2</v>
      </c>
      <c r="G997" s="23">
        <v>2</v>
      </c>
      <c r="H997" s="23">
        <v>0</v>
      </c>
      <c r="I997" s="23" t="s">
        <v>5</v>
      </c>
      <c r="J997" s="23" t="s">
        <v>6</v>
      </c>
    </row>
    <row r="998" spans="1:10" s="20" customFormat="1" ht="12" x14ac:dyDescent="0.25">
      <c r="A998" s="22">
        <v>1000100349</v>
      </c>
      <c r="B998" s="23" t="s">
        <v>3251</v>
      </c>
      <c r="C998" s="24" t="s">
        <v>4</v>
      </c>
      <c r="D998" s="23" t="s">
        <v>2090</v>
      </c>
      <c r="E998" s="23">
        <v>1727.259</v>
      </c>
      <c r="F998" s="23">
        <v>3</v>
      </c>
      <c r="G998" s="23">
        <v>3</v>
      </c>
      <c r="H998" s="23">
        <v>0</v>
      </c>
      <c r="I998" s="23" t="s">
        <v>5</v>
      </c>
      <c r="J998" s="23" t="s">
        <v>327</v>
      </c>
    </row>
    <row r="999" spans="1:10" s="20" customFormat="1" ht="12" x14ac:dyDescent="0.25">
      <c r="A999" s="22">
        <v>1000100280</v>
      </c>
      <c r="B999" s="23" t="s">
        <v>3252</v>
      </c>
      <c r="C999" s="24" t="s">
        <v>4</v>
      </c>
      <c r="D999" s="23" t="s">
        <v>2090</v>
      </c>
      <c r="E999" s="23">
        <v>1717.88</v>
      </c>
      <c r="F999" s="23">
        <v>11</v>
      </c>
      <c r="G999" s="23">
        <v>11</v>
      </c>
      <c r="H999" s="23">
        <v>0</v>
      </c>
      <c r="I999" s="23" t="s">
        <v>5</v>
      </c>
      <c r="J999" s="23" t="s">
        <v>327</v>
      </c>
    </row>
    <row r="1000" spans="1:10" s="20" customFormat="1" ht="12" x14ac:dyDescent="0.25">
      <c r="A1000" s="22">
        <v>1000020496</v>
      </c>
      <c r="B1000" s="23" t="s">
        <v>721</v>
      </c>
      <c r="C1000" s="24" t="s">
        <v>4</v>
      </c>
      <c r="D1000" s="23" t="s">
        <v>2090</v>
      </c>
      <c r="E1000" s="23">
        <v>1715.0074999999999</v>
      </c>
      <c r="F1000" s="23">
        <v>23</v>
      </c>
      <c r="G1000" s="23">
        <v>23</v>
      </c>
      <c r="H1000" s="23">
        <v>0</v>
      </c>
      <c r="I1000" s="23" t="s">
        <v>5</v>
      </c>
      <c r="J1000" s="23" t="s">
        <v>327</v>
      </c>
    </row>
    <row r="1001" spans="1:10" s="20" customFormat="1" ht="12" x14ac:dyDescent="0.25">
      <c r="A1001" s="22">
        <v>1000098541</v>
      </c>
      <c r="B1001" s="23" t="s">
        <v>1572</v>
      </c>
      <c r="C1001" s="24" t="s">
        <v>4</v>
      </c>
      <c r="D1001" s="23" t="s">
        <v>2090</v>
      </c>
      <c r="E1001" s="23">
        <v>1714.58</v>
      </c>
      <c r="F1001" s="23">
        <v>19</v>
      </c>
      <c r="G1001" s="23">
        <v>19</v>
      </c>
      <c r="H1001" s="23">
        <v>0</v>
      </c>
      <c r="I1001" s="23" t="s">
        <v>5</v>
      </c>
      <c r="J1001" s="23" t="s">
        <v>327</v>
      </c>
    </row>
    <row r="1002" spans="1:10" s="20" customFormat="1" ht="12" x14ac:dyDescent="0.25">
      <c r="A1002" s="22">
        <v>1000095596</v>
      </c>
      <c r="B1002" s="23" t="s">
        <v>3253</v>
      </c>
      <c r="C1002" s="24" t="s">
        <v>4</v>
      </c>
      <c r="D1002" s="23" t="s">
        <v>2161</v>
      </c>
      <c r="E1002" s="23">
        <v>1712.81</v>
      </c>
      <c r="F1002" s="23">
        <v>3</v>
      </c>
      <c r="G1002" s="23">
        <v>3</v>
      </c>
      <c r="H1002" s="23">
        <v>0</v>
      </c>
      <c r="I1002" s="23" t="s">
        <v>5</v>
      </c>
      <c r="J1002" s="23" t="s">
        <v>111</v>
      </c>
    </row>
    <row r="1003" spans="1:10" s="20" customFormat="1" ht="12" x14ac:dyDescent="0.25">
      <c r="A1003" s="22">
        <v>2500005624</v>
      </c>
      <c r="B1003" s="23" t="s">
        <v>1906</v>
      </c>
      <c r="C1003" s="24" t="s">
        <v>1996</v>
      </c>
      <c r="D1003" s="23" t="s">
        <v>2025</v>
      </c>
      <c r="E1003" s="23">
        <v>1712.7</v>
      </c>
      <c r="F1003" s="23">
        <v>2</v>
      </c>
      <c r="G1003" s="23">
        <v>2</v>
      </c>
      <c r="H1003" s="23">
        <v>0</v>
      </c>
      <c r="I1003" s="23" t="s">
        <v>5</v>
      </c>
      <c r="J1003" s="23" t="s">
        <v>1993</v>
      </c>
    </row>
    <row r="1004" spans="1:10" s="20" customFormat="1" ht="12" x14ac:dyDescent="0.25">
      <c r="A1004" s="22">
        <v>1000098694</v>
      </c>
      <c r="B1004" s="23" t="s">
        <v>1646</v>
      </c>
      <c r="C1004" s="24" t="s">
        <v>4</v>
      </c>
      <c r="D1004" s="23" t="s">
        <v>2090</v>
      </c>
      <c r="E1004" s="23">
        <v>1708.54</v>
      </c>
      <c r="F1004" s="23">
        <v>2</v>
      </c>
      <c r="G1004" s="23">
        <v>2</v>
      </c>
      <c r="H1004" s="23">
        <v>0</v>
      </c>
      <c r="I1004" s="23" t="s">
        <v>5</v>
      </c>
      <c r="J1004" s="23" t="s">
        <v>327</v>
      </c>
    </row>
    <row r="1005" spans="1:10" s="20" customFormat="1" ht="12" x14ac:dyDescent="0.25">
      <c r="A1005" s="22">
        <v>1000021214</v>
      </c>
      <c r="B1005" s="23" t="s">
        <v>1360</v>
      </c>
      <c r="C1005" s="24" t="s">
        <v>4</v>
      </c>
      <c r="D1005" s="23" t="s">
        <v>2090</v>
      </c>
      <c r="E1005" s="23">
        <v>1707.74</v>
      </c>
      <c r="F1005" s="23">
        <v>32</v>
      </c>
      <c r="G1005" s="23">
        <v>32</v>
      </c>
      <c r="H1005" s="23">
        <v>0</v>
      </c>
      <c r="I1005" s="23" t="s">
        <v>5</v>
      </c>
      <c r="J1005" s="23" t="s">
        <v>327</v>
      </c>
    </row>
    <row r="1006" spans="1:10" s="20" customFormat="1" ht="12" x14ac:dyDescent="0.25">
      <c r="A1006" s="22">
        <v>1000100571</v>
      </c>
      <c r="B1006" s="23" t="s">
        <v>3256</v>
      </c>
      <c r="C1006" s="24" t="s">
        <v>4</v>
      </c>
      <c r="D1006" s="23" t="s">
        <v>2161</v>
      </c>
      <c r="E1006" s="23">
        <v>1705.4475</v>
      </c>
      <c r="F1006" s="23">
        <v>1</v>
      </c>
      <c r="G1006" s="23">
        <v>1</v>
      </c>
      <c r="H1006" s="23">
        <v>0</v>
      </c>
      <c r="I1006" s="23" t="s">
        <v>5</v>
      </c>
      <c r="J1006" s="23" t="s">
        <v>111</v>
      </c>
    </row>
    <row r="1007" spans="1:10" s="20" customFormat="1" ht="12" x14ac:dyDescent="0.25">
      <c r="A1007" s="22">
        <v>1000098644</v>
      </c>
      <c r="B1007" s="23" t="s">
        <v>1621</v>
      </c>
      <c r="C1007" s="24" t="s">
        <v>4</v>
      </c>
      <c r="D1007" s="23" t="s">
        <v>2090</v>
      </c>
      <c r="E1007" s="23">
        <v>1704.97435897435</v>
      </c>
      <c r="F1007" s="23">
        <v>40</v>
      </c>
      <c r="G1007" s="23">
        <v>40</v>
      </c>
      <c r="H1007" s="23">
        <v>0</v>
      </c>
      <c r="I1007" s="23" t="s">
        <v>5</v>
      </c>
      <c r="J1007" s="23" t="s">
        <v>327</v>
      </c>
    </row>
    <row r="1008" spans="1:10" s="20" customFormat="1" ht="12" x14ac:dyDescent="0.25">
      <c r="A1008" s="22">
        <v>2500005713</v>
      </c>
      <c r="B1008" s="23" t="s">
        <v>3257</v>
      </c>
      <c r="C1008" s="24" t="s">
        <v>1996</v>
      </c>
      <c r="D1008" s="23" t="s">
        <v>2025</v>
      </c>
      <c r="E1008" s="23">
        <v>1699.31</v>
      </c>
      <c r="F1008" s="23">
        <v>3</v>
      </c>
      <c r="G1008" s="23">
        <v>3</v>
      </c>
      <c r="H1008" s="23">
        <v>0</v>
      </c>
      <c r="I1008" s="23" t="s">
        <v>5</v>
      </c>
      <c r="J1008" s="23" t="s">
        <v>1993</v>
      </c>
    </row>
    <row r="1009" spans="1:10" s="20" customFormat="1" ht="12" x14ac:dyDescent="0.25">
      <c r="A1009" s="22">
        <v>1000098533</v>
      </c>
      <c r="B1009" s="23" t="s">
        <v>1567</v>
      </c>
      <c r="C1009" s="24" t="s">
        <v>4</v>
      </c>
      <c r="D1009" s="23" t="s">
        <v>2090</v>
      </c>
      <c r="E1009" s="23">
        <v>1696.4</v>
      </c>
      <c r="F1009" s="23">
        <v>2</v>
      </c>
      <c r="G1009" s="23">
        <v>2</v>
      </c>
      <c r="H1009" s="23">
        <v>0</v>
      </c>
      <c r="I1009" s="23" t="s">
        <v>5</v>
      </c>
      <c r="J1009" s="23" t="s">
        <v>327</v>
      </c>
    </row>
    <row r="1010" spans="1:10" s="20" customFormat="1" ht="12" x14ac:dyDescent="0.25">
      <c r="A1010" s="22">
        <v>1000098534</v>
      </c>
      <c r="B1010" s="23" t="s">
        <v>331</v>
      </c>
      <c r="C1010" s="24" t="s">
        <v>4</v>
      </c>
      <c r="D1010" s="23" t="s">
        <v>2090</v>
      </c>
      <c r="E1010" s="23">
        <v>1696.4</v>
      </c>
      <c r="F1010" s="23">
        <v>2</v>
      </c>
      <c r="G1010" s="23">
        <v>2</v>
      </c>
      <c r="H1010" s="23">
        <v>0</v>
      </c>
      <c r="I1010" s="23" t="s">
        <v>5</v>
      </c>
      <c r="J1010" s="23" t="s">
        <v>327</v>
      </c>
    </row>
    <row r="1011" spans="1:10" s="20" customFormat="1" ht="12" x14ac:dyDescent="0.25">
      <c r="A1011" s="22">
        <v>1000100160</v>
      </c>
      <c r="B1011" s="23" t="s">
        <v>3258</v>
      </c>
      <c r="C1011" s="24" t="s">
        <v>4</v>
      </c>
      <c r="D1011" s="23" t="s">
        <v>2056</v>
      </c>
      <c r="E1011" s="23">
        <v>1692.9</v>
      </c>
      <c r="F1011" s="23">
        <v>12000</v>
      </c>
      <c r="G1011" s="23">
        <v>12000</v>
      </c>
      <c r="H1011" s="23">
        <v>0</v>
      </c>
      <c r="I1011" s="23" t="s">
        <v>5</v>
      </c>
      <c r="J1011" s="23" t="s">
        <v>1844</v>
      </c>
    </row>
    <row r="1012" spans="1:10" s="20" customFormat="1" ht="12" x14ac:dyDescent="0.25">
      <c r="A1012" s="22">
        <v>2100001105</v>
      </c>
      <c r="B1012" s="23" t="s">
        <v>3259</v>
      </c>
      <c r="C1012" s="24" t="s">
        <v>2030</v>
      </c>
      <c r="D1012" s="23" t="s">
        <v>2628</v>
      </c>
      <c r="E1012" s="23">
        <v>1689.6</v>
      </c>
      <c r="F1012" s="23">
        <v>2</v>
      </c>
      <c r="G1012" s="23">
        <v>2</v>
      </c>
      <c r="H1012" s="23">
        <v>0</v>
      </c>
      <c r="I1012" s="23" t="s">
        <v>5</v>
      </c>
      <c r="J1012" s="23" t="s">
        <v>146</v>
      </c>
    </row>
    <row r="1013" spans="1:10" s="20" customFormat="1" ht="12" x14ac:dyDescent="0.25">
      <c r="A1013" s="22">
        <v>1000103197</v>
      </c>
      <c r="B1013" s="23" t="s">
        <v>1805</v>
      </c>
      <c r="C1013" s="24" t="s">
        <v>4</v>
      </c>
      <c r="D1013" s="23" t="s">
        <v>2090</v>
      </c>
      <c r="E1013" s="23">
        <v>1683.94</v>
      </c>
      <c r="F1013" s="23">
        <v>1</v>
      </c>
      <c r="G1013" s="23">
        <v>1</v>
      </c>
      <c r="H1013" s="23">
        <v>0</v>
      </c>
      <c r="I1013" s="23" t="s">
        <v>5</v>
      </c>
      <c r="J1013" s="23" t="s">
        <v>327</v>
      </c>
    </row>
    <row r="1014" spans="1:10" s="20" customFormat="1" ht="12" x14ac:dyDescent="0.25">
      <c r="A1014" s="22">
        <v>2500009202</v>
      </c>
      <c r="B1014" s="23" t="s">
        <v>3262</v>
      </c>
      <c r="C1014" s="24" t="s">
        <v>1996</v>
      </c>
      <c r="D1014" s="23" t="s">
        <v>2915</v>
      </c>
      <c r="E1014" s="23">
        <v>1683</v>
      </c>
      <c r="F1014" s="23">
        <v>17</v>
      </c>
      <c r="G1014" s="23">
        <v>17</v>
      </c>
      <c r="H1014" s="23">
        <v>0</v>
      </c>
      <c r="I1014" s="23" t="s">
        <v>5</v>
      </c>
      <c r="J1014" s="23" t="s">
        <v>1993</v>
      </c>
    </row>
    <row r="1015" spans="1:10" s="20" customFormat="1" ht="12" x14ac:dyDescent="0.25">
      <c r="A1015" s="22">
        <v>1000021468</v>
      </c>
      <c r="B1015" s="23" t="s">
        <v>1488</v>
      </c>
      <c r="C1015" s="24" t="s">
        <v>4</v>
      </c>
      <c r="D1015" s="23" t="s">
        <v>2090</v>
      </c>
      <c r="E1015" s="23">
        <v>1682.4839999999999</v>
      </c>
      <c r="F1015" s="23">
        <v>19</v>
      </c>
      <c r="G1015" s="23">
        <v>19</v>
      </c>
      <c r="H1015" s="23">
        <v>0</v>
      </c>
      <c r="I1015" s="23" t="s">
        <v>5</v>
      </c>
      <c r="J1015" s="23" t="s">
        <v>327</v>
      </c>
    </row>
    <row r="1016" spans="1:10" s="20" customFormat="1" ht="12" x14ac:dyDescent="0.25">
      <c r="A1016" s="22">
        <v>1000021312</v>
      </c>
      <c r="B1016" s="23" t="s">
        <v>1444</v>
      </c>
      <c r="C1016" s="24" t="s">
        <v>4</v>
      </c>
      <c r="D1016" s="23" t="s">
        <v>2090</v>
      </c>
      <c r="E1016" s="23">
        <v>1681.64</v>
      </c>
      <c r="F1016" s="23">
        <v>1</v>
      </c>
      <c r="G1016" s="23">
        <v>1</v>
      </c>
      <c r="H1016" s="23">
        <v>0</v>
      </c>
      <c r="I1016" s="23" t="s">
        <v>5</v>
      </c>
      <c r="J1016" s="23" t="s">
        <v>327</v>
      </c>
    </row>
    <row r="1017" spans="1:10" s="20" customFormat="1" ht="12" x14ac:dyDescent="0.25">
      <c r="A1017" s="22">
        <v>1000021311</v>
      </c>
      <c r="B1017" s="23" t="s">
        <v>1443</v>
      </c>
      <c r="C1017" s="24" t="s">
        <v>4</v>
      </c>
      <c r="D1017" s="23" t="s">
        <v>2090</v>
      </c>
      <c r="E1017" s="23">
        <v>1681.64</v>
      </c>
      <c r="F1017" s="23">
        <v>1</v>
      </c>
      <c r="G1017" s="23">
        <v>1</v>
      </c>
      <c r="H1017" s="23">
        <v>0</v>
      </c>
      <c r="I1017" s="23" t="s">
        <v>5</v>
      </c>
      <c r="J1017" s="23" t="s">
        <v>327</v>
      </c>
    </row>
    <row r="1018" spans="1:10" s="20" customFormat="1" ht="12" x14ac:dyDescent="0.25">
      <c r="A1018" s="22">
        <v>1000098713</v>
      </c>
      <c r="B1018" s="23" t="s">
        <v>1660</v>
      </c>
      <c r="C1018" s="24" t="s">
        <v>4</v>
      </c>
      <c r="D1018" s="23" t="s">
        <v>2090</v>
      </c>
      <c r="E1018" s="23">
        <v>1681.5</v>
      </c>
      <c r="F1018" s="23">
        <v>2</v>
      </c>
      <c r="G1018" s="23">
        <v>2</v>
      </c>
      <c r="H1018" s="23">
        <v>0</v>
      </c>
      <c r="I1018" s="23" t="s">
        <v>5</v>
      </c>
      <c r="J1018" s="23" t="s">
        <v>327</v>
      </c>
    </row>
    <row r="1019" spans="1:10" s="20" customFormat="1" ht="12" x14ac:dyDescent="0.25">
      <c r="A1019" s="22">
        <v>1000021040</v>
      </c>
      <c r="B1019" s="23" t="s">
        <v>1211</v>
      </c>
      <c r="C1019" s="24" t="s">
        <v>4</v>
      </c>
      <c r="D1019" s="23" t="s">
        <v>2090</v>
      </c>
      <c r="E1019" s="23">
        <v>1678.79</v>
      </c>
      <c r="F1019" s="23">
        <v>13</v>
      </c>
      <c r="G1019" s="23">
        <v>13</v>
      </c>
      <c r="H1019" s="23">
        <v>0</v>
      </c>
      <c r="I1019" s="23" t="s">
        <v>5</v>
      </c>
      <c r="J1019" s="23" t="s">
        <v>327</v>
      </c>
    </row>
    <row r="1020" spans="1:10" s="20" customFormat="1" ht="12" x14ac:dyDescent="0.25">
      <c r="A1020" s="22">
        <v>1000021115</v>
      </c>
      <c r="B1020" s="23" t="s">
        <v>1275</v>
      </c>
      <c r="C1020" s="24" t="s">
        <v>4</v>
      </c>
      <c r="D1020" s="23" t="s">
        <v>2090</v>
      </c>
      <c r="E1020" s="23">
        <v>1677.3071111111101</v>
      </c>
      <c r="F1020" s="23">
        <v>8</v>
      </c>
      <c r="G1020" s="23">
        <v>8</v>
      </c>
      <c r="H1020" s="23">
        <v>0</v>
      </c>
      <c r="I1020" s="23" t="s">
        <v>5</v>
      </c>
      <c r="J1020" s="23" t="s">
        <v>327</v>
      </c>
    </row>
    <row r="1021" spans="1:10" s="20" customFormat="1" ht="12" x14ac:dyDescent="0.25">
      <c r="A1021" s="22">
        <v>1000095689</v>
      </c>
      <c r="B1021" s="23" t="s">
        <v>1502</v>
      </c>
      <c r="C1021" s="24" t="s">
        <v>4</v>
      </c>
      <c r="D1021" s="23" t="s">
        <v>2218</v>
      </c>
      <c r="E1021" s="23">
        <v>1677.03972222222</v>
      </c>
      <c r="F1021" s="23">
        <v>9</v>
      </c>
      <c r="G1021" s="23">
        <v>9</v>
      </c>
      <c r="H1021" s="23">
        <v>0</v>
      </c>
      <c r="I1021" s="23" t="s">
        <v>5</v>
      </c>
      <c r="J1021" s="23" t="s">
        <v>327</v>
      </c>
    </row>
    <row r="1022" spans="1:10" s="20" customFormat="1" ht="12" x14ac:dyDescent="0.25">
      <c r="A1022" s="22">
        <v>2500008336</v>
      </c>
      <c r="B1022" s="23" t="s">
        <v>3264</v>
      </c>
      <c r="C1022" s="24" t="s">
        <v>1996</v>
      </c>
      <c r="D1022" s="23" t="s">
        <v>2025</v>
      </c>
      <c r="E1022" s="23">
        <v>1673.85</v>
      </c>
      <c r="F1022" s="23">
        <v>5</v>
      </c>
      <c r="G1022" s="23">
        <v>5</v>
      </c>
      <c r="H1022" s="23">
        <v>0</v>
      </c>
      <c r="I1022" s="23" t="s">
        <v>5</v>
      </c>
      <c r="J1022" s="23" t="s">
        <v>1993</v>
      </c>
    </row>
    <row r="1023" spans="1:10" s="20" customFormat="1" ht="12" x14ac:dyDescent="0.25">
      <c r="A1023" s="22">
        <v>1000098606</v>
      </c>
      <c r="B1023" s="23" t="s">
        <v>1610</v>
      </c>
      <c r="C1023" s="24" t="s">
        <v>4</v>
      </c>
      <c r="D1023" s="23" t="s">
        <v>2090</v>
      </c>
      <c r="E1023" s="23">
        <v>1672.96</v>
      </c>
      <c r="F1023" s="23">
        <v>2</v>
      </c>
      <c r="G1023" s="23">
        <v>2</v>
      </c>
      <c r="H1023" s="23">
        <v>0</v>
      </c>
      <c r="I1023" s="23" t="s">
        <v>5</v>
      </c>
      <c r="J1023" s="23" t="s">
        <v>327</v>
      </c>
    </row>
    <row r="1024" spans="1:10" s="20" customFormat="1" ht="12" x14ac:dyDescent="0.25">
      <c r="A1024" s="22">
        <v>1000100379</v>
      </c>
      <c r="B1024" s="23" t="s">
        <v>3267</v>
      </c>
      <c r="C1024" s="24" t="s">
        <v>4</v>
      </c>
      <c r="D1024" s="23" t="s">
        <v>2090</v>
      </c>
      <c r="E1024" s="23">
        <v>1668.04368981481</v>
      </c>
      <c r="F1024" s="23">
        <v>12</v>
      </c>
      <c r="G1024" s="23">
        <v>12</v>
      </c>
      <c r="H1024" s="23">
        <v>0</v>
      </c>
      <c r="I1024" s="23" t="s">
        <v>5</v>
      </c>
      <c r="J1024" s="23" t="s">
        <v>327</v>
      </c>
    </row>
    <row r="1025" spans="1:10" s="20" customFormat="1" ht="12" x14ac:dyDescent="0.25">
      <c r="A1025" s="22">
        <v>1000102724</v>
      </c>
      <c r="B1025" s="23" t="s">
        <v>1799</v>
      </c>
      <c r="C1025" s="24" t="s">
        <v>4</v>
      </c>
      <c r="D1025" s="23" t="s">
        <v>2090</v>
      </c>
      <c r="E1025" s="23">
        <v>1661.74</v>
      </c>
      <c r="F1025" s="23">
        <v>1</v>
      </c>
      <c r="G1025" s="23">
        <v>1</v>
      </c>
      <c r="H1025" s="23">
        <v>0</v>
      </c>
      <c r="I1025" s="23" t="s">
        <v>5</v>
      </c>
      <c r="J1025" s="23" t="s">
        <v>327</v>
      </c>
    </row>
    <row r="1026" spans="1:10" s="20" customFormat="1" ht="12" x14ac:dyDescent="0.25">
      <c r="A1026" s="22">
        <v>1000095663</v>
      </c>
      <c r="B1026" s="23" t="s">
        <v>3269</v>
      </c>
      <c r="C1026" s="24" t="s">
        <v>4</v>
      </c>
      <c r="D1026" s="23" t="s">
        <v>2056</v>
      </c>
      <c r="E1026" s="23">
        <v>1658.72252847405</v>
      </c>
      <c r="F1026" s="23">
        <v>6</v>
      </c>
      <c r="G1026" s="23">
        <v>6</v>
      </c>
      <c r="H1026" s="23">
        <v>0</v>
      </c>
      <c r="I1026" s="23" t="s">
        <v>5</v>
      </c>
      <c r="J1026" s="23" t="s">
        <v>1844</v>
      </c>
    </row>
    <row r="1027" spans="1:10" s="20" customFormat="1" ht="12" x14ac:dyDescent="0.25">
      <c r="A1027" s="22">
        <v>1000110808</v>
      </c>
      <c r="B1027" s="23" t="s">
        <v>3270</v>
      </c>
      <c r="C1027" s="24" t="s">
        <v>4</v>
      </c>
      <c r="D1027" s="23" t="s">
        <v>2090</v>
      </c>
      <c r="E1027" s="23">
        <v>1658.4</v>
      </c>
      <c r="F1027" s="23">
        <v>16</v>
      </c>
      <c r="G1027" s="23">
        <v>6</v>
      </c>
      <c r="H1027" s="23">
        <v>10</v>
      </c>
      <c r="I1027" s="23" t="s">
        <v>71</v>
      </c>
      <c r="J1027" s="23" t="s">
        <v>327</v>
      </c>
    </row>
    <row r="1028" spans="1:10" s="20" customFormat="1" ht="12" x14ac:dyDescent="0.25">
      <c r="A1028" s="22">
        <v>1000021156</v>
      </c>
      <c r="B1028" s="23" t="s">
        <v>1305</v>
      </c>
      <c r="C1028" s="24" t="s">
        <v>4</v>
      </c>
      <c r="D1028" s="23" t="s">
        <v>2090</v>
      </c>
      <c r="E1028" s="23">
        <v>1658.25</v>
      </c>
      <c r="F1028" s="23">
        <v>5</v>
      </c>
      <c r="G1028" s="23">
        <v>5</v>
      </c>
      <c r="H1028" s="23">
        <v>0</v>
      </c>
      <c r="I1028" s="23" t="s">
        <v>5</v>
      </c>
      <c r="J1028" s="23" t="s">
        <v>327</v>
      </c>
    </row>
    <row r="1029" spans="1:10" s="20" customFormat="1" ht="12" x14ac:dyDescent="0.25">
      <c r="A1029" s="22">
        <v>1000020831</v>
      </c>
      <c r="B1029" s="23" t="s">
        <v>1027</v>
      </c>
      <c r="C1029" s="24" t="s">
        <v>4</v>
      </c>
      <c r="D1029" s="23" t="s">
        <v>2090</v>
      </c>
      <c r="E1029" s="23">
        <v>1652.9594444444399</v>
      </c>
      <c r="F1029" s="23">
        <v>14</v>
      </c>
      <c r="G1029" s="23">
        <v>14</v>
      </c>
      <c r="H1029" s="23">
        <v>0</v>
      </c>
      <c r="I1029" s="23" t="s">
        <v>5</v>
      </c>
      <c r="J1029" s="23" t="s">
        <v>327</v>
      </c>
    </row>
    <row r="1030" spans="1:10" s="20" customFormat="1" ht="12" x14ac:dyDescent="0.25">
      <c r="A1030" s="22">
        <v>1000106053</v>
      </c>
      <c r="B1030" s="23" t="s">
        <v>3275</v>
      </c>
      <c r="C1030" s="24" t="s">
        <v>4</v>
      </c>
      <c r="D1030" s="23" t="s">
        <v>2161</v>
      </c>
      <c r="E1030" s="23">
        <v>1648.2</v>
      </c>
      <c r="F1030" s="23">
        <v>6</v>
      </c>
      <c r="G1030" s="23">
        <v>6</v>
      </c>
      <c r="H1030" s="23">
        <v>0</v>
      </c>
      <c r="I1030" s="23" t="s">
        <v>5</v>
      </c>
      <c r="J1030" s="23" t="s">
        <v>111</v>
      </c>
    </row>
    <row r="1031" spans="1:10" s="20" customFormat="1" ht="12" x14ac:dyDescent="0.25">
      <c r="A1031" s="22">
        <v>1000098467</v>
      </c>
      <c r="B1031" s="23" t="s">
        <v>1542</v>
      </c>
      <c r="C1031" s="24" t="s">
        <v>4</v>
      </c>
      <c r="D1031" s="23" t="s">
        <v>2090</v>
      </c>
      <c r="E1031" s="23">
        <v>1647.06323636363</v>
      </c>
      <c r="F1031" s="23">
        <v>10</v>
      </c>
      <c r="G1031" s="23">
        <v>10</v>
      </c>
      <c r="H1031" s="23">
        <v>0</v>
      </c>
      <c r="I1031" s="23" t="s">
        <v>5</v>
      </c>
      <c r="J1031" s="23" t="s">
        <v>327</v>
      </c>
    </row>
    <row r="1032" spans="1:10" s="20" customFormat="1" ht="12" x14ac:dyDescent="0.25">
      <c r="A1032" s="22">
        <v>1000021090</v>
      </c>
      <c r="B1032" s="23" t="s">
        <v>1252</v>
      </c>
      <c r="C1032" s="24" t="s">
        <v>4</v>
      </c>
      <c r="D1032" s="23" t="s">
        <v>2090</v>
      </c>
      <c r="E1032" s="23">
        <v>1644.9</v>
      </c>
      <c r="F1032" s="23">
        <v>16</v>
      </c>
      <c r="G1032" s="23">
        <v>16</v>
      </c>
      <c r="H1032" s="23">
        <v>0</v>
      </c>
      <c r="I1032" s="23" t="s">
        <v>5</v>
      </c>
      <c r="J1032" s="23" t="s">
        <v>327</v>
      </c>
    </row>
    <row r="1033" spans="1:10" s="20" customFormat="1" ht="12" x14ac:dyDescent="0.25">
      <c r="A1033" s="22">
        <v>1000098575</v>
      </c>
      <c r="B1033" s="23" t="s">
        <v>1584</v>
      </c>
      <c r="C1033" s="24" t="s">
        <v>4</v>
      </c>
      <c r="D1033" s="23" t="s">
        <v>2090</v>
      </c>
      <c r="E1033" s="23">
        <v>1635.318</v>
      </c>
      <c r="F1033" s="23">
        <v>47</v>
      </c>
      <c r="G1033" s="23">
        <v>47</v>
      </c>
      <c r="H1033" s="23">
        <v>0</v>
      </c>
      <c r="I1033" s="23" t="s">
        <v>5</v>
      </c>
      <c r="J1033" s="23" t="s">
        <v>327</v>
      </c>
    </row>
    <row r="1034" spans="1:10" s="20" customFormat="1" ht="12" x14ac:dyDescent="0.25">
      <c r="A1034" s="22">
        <v>1000102229</v>
      </c>
      <c r="B1034" s="23" t="s">
        <v>1781</v>
      </c>
      <c r="C1034" s="24" t="s">
        <v>4</v>
      </c>
      <c r="D1034" s="23" t="s">
        <v>2090</v>
      </c>
      <c r="E1034" s="23">
        <v>1634.4</v>
      </c>
      <c r="F1034" s="23">
        <v>1</v>
      </c>
      <c r="G1034" s="23">
        <v>1</v>
      </c>
      <c r="H1034" s="23">
        <v>0</v>
      </c>
      <c r="I1034" s="23" t="s">
        <v>5</v>
      </c>
      <c r="J1034" s="23" t="s">
        <v>327</v>
      </c>
    </row>
    <row r="1035" spans="1:10" s="20" customFormat="1" ht="12" x14ac:dyDescent="0.25">
      <c r="A1035" s="22">
        <v>1000010069</v>
      </c>
      <c r="B1035" s="23" t="s">
        <v>112</v>
      </c>
      <c r="C1035" s="24" t="s">
        <v>4</v>
      </c>
      <c r="D1035" s="23" t="s">
        <v>2161</v>
      </c>
      <c r="E1035" s="23">
        <v>1634.0886956521699</v>
      </c>
      <c r="F1035" s="23">
        <v>8</v>
      </c>
      <c r="G1035" s="23">
        <v>8</v>
      </c>
      <c r="H1035" s="23">
        <v>0</v>
      </c>
      <c r="I1035" s="23" t="s">
        <v>5</v>
      </c>
      <c r="J1035" s="23" t="s">
        <v>111</v>
      </c>
    </row>
    <row r="1036" spans="1:10" s="20" customFormat="1" ht="12" x14ac:dyDescent="0.25">
      <c r="A1036" s="22">
        <v>1000020714</v>
      </c>
      <c r="B1036" s="23" t="s">
        <v>923</v>
      </c>
      <c r="C1036" s="24" t="s">
        <v>4</v>
      </c>
      <c r="D1036" s="23" t="s">
        <v>2090</v>
      </c>
      <c r="E1036" s="23">
        <v>1633.17</v>
      </c>
      <c r="F1036" s="23">
        <v>11</v>
      </c>
      <c r="G1036" s="23">
        <v>11</v>
      </c>
      <c r="H1036" s="23">
        <v>0</v>
      </c>
      <c r="I1036" s="23" t="s">
        <v>5</v>
      </c>
      <c r="J1036" s="23" t="s">
        <v>327</v>
      </c>
    </row>
    <row r="1037" spans="1:10" s="20" customFormat="1" ht="12" x14ac:dyDescent="0.25">
      <c r="A1037" s="22">
        <v>1000095820</v>
      </c>
      <c r="B1037" s="23" t="s">
        <v>3279</v>
      </c>
      <c r="C1037" s="24" t="s">
        <v>4</v>
      </c>
      <c r="D1037" s="23" t="s">
        <v>2056</v>
      </c>
      <c r="E1037" s="23">
        <v>1628.9151999999999</v>
      </c>
      <c r="F1037" s="23">
        <v>46</v>
      </c>
      <c r="G1037" s="23">
        <v>46</v>
      </c>
      <c r="H1037" s="23">
        <v>0</v>
      </c>
      <c r="I1037" s="23" t="s">
        <v>5</v>
      </c>
      <c r="J1037" s="23" t="s">
        <v>1844</v>
      </c>
    </row>
    <row r="1038" spans="1:10" s="20" customFormat="1" ht="12" x14ac:dyDescent="0.25">
      <c r="A1038" s="22">
        <v>1000021124</v>
      </c>
      <c r="B1038" s="23" t="s">
        <v>1283</v>
      </c>
      <c r="C1038" s="24" t="s">
        <v>4</v>
      </c>
      <c r="D1038" s="23" t="s">
        <v>2090</v>
      </c>
      <c r="E1038" s="23">
        <v>1624.36</v>
      </c>
      <c r="F1038" s="23">
        <v>3</v>
      </c>
      <c r="G1038" s="23">
        <v>3</v>
      </c>
      <c r="H1038" s="23">
        <v>0</v>
      </c>
      <c r="I1038" s="23" t="s">
        <v>5</v>
      </c>
      <c r="J1038" s="23" t="s">
        <v>327</v>
      </c>
    </row>
    <row r="1039" spans="1:10" s="20" customFormat="1" ht="12" x14ac:dyDescent="0.25">
      <c r="A1039" s="22">
        <v>1000020242</v>
      </c>
      <c r="B1039" s="23" t="s">
        <v>481</v>
      </c>
      <c r="C1039" s="24" t="s">
        <v>4</v>
      </c>
      <c r="D1039" s="23" t="s">
        <v>2090</v>
      </c>
      <c r="E1039" s="23">
        <v>1623.28</v>
      </c>
      <c r="F1039" s="23">
        <v>206</v>
      </c>
      <c r="G1039" s="23">
        <v>206</v>
      </c>
      <c r="H1039" s="23">
        <v>0</v>
      </c>
      <c r="I1039" s="23" t="s">
        <v>5</v>
      </c>
      <c r="J1039" s="23" t="s">
        <v>327</v>
      </c>
    </row>
    <row r="1040" spans="1:10" s="20" customFormat="1" ht="12" x14ac:dyDescent="0.25">
      <c r="A1040" s="22">
        <v>1000020432</v>
      </c>
      <c r="B1040" s="23" t="s">
        <v>659</v>
      </c>
      <c r="C1040" s="24" t="s">
        <v>4</v>
      </c>
      <c r="D1040" s="23" t="s">
        <v>2090</v>
      </c>
      <c r="E1040" s="23">
        <v>1622.68670688579</v>
      </c>
      <c r="F1040" s="23">
        <v>160</v>
      </c>
      <c r="G1040" s="23">
        <v>150</v>
      </c>
      <c r="H1040" s="23">
        <v>10</v>
      </c>
      <c r="I1040" s="23" t="s">
        <v>44</v>
      </c>
      <c r="J1040" s="23" t="s">
        <v>327</v>
      </c>
    </row>
    <row r="1041" spans="1:10" s="20" customFormat="1" ht="12" x14ac:dyDescent="0.25">
      <c r="A1041" s="22">
        <v>1000020738</v>
      </c>
      <c r="B1041" s="23" t="s">
        <v>946</v>
      </c>
      <c r="C1041" s="24" t="s">
        <v>4</v>
      </c>
      <c r="D1041" s="23" t="s">
        <v>2090</v>
      </c>
      <c r="E1041" s="23">
        <v>1622.25</v>
      </c>
      <c r="F1041" s="23">
        <v>5</v>
      </c>
      <c r="G1041" s="23">
        <v>5</v>
      </c>
      <c r="H1041" s="23">
        <v>0</v>
      </c>
      <c r="I1041" s="23" t="s">
        <v>5</v>
      </c>
      <c r="J1041" s="23" t="s">
        <v>327</v>
      </c>
    </row>
    <row r="1042" spans="1:10" s="20" customFormat="1" ht="12" x14ac:dyDescent="0.25">
      <c r="A1042" s="22">
        <v>1000020543</v>
      </c>
      <c r="B1042" s="23" t="s">
        <v>763</v>
      </c>
      <c r="C1042" s="24" t="s">
        <v>4</v>
      </c>
      <c r="D1042" s="23" t="s">
        <v>2090</v>
      </c>
      <c r="E1042" s="23">
        <v>1622.22</v>
      </c>
      <c r="F1042" s="23">
        <v>6</v>
      </c>
      <c r="G1042" s="23">
        <v>6</v>
      </c>
      <c r="H1042" s="23">
        <v>0</v>
      </c>
      <c r="I1042" s="23" t="s">
        <v>5</v>
      </c>
      <c r="J1042" s="23" t="s">
        <v>327</v>
      </c>
    </row>
    <row r="1043" spans="1:10" s="20" customFormat="1" ht="12" x14ac:dyDescent="0.25">
      <c r="A1043" s="22">
        <v>1000010167</v>
      </c>
      <c r="B1043" s="23" t="s">
        <v>3280</v>
      </c>
      <c r="C1043" s="24" t="s">
        <v>4</v>
      </c>
      <c r="D1043" s="23" t="s">
        <v>2161</v>
      </c>
      <c r="E1043" s="23">
        <v>1621.36767914438</v>
      </c>
      <c r="F1043" s="23">
        <v>6</v>
      </c>
      <c r="G1043" s="23">
        <v>6</v>
      </c>
      <c r="H1043" s="23">
        <v>0</v>
      </c>
      <c r="I1043" s="23" t="s">
        <v>5</v>
      </c>
      <c r="J1043" s="23" t="s">
        <v>111</v>
      </c>
    </row>
    <row r="1044" spans="1:10" s="20" customFormat="1" ht="12" x14ac:dyDescent="0.25">
      <c r="A1044" s="22">
        <v>1000020531</v>
      </c>
      <c r="B1044" s="23" t="s">
        <v>752</v>
      </c>
      <c r="C1044" s="24" t="s">
        <v>4</v>
      </c>
      <c r="D1044" s="23" t="s">
        <v>2090</v>
      </c>
      <c r="E1044" s="23">
        <v>1620.5714800824101</v>
      </c>
      <c r="F1044" s="23">
        <v>10</v>
      </c>
      <c r="G1044" s="23">
        <v>10</v>
      </c>
      <c r="H1044" s="23">
        <v>0</v>
      </c>
      <c r="I1044" s="23" t="s">
        <v>5</v>
      </c>
      <c r="J1044" s="23" t="s">
        <v>327</v>
      </c>
    </row>
    <row r="1045" spans="1:10" s="20" customFormat="1" ht="12" x14ac:dyDescent="0.25">
      <c r="A1045" s="22">
        <v>1000020117</v>
      </c>
      <c r="B1045" s="23" t="s">
        <v>372</v>
      </c>
      <c r="C1045" s="24" t="s">
        <v>4</v>
      </c>
      <c r="D1045" s="23" t="s">
        <v>2090</v>
      </c>
      <c r="E1045" s="23">
        <v>1618.9875</v>
      </c>
      <c r="F1045" s="23">
        <v>3</v>
      </c>
      <c r="G1045" s="23">
        <v>3</v>
      </c>
      <c r="H1045" s="23">
        <v>0</v>
      </c>
      <c r="I1045" s="23" t="s">
        <v>5</v>
      </c>
      <c r="J1045" s="23" t="s">
        <v>327</v>
      </c>
    </row>
    <row r="1046" spans="1:10" s="20" customFormat="1" ht="12" x14ac:dyDescent="0.25">
      <c r="A1046" s="22">
        <v>1000021212</v>
      </c>
      <c r="B1046" s="23" t="s">
        <v>1358</v>
      </c>
      <c r="C1046" s="24" t="s">
        <v>4</v>
      </c>
      <c r="D1046" s="23" t="s">
        <v>2090</v>
      </c>
      <c r="E1046" s="23">
        <v>1616.9559999999999</v>
      </c>
      <c r="F1046" s="23">
        <v>11</v>
      </c>
      <c r="G1046" s="23">
        <v>11</v>
      </c>
      <c r="H1046" s="23">
        <v>0</v>
      </c>
      <c r="I1046" s="23" t="s">
        <v>5</v>
      </c>
      <c r="J1046" s="23" t="s">
        <v>327</v>
      </c>
    </row>
    <row r="1047" spans="1:10" s="20" customFormat="1" ht="12" x14ac:dyDescent="0.25">
      <c r="A1047" s="22">
        <v>2100004757</v>
      </c>
      <c r="B1047" s="23" t="s">
        <v>3281</v>
      </c>
      <c r="C1047" s="24" t="s">
        <v>2030</v>
      </c>
      <c r="D1047" s="23" t="s">
        <v>2031</v>
      </c>
      <c r="E1047" s="23">
        <v>1615.0662500000001</v>
      </c>
      <c r="F1047" s="23">
        <v>7</v>
      </c>
      <c r="G1047" s="23">
        <v>7</v>
      </c>
      <c r="H1047" s="23">
        <v>0</v>
      </c>
      <c r="I1047" s="23" t="s">
        <v>5</v>
      </c>
      <c r="J1047" s="23" t="s">
        <v>138</v>
      </c>
    </row>
    <row r="1048" spans="1:10" s="20" customFormat="1" ht="12" x14ac:dyDescent="0.25">
      <c r="A1048" s="22">
        <v>1000100360</v>
      </c>
      <c r="B1048" s="23" t="s">
        <v>1701</v>
      </c>
      <c r="C1048" s="24" t="s">
        <v>4</v>
      </c>
      <c r="D1048" s="23" t="s">
        <v>2090</v>
      </c>
      <c r="E1048" s="23">
        <v>1612.4925000000001</v>
      </c>
      <c r="F1048" s="23">
        <v>34</v>
      </c>
      <c r="G1048" s="23">
        <v>34</v>
      </c>
      <c r="H1048" s="23">
        <v>0</v>
      </c>
      <c r="I1048" s="23" t="s">
        <v>5</v>
      </c>
      <c r="J1048" s="23" t="s">
        <v>327</v>
      </c>
    </row>
    <row r="1049" spans="1:10" s="20" customFormat="1" ht="12" x14ac:dyDescent="0.25">
      <c r="A1049" s="22">
        <v>1000096301</v>
      </c>
      <c r="B1049" s="23" t="s">
        <v>3282</v>
      </c>
      <c r="C1049" s="24" t="s">
        <v>4</v>
      </c>
      <c r="D1049" s="23" t="s">
        <v>2056</v>
      </c>
      <c r="E1049" s="23">
        <v>1606.5</v>
      </c>
      <c r="F1049" s="23">
        <v>4000</v>
      </c>
      <c r="G1049" s="23">
        <v>4000</v>
      </c>
      <c r="H1049" s="23">
        <v>0</v>
      </c>
      <c r="I1049" s="23" t="s">
        <v>5</v>
      </c>
      <c r="J1049" s="23" t="s">
        <v>1844</v>
      </c>
    </row>
    <row r="1050" spans="1:10" s="20" customFormat="1" ht="12" x14ac:dyDescent="0.25">
      <c r="A1050" s="22">
        <v>1000098434</v>
      </c>
      <c r="B1050" s="23" t="s">
        <v>1514</v>
      </c>
      <c r="C1050" s="24" t="s">
        <v>4</v>
      </c>
      <c r="D1050" s="23" t="s">
        <v>2090</v>
      </c>
      <c r="E1050" s="23">
        <v>1604.83</v>
      </c>
      <c r="F1050" s="23">
        <v>3</v>
      </c>
      <c r="G1050" s="23">
        <v>3</v>
      </c>
      <c r="H1050" s="23">
        <v>0</v>
      </c>
      <c r="I1050" s="23" t="s">
        <v>5</v>
      </c>
      <c r="J1050" s="23" t="s">
        <v>327</v>
      </c>
    </row>
    <row r="1051" spans="1:10" s="20" customFormat="1" ht="12" x14ac:dyDescent="0.25">
      <c r="A1051" s="22">
        <v>1000021464</v>
      </c>
      <c r="B1051" s="23" t="s">
        <v>3284</v>
      </c>
      <c r="C1051" s="24" t="s">
        <v>4</v>
      </c>
      <c r="D1051" s="23" t="s">
        <v>2218</v>
      </c>
      <c r="E1051" s="23">
        <v>1604.04</v>
      </c>
      <c r="F1051" s="23">
        <v>12</v>
      </c>
      <c r="G1051" s="23">
        <v>0</v>
      </c>
      <c r="H1051" s="23">
        <v>12</v>
      </c>
      <c r="I1051" s="23" t="s">
        <v>71</v>
      </c>
      <c r="J1051" s="23" t="s">
        <v>327</v>
      </c>
    </row>
    <row r="1052" spans="1:10" s="20" customFormat="1" ht="12" x14ac:dyDescent="0.25">
      <c r="A1052" s="22">
        <v>1000020398</v>
      </c>
      <c r="B1052" s="23" t="s">
        <v>628</v>
      </c>
      <c r="C1052" s="24" t="s">
        <v>4</v>
      </c>
      <c r="D1052" s="23" t="s">
        <v>2090</v>
      </c>
      <c r="E1052" s="23">
        <v>1603.82</v>
      </c>
      <c r="F1052" s="23">
        <v>1</v>
      </c>
      <c r="G1052" s="23">
        <v>1</v>
      </c>
      <c r="H1052" s="23">
        <v>0</v>
      </c>
      <c r="I1052" s="23" t="s">
        <v>5</v>
      </c>
      <c r="J1052" s="23" t="s">
        <v>327</v>
      </c>
    </row>
    <row r="1053" spans="1:10" s="20" customFormat="1" ht="12" x14ac:dyDescent="0.25">
      <c r="A1053" s="22">
        <v>1000096398</v>
      </c>
      <c r="B1053" s="23" t="s">
        <v>3286</v>
      </c>
      <c r="C1053" s="24" t="s">
        <v>4</v>
      </c>
      <c r="D1053" s="23" t="s">
        <v>2056</v>
      </c>
      <c r="E1053" s="23">
        <v>1601.4471524666601</v>
      </c>
      <c r="F1053" s="23">
        <v>4</v>
      </c>
      <c r="G1053" s="23">
        <v>4</v>
      </c>
      <c r="H1053" s="23">
        <v>0</v>
      </c>
      <c r="I1053" s="23" t="s">
        <v>5</v>
      </c>
      <c r="J1053" s="23" t="s">
        <v>1844</v>
      </c>
    </row>
    <row r="1054" spans="1:10" s="20" customFormat="1" ht="12" x14ac:dyDescent="0.25">
      <c r="A1054" s="22">
        <v>2500001536</v>
      </c>
      <c r="B1054" s="23" t="s">
        <v>3290</v>
      </c>
      <c r="C1054" s="24" t="s">
        <v>1996</v>
      </c>
      <c r="D1054" s="23" t="s">
        <v>2025</v>
      </c>
      <c r="E1054" s="23">
        <v>1599.94</v>
      </c>
      <c r="F1054" s="23">
        <v>17</v>
      </c>
      <c r="G1054" s="23">
        <v>17</v>
      </c>
      <c r="H1054" s="23">
        <v>0</v>
      </c>
      <c r="I1054" s="23" t="s">
        <v>5</v>
      </c>
      <c r="J1054" s="23" t="s">
        <v>1993</v>
      </c>
    </row>
    <row r="1055" spans="1:10" s="20" customFormat="1" ht="12" x14ac:dyDescent="0.25">
      <c r="A1055" s="22">
        <v>1000020845</v>
      </c>
      <c r="B1055" s="23" t="s">
        <v>1038</v>
      </c>
      <c r="C1055" s="24" t="s">
        <v>4</v>
      </c>
      <c r="D1055" s="23" t="s">
        <v>2218</v>
      </c>
      <c r="E1055" s="23">
        <v>1586.7</v>
      </c>
      <c r="F1055" s="23">
        <v>6</v>
      </c>
      <c r="G1055" s="23">
        <v>6</v>
      </c>
      <c r="H1055" s="23">
        <v>0</v>
      </c>
      <c r="I1055" s="23" t="s">
        <v>5</v>
      </c>
      <c r="J1055" s="23" t="s">
        <v>327</v>
      </c>
    </row>
    <row r="1056" spans="1:10" s="20" customFormat="1" ht="12" x14ac:dyDescent="0.25">
      <c r="A1056" s="22">
        <v>1000098612</v>
      </c>
      <c r="B1056" s="23" t="s">
        <v>3292</v>
      </c>
      <c r="C1056" s="24" t="s">
        <v>4</v>
      </c>
      <c r="D1056" s="23" t="s">
        <v>2218</v>
      </c>
      <c r="E1056" s="23">
        <v>1586.01307692307</v>
      </c>
      <c r="F1056" s="23">
        <v>8</v>
      </c>
      <c r="G1056" s="23">
        <v>8</v>
      </c>
      <c r="H1056" s="23">
        <v>0</v>
      </c>
      <c r="I1056" s="23" t="s">
        <v>5</v>
      </c>
      <c r="J1056" s="23" t="s">
        <v>327</v>
      </c>
    </row>
    <row r="1057" spans="1:10" s="20" customFormat="1" ht="12" x14ac:dyDescent="0.25">
      <c r="A1057" s="22">
        <v>1000020218</v>
      </c>
      <c r="B1057" s="23" t="s">
        <v>458</v>
      </c>
      <c r="C1057" s="24" t="s">
        <v>4</v>
      </c>
      <c r="D1057" s="23" t="s">
        <v>2090</v>
      </c>
      <c r="E1057" s="23">
        <v>1584.26</v>
      </c>
      <c r="F1057" s="23">
        <v>18</v>
      </c>
      <c r="G1057" s="23">
        <v>18</v>
      </c>
      <c r="H1057" s="23">
        <v>0</v>
      </c>
      <c r="I1057" s="23" t="s">
        <v>5</v>
      </c>
      <c r="J1057" s="23" t="s">
        <v>327</v>
      </c>
    </row>
    <row r="1058" spans="1:10" s="20" customFormat="1" ht="12" x14ac:dyDescent="0.25">
      <c r="A1058" s="22">
        <v>1000100338</v>
      </c>
      <c r="B1058" s="23" t="s">
        <v>3294</v>
      </c>
      <c r="C1058" s="24" t="s">
        <v>4</v>
      </c>
      <c r="D1058" s="23" t="s">
        <v>2090</v>
      </c>
      <c r="E1058" s="23">
        <v>1584</v>
      </c>
      <c r="F1058" s="23">
        <v>25</v>
      </c>
      <c r="G1058" s="23">
        <v>25</v>
      </c>
      <c r="H1058" s="23">
        <v>0</v>
      </c>
      <c r="I1058" s="23" t="s">
        <v>5</v>
      </c>
      <c r="J1058" s="23" t="s">
        <v>327</v>
      </c>
    </row>
    <row r="1059" spans="1:10" s="20" customFormat="1" ht="12" x14ac:dyDescent="0.25">
      <c r="A1059" s="22">
        <v>1000100416</v>
      </c>
      <c r="B1059" s="23" t="s">
        <v>1730</v>
      </c>
      <c r="C1059" s="24" t="s">
        <v>4</v>
      </c>
      <c r="D1059" s="23" t="s">
        <v>2090</v>
      </c>
      <c r="E1059" s="23">
        <v>1583.1</v>
      </c>
      <c r="F1059" s="23">
        <v>3</v>
      </c>
      <c r="G1059" s="23">
        <v>3</v>
      </c>
      <c r="H1059" s="23">
        <v>0</v>
      </c>
      <c r="I1059" s="23" t="s">
        <v>5</v>
      </c>
      <c r="J1059" s="23" t="s">
        <v>327</v>
      </c>
    </row>
    <row r="1060" spans="1:10" s="20" customFormat="1" ht="12" x14ac:dyDescent="0.25">
      <c r="A1060" s="22">
        <v>2500009194</v>
      </c>
      <c r="B1060" s="23" t="s">
        <v>3296</v>
      </c>
      <c r="C1060" s="24" t="s">
        <v>1996</v>
      </c>
      <c r="D1060" s="23" t="s">
        <v>2025</v>
      </c>
      <c r="E1060" s="23">
        <v>1579.5</v>
      </c>
      <c r="F1060" s="23">
        <v>3</v>
      </c>
      <c r="G1060" s="23">
        <v>3</v>
      </c>
      <c r="H1060" s="23">
        <v>0</v>
      </c>
      <c r="I1060" s="23" t="s">
        <v>5</v>
      </c>
      <c r="J1060" s="23" t="s">
        <v>1993</v>
      </c>
    </row>
    <row r="1061" spans="1:10" s="20" customFormat="1" ht="12" x14ac:dyDescent="0.25">
      <c r="A1061" s="22">
        <v>2500008138</v>
      </c>
      <c r="B1061" s="23" t="s">
        <v>3297</v>
      </c>
      <c r="C1061" s="24" t="s">
        <v>1996</v>
      </c>
      <c r="D1061" s="23" t="s">
        <v>2025</v>
      </c>
      <c r="E1061" s="23">
        <v>1577.52</v>
      </c>
      <c r="F1061" s="23">
        <v>2</v>
      </c>
      <c r="G1061" s="23">
        <v>2</v>
      </c>
      <c r="H1061" s="23">
        <v>0</v>
      </c>
      <c r="I1061" s="23" t="s">
        <v>5</v>
      </c>
      <c r="J1061" s="23" t="s">
        <v>1993</v>
      </c>
    </row>
    <row r="1062" spans="1:10" s="20" customFormat="1" ht="12" x14ac:dyDescent="0.25">
      <c r="A1062" s="22">
        <v>1000098685</v>
      </c>
      <c r="B1062" s="23" t="s">
        <v>1638</v>
      </c>
      <c r="C1062" s="24" t="s">
        <v>4</v>
      </c>
      <c r="D1062" s="23" t="s">
        <v>2090</v>
      </c>
      <c r="E1062" s="23">
        <v>1576.8150000000001</v>
      </c>
      <c r="F1062" s="23">
        <v>1</v>
      </c>
      <c r="G1062" s="23">
        <v>1</v>
      </c>
      <c r="H1062" s="23">
        <v>0</v>
      </c>
      <c r="I1062" s="23" t="s">
        <v>5</v>
      </c>
      <c r="J1062" s="23" t="s">
        <v>327</v>
      </c>
    </row>
    <row r="1063" spans="1:10" s="20" customFormat="1" ht="12" x14ac:dyDescent="0.25">
      <c r="A1063" s="22">
        <v>1000103151</v>
      </c>
      <c r="B1063" s="23" t="s">
        <v>3299</v>
      </c>
      <c r="C1063" s="24" t="s">
        <v>4</v>
      </c>
      <c r="D1063" s="23" t="s">
        <v>2090</v>
      </c>
      <c r="E1063" s="23">
        <v>1575.9</v>
      </c>
      <c r="F1063" s="23">
        <v>26</v>
      </c>
      <c r="G1063" s="23">
        <v>26</v>
      </c>
      <c r="H1063" s="23">
        <v>0</v>
      </c>
      <c r="I1063" s="23" t="s">
        <v>5</v>
      </c>
      <c r="J1063" s="23" t="s">
        <v>327</v>
      </c>
    </row>
    <row r="1064" spans="1:10" s="20" customFormat="1" ht="12" x14ac:dyDescent="0.25">
      <c r="A1064" s="22">
        <v>2500008576</v>
      </c>
      <c r="B1064" s="23" t="s">
        <v>3302</v>
      </c>
      <c r="C1064" s="24" t="s">
        <v>1996</v>
      </c>
      <c r="D1064" s="23" t="s">
        <v>2117</v>
      </c>
      <c r="E1064" s="23">
        <v>1575</v>
      </c>
      <c r="F1064" s="23">
        <v>2</v>
      </c>
      <c r="G1064" s="23">
        <v>2</v>
      </c>
      <c r="H1064" s="23">
        <v>0</v>
      </c>
      <c r="I1064" s="23" t="s">
        <v>5</v>
      </c>
      <c r="J1064" s="23" t="s">
        <v>1993</v>
      </c>
    </row>
    <row r="1065" spans="1:10" s="20" customFormat="1" ht="12" x14ac:dyDescent="0.25">
      <c r="A1065" s="22">
        <v>1000020638</v>
      </c>
      <c r="B1065" s="23" t="s">
        <v>853</v>
      </c>
      <c r="C1065" s="24" t="s">
        <v>4</v>
      </c>
      <c r="D1065" s="23" t="s">
        <v>2090</v>
      </c>
      <c r="E1065" s="23">
        <v>1573.32</v>
      </c>
      <c r="F1065" s="23">
        <v>84</v>
      </c>
      <c r="G1065" s="23">
        <v>84</v>
      </c>
      <c r="H1065" s="23">
        <v>0</v>
      </c>
      <c r="I1065" s="23" t="s">
        <v>5</v>
      </c>
      <c r="J1065" s="23" t="s">
        <v>327</v>
      </c>
    </row>
    <row r="1066" spans="1:10" s="20" customFormat="1" ht="12" x14ac:dyDescent="0.25">
      <c r="A1066" s="22">
        <v>2200000252</v>
      </c>
      <c r="B1066" s="23" t="s">
        <v>3304</v>
      </c>
      <c r="C1066" s="24" t="s">
        <v>2037</v>
      </c>
      <c r="D1066" s="23" t="s">
        <v>2038</v>
      </c>
      <c r="E1066" s="23">
        <v>1568.99450980392</v>
      </c>
      <c r="F1066" s="23">
        <v>4</v>
      </c>
      <c r="G1066" s="23">
        <v>4</v>
      </c>
      <c r="H1066" s="23">
        <v>0</v>
      </c>
      <c r="I1066" s="23" t="s">
        <v>5</v>
      </c>
      <c r="J1066" s="23" t="s">
        <v>146</v>
      </c>
    </row>
    <row r="1067" spans="1:10" s="20" customFormat="1" ht="12" x14ac:dyDescent="0.25">
      <c r="A1067" s="22">
        <v>1000102726</v>
      </c>
      <c r="B1067" s="23" t="s">
        <v>3305</v>
      </c>
      <c r="C1067" s="24" t="s">
        <v>4</v>
      </c>
      <c r="D1067" s="23" t="s">
        <v>2090</v>
      </c>
      <c r="E1067" s="23">
        <v>1563.75</v>
      </c>
      <c r="F1067" s="23">
        <v>20</v>
      </c>
      <c r="G1067" s="23">
        <v>20</v>
      </c>
      <c r="H1067" s="23">
        <v>0</v>
      </c>
      <c r="I1067" s="23" t="s">
        <v>5</v>
      </c>
      <c r="J1067" s="23" t="s">
        <v>327</v>
      </c>
    </row>
    <row r="1068" spans="1:10" s="20" customFormat="1" ht="12" x14ac:dyDescent="0.25">
      <c r="A1068" s="22">
        <v>1000021245</v>
      </c>
      <c r="B1068" s="23" t="s">
        <v>1390</v>
      </c>
      <c r="C1068" s="24" t="s">
        <v>4</v>
      </c>
      <c r="D1068" s="23" t="s">
        <v>2090</v>
      </c>
      <c r="E1068" s="23">
        <v>1557.69</v>
      </c>
      <c r="F1068" s="23">
        <v>4</v>
      </c>
      <c r="G1068" s="23">
        <v>4</v>
      </c>
      <c r="H1068" s="23">
        <v>0</v>
      </c>
      <c r="I1068" s="23" t="s">
        <v>5</v>
      </c>
      <c r="J1068" s="23" t="s">
        <v>327</v>
      </c>
    </row>
    <row r="1069" spans="1:10" s="20" customFormat="1" ht="12" x14ac:dyDescent="0.25">
      <c r="A1069" s="22">
        <v>1000021010</v>
      </c>
      <c r="B1069" s="23" t="s">
        <v>1182</v>
      </c>
      <c r="C1069" s="24" t="s">
        <v>4</v>
      </c>
      <c r="D1069" s="23" t="s">
        <v>2090</v>
      </c>
      <c r="E1069" s="23">
        <v>1555.25714285714</v>
      </c>
      <c r="F1069" s="23">
        <v>8</v>
      </c>
      <c r="G1069" s="23">
        <v>8</v>
      </c>
      <c r="H1069" s="23">
        <v>0</v>
      </c>
      <c r="I1069" s="23" t="s">
        <v>5</v>
      </c>
      <c r="J1069" s="23" t="s">
        <v>327</v>
      </c>
    </row>
    <row r="1070" spans="1:10" s="20" customFormat="1" ht="12" x14ac:dyDescent="0.25">
      <c r="A1070" s="22">
        <v>1000101194</v>
      </c>
      <c r="B1070" s="23" t="s">
        <v>3306</v>
      </c>
      <c r="C1070" s="24" t="s">
        <v>4</v>
      </c>
      <c r="D1070" s="23" t="s">
        <v>2056</v>
      </c>
      <c r="E1070" s="23">
        <v>1542.5550000000001</v>
      </c>
      <c r="F1070" s="23">
        <v>180</v>
      </c>
      <c r="G1070" s="23">
        <v>180</v>
      </c>
      <c r="H1070" s="23">
        <v>0</v>
      </c>
      <c r="I1070" s="23" t="s">
        <v>5</v>
      </c>
      <c r="J1070" s="23" t="s">
        <v>1844</v>
      </c>
    </row>
    <row r="1071" spans="1:10" s="20" customFormat="1" ht="12" x14ac:dyDescent="0.25">
      <c r="A1071" s="22">
        <v>1000020700</v>
      </c>
      <c r="B1071" s="23" t="s">
        <v>910</v>
      </c>
      <c r="C1071" s="24" t="s">
        <v>4</v>
      </c>
      <c r="D1071" s="23" t="s">
        <v>2090</v>
      </c>
      <c r="E1071" s="23">
        <v>1538.00052380952</v>
      </c>
      <c r="F1071" s="23">
        <v>17</v>
      </c>
      <c r="G1071" s="23">
        <v>17</v>
      </c>
      <c r="H1071" s="23">
        <v>0</v>
      </c>
      <c r="I1071" s="23" t="s">
        <v>5</v>
      </c>
      <c r="J1071" s="23" t="s">
        <v>327</v>
      </c>
    </row>
    <row r="1072" spans="1:10" s="20" customFormat="1" ht="12" x14ac:dyDescent="0.25">
      <c r="A1072" s="22">
        <v>1000098517</v>
      </c>
      <c r="B1072" s="23" t="s">
        <v>1553</v>
      </c>
      <c r="C1072" s="24" t="s">
        <v>4</v>
      </c>
      <c r="D1072" s="23" t="s">
        <v>2090</v>
      </c>
      <c r="E1072" s="23">
        <v>1536.375</v>
      </c>
      <c r="F1072" s="23">
        <v>1</v>
      </c>
      <c r="G1072" s="23">
        <v>1</v>
      </c>
      <c r="H1072" s="23">
        <v>0</v>
      </c>
      <c r="I1072" s="23" t="s">
        <v>5</v>
      </c>
      <c r="J1072" s="23" t="s">
        <v>327</v>
      </c>
    </row>
    <row r="1073" spans="1:10" s="20" customFormat="1" ht="12" x14ac:dyDescent="0.25">
      <c r="A1073" s="22">
        <v>1000102122</v>
      </c>
      <c r="B1073" s="23" t="s">
        <v>3307</v>
      </c>
      <c r="C1073" s="24" t="s">
        <v>4</v>
      </c>
      <c r="D1073" s="23" t="s">
        <v>2056</v>
      </c>
      <c r="E1073" s="23">
        <v>1535.70488</v>
      </c>
      <c r="F1073" s="23">
        <v>302</v>
      </c>
      <c r="G1073" s="23">
        <v>302</v>
      </c>
      <c r="H1073" s="23">
        <v>0</v>
      </c>
      <c r="I1073" s="23" t="s">
        <v>5</v>
      </c>
      <c r="J1073" s="23" t="s">
        <v>1844</v>
      </c>
    </row>
    <row r="1074" spans="1:10" s="20" customFormat="1" ht="12" x14ac:dyDescent="0.25">
      <c r="A1074" s="22">
        <v>1000020507</v>
      </c>
      <c r="B1074" s="23" t="s">
        <v>730</v>
      </c>
      <c r="C1074" s="24" t="s">
        <v>4</v>
      </c>
      <c r="D1074" s="23" t="s">
        <v>2090</v>
      </c>
      <c r="E1074" s="23">
        <v>1531.33615384615</v>
      </c>
      <c r="F1074" s="23">
        <v>21</v>
      </c>
      <c r="G1074" s="23">
        <v>21</v>
      </c>
      <c r="H1074" s="23">
        <v>0</v>
      </c>
      <c r="I1074" s="23" t="s">
        <v>5</v>
      </c>
      <c r="J1074" s="23" t="s">
        <v>327</v>
      </c>
    </row>
    <row r="1075" spans="1:10" s="20" customFormat="1" ht="12" x14ac:dyDescent="0.25">
      <c r="A1075" s="22">
        <v>1000103219</v>
      </c>
      <c r="B1075" s="23" t="s">
        <v>1862</v>
      </c>
      <c r="C1075" s="24" t="s">
        <v>4</v>
      </c>
      <c r="D1075" s="23" t="s">
        <v>2056</v>
      </c>
      <c r="E1075" s="23">
        <v>1517.83</v>
      </c>
      <c r="F1075" s="23">
        <v>4</v>
      </c>
      <c r="G1075" s="23">
        <v>4</v>
      </c>
      <c r="H1075" s="23">
        <v>0</v>
      </c>
      <c r="I1075" s="23" t="s">
        <v>5</v>
      </c>
      <c r="J1075" s="23" t="s">
        <v>1844</v>
      </c>
    </row>
    <row r="1076" spans="1:10" s="20" customFormat="1" ht="12" x14ac:dyDescent="0.25">
      <c r="A1076" s="22">
        <v>1000020435</v>
      </c>
      <c r="B1076" s="23" t="s">
        <v>662</v>
      </c>
      <c r="C1076" s="24" t="s">
        <v>4</v>
      </c>
      <c r="D1076" s="23" t="s">
        <v>2218</v>
      </c>
      <c r="E1076" s="23">
        <v>1517.5609756097499</v>
      </c>
      <c r="F1076" s="23">
        <v>170</v>
      </c>
      <c r="G1076" s="23">
        <v>170</v>
      </c>
      <c r="H1076" s="23">
        <v>0</v>
      </c>
      <c r="I1076" s="23" t="s">
        <v>5</v>
      </c>
      <c r="J1076" s="23" t="s">
        <v>327</v>
      </c>
    </row>
    <row r="1077" spans="1:10" s="20" customFormat="1" ht="12" x14ac:dyDescent="0.25">
      <c r="A1077" s="22">
        <v>1000020796</v>
      </c>
      <c r="B1077" s="23" t="s">
        <v>1000</v>
      </c>
      <c r="C1077" s="24" t="s">
        <v>4</v>
      </c>
      <c r="D1077" s="23" t="s">
        <v>2090</v>
      </c>
      <c r="E1077" s="23">
        <v>1515.74</v>
      </c>
      <c r="F1077" s="23">
        <v>11</v>
      </c>
      <c r="G1077" s="23">
        <v>11</v>
      </c>
      <c r="H1077" s="23">
        <v>0</v>
      </c>
      <c r="I1077" s="23" t="s">
        <v>5</v>
      </c>
      <c r="J1077" s="23" t="s">
        <v>327</v>
      </c>
    </row>
    <row r="1078" spans="1:10" s="20" customFormat="1" ht="12" x14ac:dyDescent="0.25">
      <c r="A1078" s="22">
        <v>1000100748</v>
      </c>
      <c r="B1078" s="23" t="s">
        <v>1749</v>
      </c>
      <c r="C1078" s="24" t="s">
        <v>4</v>
      </c>
      <c r="D1078" s="23" t="s">
        <v>2090</v>
      </c>
      <c r="E1078" s="23">
        <v>1515</v>
      </c>
      <c r="F1078" s="23">
        <v>20</v>
      </c>
      <c r="G1078" s="23">
        <v>20</v>
      </c>
      <c r="H1078" s="23">
        <v>0</v>
      </c>
      <c r="I1078" s="23" t="s">
        <v>5</v>
      </c>
      <c r="J1078" s="23" t="s">
        <v>327</v>
      </c>
    </row>
    <row r="1079" spans="1:10" s="20" customFormat="1" ht="12" x14ac:dyDescent="0.25">
      <c r="A1079" s="22">
        <v>1000021273</v>
      </c>
      <c r="B1079" s="23" t="s">
        <v>1412</v>
      </c>
      <c r="C1079" s="24" t="s">
        <v>4</v>
      </c>
      <c r="D1079" s="23" t="s">
        <v>2090</v>
      </c>
      <c r="E1079" s="23">
        <v>1509.25</v>
      </c>
      <c r="F1079" s="23">
        <v>27</v>
      </c>
      <c r="G1079" s="23">
        <v>27</v>
      </c>
      <c r="H1079" s="23">
        <v>0</v>
      </c>
      <c r="I1079" s="23" t="s">
        <v>5</v>
      </c>
      <c r="J1079" s="23" t="s">
        <v>327</v>
      </c>
    </row>
    <row r="1080" spans="1:10" s="20" customFormat="1" ht="12" x14ac:dyDescent="0.25">
      <c r="A1080" s="22">
        <v>1000098075</v>
      </c>
      <c r="B1080" s="23" t="s">
        <v>3310</v>
      </c>
      <c r="C1080" s="24" t="s">
        <v>4</v>
      </c>
      <c r="D1080" s="23" t="s">
        <v>2090</v>
      </c>
      <c r="E1080" s="23">
        <v>1504.04</v>
      </c>
      <c r="F1080" s="23">
        <v>4</v>
      </c>
      <c r="G1080" s="23">
        <v>4</v>
      </c>
      <c r="H1080" s="23">
        <v>0</v>
      </c>
      <c r="I1080" s="23" t="s">
        <v>5</v>
      </c>
      <c r="J1080" s="23" t="s">
        <v>327</v>
      </c>
    </row>
    <row r="1081" spans="1:10" s="20" customFormat="1" ht="12" x14ac:dyDescent="0.25">
      <c r="A1081" s="22">
        <v>1000104057</v>
      </c>
      <c r="B1081" s="23" t="s">
        <v>3311</v>
      </c>
      <c r="C1081" s="24" t="s">
        <v>4</v>
      </c>
      <c r="D1081" s="23" t="s">
        <v>2161</v>
      </c>
      <c r="E1081" s="23">
        <v>1501.2</v>
      </c>
      <c r="F1081" s="23">
        <v>9</v>
      </c>
      <c r="G1081" s="23">
        <v>9</v>
      </c>
      <c r="H1081" s="23">
        <v>0</v>
      </c>
      <c r="I1081" s="23" t="s">
        <v>5</v>
      </c>
      <c r="J1081" s="23" t="s">
        <v>111</v>
      </c>
    </row>
    <row r="1082" spans="1:10" s="20" customFormat="1" ht="12" x14ac:dyDescent="0.25">
      <c r="A1082" s="22">
        <v>1000021439</v>
      </c>
      <c r="B1082" s="23" t="s">
        <v>1483</v>
      </c>
      <c r="C1082" s="24" t="s">
        <v>4</v>
      </c>
      <c r="D1082" s="23" t="s">
        <v>2090</v>
      </c>
      <c r="E1082" s="23">
        <v>1499.82137931034</v>
      </c>
      <c r="F1082" s="23">
        <v>2</v>
      </c>
      <c r="G1082" s="23">
        <v>2</v>
      </c>
      <c r="H1082" s="23">
        <v>0</v>
      </c>
      <c r="I1082" s="23" t="s">
        <v>5</v>
      </c>
      <c r="J1082" s="23" t="s">
        <v>327</v>
      </c>
    </row>
    <row r="1083" spans="1:10" s="20" customFormat="1" ht="12" x14ac:dyDescent="0.25">
      <c r="A1083" s="22">
        <v>1000098639</v>
      </c>
      <c r="B1083" s="23" t="s">
        <v>1617</v>
      </c>
      <c r="C1083" s="24" t="s">
        <v>4</v>
      </c>
      <c r="D1083" s="23" t="s">
        <v>2090</v>
      </c>
      <c r="E1083" s="23">
        <v>1496.18</v>
      </c>
      <c r="F1083" s="23">
        <v>2</v>
      </c>
      <c r="G1083" s="23">
        <v>2</v>
      </c>
      <c r="H1083" s="23">
        <v>0</v>
      </c>
      <c r="I1083" s="23" t="s">
        <v>5</v>
      </c>
      <c r="J1083" s="23" t="s">
        <v>327</v>
      </c>
    </row>
    <row r="1084" spans="1:10" s="20" customFormat="1" ht="12" x14ac:dyDescent="0.25">
      <c r="A1084" s="22">
        <v>1000020585</v>
      </c>
      <c r="B1084" s="23" t="s">
        <v>801</v>
      </c>
      <c r="C1084" s="24" t="s">
        <v>4</v>
      </c>
      <c r="D1084" s="23" t="s">
        <v>2090</v>
      </c>
      <c r="E1084" s="23">
        <v>1490.75</v>
      </c>
      <c r="F1084" s="23">
        <v>25</v>
      </c>
      <c r="G1084" s="23">
        <v>25</v>
      </c>
      <c r="H1084" s="23">
        <v>0</v>
      </c>
      <c r="I1084" s="23" t="s">
        <v>5</v>
      </c>
      <c r="J1084" s="23" t="s">
        <v>327</v>
      </c>
    </row>
    <row r="1085" spans="1:10" s="20" customFormat="1" ht="12" x14ac:dyDescent="0.25">
      <c r="A1085" s="22">
        <v>1000095478</v>
      </c>
      <c r="B1085" s="23" t="s">
        <v>3312</v>
      </c>
      <c r="C1085" s="24" t="s">
        <v>4</v>
      </c>
      <c r="D1085" s="23" t="s">
        <v>2056</v>
      </c>
      <c r="E1085" s="23">
        <v>1489.125</v>
      </c>
      <c r="F1085" s="23">
        <v>4750</v>
      </c>
      <c r="G1085" s="23">
        <v>4750</v>
      </c>
      <c r="H1085" s="23">
        <v>0</v>
      </c>
      <c r="I1085" s="23" t="s">
        <v>5</v>
      </c>
      <c r="J1085" s="23" t="s">
        <v>1844</v>
      </c>
    </row>
    <row r="1086" spans="1:10" s="20" customFormat="1" ht="12" x14ac:dyDescent="0.25">
      <c r="A1086" s="22">
        <v>1000020273</v>
      </c>
      <c r="B1086" s="23" t="s">
        <v>510</v>
      </c>
      <c r="C1086" s="24" t="s">
        <v>4</v>
      </c>
      <c r="D1086" s="23" t="s">
        <v>2090</v>
      </c>
      <c r="E1086" s="23">
        <v>1487.64</v>
      </c>
      <c r="F1086" s="23">
        <v>77</v>
      </c>
      <c r="G1086" s="23">
        <v>77</v>
      </c>
      <c r="H1086" s="23">
        <v>0</v>
      </c>
      <c r="I1086" s="23" t="s">
        <v>5</v>
      </c>
      <c r="J1086" s="23" t="s">
        <v>327</v>
      </c>
    </row>
    <row r="1087" spans="1:10" s="20" customFormat="1" ht="12" x14ac:dyDescent="0.25">
      <c r="A1087" s="22">
        <v>1000098711</v>
      </c>
      <c r="B1087" s="23" t="s">
        <v>1659</v>
      </c>
      <c r="C1087" s="24" t="s">
        <v>4</v>
      </c>
      <c r="D1087" s="23" t="s">
        <v>2090</v>
      </c>
      <c r="E1087" s="23">
        <v>1483.37</v>
      </c>
      <c r="F1087" s="23">
        <v>2</v>
      </c>
      <c r="G1087" s="23">
        <v>2</v>
      </c>
      <c r="H1087" s="23">
        <v>0</v>
      </c>
      <c r="I1087" s="23" t="s">
        <v>5</v>
      </c>
      <c r="J1087" s="23" t="s">
        <v>327</v>
      </c>
    </row>
    <row r="1088" spans="1:10" s="20" customFormat="1" ht="12" x14ac:dyDescent="0.25">
      <c r="A1088" s="22">
        <v>1000096342</v>
      </c>
      <c r="B1088" s="23" t="s">
        <v>2396</v>
      </c>
      <c r="C1088" s="24" t="s">
        <v>4</v>
      </c>
      <c r="D1088" s="23" t="s">
        <v>2056</v>
      </c>
      <c r="E1088" s="23">
        <v>1483.1034999999999</v>
      </c>
      <c r="F1088" s="23">
        <v>145</v>
      </c>
      <c r="G1088" s="23">
        <v>145</v>
      </c>
      <c r="H1088" s="23">
        <v>0</v>
      </c>
      <c r="I1088" s="23" t="s">
        <v>5</v>
      </c>
      <c r="J1088" s="23" t="s">
        <v>1844</v>
      </c>
    </row>
    <row r="1089" spans="1:10" s="20" customFormat="1" ht="12" x14ac:dyDescent="0.25">
      <c r="A1089" s="22">
        <v>2700000173</v>
      </c>
      <c r="B1089" s="23" t="s">
        <v>277</v>
      </c>
      <c r="C1089" s="24" t="s">
        <v>2037</v>
      </c>
      <c r="D1089" s="23" t="s">
        <v>2038</v>
      </c>
      <c r="E1089" s="23">
        <v>1482.88178787878</v>
      </c>
      <c r="F1089" s="23">
        <v>1</v>
      </c>
      <c r="G1089" s="23">
        <v>1</v>
      </c>
      <c r="H1089" s="23">
        <v>0</v>
      </c>
      <c r="I1089" s="23" t="s">
        <v>5</v>
      </c>
      <c r="J1089" s="23" t="s">
        <v>146</v>
      </c>
    </row>
    <row r="1090" spans="1:10" s="20" customFormat="1" ht="12" x14ac:dyDescent="0.25">
      <c r="A1090" s="22">
        <v>1000102202</v>
      </c>
      <c r="B1090" s="23" t="s">
        <v>1765</v>
      </c>
      <c r="C1090" s="24" t="s">
        <v>4</v>
      </c>
      <c r="D1090" s="23" t="s">
        <v>2090</v>
      </c>
      <c r="E1090" s="23">
        <v>1481.5374999999999</v>
      </c>
      <c r="F1090" s="23">
        <v>20</v>
      </c>
      <c r="G1090" s="23">
        <v>20</v>
      </c>
      <c r="H1090" s="23">
        <v>0</v>
      </c>
      <c r="I1090" s="23" t="s">
        <v>5</v>
      </c>
      <c r="J1090" s="23" t="s">
        <v>327</v>
      </c>
    </row>
    <row r="1091" spans="1:10" s="20" customFormat="1" ht="12" x14ac:dyDescent="0.25">
      <c r="A1091" s="22">
        <v>1000010146</v>
      </c>
      <c r="B1091" s="23" t="s">
        <v>3319</v>
      </c>
      <c r="C1091" s="24" t="s">
        <v>4</v>
      </c>
      <c r="D1091" s="23" t="s">
        <v>2230</v>
      </c>
      <c r="E1091" s="23">
        <v>1477.9549999999999</v>
      </c>
      <c r="F1091" s="23">
        <v>2</v>
      </c>
      <c r="G1091" s="23">
        <v>2</v>
      </c>
      <c r="H1091" s="23">
        <v>0</v>
      </c>
      <c r="I1091" s="23" t="s">
        <v>5</v>
      </c>
      <c r="J1091" s="23" t="s">
        <v>111</v>
      </c>
    </row>
    <row r="1092" spans="1:10" s="20" customFormat="1" ht="12" x14ac:dyDescent="0.25">
      <c r="A1092" s="22">
        <v>1000020479</v>
      </c>
      <c r="B1092" s="23" t="s">
        <v>705</v>
      </c>
      <c r="C1092" s="24" t="s">
        <v>4</v>
      </c>
      <c r="D1092" s="23" t="s">
        <v>2090</v>
      </c>
      <c r="E1092" s="23">
        <v>1474.98133242784</v>
      </c>
      <c r="F1092" s="23">
        <v>36</v>
      </c>
      <c r="G1092" s="23">
        <v>36</v>
      </c>
      <c r="H1092" s="23">
        <v>0</v>
      </c>
      <c r="I1092" s="23" t="s">
        <v>5</v>
      </c>
      <c r="J1092" s="23" t="s">
        <v>327</v>
      </c>
    </row>
    <row r="1093" spans="1:10" s="20" customFormat="1" ht="12" x14ac:dyDescent="0.25">
      <c r="A1093" s="22">
        <v>1000098622</v>
      </c>
      <c r="B1093" s="23" t="s">
        <v>3321</v>
      </c>
      <c r="C1093" s="24" t="s">
        <v>4</v>
      </c>
      <c r="D1093" s="23" t="s">
        <v>2056</v>
      </c>
      <c r="E1093" s="23">
        <v>1472.39</v>
      </c>
      <c r="F1093" s="23">
        <v>12</v>
      </c>
      <c r="G1093" s="23">
        <v>12</v>
      </c>
      <c r="H1093" s="23">
        <v>0</v>
      </c>
      <c r="I1093" s="23" t="s">
        <v>5</v>
      </c>
      <c r="J1093" s="23" t="s">
        <v>1844</v>
      </c>
    </row>
    <row r="1094" spans="1:10" s="20" customFormat="1" ht="12" x14ac:dyDescent="0.25">
      <c r="A1094" s="22">
        <v>1000100992</v>
      </c>
      <c r="B1094" s="23" t="s">
        <v>732</v>
      </c>
      <c r="C1094" s="24" t="s">
        <v>4</v>
      </c>
      <c r="D1094" s="23" t="s">
        <v>2218</v>
      </c>
      <c r="E1094" s="23">
        <v>1470.93988095238</v>
      </c>
      <c r="F1094" s="23">
        <v>15</v>
      </c>
      <c r="G1094" s="23">
        <v>15</v>
      </c>
      <c r="H1094" s="23">
        <v>0</v>
      </c>
      <c r="I1094" s="23" t="s">
        <v>5</v>
      </c>
      <c r="J1094" s="23" t="s">
        <v>327</v>
      </c>
    </row>
    <row r="1095" spans="1:10" s="20" customFormat="1" ht="12" x14ac:dyDescent="0.25">
      <c r="A1095" s="22">
        <v>1000101150</v>
      </c>
      <c r="B1095" s="23" t="s">
        <v>3322</v>
      </c>
      <c r="C1095" s="24" t="s">
        <v>4</v>
      </c>
      <c r="D1095" s="23" t="s">
        <v>2284</v>
      </c>
      <c r="E1095" s="23">
        <v>1470.6</v>
      </c>
      <c r="F1095" s="23">
        <v>4</v>
      </c>
      <c r="G1095" s="23">
        <v>4</v>
      </c>
      <c r="H1095" s="23">
        <v>0</v>
      </c>
      <c r="I1095" s="23" t="s">
        <v>5</v>
      </c>
      <c r="J1095" s="23" t="s">
        <v>1844</v>
      </c>
    </row>
    <row r="1096" spans="1:10" s="20" customFormat="1" ht="12" x14ac:dyDescent="0.25">
      <c r="A1096" s="22">
        <v>1000102200</v>
      </c>
      <c r="B1096" s="23" t="s">
        <v>1763</v>
      </c>
      <c r="C1096" s="24" t="s">
        <v>4</v>
      </c>
      <c r="D1096" s="23" t="s">
        <v>2090</v>
      </c>
      <c r="E1096" s="23">
        <v>1469.7</v>
      </c>
      <c r="F1096" s="23">
        <v>12</v>
      </c>
      <c r="G1096" s="23">
        <v>12</v>
      </c>
      <c r="H1096" s="23">
        <v>0</v>
      </c>
      <c r="I1096" s="23" t="s">
        <v>5</v>
      </c>
      <c r="J1096" s="23" t="s">
        <v>327</v>
      </c>
    </row>
    <row r="1097" spans="1:10" s="20" customFormat="1" ht="12" x14ac:dyDescent="0.25">
      <c r="A1097" s="22">
        <v>1000098521</v>
      </c>
      <c r="B1097" s="23" t="s">
        <v>1556</v>
      </c>
      <c r="C1097" s="24" t="s">
        <v>4</v>
      </c>
      <c r="D1097" s="23" t="s">
        <v>2090</v>
      </c>
      <c r="E1097" s="23">
        <v>1466.89</v>
      </c>
      <c r="F1097" s="23">
        <v>1</v>
      </c>
      <c r="G1097" s="23">
        <v>1</v>
      </c>
      <c r="H1097" s="23">
        <v>0</v>
      </c>
      <c r="I1097" s="23" t="s">
        <v>5</v>
      </c>
      <c r="J1097" s="23" t="s">
        <v>327</v>
      </c>
    </row>
    <row r="1098" spans="1:10" s="20" customFormat="1" ht="12" x14ac:dyDescent="0.25">
      <c r="A1098" s="22">
        <v>1000021290</v>
      </c>
      <c r="B1098" s="23" t="s">
        <v>1426</v>
      </c>
      <c r="C1098" s="24" t="s">
        <v>4</v>
      </c>
      <c r="D1098" s="23" t="s">
        <v>2090</v>
      </c>
      <c r="E1098" s="23">
        <v>1465.3125</v>
      </c>
      <c r="F1098" s="23">
        <v>3</v>
      </c>
      <c r="G1098" s="23">
        <v>3</v>
      </c>
      <c r="H1098" s="23">
        <v>0</v>
      </c>
      <c r="I1098" s="23" t="s">
        <v>5</v>
      </c>
      <c r="J1098" s="23" t="s">
        <v>327</v>
      </c>
    </row>
    <row r="1099" spans="1:10" s="20" customFormat="1" ht="12" x14ac:dyDescent="0.25">
      <c r="A1099" s="22">
        <v>1000021093</v>
      </c>
      <c r="B1099" s="23" t="s">
        <v>1255</v>
      </c>
      <c r="C1099" s="24" t="s">
        <v>4</v>
      </c>
      <c r="D1099" s="23" t="s">
        <v>2090</v>
      </c>
      <c r="E1099" s="23">
        <v>1462.1803869047601</v>
      </c>
      <c r="F1099" s="23">
        <v>10</v>
      </c>
      <c r="G1099" s="23">
        <v>10</v>
      </c>
      <c r="H1099" s="23">
        <v>0</v>
      </c>
      <c r="I1099" s="23" t="s">
        <v>5</v>
      </c>
      <c r="J1099" s="23" t="s">
        <v>327</v>
      </c>
    </row>
    <row r="1100" spans="1:10" s="20" customFormat="1" ht="12" x14ac:dyDescent="0.25">
      <c r="A1100" s="22">
        <v>1000020630</v>
      </c>
      <c r="B1100" s="23" t="s">
        <v>845</v>
      </c>
      <c r="C1100" s="24" t="s">
        <v>4</v>
      </c>
      <c r="D1100" s="23" t="s">
        <v>2090</v>
      </c>
      <c r="E1100" s="23">
        <v>1457.9110330578501</v>
      </c>
      <c r="F1100" s="23">
        <v>109</v>
      </c>
      <c r="G1100" s="23">
        <v>109</v>
      </c>
      <c r="H1100" s="23">
        <v>0</v>
      </c>
      <c r="I1100" s="23" t="s">
        <v>5</v>
      </c>
      <c r="J1100" s="23" t="s">
        <v>327</v>
      </c>
    </row>
    <row r="1101" spans="1:10" s="20" customFormat="1" ht="12" x14ac:dyDescent="0.25">
      <c r="A1101" s="22">
        <v>1000098540</v>
      </c>
      <c r="B1101" s="23" t="s">
        <v>1571</v>
      </c>
      <c r="C1101" s="24" t="s">
        <v>4</v>
      </c>
      <c r="D1101" s="23" t="s">
        <v>2090</v>
      </c>
      <c r="E1101" s="23">
        <v>1457.68</v>
      </c>
      <c r="F1101" s="23">
        <v>5</v>
      </c>
      <c r="G1101" s="23">
        <v>5</v>
      </c>
      <c r="H1101" s="23">
        <v>0</v>
      </c>
      <c r="I1101" s="23" t="s">
        <v>5</v>
      </c>
      <c r="J1101" s="23" t="s">
        <v>327</v>
      </c>
    </row>
    <row r="1102" spans="1:10" s="20" customFormat="1" ht="12" x14ac:dyDescent="0.25">
      <c r="A1102" s="22">
        <v>1000020577</v>
      </c>
      <c r="B1102" s="23" t="s">
        <v>794</v>
      </c>
      <c r="C1102" s="24" t="s">
        <v>4</v>
      </c>
      <c r="D1102" s="23" t="s">
        <v>2090</v>
      </c>
      <c r="E1102" s="23">
        <v>1456.19</v>
      </c>
      <c r="F1102" s="23">
        <v>3</v>
      </c>
      <c r="G1102" s="23">
        <v>3</v>
      </c>
      <c r="H1102" s="23">
        <v>0</v>
      </c>
      <c r="I1102" s="23" t="s">
        <v>5</v>
      </c>
      <c r="J1102" s="23" t="s">
        <v>327</v>
      </c>
    </row>
    <row r="1103" spans="1:10" s="20" customFormat="1" ht="12" x14ac:dyDescent="0.25">
      <c r="A1103" s="22">
        <v>1000020223</v>
      </c>
      <c r="B1103" s="23" t="s">
        <v>463</v>
      </c>
      <c r="C1103" s="24" t="s">
        <v>4</v>
      </c>
      <c r="D1103" s="23" t="s">
        <v>2218</v>
      </c>
      <c r="E1103" s="23">
        <v>1452.58</v>
      </c>
      <c r="F1103" s="23">
        <v>252</v>
      </c>
      <c r="G1103" s="23">
        <v>252</v>
      </c>
      <c r="H1103" s="23">
        <v>0</v>
      </c>
      <c r="I1103" s="23" t="s">
        <v>5</v>
      </c>
      <c r="J1103" s="23" t="s">
        <v>327</v>
      </c>
    </row>
    <row r="1104" spans="1:10" s="20" customFormat="1" ht="12" x14ac:dyDescent="0.25">
      <c r="A1104" s="22">
        <v>1000021015</v>
      </c>
      <c r="B1104" s="23" t="s">
        <v>1187</v>
      </c>
      <c r="C1104" s="24" t="s">
        <v>4</v>
      </c>
      <c r="D1104" s="23" t="s">
        <v>2090</v>
      </c>
      <c r="E1104" s="23">
        <v>1446.6342857142799</v>
      </c>
      <c r="F1104" s="23">
        <v>4</v>
      </c>
      <c r="G1104" s="23">
        <v>4</v>
      </c>
      <c r="H1104" s="23">
        <v>0</v>
      </c>
      <c r="I1104" s="23" t="s">
        <v>5</v>
      </c>
      <c r="J1104" s="23" t="s">
        <v>327</v>
      </c>
    </row>
    <row r="1105" spans="1:10" s="20" customFormat="1" ht="12" x14ac:dyDescent="0.25">
      <c r="A1105" s="22">
        <v>1000099166</v>
      </c>
      <c r="B1105" s="23" t="s">
        <v>3328</v>
      </c>
      <c r="C1105" s="24" t="s">
        <v>4</v>
      </c>
      <c r="D1105" s="23" t="s">
        <v>2090</v>
      </c>
      <c r="E1105" s="23">
        <v>1442.9766666666601</v>
      </c>
      <c r="F1105" s="23">
        <v>2</v>
      </c>
      <c r="G1105" s="23">
        <v>2</v>
      </c>
      <c r="H1105" s="23">
        <v>0</v>
      </c>
      <c r="I1105" s="23" t="s">
        <v>5</v>
      </c>
      <c r="J1105" s="23" t="s">
        <v>327</v>
      </c>
    </row>
    <row r="1106" spans="1:10" s="20" customFormat="1" ht="12" x14ac:dyDescent="0.25">
      <c r="A1106" s="22">
        <v>2000019763</v>
      </c>
      <c r="B1106" s="23" t="s">
        <v>3329</v>
      </c>
      <c r="C1106" s="24" t="s">
        <v>2017</v>
      </c>
      <c r="D1106" s="23" t="s">
        <v>2072</v>
      </c>
      <c r="E1106" s="23">
        <v>1440</v>
      </c>
      <c r="F1106" s="23">
        <v>2</v>
      </c>
      <c r="G1106" s="23">
        <v>2</v>
      </c>
      <c r="H1106" s="23">
        <v>0</v>
      </c>
      <c r="I1106" s="23" t="s">
        <v>5</v>
      </c>
      <c r="J1106" s="23" t="s">
        <v>146</v>
      </c>
    </row>
    <row r="1107" spans="1:10" s="20" customFormat="1" ht="12" x14ac:dyDescent="0.25">
      <c r="A1107" s="22">
        <v>1000095995</v>
      </c>
      <c r="B1107" s="23" t="s">
        <v>3330</v>
      </c>
      <c r="C1107" s="24" t="s">
        <v>4</v>
      </c>
      <c r="D1107" s="23" t="s">
        <v>2161</v>
      </c>
      <c r="E1107" s="23">
        <v>1439.87803562</v>
      </c>
      <c r="F1107" s="23">
        <v>5</v>
      </c>
      <c r="G1107" s="23">
        <v>5</v>
      </c>
      <c r="H1107" s="23">
        <v>0</v>
      </c>
      <c r="I1107" s="23" t="s">
        <v>5</v>
      </c>
      <c r="J1107" s="23" t="s">
        <v>111</v>
      </c>
    </row>
    <row r="1108" spans="1:10" s="20" customFormat="1" ht="12" x14ac:dyDescent="0.25">
      <c r="A1108" s="22">
        <v>1000102199</v>
      </c>
      <c r="B1108" s="23" t="s">
        <v>1762</v>
      </c>
      <c r="C1108" s="24" t="s">
        <v>4</v>
      </c>
      <c r="D1108" s="23" t="s">
        <v>2090</v>
      </c>
      <c r="E1108" s="23">
        <v>1439.44</v>
      </c>
      <c r="F1108" s="23">
        <v>15</v>
      </c>
      <c r="G1108" s="23">
        <v>15</v>
      </c>
      <c r="H1108" s="23">
        <v>0</v>
      </c>
      <c r="I1108" s="23" t="s">
        <v>5</v>
      </c>
      <c r="J1108" s="23" t="s">
        <v>327</v>
      </c>
    </row>
    <row r="1109" spans="1:10" s="20" customFormat="1" ht="12" x14ac:dyDescent="0.25">
      <c r="A1109" s="22">
        <v>2200011188</v>
      </c>
      <c r="B1109" s="23" t="s">
        <v>3331</v>
      </c>
      <c r="C1109" s="24" t="s">
        <v>2030</v>
      </c>
      <c r="D1109" s="23" t="s">
        <v>2038</v>
      </c>
      <c r="E1109" s="23">
        <v>1437.9749999999999</v>
      </c>
      <c r="F1109" s="23">
        <v>1</v>
      </c>
      <c r="G1109" s="23">
        <v>1</v>
      </c>
      <c r="H1109" s="23">
        <v>0</v>
      </c>
      <c r="I1109" s="23" t="s">
        <v>5</v>
      </c>
      <c r="J1109" s="23" t="s">
        <v>138</v>
      </c>
    </row>
    <row r="1110" spans="1:10" s="20" customFormat="1" ht="12" x14ac:dyDescent="0.25">
      <c r="A1110" s="22">
        <v>1000103071</v>
      </c>
      <c r="B1110" s="23" t="s">
        <v>3333</v>
      </c>
      <c r="C1110" s="24" t="s">
        <v>4</v>
      </c>
      <c r="D1110" s="23" t="s">
        <v>2090</v>
      </c>
      <c r="E1110" s="23">
        <v>1433.7483520000001</v>
      </c>
      <c r="F1110" s="23">
        <v>41</v>
      </c>
      <c r="G1110" s="23">
        <v>41</v>
      </c>
      <c r="H1110" s="23">
        <v>0</v>
      </c>
      <c r="I1110" s="23" t="s">
        <v>5</v>
      </c>
      <c r="J1110" s="23" t="s">
        <v>327</v>
      </c>
    </row>
    <row r="1111" spans="1:10" s="20" customFormat="1" ht="12" x14ac:dyDescent="0.25">
      <c r="A1111" s="22">
        <v>1000010215</v>
      </c>
      <c r="B1111" s="23" t="s">
        <v>3334</v>
      </c>
      <c r="C1111" s="24" t="s">
        <v>4</v>
      </c>
      <c r="D1111" s="23" t="s">
        <v>2161</v>
      </c>
      <c r="E1111" s="23">
        <v>1430.63</v>
      </c>
      <c r="F1111" s="23">
        <v>10</v>
      </c>
      <c r="G1111" s="23">
        <v>10</v>
      </c>
      <c r="H1111" s="23">
        <v>0</v>
      </c>
      <c r="I1111" s="23" t="s">
        <v>5</v>
      </c>
      <c r="J1111" s="23" t="s">
        <v>111</v>
      </c>
    </row>
    <row r="1112" spans="1:10" s="20" customFormat="1" ht="12" x14ac:dyDescent="0.25">
      <c r="A1112" s="22">
        <v>1000098763</v>
      </c>
      <c r="B1112" s="23" t="s">
        <v>1689</v>
      </c>
      <c r="C1112" s="24" t="s">
        <v>4</v>
      </c>
      <c r="D1112" s="23" t="s">
        <v>2090</v>
      </c>
      <c r="E1112" s="23">
        <v>1426.2727485380101</v>
      </c>
      <c r="F1112" s="23">
        <v>61</v>
      </c>
      <c r="G1112" s="23">
        <v>61</v>
      </c>
      <c r="H1112" s="23">
        <v>0</v>
      </c>
      <c r="I1112" s="23" t="s">
        <v>5</v>
      </c>
      <c r="J1112" s="23" t="s">
        <v>327</v>
      </c>
    </row>
    <row r="1113" spans="1:10" s="20" customFormat="1" ht="12" x14ac:dyDescent="0.25">
      <c r="A1113" s="22">
        <v>1000100889</v>
      </c>
      <c r="B1113" s="23" t="s">
        <v>3336</v>
      </c>
      <c r="C1113" s="24" t="s">
        <v>4</v>
      </c>
      <c r="D1113" s="23" t="s">
        <v>2218</v>
      </c>
      <c r="E1113" s="23">
        <v>1425</v>
      </c>
      <c r="F1113" s="23">
        <v>100</v>
      </c>
      <c r="G1113" s="23">
        <v>100</v>
      </c>
      <c r="H1113" s="23">
        <v>0</v>
      </c>
      <c r="I1113" s="23" t="s">
        <v>5</v>
      </c>
      <c r="J1113" s="23" t="s">
        <v>327</v>
      </c>
    </row>
    <row r="1114" spans="1:10" s="20" customFormat="1" ht="12" x14ac:dyDescent="0.25">
      <c r="A1114" s="22">
        <v>1000020235</v>
      </c>
      <c r="B1114" s="23" t="s">
        <v>474</v>
      </c>
      <c r="C1114" s="24" t="s">
        <v>4</v>
      </c>
      <c r="D1114" s="23" t="s">
        <v>2090</v>
      </c>
      <c r="E1114" s="23">
        <v>1422</v>
      </c>
      <c r="F1114" s="23">
        <v>200</v>
      </c>
      <c r="G1114" s="23">
        <v>200</v>
      </c>
      <c r="H1114" s="23">
        <v>0</v>
      </c>
      <c r="I1114" s="23" t="s">
        <v>5</v>
      </c>
      <c r="J1114" s="23" t="s">
        <v>327</v>
      </c>
    </row>
    <row r="1115" spans="1:10" s="20" customFormat="1" ht="12" x14ac:dyDescent="0.25">
      <c r="A1115" s="22">
        <v>1000020619</v>
      </c>
      <c r="B1115" s="23" t="s">
        <v>835</v>
      </c>
      <c r="C1115" s="24" t="s">
        <v>4</v>
      </c>
      <c r="D1115" s="23" t="s">
        <v>2090</v>
      </c>
      <c r="E1115" s="23">
        <v>1420.87123693379</v>
      </c>
      <c r="F1115" s="23">
        <v>162</v>
      </c>
      <c r="G1115" s="23">
        <v>162</v>
      </c>
      <c r="H1115" s="23">
        <v>0</v>
      </c>
      <c r="I1115" s="23" t="s">
        <v>14</v>
      </c>
      <c r="J1115" s="23" t="s">
        <v>327</v>
      </c>
    </row>
    <row r="1116" spans="1:10" s="20" customFormat="1" ht="12" x14ac:dyDescent="0.25">
      <c r="A1116" s="22">
        <v>2500000779</v>
      </c>
      <c r="B1116" s="23" t="s">
        <v>3339</v>
      </c>
      <c r="C1116" s="24" t="s">
        <v>2165</v>
      </c>
      <c r="D1116" s="23" t="s">
        <v>2811</v>
      </c>
      <c r="E1116" s="23">
        <v>1418.5339159923101</v>
      </c>
      <c r="F1116" s="23">
        <v>2</v>
      </c>
      <c r="G1116" s="23">
        <v>2</v>
      </c>
      <c r="H1116" s="23">
        <v>0</v>
      </c>
      <c r="I1116" s="23" t="s">
        <v>1992</v>
      </c>
      <c r="J1116" s="23" t="s">
        <v>1993</v>
      </c>
    </row>
    <row r="1117" spans="1:10" s="20" customFormat="1" ht="12" x14ac:dyDescent="0.25">
      <c r="A1117" s="22">
        <v>1000098841</v>
      </c>
      <c r="B1117" s="23" t="s">
        <v>3340</v>
      </c>
      <c r="C1117" s="24" t="s">
        <v>4</v>
      </c>
      <c r="D1117" s="23" t="s">
        <v>2161</v>
      </c>
      <c r="E1117" s="23">
        <v>1413.65</v>
      </c>
      <c r="F1117" s="23">
        <v>5</v>
      </c>
      <c r="G1117" s="23">
        <v>5</v>
      </c>
      <c r="H1117" s="23">
        <v>0</v>
      </c>
      <c r="I1117" s="23" t="s">
        <v>5</v>
      </c>
      <c r="J1117" s="23" t="s">
        <v>111</v>
      </c>
    </row>
    <row r="1118" spans="1:10" s="20" customFormat="1" ht="12" x14ac:dyDescent="0.25">
      <c r="A1118" s="22">
        <v>1000010172</v>
      </c>
      <c r="B1118" s="23" t="s">
        <v>3342</v>
      </c>
      <c r="C1118" s="24" t="s">
        <v>4</v>
      </c>
      <c r="D1118" s="23" t="s">
        <v>2161</v>
      </c>
      <c r="E1118" s="23">
        <v>1409.33948102678</v>
      </c>
      <c r="F1118" s="23">
        <v>10</v>
      </c>
      <c r="G1118" s="23">
        <v>10</v>
      </c>
      <c r="H1118" s="23">
        <v>0</v>
      </c>
      <c r="I1118" s="23" t="s">
        <v>5</v>
      </c>
      <c r="J1118" s="23" t="s">
        <v>111</v>
      </c>
    </row>
    <row r="1119" spans="1:10" s="20" customFormat="1" ht="12" x14ac:dyDescent="0.25">
      <c r="A1119" s="22">
        <v>1000098529</v>
      </c>
      <c r="B1119" s="23" t="s">
        <v>1563</v>
      </c>
      <c r="C1119" s="24" t="s">
        <v>4</v>
      </c>
      <c r="D1119" s="23" t="s">
        <v>2090</v>
      </c>
      <c r="E1119" s="23">
        <v>1408.54</v>
      </c>
      <c r="F1119" s="23">
        <v>2</v>
      </c>
      <c r="G1119" s="23">
        <v>2</v>
      </c>
      <c r="H1119" s="23">
        <v>0</v>
      </c>
      <c r="I1119" s="23" t="s">
        <v>5</v>
      </c>
      <c r="J1119" s="23" t="s">
        <v>327</v>
      </c>
    </row>
    <row r="1120" spans="1:10" s="20" customFormat="1" ht="12" x14ac:dyDescent="0.25">
      <c r="A1120" s="22">
        <v>1000100370</v>
      </c>
      <c r="B1120" s="23" t="s">
        <v>1709</v>
      </c>
      <c r="C1120" s="24" t="s">
        <v>4</v>
      </c>
      <c r="D1120" s="23" t="s">
        <v>2090</v>
      </c>
      <c r="E1120" s="23">
        <v>1403.7</v>
      </c>
      <c r="F1120" s="23">
        <v>14</v>
      </c>
      <c r="G1120" s="23">
        <v>14</v>
      </c>
      <c r="H1120" s="23">
        <v>0</v>
      </c>
      <c r="I1120" s="23" t="s">
        <v>5</v>
      </c>
      <c r="J1120" s="23" t="s">
        <v>327</v>
      </c>
    </row>
    <row r="1121" spans="1:10" s="20" customFormat="1" ht="12" x14ac:dyDescent="0.25">
      <c r="A1121" s="22">
        <v>1000098490</v>
      </c>
      <c r="B1121" s="23" t="s">
        <v>3343</v>
      </c>
      <c r="C1121" s="24" t="s">
        <v>4</v>
      </c>
      <c r="D1121" s="23" t="s">
        <v>2161</v>
      </c>
      <c r="E1121" s="23">
        <v>1402.8842500000001</v>
      </c>
      <c r="F1121" s="23">
        <v>5</v>
      </c>
      <c r="G1121" s="23">
        <v>5</v>
      </c>
      <c r="H1121" s="23">
        <v>0</v>
      </c>
      <c r="I1121" s="23" t="s">
        <v>5</v>
      </c>
      <c r="J1121" s="23" t="s">
        <v>111</v>
      </c>
    </row>
    <row r="1122" spans="1:10" s="20" customFormat="1" ht="12" x14ac:dyDescent="0.25">
      <c r="A1122" s="22">
        <v>1000100357</v>
      </c>
      <c r="B1122" s="23" t="s">
        <v>3344</v>
      </c>
      <c r="C1122" s="24" t="s">
        <v>4</v>
      </c>
      <c r="D1122" s="23" t="s">
        <v>2090</v>
      </c>
      <c r="E1122" s="23">
        <v>1402.7260000000001</v>
      </c>
      <c r="F1122" s="23">
        <v>8</v>
      </c>
      <c r="G1122" s="23">
        <v>8</v>
      </c>
      <c r="H1122" s="23">
        <v>0</v>
      </c>
      <c r="I1122" s="23" t="s">
        <v>5</v>
      </c>
      <c r="J1122" s="23" t="s">
        <v>327</v>
      </c>
    </row>
    <row r="1123" spans="1:10" s="20" customFormat="1" ht="12" x14ac:dyDescent="0.25">
      <c r="A1123" s="22">
        <v>1000020539</v>
      </c>
      <c r="B1123" s="23" t="s">
        <v>760</v>
      </c>
      <c r="C1123" s="24" t="s">
        <v>4</v>
      </c>
      <c r="D1123" s="23" t="s">
        <v>2090</v>
      </c>
      <c r="E1123" s="23">
        <v>1400.46</v>
      </c>
      <c r="F1123" s="23">
        <v>3</v>
      </c>
      <c r="G1123" s="23">
        <v>3</v>
      </c>
      <c r="H1123" s="23">
        <v>0</v>
      </c>
      <c r="I1123" s="23" t="s">
        <v>5</v>
      </c>
      <c r="J1123" s="23" t="s">
        <v>327</v>
      </c>
    </row>
    <row r="1124" spans="1:10" s="20" customFormat="1" ht="12" x14ac:dyDescent="0.25">
      <c r="A1124" s="22">
        <v>1000098393</v>
      </c>
      <c r="B1124" s="23" t="s">
        <v>2359</v>
      </c>
      <c r="C1124" s="24" t="s">
        <v>2844</v>
      </c>
      <c r="D1124" s="23" t="s">
        <v>2161</v>
      </c>
      <c r="E1124" s="23">
        <v>1400.1321440285201</v>
      </c>
      <c r="F1124" s="23">
        <v>1</v>
      </c>
      <c r="G1124" s="23">
        <v>1</v>
      </c>
      <c r="H1124" s="23">
        <v>0</v>
      </c>
      <c r="I1124" s="23" t="s">
        <v>5</v>
      </c>
      <c r="J1124" s="23" t="s">
        <v>111</v>
      </c>
    </row>
    <row r="1125" spans="1:10" s="20" customFormat="1" ht="12" x14ac:dyDescent="0.25">
      <c r="A1125" s="22">
        <v>1000091497</v>
      </c>
      <c r="B1125" s="23" t="s">
        <v>3178</v>
      </c>
      <c r="C1125" s="24" t="s">
        <v>2109</v>
      </c>
      <c r="D1125" s="23" t="s">
        <v>2399</v>
      </c>
      <c r="E1125" s="23">
        <v>1395.5305911564999</v>
      </c>
      <c r="F1125" s="23">
        <v>5</v>
      </c>
      <c r="G1125" s="23">
        <v>5</v>
      </c>
      <c r="H1125" s="23">
        <v>0</v>
      </c>
      <c r="I1125" s="23" t="s">
        <v>5</v>
      </c>
      <c r="J1125" s="23" t="s">
        <v>6</v>
      </c>
    </row>
    <row r="1126" spans="1:10" s="20" customFormat="1" ht="12" x14ac:dyDescent="0.25">
      <c r="A1126" s="22">
        <v>1000098516</v>
      </c>
      <c r="B1126" s="23" t="s">
        <v>1552</v>
      </c>
      <c r="C1126" s="24" t="s">
        <v>4</v>
      </c>
      <c r="D1126" s="23" t="s">
        <v>2090</v>
      </c>
      <c r="E1126" s="23">
        <v>1393.6866666666599</v>
      </c>
      <c r="F1126" s="23">
        <v>1</v>
      </c>
      <c r="G1126" s="23">
        <v>1</v>
      </c>
      <c r="H1126" s="23">
        <v>0</v>
      </c>
      <c r="I1126" s="23" t="s">
        <v>5</v>
      </c>
      <c r="J1126" s="23" t="s">
        <v>327</v>
      </c>
    </row>
    <row r="1127" spans="1:10" s="20" customFormat="1" ht="12" x14ac:dyDescent="0.25">
      <c r="A1127" s="22">
        <v>1000020441</v>
      </c>
      <c r="B1127" s="23" t="s">
        <v>668</v>
      </c>
      <c r="C1127" s="24" t="s">
        <v>4</v>
      </c>
      <c r="D1127" s="23" t="s">
        <v>2090</v>
      </c>
      <c r="E1127" s="23">
        <v>1393.35</v>
      </c>
      <c r="F1127" s="23">
        <v>105</v>
      </c>
      <c r="G1127" s="23">
        <v>105</v>
      </c>
      <c r="H1127" s="23">
        <v>0</v>
      </c>
      <c r="I1127" s="23" t="s">
        <v>5</v>
      </c>
      <c r="J1127" s="23" t="s">
        <v>327</v>
      </c>
    </row>
    <row r="1128" spans="1:10" s="20" customFormat="1" ht="12" x14ac:dyDescent="0.25">
      <c r="A1128" s="22">
        <v>1000094204</v>
      </c>
      <c r="B1128" s="23" t="s">
        <v>3345</v>
      </c>
      <c r="C1128" s="24" t="s">
        <v>4</v>
      </c>
      <c r="D1128" s="23" t="s">
        <v>2056</v>
      </c>
      <c r="E1128" s="23">
        <v>1391.5507979092199</v>
      </c>
      <c r="F1128" s="23">
        <v>15000</v>
      </c>
      <c r="G1128" s="23">
        <v>15000</v>
      </c>
      <c r="H1128" s="23">
        <v>0</v>
      </c>
      <c r="I1128" s="23" t="s">
        <v>5</v>
      </c>
      <c r="J1128" s="23" t="s">
        <v>1844</v>
      </c>
    </row>
    <row r="1129" spans="1:10" s="20" customFormat="1" ht="12" x14ac:dyDescent="0.25">
      <c r="A1129" s="22">
        <v>1000010074</v>
      </c>
      <c r="B1129" s="23" t="s">
        <v>3346</v>
      </c>
      <c r="C1129" s="24" t="s">
        <v>4</v>
      </c>
      <c r="D1129" s="23" t="s">
        <v>2230</v>
      </c>
      <c r="E1129" s="23">
        <v>1386.27767368543</v>
      </c>
      <c r="F1129" s="23">
        <v>4</v>
      </c>
      <c r="G1129" s="23">
        <v>4</v>
      </c>
      <c r="H1129" s="23">
        <v>0</v>
      </c>
      <c r="I1129" s="23" t="s">
        <v>5</v>
      </c>
      <c r="J1129" s="23" t="s">
        <v>111</v>
      </c>
    </row>
    <row r="1130" spans="1:10" s="20" customFormat="1" ht="12" x14ac:dyDescent="0.25">
      <c r="A1130" s="22">
        <v>1000020564</v>
      </c>
      <c r="B1130" s="23" t="s">
        <v>781</v>
      </c>
      <c r="C1130" s="24" t="s">
        <v>4</v>
      </c>
      <c r="D1130" s="23" t="s">
        <v>2090</v>
      </c>
      <c r="E1130" s="23">
        <v>1386</v>
      </c>
      <c r="F1130" s="23">
        <v>25</v>
      </c>
      <c r="G1130" s="23">
        <v>25</v>
      </c>
      <c r="H1130" s="23">
        <v>0</v>
      </c>
      <c r="I1130" s="23" t="s">
        <v>5</v>
      </c>
      <c r="J1130" s="23" t="s">
        <v>327</v>
      </c>
    </row>
    <row r="1131" spans="1:10" s="20" customFormat="1" ht="12" x14ac:dyDescent="0.25">
      <c r="A1131" s="22">
        <v>1000020699</v>
      </c>
      <c r="B1131" s="23" t="s">
        <v>909</v>
      </c>
      <c r="C1131" s="24" t="s">
        <v>4</v>
      </c>
      <c r="D1131" s="23" t="s">
        <v>2090</v>
      </c>
      <c r="E1131" s="23">
        <v>1383.9</v>
      </c>
      <c r="F1131" s="23">
        <v>15</v>
      </c>
      <c r="G1131" s="23">
        <v>15</v>
      </c>
      <c r="H1131" s="23">
        <v>0</v>
      </c>
      <c r="I1131" s="23" t="s">
        <v>5</v>
      </c>
      <c r="J1131" s="23" t="s">
        <v>327</v>
      </c>
    </row>
    <row r="1132" spans="1:10" s="20" customFormat="1" ht="12" x14ac:dyDescent="0.25">
      <c r="A1132" s="22">
        <v>1000106062</v>
      </c>
      <c r="B1132" s="23" t="s">
        <v>3347</v>
      </c>
      <c r="C1132" s="24" t="s">
        <v>4</v>
      </c>
      <c r="D1132" s="23" t="s">
        <v>2161</v>
      </c>
      <c r="E1132" s="23">
        <v>1380.87</v>
      </c>
      <c r="F1132" s="23">
        <v>5</v>
      </c>
      <c r="G1132" s="23">
        <v>5</v>
      </c>
      <c r="H1132" s="23">
        <v>0</v>
      </c>
      <c r="I1132" s="23" t="s">
        <v>5</v>
      </c>
      <c r="J1132" s="23" t="s">
        <v>111</v>
      </c>
    </row>
    <row r="1133" spans="1:10" s="20" customFormat="1" ht="12" x14ac:dyDescent="0.25">
      <c r="A1133" s="22">
        <v>1000097118</v>
      </c>
      <c r="B1133" s="23" t="s">
        <v>3349</v>
      </c>
      <c r="C1133" s="24" t="s">
        <v>4</v>
      </c>
      <c r="D1133" s="23" t="s">
        <v>2161</v>
      </c>
      <c r="E1133" s="23">
        <v>1378.82453333333</v>
      </c>
      <c r="F1133" s="23">
        <v>3</v>
      </c>
      <c r="G1133" s="23">
        <v>3</v>
      </c>
      <c r="H1133" s="23">
        <v>0</v>
      </c>
      <c r="I1133" s="23" t="s">
        <v>5</v>
      </c>
      <c r="J1133" s="23" t="s">
        <v>111</v>
      </c>
    </row>
    <row r="1134" spans="1:10" s="20" customFormat="1" ht="12" x14ac:dyDescent="0.25">
      <c r="A1134" s="22">
        <v>1000021073</v>
      </c>
      <c r="B1134" s="23" t="s">
        <v>1235</v>
      </c>
      <c r="C1134" s="24" t="s">
        <v>4</v>
      </c>
      <c r="D1134" s="23" t="s">
        <v>2090</v>
      </c>
      <c r="E1134" s="23">
        <v>1377.72</v>
      </c>
      <c r="F1134" s="23">
        <v>2</v>
      </c>
      <c r="G1134" s="23">
        <v>2</v>
      </c>
      <c r="H1134" s="23">
        <v>0</v>
      </c>
      <c r="I1134" s="23" t="s">
        <v>5</v>
      </c>
      <c r="J1134" s="23" t="s">
        <v>327</v>
      </c>
    </row>
    <row r="1135" spans="1:10" s="20" customFormat="1" ht="12" x14ac:dyDescent="0.25">
      <c r="A1135" s="22">
        <v>1000103150</v>
      </c>
      <c r="B1135" s="23" t="s">
        <v>3350</v>
      </c>
      <c r="C1135" s="24" t="s">
        <v>4</v>
      </c>
      <c r="D1135" s="23" t="s">
        <v>2090</v>
      </c>
      <c r="E1135" s="23">
        <v>1375.76181818181</v>
      </c>
      <c r="F1135" s="23">
        <v>3</v>
      </c>
      <c r="G1135" s="23">
        <v>3</v>
      </c>
      <c r="H1135" s="23">
        <v>0</v>
      </c>
      <c r="I1135" s="23" t="s">
        <v>5</v>
      </c>
      <c r="J1135" s="23" t="s">
        <v>327</v>
      </c>
    </row>
    <row r="1136" spans="1:10" s="20" customFormat="1" ht="12" x14ac:dyDescent="0.25">
      <c r="A1136" s="22">
        <v>1000020126</v>
      </c>
      <c r="B1136" s="23" t="s">
        <v>381</v>
      </c>
      <c r="C1136" s="24" t="s">
        <v>4</v>
      </c>
      <c r="D1136" s="23" t="s">
        <v>2090</v>
      </c>
      <c r="E1136" s="23">
        <v>1369.28</v>
      </c>
      <c r="F1136" s="23">
        <v>2</v>
      </c>
      <c r="G1136" s="23">
        <v>2</v>
      </c>
      <c r="H1136" s="23">
        <v>0</v>
      </c>
      <c r="I1136" s="23" t="s">
        <v>5</v>
      </c>
      <c r="J1136" s="23" t="s">
        <v>327</v>
      </c>
    </row>
    <row r="1137" spans="1:10" s="20" customFormat="1" ht="12" x14ac:dyDescent="0.25">
      <c r="A1137" s="22">
        <v>1000020976</v>
      </c>
      <c r="B1137" s="23" t="s">
        <v>1150</v>
      </c>
      <c r="C1137" s="24" t="s">
        <v>4</v>
      </c>
      <c r="D1137" s="23" t="s">
        <v>2090</v>
      </c>
      <c r="E1137" s="23">
        <v>1367.44</v>
      </c>
      <c r="F1137" s="23">
        <v>4</v>
      </c>
      <c r="G1137" s="23">
        <v>4</v>
      </c>
      <c r="H1137" s="23">
        <v>0</v>
      </c>
      <c r="I1137" s="23" t="s">
        <v>5</v>
      </c>
      <c r="J1137" s="23" t="s">
        <v>327</v>
      </c>
    </row>
    <row r="1138" spans="1:10" s="20" customFormat="1" ht="12" x14ac:dyDescent="0.25">
      <c r="A1138" s="22">
        <v>1000017189</v>
      </c>
      <c r="B1138" s="23" t="s">
        <v>3356</v>
      </c>
      <c r="C1138" s="24" t="s">
        <v>4</v>
      </c>
      <c r="D1138" s="23" t="s">
        <v>2056</v>
      </c>
      <c r="E1138" s="23">
        <v>1362.1768231481601</v>
      </c>
      <c r="F1138" s="23">
        <v>1301</v>
      </c>
      <c r="G1138" s="23">
        <v>1301</v>
      </c>
      <c r="H1138" s="23">
        <v>0</v>
      </c>
      <c r="I1138" s="23" t="s">
        <v>5</v>
      </c>
      <c r="J1138" s="23" t="s">
        <v>1844</v>
      </c>
    </row>
    <row r="1139" spans="1:10" s="20" customFormat="1" ht="12" x14ac:dyDescent="0.25">
      <c r="A1139" s="22">
        <v>1000098695</v>
      </c>
      <c r="B1139" s="23" t="s">
        <v>1647</v>
      </c>
      <c r="C1139" s="24" t="s">
        <v>4</v>
      </c>
      <c r="D1139" s="23" t="s">
        <v>2090</v>
      </c>
      <c r="E1139" s="23">
        <v>1361.8</v>
      </c>
      <c r="F1139" s="23">
        <v>5</v>
      </c>
      <c r="G1139" s="23">
        <v>5</v>
      </c>
      <c r="H1139" s="23">
        <v>0</v>
      </c>
      <c r="I1139" s="23" t="s">
        <v>5</v>
      </c>
      <c r="J1139" s="23" t="s">
        <v>327</v>
      </c>
    </row>
    <row r="1140" spans="1:10" s="20" customFormat="1" ht="12" x14ac:dyDescent="0.25">
      <c r="A1140" s="22">
        <v>1000020663</v>
      </c>
      <c r="B1140" s="23" t="s">
        <v>876</v>
      </c>
      <c r="C1140" s="24" t="s">
        <v>4</v>
      </c>
      <c r="D1140" s="23" t="s">
        <v>2090</v>
      </c>
      <c r="E1140" s="23">
        <v>1360.9443752577299</v>
      </c>
      <c r="F1140" s="23">
        <v>37</v>
      </c>
      <c r="G1140" s="23">
        <v>37</v>
      </c>
      <c r="H1140" s="23">
        <v>0</v>
      </c>
      <c r="I1140" s="23" t="s">
        <v>5</v>
      </c>
      <c r="J1140" s="23" t="s">
        <v>327</v>
      </c>
    </row>
    <row r="1141" spans="1:10" s="20" customFormat="1" ht="12" x14ac:dyDescent="0.25">
      <c r="A1141" s="22">
        <v>1000093999</v>
      </c>
      <c r="B1141" s="23" t="s">
        <v>3357</v>
      </c>
      <c r="C1141" s="24" t="s">
        <v>4</v>
      </c>
      <c r="D1141" s="23" t="s">
        <v>2090</v>
      </c>
      <c r="E1141" s="23">
        <v>1359.0844740740699</v>
      </c>
      <c r="F1141" s="23">
        <v>3</v>
      </c>
      <c r="G1141" s="23">
        <v>3</v>
      </c>
      <c r="H1141" s="23">
        <v>0</v>
      </c>
      <c r="I1141" s="23" t="s">
        <v>5</v>
      </c>
      <c r="J1141" s="23" t="s">
        <v>327</v>
      </c>
    </row>
    <row r="1142" spans="1:10" s="20" customFormat="1" ht="12" x14ac:dyDescent="0.25">
      <c r="A1142" s="22">
        <v>1000098705</v>
      </c>
      <c r="B1142" s="23" t="s">
        <v>1654</v>
      </c>
      <c r="C1142" s="24" t="s">
        <v>4</v>
      </c>
      <c r="D1142" s="23" t="s">
        <v>2090</v>
      </c>
      <c r="E1142" s="23">
        <v>1358.99107142857</v>
      </c>
      <c r="F1142" s="23">
        <v>10</v>
      </c>
      <c r="G1142" s="23">
        <v>10</v>
      </c>
      <c r="H1142" s="23">
        <v>0</v>
      </c>
      <c r="I1142" s="23" t="s">
        <v>5</v>
      </c>
      <c r="J1142" s="23" t="s">
        <v>327</v>
      </c>
    </row>
    <row r="1143" spans="1:10" s="20" customFormat="1" ht="12" x14ac:dyDescent="0.25">
      <c r="A1143" s="22">
        <v>1000021470</v>
      </c>
      <c r="B1143" s="23" t="s">
        <v>1490</v>
      </c>
      <c r="C1143" s="24" t="s">
        <v>4</v>
      </c>
      <c r="D1143" s="23" t="s">
        <v>2090</v>
      </c>
      <c r="E1143" s="23">
        <v>1355.55</v>
      </c>
      <c r="F1143" s="23">
        <v>1</v>
      </c>
      <c r="G1143" s="23">
        <v>1</v>
      </c>
      <c r="H1143" s="23">
        <v>0</v>
      </c>
      <c r="I1143" s="23" t="s">
        <v>5</v>
      </c>
      <c r="J1143" s="23" t="s">
        <v>327</v>
      </c>
    </row>
    <row r="1144" spans="1:10" s="20" customFormat="1" ht="12" x14ac:dyDescent="0.25">
      <c r="A1144" s="22">
        <v>1000020510</v>
      </c>
      <c r="B1144" s="23" t="s">
        <v>733</v>
      </c>
      <c r="C1144" s="24" t="s">
        <v>4</v>
      </c>
      <c r="D1144" s="23" t="s">
        <v>2090</v>
      </c>
      <c r="E1144" s="23">
        <v>1352.18823529411</v>
      </c>
      <c r="F1144" s="23">
        <v>10</v>
      </c>
      <c r="G1144" s="23">
        <v>10</v>
      </c>
      <c r="H1144" s="23">
        <v>0</v>
      </c>
      <c r="I1144" s="23" t="s">
        <v>5</v>
      </c>
      <c r="J1144" s="23" t="s">
        <v>327</v>
      </c>
    </row>
    <row r="1145" spans="1:10" s="20" customFormat="1" ht="12" x14ac:dyDescent="0.25">
      <c r="A1145" s="22">
        <v>1000020230</v>
      </c>
      <c r="B1145" s="23" t="s">
        <v>470</v>
      </c>
      <c r="C1145" s="24" t="s">
        <v>4</v>
      </c>
      <c r="D1145" s="23" t="s">
        <v>2090</v>
      </c>
      <c r="E1145" s="23">
        <v>1352</v>
      </c>
      <c r="F1145" s="23">
        <v>200</v>
      </c>
      <c r="G1145" s="23">
        <v>200</v>
      </c>
      <c r="H1145" s="23">
        <v>0</v>
      </c>
      <c r="I1145" s="23" t="s">
        <v>5</v>
      </c>
      <c r="J1145" s="23" t="s">
        <v>327</v>
      </c>
    </row>
    <row r="1146" spans="1:10" s="20" customFormat="1" ht="12" x14ac:dyDescent="0.25">
      <c r="A1146" s="22">
        <v>1000099987</v>
      </c>
      <c r="B1146" s="23" t="s">
        <v>3360</v>
      </c>
      <c r="C1146" s="24" t="s">
        <v>4</v>
      </c>
      <c r="D1146" s="23" t="s">
        <v>2161</v>
      </c>
      <c r="E1146" s="23">
        <v>1350.576</v>
      </c>
      <c r="F1146" s="23">
        <v>4</v>
      </c>
      <c r="G1146" s="23">
        <v>4</v>
      </c>
      <c r="H1146" s="23">
        <v>0</v>
      </c>
      <c r="I1146" s="23" t="s">
        <v>5</v>
      </c>
      <c r="J1146" s="23" t="s">
        <v>111</v>
      </c>
    </row>
    <row r="1147" spans="1:10" s="20" customFormat="1" ht="12" x14ac:dyDescent="0.25">
      <c r="A1147" s="22">
        <v>2500008130</v>
      </c>
      <c r="B1147" s="23" t="s">
        <v>3362</v>
      </c>
      <c r="C1147" s="24" t="s">
        <v>1996</v>
      </c>
      <c r="D1147" s="23" t="s">
        <v>2025</v>
      </c>
      <c r="E1147" s="23">
        <v>1348.86666666666</v>
      </c>
      <c r="F1147" s="23">
        <v>2</v>
      </c>
      <c r="G1147" s="23">
        <v>2</v>
      </c>
      <c r="H1147" s="23">
        <v>0</v>
      </c>
      <c r="I1147" s="23" t="s">
        <v>5</v>
      </c>
      <c r="J1147" s="23" t="s">
        <v>1993</v>
      </c>
    </row>
    <row r="1148" spans="1:10" s="20" customFormat="1" ht="12" x14ac:dyDescent="0.25">
      <c r="A1148" s="22">
        <v>1000100309</v>
      </c>
      <c r="B1148" s="23" t="s">
        <v>1697</v>
      </c>
      <c r="C1148" s="24" t="s">
        <v>4</v>
      </c>
      <c r="D1148" s="23" t="s">
        <v>2218</v>
      </c>
      <c r="E1148" s="23">
        <v>1342.18</v>
      </c>
      <c r="F1148" s="23">
        <v>4</v>
      </c>
      <c r="G1148" s="23">
        <v>4</v>
      </c>
      <c r="H1148" s="23">
        <v>0</v>
      </c>
      <c r="I1148" s="23" t="s">
        <v>5</v>
      </c>
      <c r="J1148" s="23" t="s">
        <v>327</v>
      </c>
    </row>
    <row r="1149" spans="1:10" s="20" customFormat="1" ht="12" x14ac:dyDescent="0.25">
      <c r="A1149" s="22">
        <v>1000103746</v>
      </c>
      <c r="B1149" s="23" t="s">
        <v>1884</v>
      </c>
      <c r="C1149" s="24" t="s">
        <v>4</v>
      </c>
      <c r="D1149" s="23" t="s">
        <v>2056</v>
      </c>
      <c r="E1149" s="23">
        <v>1340.7</v>
      </c>
      <c r="F1149" s="23">
        <v>100</v>
      </c>
      <c r="G1149" s="23">
        <v>100</v>
      </c>
      <c r="H1149" s="23">
        <v>0</v>
      </c>
      <c r="I1149" s="23" t="s">
        <v>5</v>
      </c>
      <c r="J1149" s="23" t="s">
        <v>1844</v>
      </c>
    </row>
    <row r="1150" spans="1:10" s="20" customFormat="1" ht="12" x14ac:dyDescent="0.25">
      <c r="A1150" s="22">
        <v>1000020683</v>
      </c>
      <c r="B1150" s="23" t="s">
        <v>896</v>
      </c>
      <c r="C1150" s="24" t="s">
        <v>4</v>
      </c>
      <c r="D1150" s="23" t="s">
        <v>2090</v>
      </c>
      <c r="E1150" s="23">
        <v>1338.26905714285</v>
      </c>
      <c r="F1150" s="23">
        <v>22</v>
      </c>
      <c r="G1150" s="23">
        <v>22</v>
      </c>
      <c r="H1150" s="23">
        <v>0</v>
      </c>
      <c r="I1150" s="23" t="s">
        <v>5</v>
      </c>
      <c r="J1150" s="23" t="s">
        <v>327</v>
      </c>
    </row>
    <row r="1151" spans="1:10" s="20" customFormat="1" ht="12" x14ac:dyDescent="0.25">
      <c r="A1151" s="22">
        <v>1000020329</v>
      </c>
      <c r="B1151" s="23" t="s">
        <v>562</v>
      </c>
      <c r="C1151" s="24" t="s">
        <v>4</v>
      </c>
      <c r="D1151" s="23" t="s">
        <v>2090</v>
      </c>
      <c r="E1151" s="23">
        <v>1336.2</v>
      </c>
      <c r="F1151" s="23">
        <v>4</v>
      </c>
      <c r="G1151" s="23">
        <v>4</v>
      </c>
      <c r="H1151" s="23">
        <v>0</v>
      </c>
      <c r="I1151" s="23" t="s">
        <v>5</v>
      </c>
      <c r="J1151" s="23" t="s">
        <v>327</v>
      </c>
    </row>
    <row r="1152" spans="1:10" s="20" customFormat="1" ht="12" x14ac:dyDescent="0.25">
      <c r="A1152" s="22">
        <v>1000020402</v>
      </c>
      <c r="B1152" s="23" t="s">
        <v>632</v>
      </c>
      <c r="C1152" s="24" t="s">
        <v>4</v>
      </c>
      <c r="D1152" s="23" t="s">
        <v>2090</v>
      </c>
      <c r="E1152" s="23">
        <v>1334.9569803921499</v>
      </c>
      <c r="F1152" s="23">
        <v>253</v>
      </c>
      <c r="G1152" s="23">
        <v>253</v>
      </c>
      <c r="H1152" s="23">
        <v>0</v>
      </c>
      <c r="I1152" s="23" t="s">
        <v>5</v>
      </c>
      <c r="J1152" s="23" t="s">
        <v>327</v>
      </c>
    </row>
    <row r="1153" spans="1:10" s="20" customFormat="1" ht="12" x14ac:dyDescent="0.25">
      <c r="A1153" s="22">
        <v>1000107210</v>
      </c>
      <c r="B1153" s="23" t="s">
        <v>131</v>
      </c>
      <c r="C1153" s="24" t="s">
        <v>4</v>
      </c>
      <c r="D1153" s="23" t="s">
        <v>2161</v>
      </c>
      <c r="E1153" s="23">
        <v>1334.4</v>
      </c>
      <c r="F1153" s="23">
        <v>5</v>
      </c>
      <c r="G1153" s="23">
        <v>5</v>
      </c>
      <c r="H1153" s="23">
        <v>0</v>
      </c>
      <c r="I1153" s="23" t="s">
        <v>5</v>
      </c>
      <c r="J1153" s="23" t="s">
        <v>111</v>
      </c>
    </row>
    <row r="1154" spans="1:10" s="20" customFormat="1" ht="12" x14ac:dyDescent="0.25">
      <c r="A1154" s="22">
        <v>1000098377</v>
      </c>
      <c r="B1154" s="23" t="s">
        <v>3363</v>
      </c>
      <c r="C1154" s="24" t="s">
        <v>4</v>
      </c>
      <c r="D1154" s="23" t="s">
        <v>2161</v>
      </c>
      <c r="E1154" s="23">
        <v>1334.36</v>
      </c>
      <c r="F1154" s="23">
        <v>5</v>
      </c>
      <c r="G1154" s="23">
        <v>5</v>
      </c>
      <c r="H1154" s="23">
        <v>0</v>
      </c>
      <c r="I1154" s="23" t="s">
        <v>5</v>
      </c>
      <c r="J1154" s="23" t="s">
        <v>111</v>
      </c>
    </row>
    <row r="1155" spans="1:10" s="20" customFormat="1" ht="12" x14ac:dyDescent="0.25">
      <c r="A1155" s="22">
        <v>1000103522</v>
      </c>
      <c r="B1155" s="23" t="s">
        <v>1824</v>
      </c>
      <c r="C1155" s="24" t="s">
        <v>4</v>
      </c>
      <c r="D1155" s="23" t="s">
        <v>2090</v>
      </c>
      <c r="E1155" s="23">
        <v>1333.5</v>
      </c>
      <c r="F1155" s="23">
        <v>10</v>
      </c>
      <c r="G1155" s="23">
        <v>10</v>
      </c>
      <c r="H1155" s="23">
        <v>0</v>
      </c>
      <c r="I1155" s="23" t="s">
        <v>5</v>
      </c>
      <c r="J1155" s="23" t="s">
        <v>327</v>
      </c>
    </row>
    <row r="1156" spans="1:10" s="20" customFormat="1" ht="12" x14ac:dyDescent="0.25">
      <c r="A1156" s="22">
        <v>1000100376</v>
      </c>
      <c r="B1156" s="23" t="s">
        <v>3364</v>
      </c>
      <c r="C1156" s="24" t="s">
        <v>4</v>
      </c>
      <c r="D1156" s="23" t="s">
        <v>2090</v>
      </c>
      <c r="E1156" s="23">
        <v>1332.9749999999999</v>
      </c>
      <c r="F1156" s="23">
        <v>1</v>
      </c>
      <c r="G1156" s="23">
        <v>1</v>
      </c>
      <c r="H1156" s="23">
        <v>0</v>
      </c>
      <c r="I1156" s="23" t="s">
        <v>5</v>
      </c>
      <c r="J1156" s="23" t="s">
        <v>327</v>
      </c>
    </row>
    <row r="1157" spans="1:10" s="20" customFormat="1" ht="12" x14ac:dyDescent="0.25">
      <c r="A1157" s="22">
        <v>1000098326</v>
      </c>
      <c r="B1157" s="23" t="s">
        <v>3365</v>
      </c>
      <c r="C1157" s="24" t="s">
        <v>4</v>
      </c>
      <c r="D1157" s="23" t="s">
        <v>2090</v>
      </c>
      <c r="E1157" s="23">
        <v>1331.7657399444399</v>
      </c>
      <c r="F1157" s="23">
        <v>2</v>
      </c>
      <c r="G1157" s="23">
        <v>2</v>
      </c>
      <c r="H1157" s="23">
        <v>0</v>
      </c>
      <c r="I1157" s="23" t="s">
        <v>5</v>
      </c>
      <c r="J1157" s="23" t="s">
        <v>327</v>
      </c>
    </row>
    <row r="1158" spans="1:10" s="20" customFormat="1" ht="12" x14ac:dyDescent="0.25">
      <c r="A1158" s="22">
        <v>1000098581</v>
      </c>
      <c r="B1158" s="23" t="s">
        <v>1590</v>
      </c>
      <c r="C1158" s="24" t="s">
        <v>4</v>
      </c>
      <c r="D1158" s="23" t="s">
        <v>2090</v>
      </c>
      <c r="E1158" s="23">
        <v>1324.0491428571399</v>
      </c>
      <c r="F1158" s="23">
        <v>72</v>
      </c>
      <c r="G1158" s="23">
        <v>72</v>
      </c>
      <c r="H1158" s="23">
        <v>0</v>
      </c>
      <c r="I1158" s="23" t="s">
        <v>5</v>
      </c>
      <c r="J1158" s="23" t="s">
        <v>327</v>
      </c>
    </row>
    <row r="1159" spans="1:10" s="20" customFormat="1" ht="12" x14ac:dyDescent="0.25">
      <c r="A1159" s="22">
        <v>1000021308</v>
      </c>
      <c r="B1159" s="23" t="s">
        <v>1441</v>
      </c>
      <c r="C1159" s="24" t="s">
        <v>4</v>
      </c>
      <c r="D1159" s="23" t="s">
        <v>2090</v>
      </c>
      <c r="E1159" s="23">
        <v>1323.46</v>
      </c>
      <c r="F1159" s="23">
        <v>6</v>
      </c>
      <c r="G1159" s="23">
        <v>6</v>
      </c>
      <c r="H1159" s="23">
        <v>0</v>
      </c>
      <c r="I1159" s="23" t="s">
        <v>5</v>
      </c>
      <c r="J1159" s="23" t="s">
        <v>327</v>
      </c>
    </row>
    <row r="1160" spans="1:10" s="20" customFormat="1" ht="12" x14ac:dyDescent="0.25">
      <c r="A1160" s="22">
        <v>1000021121</v>
      </c>
      <c r="B1160" s="23" t="s">
        <v>1280</v>
      </c>
      <c r="C1160" s="24" t="s">
        <v>4</v>
      </c>
      <c r="D1160" s="23" t="s">
        <v>2090</v>
      </c>
      <c r="E1160" s="23">
        <v>1318.1375</v>
      </c>
      <c r="F1160" s="23">
        <v>5</v>
      </c>
      <c r="G1160" s="23">
        <v>5</v>
      </c>
      <c r="H1160" s="23">
        <v>0</v>
      </c>
      <c r="I1160" s="23" t="s">
        <v>5</v>
      </c>
      <c r="J1160" s="23" t="s">
        <v>327</v>
      </c>
    </row>
    <row r="1161" spans="1:10" s="20" customFormat="1" ht="12" x14ac:dyDescent="0.25">
      <c r="A1161" s="22">
        <v>1000021112</v>
      </c>
      <c r="B1161" s="23" t="s">
        <v>1273</v>
      </c>
      <c r="C1161" s="24" t="s">
        <v>4</v>
      </c>
      <c r="D1161" s="23" t="s">
        <v>2090</v>
      </c>
      <c r="E1161" s="23">
        <v>1317.1875</v>
      </c>
      <c r="F1161" s="23">
        <v>5</v>
      </c>
      <c r="G1161" s="23">
        <v>5</v>
      </c>
      <c r="H1161" s="23">
        <v>0</v>
      </c>
      <c r="I1161" s="23" t="s">
        <v>5</v>
      </c>
      <c r="J1161" s="23" t="s">
        <v>327</v>
      </c>
    </row>
    <row r="1162" spans="1:10" s="20" customFormat="1" ht="12" x14ac:dyDescent="0.25">
      <c r="A1162" s="22">
        <v>1000102915</v>
      </c>
      <c r="B1162" s="23" t="s">
        <v>1800</v>
      </c>
      <c r="C1162" s="24" t="s">
        <v>4</v>
      </c>
      <c r="D1162" s="23" t="s">
        <v>2090</v>
      </c>
      <c r="E1162" s="23">
        <v>1317</v>
      </c>
      <c r="F1162" s="23">
        <v>10</v>
      </c>
      <c r="G1162" s="23">
        <v>10</v>
      </c>
      <c r="H1162" s="23">
        <v>0</v>
      </c>
      <c r="I1162" s="23" t="s">
        <v>5</v>
      </c>
      <c r="J1162" s="23" t="s">
        <v>327</v>
      </c>
    </row>
    <row r="1163" spans="1:10" s="20" customFormat="1" ht="12" x14ac:dyDescent="0.25">
      <c r="A1163" s="22">
        <v>1000020485</v>
      </c>
      <c r="B1163" s="23" t="s">
        <v>711</v>
      </c>
      <c r="C1163" s="24" t="s">
        <v>4</v>
      </c>
      <c r="D1163" s="23" t="s">
        <v>2090</v>
      </c>
      <c r="E1163" s="23">
        <v>1316.33640860079</v>
      </c>
      <c r="F1163" s="23">
        <v>40</v>
      </c>
      <c r="G1163" s="23">
        <v>40</v>
      </c>
      <c r="H1163" s="23">
        <v>0</v>
      </c>
      <c r="I1163" s="23" t="s">
        <v>5</v>
      </c>
      <c r="J1163" s="23" t="s">
        <v>327</v>
      </c>
    </row>
    <row r="1164" spans="1:10" s="20" customFormat="1" ht="12" x14ac:dyDescent="0.25">
      <c r="A1164" s="22">
        <v>1000021215</v>
      </c>
      <c r="B1164" s="23" t="s">
        <v>1361</v>
      </c>
      <c r="C1164" s="24" t="s">
        <v>4</v>
      </c>
      <c r="D1164" s="23" t="s">
        <v>2090</v>
      </c>
      <c r="E1164" s="23">
        <v>1315.8085714285701</v>
      </c>
      <c r="F1164" s="23">
        <v>8</v>
      </c>
      <c r="G1164" s="23">
        <v>8</v>
      </c>
      <c r="H1164" s="23">
        <v>0</v>
      </c>
      <c r="I1164" s="23" t="s">
        <v>5</v>
      </c>
      <c r="J1164" s="23" t="s">
        <v>327</v>
      </c>
    </row>
    <row r="1165" spans="1:10" s="20" customFormat="1" ht="12" x14ac:dyDescent="0.25">
      <c r="A1165" s="22">
        <v>1000021289</v>
      </c>
      <c r="B1165" s="23" t="s">
        <v>1425</v>
      </c>
      <c r="C1165" s="24" t="s">
        <v>4</v>
      </c>
      <c r="D1165" s="23" t="s">
        <v>2090</v>
      </c>
      <c r="E1165" s="23">
        <v>1312.78</v>
      </c>
      <c r="F1165" s="23">
        <v>14</v>
      </c>
      <c r="G1165" s="23">
        <v>14</v>
      </c>
      <c r="H1165" s="23">
        <v>0</v>
      </c>
      <c r="I1165" s="23" t="s">
        <v>5</v>
      </c>
      <c r="J1165" s="23" t="s">
        <v>327</v>
      </c>
    </row>
    <row r="1166" spans="1:10" s="20" customFormat="1" ht="12" x14ac:dyDescent="0.25">
      <c r="A1166" s="22">
        <v>1000103072</v>
      </c>
      <c r="B1166" s="23" t="s">
        <v>3373</v>
      </c>
      <c r="C1166" s="24" t="s">
        <v>4</v>
      </c>
      <c r="D1166" s="23" t="s">
        <v>2090</v>
      </c>
      <c r="E1166" s="23">
        <v>1312.06</v>
      </c>
      <c r="F1166" s="23">
        <v>3</v>
      </c>
      <c r="G1166" s="23">
        <v>3</v>
      </c>
      <c r="H1166" s="23">
        <v>0</v>
      </c>
      <c r="I1166" s="23" t="s">
        <v>5</v>
      </c>
      <c r="J1166" s="23" t="s">
        <v>327</v>
      </c>
    </row>
    <row r="1167" spans="1:10" s="20" customFormat="1" ht="12" x14ac:dyDescent="0.25">
      <c r="A1167" s="22">
        <v>1000020459</v>
      </c>
      <c r="B1167" s="23" t="s">
        <v>685</v>
      </c>
      <c r="C1167" s="24" t="s">
        <v>4</v>
      </c>
      <c r="D1167" s="23" t="s">
        <v>2090</v>
      </c>
      <c r="E1167" s="23">
        <v>1311.25</v>
      </c>
      <c r="F1167" s="23">
        <v>65</v>
      </c>
      <c r="G1167" s="23">
        <v>65</v>
      </c>
      <c r="H1167" s="23">
        <v>0</v>
      </c>
      <c r="I1167" s="23" t="s">
        <v>5</v>
      </c>
      <c r="J1167" s="23" t="s">
        <v>327</v>
      </c>
    </row>
    <row r="1168" spans="1:10" s="20" customFormat="1" ht="12" x14ac:dyDescent="0.25">
      <c r="A1168" s="22">
        <v>1000020805</v>
      </c>
      <c r="B1168" s="23" t="s">
        <v>1009</v>
      </c>
      <c r="C1168" s="24" t="s">
        <v>4</v>
      </c>
      <c r="D1168" s="23" t="s">
        <v>2090</v>
      </c>
      <c r="E1168" s="23">
        <v>1310.25</v>
      </c>
      <c r="F1168" s="23">
        <v>5</v>
      </c>
      <c r="G1168" s="23">
        <v>5</v>
      </c>
      <c r="H1168" s="23">
        <v>0</v>
      </c>
      <c r="I1168" s="23" t="s">
        <v>5</v>
      </c>
      <c r="J1168" s="23" t="s">
        <v>327</v>
      </c>
    </row>
    <row r="1169" spans="1:10" s="20" customFormat="1" ht="12" x14ac:dyDescent="0.25">
      <c r="A1169" s="22">
        <v>1000103215</v>
      </c>
      <c r="B1169" s="23" t="s">
        <v>1822</v>
      </c>
      <c r="C1169" s="24" t="s">
        <v>4</v>
      </c>
      <c r="D1169" s="23" t="s">
        <v>2090</v>
      </c>
      <c r="E1169" s="23">
        <v>1309.8800000000001</v>
      </c>
      <c r="F1169" s="23">
        <v>5</v>
      </c>
      <c r="G1169" s="23">
        <v>5</v>
      </c>
      <c r="H1169" s="23">
        <v>0</v>
      </c>
      <c r="I1169" s="23" t="s">
        <v>5</v>
      </c>
      <c r="J1169" s="23" t="s">
        <v>327</v>
      </c>
    </row>
    <row r="1170" spans="1:10" s="20" customFormat="1" ht="12" x14ac:dyDescent="0.25">
      <c r="A1170" s="22">
        <v>2200000298</v>
      </c>
      <c r="B1170" s="23" t="s">
        <v>3374</v>
      </c>
      <c r="C1170" s="24" t="s">
        <v>2037</v>
      </c>
      <c r="D1170" s="23" t="s">
        <v>2038</v>
      </c>
      <c r="E1170" s="23">
        <v>1309.3800000000001</v>
      </c>
      <c r="F1170" s="23">
        <v>1</v>
      </c>
      <c r="G1170" s="23">
        <v>1</v>
      </c>
      <c r="H1170" s="23">
        <v>0</v>
      </c>
      <c r="I1170" s="23" t="s">
        <v>5</v>
      </c>
      <c r="J1170" s="23" t="s">
        <v>146</v>
      </c>
    </row>
    <row r="1171" spans="1:10" s="20" customFormat="1" ht="12" x14ac:dyDescent="0.25">
      <c r="A1171" s="22">
        <v>1000020417</v>
      </c>
      <c r="B1171" s="23" t="s">
        <v>646</v>
      </c>
      <c r="C1171" s="24" t="s">
        <v>4</v>
      </c>
      <c r="D1171" s="23" t="s">
        <v>2218</v>
      </c>
      <c r="E1171" s="23">
        <v>1303.5188653259199</v>
      </c>
      <c r="F1171" s="23">
        <v>207</v>
      </c>
      <c r="G1171" s="23">
        <v>207</v>
      </c>
      <c r="H1171" s="23">
        <v>0</v>
      </c>
      <c r="I1171" s="23" t="s">
        <v>5</v>
      </c>
      <c r="J1171" s="23" t="s">
        <v>327</v>
      </c>
    </row>
    <row r="1172" spans="1:10" s="20" customFormat="1" ht="12" x14ac:dyDescent="0.25">
      <c r="A1172" s="22">
        <v>1000020974</v>
      </c>
      <c r="B1172" s="23" t="s">
        <v>1148</v>
      </c>
      <c r="C1172" s="24" t="s">
        <v>4</v>
      </c>
      <c r="D1172" s="23" t="s">
        <v>2090</v>
      </c>
      <c r="E1172" s="23">
        <v>1301.52</v>
      </c>
      <c r="F1172" s="23">
        <v>8</v>
      </c>
      <c r="G1172" s="23">
        <v>8</v>
      </c>
      <c r="H1172" s="23">
        <v>0</v>
      </c>
      <c r="I1172" s="23" t="s">
        <v>5</v>
      </c>
      <c r="J1172" s="23" t="s">
        <v>327</v>
      </c>
    </row>
    <row r="1173" spans="1:10" s="20" customFormat="1" ht="12" x14ac:dyDescent="0.25">
      <c r="A1173" s="22">
        <v>1000095919</v>
      </c>
      <c r="B1173" s="23" t="s">
        <v>3379</v>
      </c>
      <c r="C1173" s="24" t="s">
        <v>4</v>
      </c>
      <c r="D1173" s="23" t="s">
        <v>2056</v>
      </c>
      <c r="E1173" s="23">
        <v>1299.7464</v>
      </c>
      <c r="F1173" s="23">
        <v>118</v>
      </c>
      <c r="G1173" s="23">
        <v>118</v>
      </c>
      <c r="H1173" s="23">
        <v>0</v>
      </c>
      <c r="I1173" s="23" t="s">
        <v>5</v>
      </c>
      <c r="J1173" s="23" t="s">
        <v>1844</v>
      </c>
    </row>
    <row r="1174" spans="1:10" s="20" customFormat="1" ht="12" x14ac:dyDescent="0.25">
      <c r="A1174" s="22">
        <v>1000101895</v>
      </c>
      <c r="B1174" s="23" t="s">
        <v>3380</v>
      </c>
      <c r="C1174" s="24" t="s">
        <v>4</v>
      </c>
      <c r="D1174" s="23" t="s">
        <v>2056</v>
      </c>
      <c r="E1174" s="23">
        <v>1299.0604293333299</v>
      </c>
      <c r="F1174" s="23">
        <v>1</v>
      </c>
      <c r="G1174" s="23">
        <v>1</v>
      </c>
      <c r="H1174" s="23">
        <v>0</v>
      </c>
      <c r="I1174" s="23" t="s">
        <v>5</v>
      </c>
      <c r="J1174" s="23" t="s">
        <v>1844</v>
      </c>
    </row>
    <row r="1175" spans="1:10" s="20" customFormat="1" ht="12" x14ac:dyDescent="0.25">
      <c r="A1175" s="22">
        <v>1000105457</v>
      </c>
      <c r="B1175" s="23" t="s">
        <v>3382</v>
      </c>
      <c r="C1175" s="24" t="s">
        <v>4</v>
      </c>
      <c r="D1175" s="23" t="s">
        <v>2161</v>
      </c>
      <c r="E1175" s="23">
        <v>1297.3599999999999</v>
      </c>
      <c r="F1175" s="23">
        <v>7</v>
      </c>
      <c r="G1175" s="23">
        <v>7</v>
      </c>
      <c r="H1175" s="23">
        <v>0</v>
      </c>
      <c r="I1175" s="23" t="s">
        <v>5</v>
      </c>
      <c r="J1175" s="23" t="s">
        <v>111</v>
      </c>
    </row>
    <row r="1176" spans="1:10" s="20" customFormat="1" ht="12" x14ac:dyDescent="0.25">
      <c r="A1176" s="22">
        <v>1000094021</v>
      </c>
      <c r="B1176" s="23" t="s">
        <v>3383</v>
      </c>
      <c r="C1176" s="24" t="s">
        <v>4</v>
      </c>
      <c r="D1176" s="23" t="s">
        <v>2090</v>
      </c>
      <c r="E1176" s="23">
        <v>1296.9501234567899</v>
      </c>
      <c r="F1176" s="23">
        <v>4</v>
      </c>
      <c r="G1176" s="23">
        <v>4</v>
      </c>
      <c r="H1176" s="23">
        <v>0</v>
      </c>
      <c r="I1176" s="23" t="s">
        <v>5</v>
      </c>
      <c r="J1176" s="23" t="s">
        <v>327</v>
      </c>
    </row>
    <row r="1177" spans="1:10" s="20" customFormat="1" ht="12" x14ac:dyDescent="0.25">
      <c r="A1177" s="22">
        <v>1000103524</v>
      </c>
      <c r="B1177" s="23" t="s">
        <v>1826</v>
      </c>
      <c r="C1177" s="24" t="s">
        <v>4</v>
      </c>
      <c r="D1177" s="23" t="s">
        <v>2090</v>
      </c>
      <c r="E1177" s="23">
        <v>1293.94</v>
      </c>
      <c r="F1177" s="23">
        <v>5</v>
      </c>
      <c r="G1177" s="23">
        <v>5</v>
      </c>
      <c r="H1177" s="23">
        <v>0</v>
      </c>
      <c r="I1177" s="23" t="s">
        <v>5</v>
      </c>
      <c r="J1177" s="23" t="s">
        <v>327</v>
      </c>
    </row>
    <row r="1178" spans="1:10" s="20" customFormat="1" ht="12" x14ac:dyDescent="0.25">
      <c r="A1178" s="22">
        <v>1000021231</v>
      </c>
      <c r="B1178" s="23" t="s">
        <v>1376</v>
      </c>
      <c r="C1178" s="24" t="s">
        <v>4</v>
      </c>
      <c r="D1178" s="23" t="s">
        <v>2090</v>
      </c>
      <c r="E1178" s="23">
        <v>1293.4848</v>
      </c>
      <c r="F1178" s="23">
        <v>16</v>
      </c>
      <c r="G1178" s="23">
        <v>16</v>
      </c>
      <c r="H1178" s="23">
        <v>0</v>
      </c>
      <c r="I1178" s="23" t="s">
        <v>5</v>
      </c>
      <c r="J1178" s="23" t="s">
        <v>327</v>
      </c>
    </row>
    <row r="1179" spans="1:10" s="20" customFormat="1" ht="12" x14ac:dyDescent="0.25">
      <c r="A1179" s="22">
        <v>1000021480</v>
      </c>
      <c r="B1179" s="23" t="s">
        <v>1494</v>
      </c>
      <c r="C1179" s="24" t="s">
        <v>4</v>
      </c>
      <c r="D1179" s="23" t="s">
        <v>2090</v>
      </c>
      <c r="E1179" s="23">
        <v>1293.3722</v>
      </c>
      <c r="F1179" s="23">
        <v>4</v>
      </c>
      <c r="G1179" s="23">
        <v>4</v>
      </c>
      <c r="H1179" s="23">
        <v>0</v>
      </c>
      <c r="I1179" s="23" t="s">
        <v>5</v>
      </c>
      <c r="J1179" s="23" t="s">
        <v>327</v>
      </c>
    </row>
    <row r="1180" spans="1:10" s="20" customFormat="1" ht="12" x14ac:dyDescent="0.25">
      <c r="A1180" s="22">
        <v>1000096901</v>
      </c>
      <c r="B1180" s="23" t="s">
        <v>3386</v>
      </c>
      <c r="C1180" s="24" t="s">
        <v>4</v>
      </c>
      <c r="D1180" s="23" t="s">
        <v>2161</v>
      </c>
      <c r="E1180" s="23">
        <v>1286</v>
      </c>
      <c r="F1180" s="23">
        <v>5</v>
      </c>
      <c r="G1180" s="23">
        <v>5</v>
      </c>
      <c r="H1180" s="23">
        <v>0</v>
      </c>
      <c r="I1180" s="23" t="s">
        <v>5</v>
      </c>
      <c r="J1180" s="23" t="s">
        <v>111</v>
      </c>
    </row>
    <row r="1181" spans="1:10" s="20" customFormat="1" ht="12" x14ac:dyDescent="0.25">
      <c r="A1181" s="22">
        <v>1000096766</v>
      </c>
      <c r="B1181" s="23" t="s">
        <v>3387</v>
      </c>
      <c r="C1181" s="24" t="s">
        <v>2205</v>
      </c>
      <c r="D1181" s="23" t="s">
        <v>2056</v>
      </c>
      <c r="E1181" s="23">
        <v>1285.2</v>
      </c>
      <c r="F1181" s="23">
        <v>250</v>
      </c>
      <c r="G1181" s="23">
        <v>250</v>
      </c>
      <c r="H1181" s="23">
        <v>0</v>
      </c>
      <c r="I1181" s="23" t="s">
        <v>5</v>
      </c>
      <c r="J1181" s="23" t="s">
        <v>1844</v>
      </c>
    </row>
    <row r="1182" spans="1:10" s="20" customFormat="1" ht="12" x14ac:dyDescent="0.25">
      <c r="A1182" s="22">
        <v>1000102888</v>
      </c>
      <c r="B1182" s="23" t="s">
        <v>3389</v>
      </c>
      <c r="C1182" s="24" t="s">
        <v>4</v>
      </c>
      <c r="D1182" s="23" t="s">
        <v>2090</v>
      </c>
      <c r="E1182" s="23">
        <v>1283.51</v>
      </c>
      <c r="F1182" s="23">
        <v>3</v>
      </c>
      <c r="G1182" s="23">
        <v>3</v>
      </c>
      <c r="H1182" s="23">
        <v>0</v>
      </c>
      <c r="I1182" s="23" t="s">
        <v>5</v>
      </c>
      <c r="J1182" s="23" t="s">
        <v>327</v>
      </c>
    </row>
    <row r="1183" spans="1:10" s="20" customFormat="1" ht="12" x14ac:dyDescent="0.25">
      <c r="A1183" s="22">
        <v>2500008204</v>
      </c>
      <c r="B1183" s="23" t="s">
        <v>3390</v>
      </c>
      <c r="C1183" s="24" t="s">
        <v>1996</v>
      </c>
      <c r="D1183" s="23" t="s">
        <v>2643</v>
      </c>
      <c r="E1183" s="23">
        <v>1282.5</v>
      </c>
      <c r="F1183" s="23">
        <v>2</v>
      </c>
      <c r="G1183" s="23">
        <v>2</v>
      </c>
      <c r="H1183" s="23">
        <v>0</v>
      </c>
      <c r="I1183" s="23" t="s">
        <v>5</v>
      </c>
      <c r="J1183" s="23" t="s">
        <v>1993</v>
      </c>
    </row>
    <row r="1184" spans="1:10" s="20" customFormat="1" ht="12" x14ac:dyDescent="0.25">
      <c r="A1184" s="22">
        <v>1000103749</v>
      </c>
      <c r="B1184" s="23" t="s">
        <v>3391</v>
      </c>
      <c r="C1184" s="24" t="s">
        <v>4</v>
      </c>
      <c r="D1184" s="23" t="s">
        <v>2056</v>
      </c>
      <c r="E1184" s="23">
        <v>1281.21525</v>
      </c>
      <c r="F1184" s="23">
        <v>9</v>
      </c>
      <c r="G1184" s="23">
        <v>9</v>
      </c>
      <c r="H1184" s="23">
        <v>0</v>
      </c>
      <c r="I1184" s="23" t="s">
        <v>5</v>
      </c>
      <c r="J1184" s="23" t="s">
        <v>1844</v>
      </c>
    </row>
    <row r="1185" spans="1:10" s="20" customFormat="1" ht="12" x14ac:dyDescent="0.25">
      <c r="A1185" s="22">
        <v>1000097935</v>
      </c>
      <c r="B1185" s="23" t="s">
        <v>3392</v>
      </c>
      <c r="C1185" s="24" t="s">
        <v>4</v>
      </c>
      <c r="D1185" s="23" t="s">
        <v>2218</v>
      </c>
      <c r="E1185" s="23">
        <v>1281.1494742063401</v>
      </c>
      <c r="F1185" s="23">
        <v>61</v>
      </c>
      <c r="G1185" s="23">
        <v>61</v>
      </c>
      <c r="H1185" s="23">
        <v>0</v>
      </c>
      <c r="I1185" s="23" t="s">
        <v>5</v>
      </c>
      <c r="J1185" s="23" t="s">
        <v>327</v>
      </c>
    </row>
    <row r="1186" spans="1:10" s="20" customFormat="1" ht="12" x14ac:dyDescent="0.25">
      <c r="A1186" s="22">
        <v>1000103744</v>
      </c>
      <c r="B1186" s="23" t="s">
        <v>1883</v>
      </c>
      <c r="C1186" s="24" t="s">
        <v>4</v>
      </c>
      <c r="D1186" s="23" t="s">
        <v>2056</v>
      </c>
      <c r="E1186" s="23">
        <v>1275.6776299999999</v>
      </c>
      <c r="F1186" s="23">
        <v>100</v>
      </c>
      <c r="G1186" s="23">
        <v>100</v>
      </c>
      <c r="H1186" s="23">
        <v>0</v>
      </c>
      <c r="I1186" s="23" t="s">
        <v>5</v>
      </c>
      <c r="J1186" s="23" t="s">
        <v>1844</v>
      </c>
    </row>
    <row r="1187" spans="1:10" s="20" customFormat="1" ht="12" x14ac:dyDescent="0.25">
      <c r="A1187" s="22">
        <v>1000106074</v>
      </c>
      <c r="B1187" s="23" t="s">
        <v>3395</v>
      </c>
      <c r="C1187" s="24" t="s">
        <v>4</v>
      </c>
      <c r="D1187" s="23" t="s">
        <v>2161</v>
      </c>
      <c r="E1187" s="23">
        <v>1274.0999999999999</v>
      </c>
      <c r="F1187" s="23">
        <v>2</v>
      </c>
      <c r="G1187" s="23">
        <v>2</v>
      </c>
      <c r="H1187" s="23">
        <v>0</v>
      </c>
      <c r="I1187" s="23" t="s">
        <v>5</v>
      </c>
      <c r="J1187" s="23" t="s">
        <v>111</v>
      </c>
    </row>
    <row r="1188" spans="1:10" s="20" customFormat="1" ht="12" x14ac:dyDescent="0.25">
      <c r="A1188" s="22">
        <v>1000020065</v>
      </c>
      <c r="B1188" s="23" t="s">
        <v>3396</v>
      </c>
      <c r="C1188" s="24" t="s">
        <v>4</v>
      </c>
      <c r="D1188" s="23" t="s">
        <v>2090</v>
      </c>
      <c r="E1188" s="23">
        <v>1268.31</v>
      </c>
      <c r="F1188" s="23">
        <v>4</v>
      </c>
      <c r="G1188" s="23">
        <v>4</v>
      </c>
      <c r="H1188" s="23">
        <v>0</v>
      </c>
      <c r="I1188" s="23" t="s">
        <v>5</v>
      </c>
      <c r="J1188" s="23" t="s">
        <v>327</v>
      </c>
    </row>
    <row r="1189" spans="1:10" s="20" customFormat="1" ht="12" x14ac:dyDescent="0.25">
      <c r="A1189" s="22">
        <v>1000020434</v>
      </c>
      <c r="B1189" s="23" t="s">
        <v>661</v>
      </c>
      <c r="C1189" s="24" t="s">
        <v>4</v>
      </c>
      <c r="D1189" s="23" t="s">
        <v>2218</v>
      </c>
      <c r="E1189" s="23">
        <v>1264.0677934395501</v>
      </c>
      <c r="F1189" s="23">
        <v>138</v>
      </c>
      <c r="G1189" s="23">
        <v>138</v>
      </c>
      <c r="H1189" s="23">
        <v>0</v>
      </c>
      <c r="I1189" s="23" t="s">
        <v>5</v>
      </c>
      <c r="J1189" s="23" t="s">
        <v>327</v>
      </c>
    </row>
    <row r="1190" spans="1:10" s="20" customFormat="1" ht="12" x14ac:dyDescent="0.25">
      <c r="A1190" s="22">
        <v>1000021276</v>
      </c>
      <c r="B1190" s="23" t="s">
        <v>1415</v>
      </c>
      <c r="C1190" s="24" t="s">
        <v>4</v>
      </c>
      <c r="D1190" s="23" t="s">
        <v>2090</v>
      </c>
      <c r="E1190" s="23">
        <v>1260.1099999999999</v>
      </c>
      <c r="F1190" s="23">
        <v>5</v>
      </c>
      <c r="G1190" s="23">
        <v>5</v>
      </c>
      <c r="H1190" s="23">
        <v>0</v>
      </c>
      <c r="I1190" s="23" t="s">
        <v>5</v>
      </c>
      <c r="J1190" s="23" t="s">
        <v>327</v>
      </c>
    </row>
    <row r="1191" spans="1:10" s="20" customFormat="1" ht="12" x14ac:dyDescent="0.25">
      <c r="A1191" s="22">
        <v>2500008233</v>
      </c>
      <c r="B1191" s="23" t="s">
        <v>3399</v>
      </c>
      <c r="C1191" s="24" t="s">
        <v>1996</v>
      </c>
      <c r="D1191" s="23" t="s">
        <v>2025</v>
      </c>
      <c r="E1191" s="23">
        <v>1259.3783333333299</v>
      </c>
      <c r="F1191" s="23">
        <v>3</v>
      </c>
      <c r="G1191" s="23">
        <v>3</v>
      </c>
      <c r="H1191" s="23">
        <v>0</v>
      </c>
      <c r="I1191" s="23" t="s">
        <v>5</v>
      </c>
      <c r="J1191" s="23" t="s">
        <v>1993</v>
      </c>
    </row>
    <row r="1192" spans="1:10" s="20" customFormat="1" ht="12" x14ac:dyDescent="0.25">
      <c r="A1192" s="22">
        <v>1000103210</v>
      </c>
      <c r="B1192" s="23" t="s">
        <v>1817</v>
      </c>
      <c r="C1192" s="24" t="s">
        <v>4</v>
      </c>
      <c r="D1192" s="23" t="s">
        <v>2090</v>
      </c>
      <c r="E1192" s="23">
        <v>1258.665</v>
      </c>
      <c r="F1192" s="23">
        <v>2</v>
      </c>
      <c r="G1192" s="23">
        <v>2</v>
      </c>
      <c r="H1192" s="23">
        <v>0</v>
      </c>
      <c r="I1192" s="23" t="s">
        <v>5</v>
      </c>
      <c r="J1192" s="23" t="s">
        <v>327</v>
      </c>
    </row>
    <row r="1193" spans="1:10" s="20" customFormat="1" ht="12" x14ac:dyDescent="0.25">
      <c r="A1193" s="22">
        <v>1000098444</v>
      </c>
      <c r="B1193" s="23" t="s">
        <v>1524</v>
      </c>
      <c r="C1193" s="24" t="s">
        <v>4</v>
      </c>
      <c r="D1193" s="23" t="s">
        <v>2090</v>
      </c>
      <c r="E1193" s="23">
        <v>1253.7735</v>
      </c>
      <c r="F1193" s="23">
        <v>15</v>
      </c>
      <c r="G1193" s="23">
        <v>15</v>
      </c>
      <c r="H1193" s="23">
        <v>0</v>
      </c>
      <c r="I1193" s="23" t="s">
        <v>5</v>
      </c>
      <c r="J1193" s="23" t="s">
        <v>327</v>
      </c>
    </row>
    <row r="1194" spans="1:10" s="20" customFormat="1" ht="12" x14ac:dyDescent="0.25">
      <c r="A1194" s="22">
        <v>2500008065</v>
      </c>
      <c r="B1194" s="23" t="s">
        <v>3400</v>
      </c>
      <c r="C1194" s="24" t="s">
        <v>1996</v>
      </c>
      <c r="D1194" s="23" t="s">
        <v>2025</v>
      </c>
      <c r="E1194" s="23">
        <v>1252.634</v>
      </c>
      <c r="F1194" s="23">
        <v>2</v>
      </c>
      <c r="G1194" s="23">
        <v>2</v>
      </c>
      <c r="H1194" s="23">
        <v>0</v>
      </c>
      <c r="I1194" s="23" t="s">
        <v>5</v>
      </c>
      <c r="J1194" s="23" t="s">
        <v>1993</v>
      </c>
    </row>
    <row r="1195" spans="1:10" s="20" customFormat="1" ht="12" x14ac:dyDescent="0.25">
      <c r="A1195" s="22">
        <v>1000021302</v>
      </c>
      <c r="B1195" s="23" t="s">
        <v>1437</v>
      </c>
      <c r="C1195" s="24" t="s">
        <v>4</v>
      </c>
      <c r="D1195" s="23" t="s">
        <v>2090</v>
      </c>
      <c r="E1195" s="23">
        <v>1252.3499999999999</v>
      </c>
      <c r="F1195" s="23">
        <v>9</v>
      </c>
      <c r="G1195" s="23">
        <v>9</v>
      </c>
      <c r="H1195" s="23">
        <v>0</v>
      </c>
      <c r="I1195" s="23" t="s">
        <v>5</v>
      </c>
      <c r="J1195" s="23" t="s">
        <v>327</v>
      </c>
    </row>
    <row r="1196" spans="1:10" s="20" customFormat="1" ht="12" x14ac:dyDescent="0.25">
      <c r="A1196" s="22">
        <v>1000097131</v>
      </c>
      <c r="B1196" s="23" t="s">
        <v>3401</v>
      </c>
      <c r="C1196" s="24" t="s">
        <v>4</v>
      </c>
      <c r="D1196" s="23" t="s">
        <v>2161</v>
      </c>
      <c r="E1196" s="23">
        <v>1250.5351766666599</v>
      </c>
      <c r="F1196" s="23">
        <v>5</v>
      </c>
      <c r="G1196" s="23">
        <v>5</v>
      </c>
      <c r="H1196" s="23">
        <v>0</v>
      </c>
      <c r="I1196" s="23" t="s">
        <v>5</v>
      </c>
      <c r="J1196" s="23" t="s">
        <v>111</v>
      </c>
    </row>
    <row r="1197" spans="1:10" s="20" customFormat="1" ht="12" x14ac:dyDescent="0.25">
      <c r="A1197" s="22">
        <v>1000021457</v>
      </c>
      <c r="B1197" s="23" t="s">
        <v>1485</v>
      </c>
      <c r="C1197" s="24" t="s">
        <v>4</v>
      </c>
      <c r="D1197" s="23" t="s">
        <v>2090</v>
      </c>
      <c r="E1197" s="23">
        <v>1247.4894857142799</v>
      </c>
      <c r="F1197" s="23">
        <v>10</v>
      </c>
      <c r="G1197" s="23">
        <v>10</v>
      </c>
      <c r="H1197" s="23">
        <v>0</v>
      </c>
      <c r="I1197" s="23" t="s">
        <v>5</v>
      </c>
      <c r="J1197" s="23" t="s">
        <v>327</v>
      </c>
    </row>
    <row r="1198" spans="1:10" s="20" customFormat="1" ht="12" x14ac:dyDescent="0.25">
      <c r="A1198" s="22">
        <v>1000021499</v>
      </c>
      <c r="B1198" s="23" t="s">
        <v>1498</v>
      </c>
      <c r="C1198" s="24" t="s">
        <v>4</v>
      </c>
      <c r="D1198" s="23" t="s">
        <v>2090</v>
      </c>
      <c r="E1198" s="23">
        <v>1246.99</v>
      </c>
      <c r="F1198" s="23">
        <v>1</v>
      </c>
      <c r="G1198" s="23">
        <v>1</v>
      </c>
      <c r="H1198" s="23">
        <v>0</v>
      </c>
      <c r="I1198" s="23" t="s">
        <v>5</v>
      </c>
      <c r="J1198" s="23" t="s">
        <v>327</v>
      </c>
    </row>
    <row r="1199" spans="1:10" s="20" customFormat="1" ht="12" x14ac:dyDescent="0.25">
      <c r="A1199" s="22">
        <v>2500008242</v>
      </c>
      <c r="B1199" s="23" t="s">
        <v>3403</v>
      </c>
      <c r="C1199" s="24" t="s">
        <v>1996</v>
      </c>
      <c r="D1199" s="23" t="s">
        <v>2811</v>
      </c>
      <c r="E1199" s="23">
        <v>1244.5648571428501</v>
      </c>
      <c r="F1199" s="23">
        <v>7</v>
      </c>
      <c r="G1199" s="23">
        <v>7</v>
      </c>
      <c r="H1199" s="23">
        <v>0</v>
      </c>
      <c r="I1199" s="23" t="s">
        <v>5</v>
      </c>
      <c r="J1199" s="23" t="s">
        <v>1993</v>
      </c>
    </row>
    <row r="1200" spans="1:10" s="20" customFormat="1" ht="12" x14ac:dyDescent="0.25">
      <c r="A1200" s="22">
        <v>1000021287</v>
      </c>
      <c r="B1200" s="23" t="s">
        <v>1423</v>
      </c>
      <c r="C1200" s="24" t="s">
        <v>4</v>
      </c>
      <c r="D1200" s="23" t="s">
        <v>2090</v>
      </c>
      <c r="E1200" s="23">
        <v>1243.44</v>
      </c>
      <c r="F1200" s="23">
        <v>3</v>
      </c>
      <c r="G1200" s="23">
        <v>3</v>
      </c>
      <c r="H1200" s="23">
        <v>0</v>
      </c>
      <c r="I1200" s="23" t="s">
        <v>5</v>
      </c>
      <c r="J1200" s="23" t="s">
        <v>327</v>
      </c>
    </row>
    <row r="1201" spans="1:10" s="20" customFormat="1" ht="12" x14ac:dyDescent="0.25">
      <c r="A1201" s="22">
        <v>1000095493</v>
      </c>
      <c r="B1201" s="23" t="s">
        <v>3404</v>
      </c>
      <c r="C1201" s="24" t="s">
        <v>4</v>
      </c>
      <c r="D1201" s="23" t="s">
        <v>2090</v>
      </c>
      <c r="E1201" s="23">
        <v>1243.3499999999999</v>
      </c>
      <c r="F1201" s="23">
        <v>54</v>
      </c>
      <c r="G1201" s="23">
        <v>54</v>
      </c>
      <c r="H1201" s="23">
        <v>0</v>
      </c>
      <c r="I1201" s="23" t="s">
        <v>5</v>
      </c>
      <c r="J1201" s="23" t="s">
        <v>327</v>
      </c>
    </row>
    <row r="1202" spans="1:10" s="20" customFormat="1" ht="12" x14ac:dyDescent="0.25">
      <c r="A1202" s="22">
        <v>1000098531</v>
      </c>
      <c r="B1202" s="23" t="s">
        <v>1565</v>
      </c>
      <c r="C1202" s="24" t="s">
        <v>4</v>
      </c>
      <c r="D1202" s="23" t="s">
        <v>2090</v>
      </c>
      <c r="E1202" s="23">
        <v>1242</v>
      </c>
      <c r="F1202" s="23">
        <v>10</v>
      </c>
      <c r="G1202" s="23">
        <v>10</v>
      </c>
      <c r="H1202" s="23">
        <v>0</v>
      </c>
      <c r="I1202" s="23" t="s">
        <v>5</v>
      </c>
      <c r="J1202" s="23" t="s">
        <v>327</v>
      </c>
    </row>
    <row r="1203" spans="1:10" s="20" customFormat="1" ht="12" x14ac:dyDescent="0.25">
      <c r="A1203" s="22">
        <v>2200011166</v>
      </c>
      <c r="B1203" s="23" t="s">
        <v>3405</v>
      </c>
      <c r="C1203" s="24" t="s">
        <v>2037</v>
      </c>
      <c r="D1203" s="23" t="s">
        <v>2038</v>
      </c>
      <c r="E1203" s="23">
        <v>1240.432</v>
      </c>
      <c r="F1203" s="23">
        <v>1</v>
      </c>
      <c r="G1203" s="23">
        <v>1</v>
      </c>
      <c r="H1203" s="23">
        <v>0</v>
      </c>
      <c r="I1203" s="23" t="s">
        <v>5</v>
      </c>
      <c r="J1203" s="23" t="s">
        <v>146</v>
      </c>
    </row>
    <row r="1204" spans="1:10" s="20" customFormat="1" ht="12" x14ac:dyDescent="0.25">
      <c r="A1204" s="22">
        <v>1000103008</v>
      </c>
      <c r="B1204" s="23" t="s">
        <v>3407</v>
      </c>
      <c r="C1204" s="24" t="s">
        <v>4</v>
      </c>
      <c r="D1204" s="23" t="s">
        <v>2090</v>
      </c>
      <c r="E1204" s="23">
        <v>1239.8236363636299</v>
      </c>
      <c r="F1204" s="23">
        <v>10</v>
      </c>
      <c r="G1204" s="23">
        <v>10</v>
      </c>
      <c r="H1204" s="23">
        <v>0</v>
      </c>
      <c r="I1204" s="23" t="s">
        <v>5</v>
      </c>
      <c r="J1204" s="23" t="s">
        <v>327</v>
      </c>
    </row>
    <row r="1205" spans="1:10" s="20" customFormat="1" ht="12" x14ac:dyDescent="0.25">
      <c r="A1205" s="22">
        <v>1000100688</v>
      </c>
      <c r="B1205" s="23" t="s">
        <v>3408</v>
      </c>
      <c r="C1205" s="24" t="s">
        <v>4</v>
      </c>
      <c r="D1205" s="23" t="s">
        <v>2161</v>
      </c>
      <c r="E1205" s="23">
        <v>1239.2439999999999</v>
      </c>
      <c r="F1205" s="23">
        <v>1</v>
      </c>
      <c r="G1205" s="23">
        <v>1</v>
      </c>
      <c r="H1205" s="23">
        <v>0</v>
      </c>
      <c r="I1205" s="23" t="s">
        <v>5</v>
      </c>
      <c r="J1205" s="23" t="s">
        <v>111</v>
      </c>
    </row>
    <row r="1206" spans="1:10" s="20" customFormat="1" ht="12" x14ac:dyDescent="0.25">
      <c r="A1206" s="22">
        <v>1000021279</v>
      </c>
      <c r="B1206" s="23" t="s">
        <v>1416</v>
      </c>
      <c r="C1206" s="24" t="s">
        <v>4</v>
      </c>
      <c r="D1206" s="23" t="s">
        <v>2090</v>
      </c>
      <c r="E1206" s="23">
        <v>1238.32</v>
      </c>
      <c r="F1206" s="23">
        <v>4</v>
      </c>
      <c r="G1206" s="23">
        <v>4</v>
      </c>
      <c r="H1206" s="23">
        <v>0</v>
      </c>
      <c r="I1206" s="23" t="s">
        <v>5</v>
      </c>
      <c r="J1206" s="23" t="s">
        <v>327</v>
      </c>
    </row>
    <row r="1207" spans="1:10" s="20" customFormat="1" ht="12" x14ac:dyDescent="0.25">
      <c r="A1207" s="22">
        <v>1000100345</v>
      </c>
      <c r="B1207" s="23" t="s">
        <v>3409</v>
      </c>
      <c r="C1207" s="24" t="s">
        <v>4</v>
      </c>
      <c r="D1207" s="23" t="s">
        <v>2090</v>
      </c>
      <c r="E1207" s="23">
        <v>1236.5828571428499</v>
      </c>
      <c r="F1207" s="23">
        <v>8</v>
      </c>
      <c r="G1207" s="23">
        <v>8</v>
      </c>
      <c r="H1207" s="23">
        <v>0</v>
      </c>
      <c r="I1207" s="23" t="s">
        <v>5</v>
      </c>
      <c r="J1207" s="23" t="s">
        <v>327</v>
      </c>
    </row>
    <row r="1208" spans="1:10" s="20" customFormat="1" ht="12" x14ac:dyDescent="0.25">
      <c r="A1208" s="22">
        <v>1000020776</v>
      </c>
      <c r="B1208" s="23" t="s">
        <v>980</v>
      </c>
      <c r="C1208" s="24" t="s">
        <v>4</v>
      </c>
      <c r="D1208" s="23" t="s">
        <v>2090</v>
      </c>
      <c r="E1208" s="23">
        <v>1231.08</v>
      </c>
      <c r="F1208" s="23">
        <v>53</v>
      </c>
      <c r="G1208" s="23">
        <v>53</v>
      </c>
      <c r="H1208" s="23">
        <v>0</v>
      </c>
      <c r="I1208" s="23" t="s">
        <v>5</v>
      </c>
      <c r="J1208" s="23" t="s">
        <v>327</v>
      </c>
    </row>
    <row r="1209" spans="1:10" s="20" customFormat="1" ht="12" x14ac:dyDescent="0.25">
      <c r="A1209" s="22">
        <v>1000102409</v>
      </c>
      <c r="B1209" s="23" t="s">
        <v>3410</v>
      </c>
      <c r="C1209" s="24" t="s">
        <v>4</v>
      </c>
      <c r="D1209" s="23" t="s">
        <v>2090</v>
      </c>
      <c r="E1209" s="23">
        <v>1230.0861507936499</v>
      </c>
      <c r="F1209" s="23">
        <v>31</v>
      </c>
      <c r="G1209" s="23">
        <v>31</v>
      </c>
      <c r="H1209" s="23">
        <v>0</v>
      </c>
      <c r="I1209" s="23" t="s">
        <v>5</v>
      </c>
      <c r="J1209" s="23" t="s">
        <v>327</v>
      </c>
    </row>
    <row r="1210" spans="1:10" s="20" customFormat="1" ht="12" x14ac:dyDescent="0.25">
      <c r="A1210" s="22">
        <v>1000108736</v>
      </c>
      <c r="B1210" s="23" t="s">
        <v>3411</v>
      </c>
      <c r="C1210" s="24" t="s">
        <v>4</v>
      </c>
      <c r="D1210" s="23" t="s">
        <v>2056</v>
      </c>
      <c r="E1210" s="23">
        <v>1229.9649999999999</v>
      </c>
      <c r="F1210" s="23">
        <v>33</v>
      </c>
      <c r="G1210" s="23">
        <v>33</v>
      </c>
      <c r="H1210" s="23">
        <v>0</v>
      </c>
      <c r="I1210" s="23" t="s">
        <v>5</v>
      </c>
      <c r="J1210" s="23" t="s">
        <v>1844</v>
      </c>
    </row>
    <row r="1211" spans="1:10" s="20" customFormat="1" ht="12" x14ac:dyDescent="0.25">
      <c r="A1211" s="22">
        <v>1000020297</v>
      </c>
      <c r="B1211" s="23" t="s">
        <v>533</v>
      </c>
      <c r="C1211" s="24" t="s">
        <v>4</v>
      </c>
      <c r="D1211" s="23" t="s">
        <v>2090</v>
      </c>
      <c r="E1211" s="23">
        <v>1228.1941161899999</v>
      </c>
      <c r="F1211" s="23">
        <v>14</v>
      </c>
      <c r="G1211" s="23">
        <v>14</v>
      </c>
      <c r="H1211" s="23">
        <v>0</v>
      </c>
      <c r="I1211" s="23" t="s">
        <v>5</v>
      </c>
      <c r="J1211" s="23" t="s">
        <v>327</v>
      </c>
    </row>
    <row r="1212" spans="1:10" s="20" customFormat="1" ht="12" x14ac:dyDescent="0.25">
      <c r="A1212" s="22">
        <v>1000020735</v>
      </c>
      <c r="B1212" s="23" t="s">
        <v>943</v>
      </c>
      <c r="C1212" s="24" t="s">
        <v>4</v>
      </c>
      <c r="D1212" s="23" t="s">
        <v>2090</v>
      </c>
      <c r="E1212" s="23">
        <v>1225.5</v>
      </c>
      <c r="F1212" s="23">
        <v>5</v>
      </c>
      <c r="G1212" s="23">
        <v>5</v>
      </c>
      <c r="H1212" s="23">
        <v>0</v>
      </c>
      <c r="I1212" s="23" t="s">
        <v>5</v>
      </c>
      <c r="J1212" s="23" t="s">
        <v>327</v>
      </c>
    </row>
    <row r="1213" spans="1:10" s="20" customFormat="1" ht="12" x14ac:dyDescent="0.25">
      <c r="A1213" s="22">
        <v>1000098118</v>
      </c>
      <c r="B1213" s="23" t="s">
        <v>3412</v>
      </c>
      <c r="C1213" s="24" t="s">
        <v>4</v>
      </c>
      <c r="D1213" s="23" t="s">
        <v>2090</v>
      </c>
      <c r="E1213" s="23">
        <v>1225.3900000000001</v>
      </c>
      <c r="F1213" s="23">
        <v>1</v>
      </c>
      <c r="G1213" s="23">
        <v>1</v>
      </c>
      <c r="H1213" s="23">
        <v>0</v>
      </c>
      <c r="I1213" s="23" t="s">
        <v>5</v>
      </c>
      <c r="J1213" s="23" t="s">
        <v>327</v>
      </c>
    </row>
    <row r="1214" spans="1:10" s="20" customFormat="1" ht="12" x14ac:dyDescent="0.25">
      <c r="A1214" s="22">
        <v>1000021107</v>
      </c>
      <c r="B1214" s="23" t="s">
        <v>1268</v>
      </c>
      <c r="C1214" s="24" t="s">
        <v>4</v>
      </c>
      <c r="D1214" s="23" t="s">
        <v>2090</v>
      </c>
      <c r="E1214" s="23">
        <v>1224.24</v>
      </c>
      <c r="F1214" s="23">
        <v>6</v>
      </c>
      <c r="G1214" s="23">
        <v>6</v>
      </c>
      <c r="H1214" s="23">
        <v>0</v>
      </c>
      <c r="I1214" s="23" t="s">
        <v>5</v>
      </c>
      <c r="J1214" s="23" t="s">
        <v>327</v>
      </c>
    </row>
    <row r="1215" spans="1:10" s="20" customFormat="1" ht="12" x14ac:dyDescent="0.25">
      <c r="A1215" s="22">
        <v>2500009198</v>
      </c>
      <c r="B1215" s="23" t="s">
        <v>3414</v>
      </c>
      <c r="C1215" s="24" t="s">
        <v>1996</v>
      </c>
      <c r="D1215" s="23" t="s">
        <v>2025</v>
      </c>
      <c r="E1215" s="23">
        <v>1222.2</v>
      </c>
      <c r="F1215" s="23">
        <v>2</v>
      </c>
      <c r="G1215" s="23">
        <v>2</v>
      </c>
      <c r="H1215" s="23">
        <v>0</v>
      </c>
      <c r="I1215" s="23" t="s">
        <v>5</v>
      </c>
      <c r="J1215" s="23" t="s">
        <v>1993</v>
      </c>
    </row>
    <row r="1216" spans="1:10" s="20" customFormat="1" ht="12" x14ac:dyDescent="0.25">
      <c r="A1216" s="22">
        <v>1000096103</v>
      </c>
      <c r="B1216" s="23" t="s">
        <v>3415</v>
      </c>
      <c r="C1216" s="24" t="s">
        <v>4</v>
      </c>
      <c r="D1216" s="23" t="s">
        <v>3416</v>
      </c>
      <c r="E1216" s="23">
        <v>1220</v>
      </c>
      <c r="F1216" s="23">
        <v>2</v>
      </c>
      <c r="G1216" s="23">
        <v>2</v>
      </c>
      <c r="H1216" s="23">
        <v>0</v>
      </c>
      <c r="I1216" s="23" t="s">
        <v>5</v>
      </c>
      <c r="J1216" s="23" t="s">
        <v>111</v>
      </c>
    </row>
    <row r="1217" spans="1:10" s="20" customFormat="1" ht="12" x14ac:dyDescent="0.25">
      <c r="A1217" s="22">
        <v>1000020627</v>
      </c>
      <c r="B1217" s="23" t="s">
        <v>842</v>
      </c>
      <c r="C1217" s="24" t="s">
        <v>4</v>
      </c>
      <c r="D1217" s="23" t="s">
        <v>2218</v>
      </c>
      <c r="E1217" s="23">
        <v>1216.8021249999999</v>
      </c>
      <c r="F1217" s="23">
        <v>104</v>
      </c>
      <c r="G1217" s="23">
        <v>104</v>
      </c>
      <c r="H1217" s="23">
        <v>0</v>
      </c>
      <c r="I1217" s="23" t="s">
        <v>5</v>
      </c>
      <c r="J1217" s="23" t="s">
        <v>327</v>
      </c>
    </row>
    <row r="1218" spans="1:10" s="20" customFormat="1" ht="12" x14ac:dyDescent="0.25">
      <c r="A1218" s="22">
        <v>1000096423</v>
      </c>
      <c r="B1218" s="23" t="s">
        <v>3418</v>
      </c>
      <c r="C1218" s="24" t="s">
        <v>4</v>
      </c>
      <c r="D1218" s="23" t="s">
        <v>2056</v>
      </c>
      <c r="E1218" s="23">
        <v>1215.5100676345501</v>
      </c>
      <c r="F1218" s="23">
        <v>1151</v>
      </c>
      <c r="G1218" s="23">
        <v>1151</v>
      </c>
      <c r="H1218" s="23">
        <v>0</v>
      </c>
      <c r="I1218" s="23" t="s">
        <v>5</v>
      </c>
      <c r="J1218" s="23" t="s">
        <v>1844</v>
      </c>
    </row>
    <row r="1219" spans="1:10" s="20" customFormat="1" ht="12" x14ac:dyDescent="0.25">
      <c r="A1219" s="22">
        <v>1000100358</v>
      </c>
      <c r="B1219" s="23" t="s">
        <v>1699</v>
      </c>
      <c r="C1219" s="24" t="s">
        <v>4</v>
      </c>
      <c r="D1219" s="23" t="s">
        <v>2090</v>
      </c>
      <c r="E1219" s="23">
        <v>1213.53</v>
      </c>
      <c r="F1219" s="23">
        <v>29</v>
      </c>
      <c r="G1219" s="23">
        <v>29</v>
      </c>
      <c r="H1219" s="23">
        <v>0</v>
      </c>
      <c r="I1219" s="23" t="s">
        <v>5</v>
      </c>
      <c r="J1219" s="23" t="s">
        <v>327</v>
      </c>
    </row>
    <row r="1220" spans="1:10" s="20" customFormat="1" ht="12" x14ac:dyDescent="0.25">
      <c r="A1220" s="22">
        <v>1000020824</v>
      </c>
      <c r="B1220" s="23" t="s">
        <v>1022</v>
      </c>
      <c r="C1220" s="24" t="s">
        <v>4</v>
      </c>
      <c r="D1220" s="23" t="s">
        <v>2090</v>
      </c>
      <c r="E1220" s="23">
        <v>1209.3399999999999</v>
      </c>
      <c r="F1220" s="23">
        <v>2</v>
      </c>
      <c r="G1220" s="23">
        <v>2</v>
      </c>
      <c r="H1220" s="23">
        <v>0</v>
      </c>
      <c r="I1220" s="23" t="s">
        <v>5</v>
      </c>
      <c r="J1220" s="23" t="s">
        <v>327</v>
      </c>
    </row>
    <row r="1221" spans="1:10" s="20" customFormat="1" ht="12" x14ac:dyDescent="0.25">
      <c r="A1221" s="22">
        <v>1000020484</v>
      </c>
      <c r="B1221" s="23" t="s">
        <v>710</v>
      </c>
      <c r="C1221" s="24" t="s">
        <v>4</v>
      </c>
      <c r="D1221" s="23" t="s">
        <v>2090</v>
      </c>
      <c r="E1221" s="23">
        <v>1208.79</v>
      </c>
      <c r="F1221" s="23">
        <v>37</v>
      </c>
      <c r="G1221" s="23">
        <v>37</v>
      </c>
      <c r="H1221" s="23">
        <v>0</v>
      </c>
      <c r="I1221" s="23" t="s">
        <v>5</v>
      </c>
      <c r="J1221" s="23" t="s">
        <v>327</v>
      </c>
    </row>
    <row r="1222" spans="1:10" s="20" customFormat="1" ht="12" x14ac:dyDescent="0.25">
      <c r="A1222" s="22">
        <v>1000103198</v>
      </c>
      <c r="B1222" s="23" t="s">
        <v>1806</v>
      </c>
      <c r="C1222" s="24" t="s">
        <v>4</v>
      </c>
      <c r="D1222" s="23" t="s">
        <v>2090</v>
      </c>
      <c r="E1222" s="23">
        <v>1205.67</v>
      </c>
      <c r="F1222" s="23">
        <v>86</v>
      </c>
      <c r="G1222" s="23">
        <v>86</v>
      </c>
      <c r="H1222" s="23">
        <v>0</v>
      </c>
      <c r="I1222" s="23" t="s">
        <v>5</v>
      </c>
      <c r="J1222" s="23" t="s">
        <v>327</v>
      </c>
    </row>
    <row r="1223" spans="1:10" s="20" customFormat="1" ht="12" x14ac:dyDescent="0.25">
      <c r="A1223" s="22">
        <v>1000010214</v>
      </c>
      <c r="B1223" s="23" t="s">
        <v>3422</v>
      </c>
      <c r="C1223" s="24" t="s">
        <v>4</v>
      </c>
      <c r="D1223" s="23" t="s">
        <v>2161</v>
      </c>
      <c r="E1223" s="23">
        <v>1201.48</v>
      </c>
      <c r="F1223" s="23">
        <v>1</v>
      </c>
      <c r="G1223" s="23">
        <v>1</v>
      </c>
      <c r="H1223" s="23">
        <v>0</v>
      </c>
      <c r="I1223" s="23" t="s">
        <v>5</v>
      </c>
      <c r="J1223" s="23" t="s">
        <v>111</v>
      </c>
    </row>
    <row r="1224" spans="1:10" s="20" customFormat="1" ht="12" x14ac:dyDescent="0.25">
      <c r="A1224" s="22">
        <v>1000020562</v>
      </c>
      <c r="B1224" s="23" t="s">
        <v>779</v>
      </c>
      <c r="C1224" s="24" t="s">
        <v>4</v>
      </c>
      <c r="D1224" s="23" t="s">
        <v>2090</v>
      </c>
      <c r="E1224" s="23">
        <v>1200.25</v>
      </c>
      <c r="F1224" s="23">
        <v>25</v>
      </c>
      <c r="G1224" s="23">
        <v>25</v>
      </c>
      <c r="H1224" s="23">
        <v>0</v>
      </c>
      <c r="I1224" s="23" t="s">
        <v>5</v>
      </c>
      <c r="J1224" s="23" t="s">
        <v>327</v>
      </c>
    </row>
    <row r="1225" spans="1:10" s="20" customFormat="1" ht="12" x14ac:dyDescent="0.25">
      <c r="A1225" s="22">
        <v>1000098696</v>
      </c>
      <c r="B1225" s="23" t="s">
        <v>1648</v>
      </c>
      <c r="C1225" s="24" t="s">
        <v>4</v>
      </c>
      <c r="D1225" s="23" t="s">
        <v>2090</v>
      </c>
      <c r="E1225" s="23">
        <v>1199.7650000000001</v>
      </c>
      <c r="F1225" s="23">
        <v>17</v>
      </c>
      <c r="G1225" s="23">
        <v>17</v>
      </c>
      <c r="H1225" s="23">
        <v>0</v>
      </c>
      <c r="I1225" s="23" t="s">
        <v>5</v>
      </c>
      <c r="J1225" s="23" t="s">
        <v>327</v>
      </c>
    </row>
    <row r="1226" spans="1:10" s="20" customFormat="1" ht="12" x14ac:dyDescent="0.25">
      <c r="A1226" s="22">
        <v>1000098714</v>
      </c>
      <c r="B1226" s="23" t="s">
        <v>1661</v>
      </c>
      <c r="C1226" s="24" t="s">
        <v>4</v>
      </c>
      <c r="D1226" s="23" t="s">
        <v>2090</v>
      </c>
      <c r="E1226" s="23">
        <v>1198.8187499999999</v>
      </c>
      <c r="F1226" s="23">
        <v>1</v>
      </c>
      <c r="G1226" s="23">
        <v>1</v>
      </c>
      <c r="H1226" s="23">
        <v>0</v>
      </c>
      <c r="I1226" s="23" t="s">
        <v>5</v>
      </c>
      <c r="J1226" s="23" t="s">
        <v>327</v>
      </c>
    </row>
    <row r="1227" spans="1:10" s="20" customFormat="1" ht="12" x14ac:dyDescent="0.25">
      <c r="A1227" s="22">
        <v>2500005889</v>
      </c>
      <c r="B1227" s="23" t="s">
        <v>3426</v>
      </c>
      <c r="C1227" s="24" t="s">
        <v>1996</v>
      </c>
      <c r="D1227" s="23" t="s">
        <v>2025</v>
      </c>
      <c r="E1227" s="23">
        <v>1198.1300000000001</v>
      </c>
      <c r="F1227" s="23">
        <v>10</v>
      </c>
      <c r="G1227" s="23">
        <v>10</v>
      </c>
      <c r="H1227" s="23">
        <v>0</v>
      </c>
      <c r="I1227" s="23" t="s">
        <v>5</v>
      </c>
      <c r="J1227" s="23" t="s">
        <v>1993</v>
      </c>
    </row>
    <row r="1228" spans="1:10" s="20" customFormat="1" ht="12" x14ac:dyDescent="0.25">
      <c r="A1228" s="22">
        <v>1000020732</v>
      </c>
      <c r="B1228" s="23" t="s">
        <v>940</v>
      </c>
      <c r="C1228" s="24" t="s">
        <v>4</v>
      </c>
      <c r="D1228" s="23" t="s">
        <v>2090</v>
      </c>
      <c r="E1228" s="23">
        <v>1195.8040000000001</v>
      </c>
      <c r="F1228" s="23">
        <v>4</v>
      </c>
      <c r="G1228" s="23">
        <v>4</v>
      </c>
      <c r="H1228" s="23">
        <v>0</v>
      </c>
      <c r="I1228" s="23" t="s">
        <v>5</v>
      </c>
      <c r="J1228" s="23" t="s">
        <v>327</v>
      </c>
    </row>
    <row r="1229" spans="1:10" s="20" customFormat="1" ht="12" x14ac:dyDescent="0.25">
      <c r="A1229" s="22">
        <v>1000020405</v>
      </c>
      <c r="B1229" s="23" t="s">
        <v>635</v>
      </c>
      <c r="C1229" s="24" t="s">
        <v>4</v>
      </c>
      <c r="D1229" s="23" t="s">
        <v>2218</v>
      </c>
      <c r="E1229" s="23">
        <v>1192.2435064935</v>
      </c>
      <c r="F1229" s="23">
        <v>195</v>
      </c>
      <c r="G1229" s="23">
        <v>195</v>
      </c>
      <c r="H1229" s="23">
        <v>0</v>
      </c>
      <c r="I1229" s="23" t="s">
        <v>44</v>
      </c>
      <c r="J1229" s="23" t="s">
        <v>327</v>
      </c>
    </row>
    <row r="1230" spans="1:10" s="20" customFormat="1" ht="12" x14ac:dyDescent="0.25">
      <c r="A1230" s="22">
        <v>1000102725</v>
      </c>
      <c r="B1230" s="23" t="s">
        <v>3428</v>
      </c>
      <c r="C1230" s="24" t="s">
        <v>4</v>
      </c>
      <c r="D1230" s="23" t="s">
        <v>2090</v>
      </c>
      <c r="E1230" s="23">
        <v>1189.69</v>
      </c>
      <c r="F1230" s="23">
        <v>3</v>
      </c>
      <c r="G1230" s="23">
        <v>3</v>
      </c>
      <c r="H1230" s="23">
        <v>0</v>
      </c>
      <c r="I1230" s="23" t="s">
        <v>5</v>
      </c>
      <c r="J1230" s="23" t="s">
        <v>327</v>
      </c>
    </row>
    <row r="1231" spans="1:10" s="20" customFormat="1" ht="12" x14ac:dyDescent="0.25">
      <c r="A1231" s="22">
        <v>1000100242</v>
      </c>
      <c r="B1231" s="23" t="s">
        <v>3429</v>
      </c>
      <c r="C1231" s="24" t="s">
        <v>4</v>
      </c>
      <c r="D1231" s="23" t="s">
        <v>2090</v>
      </c>
      <c r="E1231" s="23">
        <v>1188.3</v>
      </c>
      <c r="F1231" s="23">
        <v>2</v>
      </c>
      <c r="G1231" s="23">
        <v>2</v>
      </c>
      <c r="H1231" s="23">
        <v>0</v>
      </c>
      <c r="I1231" s="23" t="s">
        <v>5</v>
      </c>
      <c r="J1231" s="23" t="s">
        <v>327</v>
      </c>
    </row>
    <row r="1232" spans="1:10" s="20" customFormat="1" ht="12" x14ac:dyDescent="0.25">
      <c r="A1232" s="22">
        <v>1000020815</v>
      </c>
      <c r="B1232" s="23" t="s">
        <v>1017</v>
      </c>
      <c r="C1232" s="24" t="s">
        <v>4</v>
      </c>
      <c r="D1232" s="23" t="s">
        <v>2090</v>
      </c>
      <c r="E1232" s="23">
        <v>1185.2964796296201</v>
      </c>
      <c r="F1232" s="23">
        <v>2</v>
      </c>
      <c r="G1232" s="23">
        <v>2</v>
      </c>
      <c r="H1232" s="23">
        <v>0</v>
      </c>
      <c r="I1232" s="23" t="s">
        <v>5</v>
      </c>
      <c r="J1232" s="23" t="s">
        <v>327</v>
      </c>
    </row>
    <row r="1233" spans="1:10" s="20" customFormat="1" ht="12" x14ac:dyDescent="0.25">
      <c r="A1233" s="22">
        <v>2500008598</v>
      </c>
      <c r="B1233" s="23" t="s">
        <v>1942</v>
      </c>
      <c r="C1233" s="24" t="s">
        <v>1996</v>
      </c>
      <c r="D1233" s="23" t="s">
        <v>2025</v>
      </c>
      <c r="E1233" s="23">
        <v>1185</v>
      </c>
      <c r="F1233" s="23">
        <v>2</v>
      </c>
      <c r="G1233" s="23">
        <v>2</v>
      </c>
      <c r="H1233" s="23">
        <v>0</v>
      </c>
      <c r="I1233" s="23" t="s">
        <v>5</v>
      </c>
      <c r="J1233" s="23" t="s">
        <v>1993</v>
      </c>
    </row>
    <row r="1234" spans="1:10" s="20" customFormat="1" ht="12" x14ac:dyDescent="0.25">
      <c r="A1234" s="22">
        <v>1000098470</v>
      </c>
      <c r="B1234" s="23" t="s">
        <v>1544</v>
      </c>
      <c r="C1234" s="24" t="s">
        <v>4</v>
      </c>
      <c r="D1234" s="23" t="s">
        <v>2090</v>
      </c>
      <c r="E1234" s="23">
        <v>1184.94</v>
      </c>
      <c r="F1234" s="23">
        <v>2</v>
      </c>
      <c r="G1234" s="23">
        <v>2</v>
      </c>
      <c r="H1234" s="23">
        <v>0</v>
      </c>
      <c r="I1234" s="23" t="s">
        <v>5</v>
      </c>
      <c r="J1234" s="23" t="s">
        <v>327</v>
      </c>
    </row>
    <row r="1235" spans="1:10" s="20" customFormat="1" ht="12" x14ac:dyDescent="0.25">
      <c r="A1235" s="22">
        <v>1000020991</v>
      </c>
      <c r="B1235" s="23" t="s">
        <v>1165</v>
      </c>
      <c r="C1235" s="24" t="s">
        <v>4</v>
      </c>
      <c r="D1235" s="23" t="s">
        <v>2090</v>
      </c>
      <c r="E1235" s="23">
        <v>1184.9187662337599</v>
      </c>
      <c r="F1235" s="23">
        <v>13</v>
      </c>
      <c r="G1235" s="23">
        <v>13</v>
      </c>
      <c r="H1235" s="23">
        <v>0</v>
      </c>
      <c r="I1235" s="23" t="s">
        <v>5</v>
      </c>
      <c r="J1235" s="23" t="s">
        <v>327</v>
      </c>
    </row>
    <row r="1236" spans="1:10" s="20" customFormat="1" ht="12" x14ac:dyDescent="0.25">
      <c r="A1236" s="22">
        <v>1000020296</v>
      </c>
      <c r="B1236" s="23" t="s">
        <v>532</v>
      </c>
      <c r="C1236" s="24" t="s">
        <v>4</v>
      </c>
      <c r="D1236" s="23" t="s">
        <v>2090</v>
      </c>
      <c r="E1236" s="23">
        <v>1184.8050000000001</v>
      </c>
      <c r="F1236" s="23">
        <v>15</v>
      </c>
      <c r="G1236" s="23">
        <v>15</v>
      </c>
      <c r="H1236" s="23">
        <v>0</v>
      </c>
      <c r="I1236" s="23" t="s">
        <v>5</v>
      </c>
      <c r="J1236" s="23" t="s">
        <v>327</v>
      </c>
    </row>
    <row r="1237" spans="1:10" s="20" customFormat="1" ht="12" x14ac:dyDescent="0.25">
      <c r="A1237" s="22">
        <v>1000020040</v>
      </c>
      <c r="B1237" s="23" t="s">
        <v>3430</v>
      </c>
      <c r="C1237" s="24" t="s">
        <v>4</v>
      </c>
      <c r="D1237" s="23" t="s">
        <v>2090</v>
      </c>
      <c r="E1237" s="23">
        <v>1182.75</v>
      </c>
      <c r="F1237" s="23">
        <v>5</v>
      </c>
      <c r="G1237" s="23">
        <v>5</v>
      </c>
      <c r="H1237" s="23">
        <v>0</v>
      </c>
      <c r="I1237" s="23" t="s">
        <v>5</v>
      </c>
      <c r="J1237" s="23" t="s">
        <v>327</v>
      </c>
    </row>
    <row r="1238" spans="1:10" s="20" customFormat="1" ht="12" x14ac:dyDescent="0.25">
      <c r="A1238" s="22">
        <v>1000098778</v>
      </c>
      <c r="B1238" s="23" t="s">
        <v>3431</v>
      </c>
      <c r="C1238" s="24" t="s">
        <v>4</v>
      </c>
      <c r="D1238" s="23" t="s">
        <v>2161</v>
      </c>
      <c r="E1238" s="23">
        <v>1182.4000000000001</v>
      </c>
      <c r="F1238" s="23">
        <v>4</v>
      </c>
      <c r="G1238" s="23">
        <v>4</v>
      </c>
      <c r="H1238" s="23">
        <v>0</v>
      </c>
      <c r="I1238" s="23" t="s">
        <v>5</v>
      </c>
      <c r="J1238" s="23" t="s">
        <v>111</v>
      </c>
    </row>
    <row r="1239" spans="1:10" s="20" customFormat="1" ht="12" x14ac:dyDescent="0.25">
      <c r="A1239" s="22">
        <v>1000021110</v>
      </c>
      <c r="B1239" s="23" t="s">
        <v>1271</v>
      </c>
      <c r="C1239" s="24" t="s">
        <v>4</v>
      </c>
      <c r="D1239" s="23" t="s">
        <v>2090</v>
      </c>
      <c r="E1239" s="23">
        <v>1181.9978181818101</v>
      </c>
      <c r="F1239" s="23">
        <v>6</v>
      </c>
      <c r="G1239" s="23">
        <v>6</v>
      </c>
      <c r="H1239" s="23">
        <v>0</v>
      </c>
      <c r="I1239" s="23" t="s">
        <v>5</v>
      </c>
      <c r="J1239" s="23" t="s">
        <v>327</v>
      </c>
    </row>
    <row r="1240" spans="1:10" s="20" customFormat="1" ht="12" x14ac:dyDescent="0.25">
      <c r="A1240" s="22">
        <v>1000020497</v>
      </c>
      <c r="B1240" s="23" t="s">
        <v>722</v>
      </c>
      <c r="C1240" s="24" t="s">
        <v>4</v>
      </c>
      <c r="D1240" s="23" t="s">
        <v>2090</v>
      </c>
      <c r="E1240" s="23">
        <v>1180.0352355555499</v>
      </c>
      <c r="F1240" s="23">
        <v>24</v>
      </c>
      <c r="G1240" s="23">
        <v>24</v>
      </c>
      <c r="H1240" s="23">
        <v>0</v>
      </c>
      <c r="I1240" s="23" t="s">
        <v>5</v>
      </c>
      <c r="J1240" s="23" t="s">
        <v>327</v>
      </c>
    </row>
    <row r="1241" spans="1:10" s="20" customFormat="1" ht="12" x14ac:dyDescent="0.25">
      <c r="A1241" s="22">
        <v>1000098450</v>
      </c>
      <c r="B1241" s="23" t="s">
        <v>1528</v>
      </c>
      <c r="C1241" s="24" t="s">
        <v>4</v>
      </c>
      <c r="D1241" s="23" t="s">
        <v>2090</v>
      </c>
      <c r="E1241" s="23">
        <v>1179.0999999999999</v>
      </c>
      <c r="F1241" s="23">
        <v>3</v>
      </c>
      <c r="G1241" s="23">
        <v>3</v>
      </c>
      <c r="H1241" s="23">
        <v>0</v>
      </c>
      <c r="I1241" s="23" t="s">
        <v>5</v>
      </c>
      <c r="J1241" s="23" t="s">
        <v>327</v>
      </c>
    </row>
    <row r="1242" spans="1:10" s="20" customFormat="1" ht="12" x14ac:dyDescent="0.25">
      <c r="A1242" s="22">
        <v>1000020661</v>
      </c>
      <c r="B1242" s="23" t="s">
        <v>874</v>
      </c>
      <c r="C1242" s="24" t="s">
        <v>4</v>
      </c>
      <c r="D1242" s="23" t="s">
        <v>2090</v>
      </c>
      <c r="E1242" s="23">
        <v>1175.0893658483999</v>
      </c>
      <c r="F1242" s="23">
        <v>22</v>
      </c>
      <c r="G1242" s="23">
        <v>22</v>
      </c>
      <c r="H1242" s="23">
        <v>0</v>
      </c>
      <c r="I1242" s="23" t="s">
        <v>5</v>
      </c>
      <c r="J1242" s="23" t="s">
        <v>327</v>
      </c>
    </row>
    <row r="1243" spans="1:10" s="20" customFormat="1" ht="12" x14ac:dyDescent="0.25">
      <c r="A1243" s="22">
        <v>1000095011</v>
      </c>
      <c r="B1243" s="23" t="s">
        <v>3432</v>
      </c>
      <c r="C1243" s="24" t="s">
        <v>4</v>
      </c>
      <c r="D1243" s="23" t="s">
        <v>2090</v>
      </c>
      <c r="E1243" s="23">
        <v>1175.0429999999999</v>
      </c>
      <c r="F1243" s="23">
        <v>3</v>
      </c>
      <c r="G1243" s="23">
        <v>3</v>
      </c>
      <c r="H1243" s="23">
        <v>0</v>
      </c>
      <c r="I1243" s="23" t="s">
        <v>5</v>
      </c>
      <c r="J1243" s="23" t="s">
        <v>327</v>
      </c>
    </row>
    <row r="1244" spans="1:10" s="20" customFormat="1" ht="12" x14ac:dyDescent="0.25">
      <c r="A1244" s="22">
        <v>1000021326</v>
      </c>
      <c r="B1244" s="23" t="s">
        <v>1458</v>
      </c>
      <c r="C1244" s="24" t="s">
        <v>4</v>
      </c>
      <c r="D1244" s="23" t="s">
        <v>2090</v>
      </c>
      <c r="E1244" s="23">
        <v>1175.04</v>
      </c>
      <c r="F1244" s="23">
        <v>2</v>
      </c>
      <c r="G1244" s="23">
        <v>2</v>
      </c>
      <c r="H1244" s="23">
        <v>0</v>
      </c>
      <c r="I1244" s="23" t="s">
        <v>5</v>
      </c>
      <c r="J1244" s="23" t="s">
        <v>327</v>
      </c>
    </row>
    <row r="1245" spans="1:10" s="20" customFormat="1" ht="12" x14ac:dyDescent="0.25">
      <c r="A1245" s="22">
        <v>1000100359</v>
      </c>
      <c r="B1245" s="23" t="s">
        <v>1700</v>
      </c>
      <c r="C1245" s="24" t="s">
        <v>4</v>
      </c>
      <c r="D1245" s="23" t="s">
        <v>2090</v>
      </c>
      <c r="E1245" s="23">
        <v>1174.5267857142801</v>
      </c>
      <c r="F1245" s="23">
        <v>26</v>
      </c>
      <c r="G1245" s="23">
        <v>26</v>
      </c>
      <c r="H1245" s="23">
        <v>0</v>
      </c>
      <c r="I1245" s="23" t="s">
        <v>5</v>
      </c>
      <c r="J1245" s="23" t="s">
        <v>327</v>
      </c>
    </row>
    <row r="1246" spans="1:10" s="20" customFormat="1" ht="12" x14ac:dyDescent="0.25">
      <c r="A1246" s="22">
        <v>2500008286</v>
      </c>
      <c r="B1246" s="23" t="s">
        <v>3433</v>
      </c>
      <c r="C1246" s="24" t="s">
        <v>1996</v>
      </c>
      <c r="D1246" s="23" t="s">
        <v>2025</v>
      </c>
      <c r="E1246" s="23">
        <v>1170</v>
      </c>
      <c r="F1246" s="23">
        <v>6</v>
      </c>
      <c r="G1246" s="23">
        <v>6</v>
      </c>
      <c r="H1246" s="23">
        <v>0</v>
      </c>
      <c r="I1246" s="23" t="s">
        <v>5</v>
      </c>
      <c r="J1246" s="23" t="s">
        <v>1993</v>
      </c>
    </row>
    <row r="1247" spans="1:10" s="20" customFormat="1" ht="12" x14ac:dyDescent="0.25">
      <c r="A1247" s="22">
        <v>1000021322</v>
      </c>
      <c r="B1247" s="23" t="s">
        <v>1454</v>
      </c>
      <c r="C1247" s="24" t="s">
        <v>4</v>
      </c>
      <c r="D1247" s="23" t="s">
        <v>2090</v>
      </c>
      <c r="E1247" s="23">
        <v>1167.72</v>
      </c>
      <c r="F1247" s="23">
        <v>2</v>
      </c>
      <c r="G1247" s="23">
        <v>2</v>
      </c>
      <c r="H1247" s="23">
        <v>0</v>
      </c>
      <c r="I1247" s="23" t="s">
        <v>5</v>
      </c>
      <c r="J1247" s="23" t="s">
        <v>327</v>
      </c>
    </row>
    <row r="1248" spans="1:10" s="20" customFormat="1" ht="12" x14ac:dyDescent="0.25">
      <c r="A1248" s="22">
        <v>1000095544</v>
      </c>
      <c r="B1248" s="23" t="s">
        <v>3434</v>
      </c>
      <c r="C1248" s="24" t="s">
        <v>2109</v>
      </c>
      <c r="D1248" s="23" t="s">
        <v>2374</v>
      </c>
      <c r="E1248" s="23">
        <v>1167.3399999999999</v>
      </c>
      <c r="F1248" s="23">
        <v>4</v>
      </c>
      <c r="G1248" s="23">
        <v>4</v>
      </c>
      <c r="H1248" s="23">
        <v>0</v>
      </c>
      <c r="I1248" s="23" t="s">
        <v>5</v>
      </c>
      <c r="J1248" s="23" t="s">
        <v>6</v>
      </c>
    </row>
    <row r="1249" spans="1:10" s="20" customFormat="1" ht="12" x14ac:dyDescent="0.25">
      <c r="A1249" s="22">
        <v>1000100330</v>
      </c>
      <c r="B1249" s="23" t="s">
        <v>3435</v>
      </c>
      <c r="C1249" s="24" t="s">
        <v>4</v>
      </c>
      <c r="D1249" s="23" t="s">
        <v>2090</v>
      </c>
      <c r="E1249" s="23">
        <v>1166.2459090909001</v>
      </c>
      <c r="F1249" s="23">
        <v>19</v>
      </c>
      <c r="G1249" s="23">
        <v>19</v>
      </c>
      <c r="H1249" s="23">
        <v>0</v>
      </c>
      <c r="I1249" s="23" t="s">
        <v>5</v>
      </c>
      <c r="J1249" s="23" t="s">
        <v>327</v>
      </c>
    </row>
    <row r="1250" spans="1:10" s="20" customFormat="1" ht="12" x14ac:dyDescent="0.25">
      <c r="A1250" s="22">
        <v>1000098439</v>
      </c>
      <c r="B1250" s="23" t="s">
        <v>1519</v>
      </c>
      <c r="C1250" s="24" t="s">
        <v>4</v>
      </c>
      <c r="D1250" s="23" t="s">
        <v>2090</v>
      </c>
      <c r="E1250" s="23">
        <v>1165.73</v>
      </c>
      <c r="F1250" s="23">
        <v>5</v>
      </c>
      <c r="G1250" s="23">
        <v>5</v>
      </c>
      <c r="H1250" s="23">
        <v>0</v>
      </c>
      <c r="I1250" s="23" t="s">
        <v>5</v>
      </c>
      <c r="J1250" s="23" t="s">
        <v>327</v>
      </c>
    </row>
    <row r="1251" spans="1:10" s="20" customFormat="1" ht="12" x14ac:dyDescent="0.25">
      <c r="A1251" s="22">
        <v>1000100336</v>
      </c>
      <c r="B1251" s="23" t="s">
        <v>3436</v>
      </c>
      <c r="C1251" s="24" t="s">
        <v>4</v>
      </c>
      <c r="D1251" s="23" t="s">
        <v>2090</v>
      </c>
      <c r="E1251" s="23">
        <v>1165.67</v>
      </c>
      <c r="F1251" s="23">
        <v>30</v>
      </c>
      <c r="G1251" s="23">
        <v>30</v>
      </c>
      <c r="H1251" s="23">
        <v>0</v>
      </c>
      <c r="I1251" s="23" t="s">
        <v>5</v>
      </c>
      <c r="J1251" s="23" t="s">
        <v>327</v>
      </c>
    </row>
    <row r="1252" spans="1:10" s="20" customFormat="1" ht="12" x14ac:dyDescent="0.25">
      <c r="A1252" s="22">
        <v>1000097099</v>
      </c>
      <c r="B1252" s="23" t="s">
        <v>1848</v>
      </c>
      <c r="C1252" s="24" t="s">
        <v>4</v>
      </c>
      <c r="D1252" s="23" t="s">
        <v>2056</v>
      </c>
      <c r="E1252" s="23">
        <v>1165.02</v>
      </c>
      <c r="F1252" s="23">
        <v>150</v>
      </c>
      <c r="G1252" s="23">
        <v>150</v>
      </c>
      <c r="H1252" s="23">
        <v>0</v>
      </c>
      <c r="I1252" s="23" t="s">
        <v>5</v>
      </c>
      <c r="J1252" s="23" t="s">
        <v>1844</v>
      </c>
    </row>
    <row r="1253" spans="1:10" s="20" customFormat="1" ht="12" x14ac:dyDescent="0.25">
      <c r="A1253" s="22">
        <v>1000102227</v>
      </c>
      <c r="B1253" s="23" t="s">
        <v>1779</v>
      </c>
      <c r="C1253" s="24" t="s">
        <v>4</v>
      </c>
      <c r="D1253" s="23" t="s">
        <v>2090</v>
      </c>
      <c r="E1253" s="23">
        <v>1163.3625</v>
      </c>
      <c r="F1253" s="23">
        <v>3</v>
      </c>
      <c r="G1253" s="23">
        <v>3</v>
      </c>
      <c r="H1253" s="23">
        <v>0</v>
      </c>
      <c r="I1253" s="23" t="s">
        <v>5</v>
      </c>
      <c r="J1253" s="23" t="s">
        <v>327</v>
      </c>
    </row>
    <row r="1254" spans="1:10" s="20" customFormat="1" ht="12" x14ac:dyDescent="0.25">
      <c r="A1254" s="22">
        <v>1000020744</v>
      </c>
      <c r="B1254" s="23" t="s">
        <v>951</v>
      </c>
      <c r="C1254" s="24" t="s">
        <v>4</v>
      </c>
      <c r="D1254" s="23" t="s">
        <v>2090</v>
      </c>
      <c r="E1254" s="23">
        <v>1161.944</v>
      </c>
      <c r="F1254" s="23">
        <v>4</v>
      </c>
      <c r="G1254" s="23">
        <v>4</v>
      </c>
      <c r="H1254" s="23">
        <v>0</v>
      </c>
      <c r="I1254" s="23" t="s">
        <v>5</v>
      </c>
      <c r="J1254" s="23" t="s">
        <v>327</v>
      </c>
    </row>
    <row r="1255" spans="1:10" s="20" customFormat="1" ht="12" x14ac:dyDescent="0.25">
      <c r="A1255" s="22">
        <v>1000102321</v>
      </c>
      <c r="B1255" s="23" t="s">
        <v>1792</v>
      </c>
      <c r="C1255" s="24" t="s">
        <v>4</v>
      </c>
      <c r="D1255" s="23" t="s">
        <v>2090</v>
      </c>
      <c r="E1255" s="23">
        <v>1161.9000000000001</v>
      </c>
      <c r="F1255" s="23">
        <v>3</v>
      </c>
      <c r="G1255" s="23">
        <v>3</v>
      </c>
      <c r="H1255" s="23">
        <v>0</v>
      </c>
      <c r="I1255" s="23" t="s">
        <v>5</v>
      </c>
      <c r="J1255" s="23" t="s">
        <v>327</v>
      </c>
    </row>
    <row r="1256" spans="1:10" s="20" customFormat="1" ht="12" x14ac:dyDescent="0.25">
      <c r="A1256" s="22">
        <v>1000102644</v>
      </c>
      <c r="B1256" s="23" t="s">
        <v>3438</v>
      </c>
      <c r="C1256" s="24" t="s">
        <v>4</v>
      </c>
      <c r="D1256" s="23" t="s">
        <v>2090</v>
      </c>
      <c r="E1256" s="23">
        <v>1161.75</v>
      </c>
      <c r="F1256" s="23">
        <v>20</v>
      </c>
      <c r="G1256" s="23">
        <v>20</v>
      </c>
      <c r="H1256" s="23">
        <v>0</v>
      </c>
      <c r="I1256" s="23" t="s">
        <v>5</v>
      </c>
      <c r="J1256" s="23" t="s">
        <v>327</v>
      </c>
    </row>
    <row r="1257" spans="1:10" s="20" customFormat="1" ht="12" x14ac:dyDescent="0.25">
      <c r="A1257" s="22">
        <v>1000100322</v>
      </c>
      <c r="B1257" s="23" t="s">
        <v>335</v>
      </c>
      <c r="C1257" s="24" t="s">
        <v>4</v>
      </c>
      <c r="D1257" s="23" t="s">
        <v>2090</v>
      </c>
      <c r="E1257" s="23">
        <v>1161.5999999999999</v>
      </c>
      <c r="F1257" s="23">
        <v>8</v>
      </c>
      <c r="G1257" s="23">
        <v>8</v>
      </c>
      <c r="H1257" s="23">
        <v>0</v>
      </c>
      <c r="I1257" s="23" t="s">
        <v>5</v>
      </c>
      <c r="J1257" s="23" t="s">
        <v>327</v>
      </c>
    </row>
    <row r="1258" spans="1:10" s="20" customFormat="1" ht="12" x14ac:dyDescent="0.25">
      <c r="A1258" s="22">
        <v>1000098458</v>
      </c>
      <c r="B1258" s="23" t="s">
        <v>329</v>
      </c>
      <c r="C1258" s="24" t="s">
        <v>4</v>
      </c>
      <c r="D1258" s="23" t="s">
        <v>2090</v>
      </c>
      <c r="E1258" s="23">
        <v>1160.752</v>
      </c>
      <c r="F1258" s="23">
        <v>4</v>
      </c>
      <c r="G1258" s="23">
        <v>4</v>
      </c>
      <c r="H1258" s="23">
        <v>0</v>
      </c>
      <c r="I1258" s="23" t="s">
        <v>5</v>
      </c>
      <c r="J1258" s="23" t="s">
        <v>327</v>
      </c>
    </row>
    <row r="1259" spans="1:10" s="20" customFormat="1" ht="12" x14ac:dyDescent="0.25">
      <c r="A1259" s="22">
        <v>1000020574</v>
      </c>
      <c r="B1259" s="23" t="s">
        <v>791</v>
      </c>
      <c r="C1259" s="24" t="s">
        <v>4</v>
      </c>
      <c r="D1259" s="23" t="s">
        <v>2090</v>
      </c>
      <c r="E1259" s="23">
        <v>1158.33</v>
      </c>
      <c r="F1259" s="23">
        <v>3</v>
      </c>
      <c r="G1259" s="23">
        <v>3</v>
      </c>
      <c r="H1259" s="23">
        <v>0</v>
      </c>
      <c r="I1259" s="23" t="s">
        <v>5</v>
      </c>
      <c r="J1259" s="23" t="s">
        <v>327</v>
      </c>
    </row>
    <row r="1260" spans="1:10" s="20" customFormat="1" ht="12" x14ac:dyDescent="0.25">
      <c r="A1260" s="22">
        <v>1000021161</v>
      </c>
      <c r="B1260" s="23" t="s">
        <v>1309</v>
      </c>
      <c r="C1260" s="24" t="s">
        <v>4</v>
      </c>
      <c r="D1260" s="23" t="s">
        <v>2090</v>
      </c>
      <c r="E1260" s="23">
        <v>1155.96</v>
      </c>
      <c r="F1260" s="23">
        <v>2</v>
      </c>
      <c r="G1260" s="23">
        <v>2</v>
      </c>
      <c r="H1260" s="23">
        <v>0</v>
      </c>
      <c r="I1260" s="23" t="s">
        <v>5</v>
      </c>
      <c r="J1260" s="23" t="s">
        <v>327</v>
      </c>
    </row>
    <row r="1261" spans="1:10" s="20" customFormat="1" ht="12" x14ac:dyDescent="0.25">
      <c r="A1261" s="22">
        <v>1000020847</v>
      </c>
      <c r="B1261" s="23" t="s">
        <v>1039</v>
      </c>
      <c r="C1261" s="24" t="s">
        <v>4</v>
      </c>
      <c r="D1261" s="23" t="s">
        <v>2090</v>
      </c>
      <c r="E1261" s="23">
        <v>1155.40501647058</v>
      </c>
      <c r="F1261" s="23">
        <v>5</v>
      </c>
      <c r="G1261" s="23">
        <v>5</v>
      </c>
      <c r="H1261" s="23">
        <v>0</v>
      </c>
      <c r="I1261" s="23" t="s">
        <v>5</v>
      </c>
      <c r="J1261" s="23" t="s">
        <v>327</v>
      </c>
    </row>
    <row r="1262" spans="1:10" s="20" customFormat="1" ht="12" x14ac:dyDescent="0.25">
      <c r="A1262" s="22">
        <v>1000020320</v>
      </c>
      <c r="B1262" s="23" t="s">
        <v>554</v>
      </c>
      <c r="C1262" s="24" t="s">
        <v>4</v>
      </c>
      <c r="D1262" s="23" t="s">
        <v>2090</v>
      </c>
      <c r="E1262" s="23">
        <v>1155.0999999999999</v>
      </c>
      <c r="F1262" s="23">
        <v>6</v>
      </c>
      <c r="G1262" s="23">
        <v>6</v>
      </c>
      <c r="H1262" s="23">
        <v>0</v>
      </c>
      <c r="I1262" s="23" t="s">
        <v>5</v>
      </c>
      <c r="J1262" s="23" t="s">
        <v>327</v>
      </c>
    </row>
    <row r="1263" spans="1:10" s="20" customFormat="1" ht="12" x14ac:dyDescent="0.25">
      <c r="A1263" s="22">
        <v>2500009298</v>
      </c>
      <c r="B1263" s="23" t="s">
        <v>3440</v>
      </c>
      <c r="C1263" s="24" t="s">
        <v>1996</v>
      </c>
      <c r="D1263" s="23" t="s">
        <v>2025</v>
      </c>
      <c r="E1263" s="23">
        <v>1147.5</v>
      </c>
      <c r="F1263" s="23">
        <v>2</v>
      </c>
      <c r="G1263" s="23">
        <v>2</v>
      </c>
      <c r="H1263" s="23">
        <v>0</v>
      </c>
      <c r="I1263" s="23" t="s">
        <v>5</v>
      </c>
      <c r="J1263" s="23" t="s">
        <v>1993</v>
      </c>
    </row>
    <row r="1264" spans="1:10" s="20" customFormat="1" ht="12" x14ac:dyDescent="0.25">
      <c r="A1264" s="22">
        <v>1000098447</v>
      </c>
      <c r="B1264" s="23" t="s">
        <v>1526</v>
      </c>
      <c r="C1264" s="24" t="s">
        <v>4</v>
      </c>
      <c r="D1264" s="23" t="s">
        <v>2090</v>
      </c>
      <c r="E1264" s="23">
        <v>1136.405</v>
      </c>
      <c r="F1264" s="23">
        <v>1</v>
      </c>
      <c r="G1264" s="23">
        <v>1</v>
      </c>
      <c r="H1264" s="23">
        <v>0</v>
      </c>
      <c r="I1264" s="23" t="s">
        <v>5</v>
      </c>
      <c r="J1264" s="23" t="s">
        <v>327</v>
      </c>
    </row>
    <row r="1265" spans="1:10" s="20" customFormat="1" ht="12" x14ac:dyDescent="0.25">
      <c r="A1265" s="22">
        <v>1000098610</v>
      </c>
      <c r="B1265" s="23" t="s">
        <v>1613</v>
      </c>
      <c r="C1265" s="24" t="s">
        <v>4</v>
      </c>
      <c r="D1265" s="23" t="s">
        <v>2090</v>
      </c>
      <c r="E1265" s="23">
        <v>1135.95</v>
      </c>
      <c r="F1265" s="23">
        <v>30</v>
      </c>
      <c r="G1265" s="23">
        <v>30</v>
      </c>
      <c r="H1265" s="23">
        <v>0</v>
      </c>
      <c r="I1265" s="23" t="s">
        <v>5</v>
      </c>
      <c r="J1265" s="23" t="s">
        <v>327</v>
      </c>
    </row>
    <row r="1266" spans="1:10" s="20" customFormat="1" ht="12" x14ac:dyDescent="0.25">
      <c r="A1266" s="22">
        <v>1000021458</v>
      </c>
      <c r="B1266" s="23" t="s">
        <v>1486</v>
      </c>
      <c r="C1266" s="24" t="s">
        <v>4</v>
      </c>
      <c r="D1266" s="23" t="s">
        <v>2090</v>
      </c>
      <c r="E1266" s="23">
        <v>1135.77</v>
      </c>
      <c r="F1266" s="23">
        <v>7</v>
      </c>
      <c r="G1266" s="23">
        <v>7</v>
      </c>
      <c r="H1266" s="23">
        <v>0</v>
      </c>
      <c r="I1266" s="23" t="s">
        <v>5</v>
      </c>
      <c r="J1266" s="23" t="s">
        <v>327</v>
      </c>
    </row>
    <row r="1267" spans="1:10" s="20" customFormat="1" ht="12" x14ac:dyDescent="0.25">
      <c r="A1267" s="22">
        <v>2500008202</v>
      </c>
      <c r="B1267" s="23" t="s">
        <v>1920</v>
      </c>
      <c r="C1267" s="24" t="s">
        <v>1996</v>
      </c>
      <c r="D1267" s="23" t="s">
        <v>2025</v>
      </c>
      <c r="E1267" s="23">
        <v>1134.5999999999999</v>
      </c>
      <c r="F1267" s="23">
        <v>5</v>
      </c>
      <c r="G1267" s="23">
        <v>5</v>
      </c>
      <c r="H1267" s="23">
        <v>0</v>
      </c>
      <c r="I1267" s="23" t="s">
        <v>5</v>
      </c>
      <c r="J1267" s="23" t="s">
        <v>1993</v>
      </c>
    </row>
    <row r="1268" spans="1:10" s="20" customFormat="1" ht="12" x14ac:dyDescent="0.25">
      <c r="A1268" s="22">
        <v>1000093392</v>
      </c>
      <c r="B1268" s="23" t="s">
        <v>3446</v>
      </c>
      <c r="C1268" s="24" t="s">
        <v>4</v>
      </c>
      <c r="D1268" s="23" t="s">
        <v>2090</v>
      </c>
      <c r="E1268" s="23">
        <v>1133.33</v>
      </c>
      <c r="F1268" s="23">
        <v>3</v>
      </c>
      <c r="G1268" s="23">
        <v>3</v>
      </c>
      <c r="H1268" s="23">
        <v>0</v>
      </c>
      <c r="I1268" s="23" t="s">
        <v>5</v>
      </c>
      <c r="J1268" s="23" t="s">
        <v>327</v>
      </c>
    </row>
    <row r="1269" spans="1:10" s="20" customFormat="1" ht="12" x14ac:dyDescent="0.25">
      <c r="A1269" s="22">
        <v>1000010105</v>
      </c>
      <c r="B1269" s="23" t="s">
        <v>3265</v>
      </c>
      <c r="C1269" s="24" t="s">
        <v>4</v>
      </c>
      <c r="D1269" s="23" t="s">
        <v>2161</v>
      </c>
      <c r="E1269" s="23">
        <v>1132.08</v>
      </c>
      <c r="F1269" s="23">
        <v>11</v>
      </c>
      <c r="G1269" s="23">
        <v>11</v>
      </c>
      <c r="H1269" s="23">
        <v>0</v>
      </c>
      <c r="I1269" s="23" t="s">
        <v>5</v>
      </c>
      <c r="J1269" s="23" t="s">
        <v>111</v>
      </c>
    </row>
    <row r="1270" spans="1:10" s="20" customFormat="1" ht="12" x14ac:dyDescent="0.25">
      <c r="A1270" s="22">
        <v>1000096203</v>
      </c>
      <c r="B1270" s="23" t="s">
        <v>3447</v>
      </c>
      <c r="C1270" s="24" t="s">
        <v>4</v>
      </c>
      <c r="D1270" s="23" t="s">
        <v>2056</v>
      </c>
      <c r="E1270" s="23">
        <v>1128.5999999999999</v>
      </c>
      <c r="F1270" s="23">
        <v>9000</v>
      </c>
      <c r="G1270" s="23">
        <v>9000</v>
      </c>
      <c r="H1270" s="23">
        <v>0</v>
      </c>
      <c r="I1270" s="23" t="s">
        <v>5</v>
      </c>
      <c r="J1270" s="23" t="s">
        <v>1844</v>
      </c>
    </row>
    <row r="1271" spans="1:10" s="20" customFormat="1" ht="12" x14ac:dyDescent="0.25">
      <c r="A1271" s="22">
        <v>1000095817</v>
      </c>
      <c r="B1271" s="23" t="s">
        <v>3448</v>
      </c>
      <c r="C1271" s="24" t="s">
        <v>4</v>
      </c>
      <c r="D1271" s="23" t="s">
        <v>2056</v>
      </c>
      <c r="E1271" s="23">
        <v>1125.7808</v>
      </c>
      <c r="F1271" s="23">
        <v>66</v>
      </c>
      <c r="G1271" s="23">
        <v>66</v>
      </c>
      <c r="H1271" s="23">
        <v>0</v>
      </c>
      <c r="I1271" s="23" t="s">
        <v>5</v>
      </c>
      <c r="J1271" s="23" t="s">
        <v>1844</v>
      </c>
    </row>
    <row r="1272" spans="1:10" s="20" customFormat="1" ht="12" x14ac:dyDescent="0.25">
      <c r="A1272" s="22">
        <v>1000020731</v>
      </c>
      <c r="B1272" s="23" t="s">
        <v>939</v>
      </c>
      <c r="C1272" s="24" t="s">
        <v>4</v>
      </c>
      <c r="D1272" s="23" t="s">
        <v>2090</v>
      </c>
      <c r="E1272" s="23">
        <v>1123.44</v>
      </c>
      <c r="F1272" s="23">
        <v>4</v>
      </c>
      <c r="G1272" s="23">
        <v>4</v>
      </c>
      <c r="H1272" s="23">
        <v>0</v>
      </c>
      <c r="I1272" s="23" t="s">
        <v>5</v>
      </c>
      <c r="J1272" s="23" t="s">
        <v>327</v>
      </c>
    </row>
    <row r="1273" spans="1:10" s="20" customFormat="1" ht="12" x14ac:dyDescent="0.25">
      <c r="A1273" s="22">
        <v>1000098638</v>
      </c>
      <c r="B1273" s="23" t="s">
        <v>1616</v>
      </c>
      <c r="C1273" s="24" t="s">
        <v>4</v>
      </c>
      <c r="D1273" s="23" t="s">
        <v>2090</v>
      </c>
      <c r="E1273" s="23">
        <v>1123.07</v>
      </c>
      <c r="F1273" s="23">
        <v>2</v>
      </c>
      <c r="G1273" s="23">
        <v>2</v>
      </c>
      <c r="H1273" s="23">
        <v>0</v>
      </c>
      <c r="I1273" s="23" t="s">
        <v>5</v>
      </c>
      <c r="J1273" s="23" t="s">
        <v>327</v>
      </c>
    </row>
    <row r="1274" spans="1:10" s="20" customFormat="1" ht="12" x14ac:dyDescent="0.25">
      <c r="A1274" s="22">
        <v>1000020123</v>
      </c>
      <c r="B1274" s="23" t="s">
        <v>378</v>
      </c>
      <c r="C1274" s="24" t="s">
        <v>4</v>
      </c>
      <c r="D1274" s="23" t="s">
        <v>2090</v>
      </c>
      <c r="E1274" s="23">
        <v>1123.02</v>
      </c>
      <c r="F1274" s="23">
        <v>2</v>
      </c>
      <c r="G1274" s="23">
        <v>2</v>
      </c>
      <c r="H1274" s="23">
        <v>0</v>
      </c>
      <c r="I1274" s="23" t="s">
        <v>5</v>
      </c>
      <c r="J1274" s="23" t="s">
        <v>327</v>
      </c>
    </row>
    <row r="1275" spans="1:10" s="20" customFormat="1" ht="12" x14ac:dyDescent="0.25">
      <c r="A1275" s="22">
        <v>2500008350</v>
      </c>
      <c r="B1275" s="23" t="s">
        <v>3450</v>
      </c>
      <c r="C1275" s="24" t="s">
        <v>1996</v>
      </c>
      <c r="D1275" s="23" t="s">
        <v>2025</v>
      </c>
      <c r="E1275" s="23">
        <v>1122.527</v>
      </c>
      <c r="F1275" s="23">
        <v>4</v>
      </c>
      <c r="G1275" s="23">
        <v>4</v>
      </c>
      <c r="H1275" s="23">
        <v>0</v>
      </c>
      <c r="I1275" s="23" t="s">
        <v>5</v>
      </c>
      <c r="J1275" s="23" t="s">
        <v>1993</v>
      </c>
    </row>
    <row r="1276" spans="1:10" s="20" customFormat="1" ht="12" x14ac:dyDescent="0.25">
      <c r="A1276" s="22">
        <v>2500006057</v>
      </c>
      <c r="B1276" s="23" t="s">
        <v>1911</v>
      </c>
      <c r="C1276" s="24" t="s">
        <v>1996</v>
      </c>
      <c r="D1276" s="23" t="s">
        <v>2025</v>
      </c>
      <c r="E1276" s="23">
        <v>1122.2262500024799</v>
      </c>
      <c r="F1276" s="23">
        <v>3</v>
      </c>
      <c r="G1276" s="23">
        <v>3</v>
      </c>
      <c r="H1276" s="23">
        <v>0</v>
      </c>
      <c r="I1276" s="23" t="s">
        <v>5</v>
      </c>
      <c r="J1276" s="23" t="s">
        <v>1993</v>
      </c>
    </row>
    <row r="1277" spans="1:10" s="20" customFormat="1" ht="12" x14ac:dyDescent="0.25">
      <c r="A1277" s="22">
        <v>1000021011</v>
      </c>
      <c r="B1277" s="23" t="s">
        <v>1183</v>
      </c>
      <c r="C1277" s="24" t="s">
        <v>4</v>
      </c>
      <c r="D1277" s="23" t="s">
        <v>2090</v>
      </c>
      <c r="E1277" s="23">
        <v>1121.8187499999999</v>
      </c>
      <c r="F1277" s="23">
        <v>5</v>
      </c>
      <c r="G1277" s="23">
        <v>5</v>
      </c>
      <c r="H1277" s="23">
        <v>0</v>
      </c>
      <c r="I1277" s="23" t="s">
        <v>44</v>
      </c>
      <c r="J1277" s="23" t="s">
        <v>327</v>
      </c>
    </row>
    <row r="1278" spans="1:10" s="20" customFormat="1" ht="12" x14ac:dyDescent="0.25">
      <c r="A1278" s="22">
        <v>1000020702</v>
      </c>
      <c r="B1278" s="23" t="s">
        <v>912</v>
      </c>
      <c r="C1278" s="24" t="s">
        <v>4</v>
      </c>
      <c r="D1278" s="23" t="s">
        <v>2090</v>
      </c>
      <c r="E1278" s="23">
        <v>1118.53666666666</v>
      </c>
      <c r="F1278" s="23">
        <v>8</v>
      </c>
      <c r="G1278" s="23">
        <v>8</v>
      </c>
      <c r="H1278" s="23">
        <v>0</v>
      </c>
      <c r="I1278" s="23" t="s">
        <v>5</v>
      </c>
      <c r="J1278" s="23" t="s">
        <v>327</v>
      </c>
    </row>
    <row r="1279" spans="1:10" s="20" customFormat="1" ht="12" x14ac:dyDescent="0.25">
      <c r="A1279" s="22">
        <v>1000096397</v>
      </c>
      <c r="B1279" s="23" t="s">
        <v>3452</v>
      </c>
      <c r="C1279" s="24" t="s">
        <v>4</v>
      </c>
      <c r="D1279" s="23" t="s">
        <v>2056</v>
      </c>
      <c r="E1279" s="23">
        <v>1115.17848148148</v>
      </c>
      <c r="F1279" s="23">
        <v>1</v>
      </c>
      <c r="G1279" s="23">
        <v>1</v>
      </c>
      <c r="H1279" s="23">
        <v>0</v>
      </c>
      <c r="I1279" s="23" t="s">
        <v>5</v>
      </c>
      <c r="J1279" s="23" t="s">
        <v>1844</v>
      </c>
    </row>
    <row r="1280" spans="1:10" s="20" customFormat="1" ht="12" x14ac:dyDescent="0.25">
      <c r="A1280" s="22">
        <v>1000096393</v>
      </c>
      <c r="B1280" s="23" t="s">
        <v>3454</v>
      </c>
      <c r="C1280" s="24" t="s">
        <v>4</v>
      </c>
      <c r="D1280" s="23" t="s">
        <v>2056</v>
      </c>
      <c r="E1280" s="23">
        <v>1113.7</v>
      </c>
      <c r="F1280" s="23">
        <v>140</v>
      </c>
      <c r="G1280" s="23">
        <v>140</v>
      </c>
      <c r="H1280" s="23">
        <v>0</v>
      </c>
      <c r="I1280" s="23" t="s">
        <v>5</v>
      </c>
      <c r="J1280" s="23" t="s">
        <v>1844</v>
      </c>
    </row>
    <row r="1281" spans="1:10" s="20" customFormat="1" ht="12" x14ac:dyDescent="0.25">
      <c r="A1281" s="22">
        <v>1000021155</v>
      </c>
      <c r="B1281" s="23" t="s">
        <v>1304</v>
      </c>
      <c r="C1281" s="24" t="s">
        <v>4</v>
      </c>
      <c r="D1281" s="23" t="s">
        <v>2090</v>
      </c>
      <c r="E1281" s="23">
        <v>1110.5999999999999</v>
      </c>
      <c r="F1281" s="23">
        <v>3</v>
      </c>
      <c r="G1281" s="23">
        <v>3</v>
      </c>
      <c r="H1281" s="23">
        <v>0</v>
      </c>
      <c r="I1281" s="23" t="s">
        <v>5</v>
      </c>
      <c r="J1281" s="23" t="s">
        <v>327</v>
      </c>
    </row>
    <row r="1282" spans="1:10" s="20" customFormat="1" ht="12" x14ac:dyDescent="0.25">
      <c r="A1282" s="22">
        <v>1000098598</v>
      </c>
      <c r="B1282" s="23" t="s">
        <v>1603</v>
      </c>
      <c r="C1282" s="24" t="s">
        <v>4</v>
      </c>
      <c r="D1282" s="23" t="s">
        <v>2090</v>
      </c>
      <c r="E1282" s="23">
        <v>1110.52</v>
      </c>
      <c r="F1282" s="23">
        <v>1</v>
      </c>
      <c r="G1282" s="23">
        <v>1</v>
      </c>
      <c r="H1282" s="23">
        <v>0</v>
      </c>
      <c r="I1282" s="23" t="s">
        <v>5</v>
      </c>
      <c r="J1282" s="23" t="s">
        <v>327</v>
      </c>
    </row>
    <row r="1283" spans="1:10" s="20" customFormat="1" ht="12" x14ac:dyDescent="0.25">
      <c r="A1283" s="22">
        <v>2500009419</v>
      </c>
      <c r="B1283" s="23" t="s">
        <v>3457</v>
      </c>
      <c r="C1283" s="24" t="s">
        <v>1996</v>
      </c>
      <c r="D1283" s="23" t="s">
        <v>2289</v>
      </c>
      <c r="E1283" s="23">
        <v>1110</v>
      </c>
      <c r="F1283" s="23">
        <v>8</v>
      </c>
      <c r="G1283" s="23">
        <v>8</v>
      </c>
      <c r="H1283" s="23">
        <v>0</v>
      </c>
      <c r="I1283" s="23" t="s">
        <v>5</v>
      </c>
      <c r="J1283" s="23" t="s">
        <v>1993</v>
      </c>
    </row>
    <row r="1284" spans="1:10" s="20" customFormat="1" ht="12" x14ac:dyDescent="0.25">
      <c r="A1284" s="22">
        <v>1000021240</v>
      </c>
      <c r="B1284" s="23" t="s">
        <v>1385</v>
      </c>
      <c r="C1284" s="24" t="s">
        <v>4</v>
      </c>
      <c r="D1284" s="23" t="s">
        <v>2090</v>
      </c>
      <c r="E1284" s="23">
        <v>1106.7750000000001</v>
      </c>
      <c r="F1284" s="23">
        <v>3</v>
      </c>
      <c r="G1284" s="23">
        <v>3</v>
      </c>
      <c r="H1284" s="23">
        <v>0</v>
      </c>
      <c r="I1284" s="23" t="s">
        <v>5</v>
      </c>
      <c r="J1284" s="23" t="s">
        <v>327</v>
      </c>
    </row>
    <row r="1285" spans="1:10" s="20" customFormat="1" ht="12" x14ac:dyDescent="0.25">
      <c r="A1285" s="22">
        <v>2500008359</v>
      </c>
      <c r="B1285" s="23" t="s">
        <v>1932</v>
      </c>
      <c r="C1285" s="24" t="s">
        <v>1996</v>
      </c>
      <c r="D1285" s="23" t="s">
        <v>2025</v>
      </c>
      <c r="E1285" s="23">
        <v>1105.5</v>
      </c>
      <c r="F1285" s="23">
        <v>2</v>
      </c>
      <c r="G1285" s="23">
        <v>2</v>
      </c>
      <c r="H1285" s="23">
        <v>0</v>
      </c>
      <c r="I1285" s="23" t="s">
        <v>5</v>
      </c>
      <c r="J1285" s="23" t="s">
        <v>1993</v>
      </c>
    </row>
    <row r="1286" spans="1:10" s="20" customFormat="1" ht="12" x14ac:dyDescent="0.25">
      <c r="A1286" s="22">
        <v>1000102351</v>
      </c>
      <c r="B1286" s="23" t="s">
        <v>1794</v>
      </c>
      <c r="C1286" s="24" t="s">
        <v>4</v>
      </c>
      <c r="D1286" s="23" t="s">
        <v>2090</v>
      </c>
      <c r="E1286" s="23">
        <v>1104.56</v>
      </c>
      <c r="F1286" s="23">
        <v>5</v>
      </c>
      <c r="G1286" s="23">
        <v>5</v>
      </c>
      <c r="H1286" s="23">
        <v>0</v>
      </c>
      <c r="I1286" s="23" t="s">
        <v>5</v>
      </c>
      <c r="J1286" s="23" t="s">
        <v>327</v>
      </c>
    </row>
    <row r="1287" spans="1:10" s="20" customFormat="1" ht="12" x14ac:dyDescent="0.25">
      <c r="A1287" s="22">
        <v>1000020682</v>
      </c>
      <c r="B1287" s="23" t="s">
        <v>895</v>
      </c>
      <c r="C1287" s="24" t="s">
        <v>4</v>
      </c>
      <c r="D1287" s="23" t="s">
        <v>2090</v>
      </c>
      <c r="E1287" s="23">
        <v>1098.6278395061699</v>
      </c>
      <c r="F1287" s="23">
        <v>20</v>
      </c>
      <c r="G1287" s="23">
        <v>12</v>
      </c>
      <c r="H1287" s="23">
        <v>8</v>
      </c>
      <c r="I1287" s="23" t="s">
        <v>14</v>
      </c>
      <c r="J1287" s="23" t="s">
        <v>327</v>
      </c>
    </row>
    <row r="1288" spans="1:10" s="20" customFormat="1" ht="12" x14ac:dyDescent="0.25">
      <c r="A1288" s="22">
        <v>1000104098</v>
      </c>
      <c r="B1288" s="23" t="s">
        <v>3461</v>
      </c>
      <c r="C1288" s="24" t="s">
        <v>4</v>
      </c>
      <c r="D1288" s="23" t="s">
        <v>2056</v>
      </c>
      <c r="E1288" s="23">
        <v>1096.4287411764701</v>
      </c>
      <c r="F1288" s="23">
        <v>18</v>
      </c>
      <c r="G1288" s="23">
        <v>18</v>
      </c>
      <c r="H1288" s="23">
        <v>0</v>
      </c>
      <c r="I1288" s="23" t="s">
        <v>5</v>
      </c>
      <c r="J1288" s="23" t="s">
        <v>1844</v>
      </c>
    </row>
    <row r="1289" spans="1:10" s="20" customFormat="1" ht="12" x14ac:dyDescent="0.25">
      <c r="A1289" s="22">
        <v>1000020026</v>
      </c>
      <c r="B1289" s="23" t="s">
        <v>3462</v>
      </c>
      <c r="C1289" s="24" t="s">
        <v>4</v>
      </c>
      <c r="D1289" s="23" t="s">
        <v>2090</v>
      </c>
      <c r="E1289" s="23">
        <v>1095.328125</v>
      </c>
      <c r="F1289" s="23">
        <v>8</v>
      </c>
      <c r="G1289" s="23">
        <v>8</v>
      </c>
      <c r="H1289" s="23">
        <v>0</v>
      </c>
      <c r="I1289" s="23" t="s">
        <v>5</v>
      </c>
      <c r="J1289" s="23" t="s">
        <v>327</v>
      </c>
    </row>
    <row r="1290" spans="1:10" s="20" customFormat="1" ht="12" x14ac:dyDescent="0.25">
      <c r="A1290" s="22">
        <v>1000020454</v>
      </c>
      <c r="B1290" s="23" t="s">
        <v>680</v>
      </c>
      <c r="C1290" s="24" t="s">
        <v>4</v>
      </c>
      <c r="D1290" s="23" t="s">
        <v>2090</v>
      </c>
      <c r="E1290" s="23">
        <v>1094.2611804180401</v>
      </c>
      <c r="F1290" s="23">
        <v>68</v>
      </c>
      <c r="G1290" s="23">
        <v>68</v>
      </c>
      <c r="H1290" s="23">
        <v>0</v>
      </c>
      <c r="I1290" s="23" t="s">
        <v>5</v>
      </c>
      <c r="J1290" s="23" t="s">
        <v>327</v>
      </c>
    </row>
    <row r="1291" spans="1:10" s="20" customFormat="1" ht="12" x14ac:dyDescent="0.25">
      <c r="A1291" s="22">
        <v>1000020538</v>
      </c>
      <c r="B1291" s="23" t="s">
        <v>759</v>
      </c>
      <c r="C1291" s="24" t="s">
        <v>4</v>
      </c>
      <c r="D1291" s="23" t="s">
        <v>2090</v>
      </c>
      <c r="E1291" s="23">
        <v>1094.2</v>
      </c>
      <c r="F1291" s="23">
        <v>5</v>
      </c>
      <c r="G1291" s="23">
        <v>5</v>
      </c>
      <c r="H1291" s="23">
        <v>0</v>
      </c>
      <c r="I1291" s="23" t="s">
        <v>5</v>
      </c>
      <c r="J1291" s="23" t="s">
        <v>327</v>
      </c>
    </row>
    <row r="1292" spans="1:10" s="20" customFormat="1" ht="12" x14ac:dyDescent="0.25">
      <c r="A1292" s="22">
        <v>1000098515</v>
      </c>
      <c r="B1292" s="23" t="s">
        <v>1551</v>
      </c>
      <c r="C1292" s="24" t="s">
        <v>4</v>
      </c>
      <c r="D1292" s="23" t="s">
        <v>2090</v>
      </c>
      <c r="E1292" s="23">
        <v>1093.8599999999999</v>
      </c>
      <c r="F1292" s="23">
        <v>1</v>
      </c>
      <c r="G1292" s="23">
        <v>1</v>
      </c>
      <c r="H1292" s="23">
        <v>0</v>
      </c>
      <c r="I1292" s="23" t="s">
        <v>5</v>
      </c>
      <c r="J1292" s="23" t="s">
        <v>327</v>
      </c>
    </row>
    <row r="1293" spans="1:10" s="20" customFormat="1" ht="12" x14ac:dyDescent="0.25">
      <c r="A1293" s="22">
        <v>1000021469</v>
      </c>
      <c r="B1293" s="23" t="s">
        <v>1489</v>
      </c>
      <c r="C1293" s="24" t="s">
        <v>4</v>
      </c>
      <c r="D1293" s="23" t="s">
        <v>2090</v>
      </c>
      <c r="E1293" s="23">
        <v>1093.28</v>
      </c>
      <c r="F1293" s="23">
        <v>14</v>
      </c>
      <c r="G1293" s="23">
        <v>14</v>
      </c>
      <c r="H1293" s="23">
        <v>0</v>
      </c>
      <c r="I1293" s="23" t="s">
        <v>5</v>
      </c>
      <c r="J1293" s="23" t="s">
        <v>327</v>
      </c>
    </row>
    <row r="1294" spans="1:10" s="20" customFormat="1" ht="12" x14ac:dyDescent="0.25">
      <c r="A1294" s="22">
        <v>1000098914</v>
      </c>
      <c r="B1294" s="23" t="s">
        <v>3464</v>
      </c>
      <c r="C1294" s="24" t="s">
        <v>4</v>
      </c>
      <c r="D1294" s="23" t="s">
        <v>2161</v>
      </c>
      <c r="E1294" s="23">
        <v>1091.72</v>
      </c>
      <c r="F1294" s="23">
        <v>5</v>
      </c>
      <c r="G1294" s="23">
        <v>5</v>
      </c>
      <c r="H1294" s="23">
        <v>0</v>
      </c>
      <c r="I1294" s="23" t="s">
        <v>5</v>
      </c>
      <c r="J1294" s="23" t="s">
        <v>111</v>
      </c>
    </row>
    <row r="1295" spans="1:10" s="20" customFormat="1" ht="12" x14ac:dyDescent="0.25">
      <c r="A1295" s="22">
        <v>1000102089</v>
      </c>
      <c r="B1295" s="23" t="s">
        <v>1758</v>
      </c>
      <c r="C1295" s="24" t="s">
        <v>4</v>
      </c>
      <c r="D1295" s="23" t="s">
        <v>2090</v>
      </c>
      <c r="E1295" s="23">
        <v>1087.5</v>
      </c>
      <c r="F1295" s="23">
        <v>200</v>
      </c>
      <c r="G1295" s="23">
        <v>200</v>
      </c>
      <c r="H1295" s="23">
        <v>0</v>
      </c>
      <c r="I1295" s="23" t="s">
        <v>5</v>
      </c>
      <c r="J1295" s="23" t="s">
        <v>327</v>
      </c>
    </row>
    <row r="1296" spans="1:10" s="20" customFormat="1" ht="12" x14ac:dyDescent="0.25">
      <c r="A1296" s="22">
        <v>1000020442</v>
      </c>
      <c r="B1296" s="23" t="s">
        <v>669</v>
      </c>
      <c r="C1296" s="24" t="s">
        <v>4</v>
      </c>
      <c r="D1296" s="23" t="s">
        <v>2090</v>
      </c>
      <c r="E1296" s="23">
        <v>1085.5486623890499</v>
      </c>
      <c r="F1296" s="23">
        <v>88</v>
      </c>
      <c r="G1296" s="23">
        <v>88</v>
      </c>
      <c r="H1296" s="23">
        <v>0</v>
      </c>
      <c r="I1296" s="23" t="s">
        <v>5</v>
      </c>
      <c r="J1296" s="23" t="s">
        <v>327</v>
      </c>
    </row>
    <row r="1297" spans="1:10" s="20" customFormat="1" ht="12" x14ac:dyDescent="0.25">
      <c r="A1297" s="22">
        <v>1000020470</v>
      </c>
      <c r="B1297" s="23" t="s">
        <v>696</v>
      </c>
      <c r="C1297" s="24" t="s">
        <v>4</v>
      </c>
      <c r="D1297" s="23" t="s">
        <v>2090</v>
      </c>
      <c r="E1297" s="23">
        <v>1085.25842712537</v>
      </c>
      <c r="F1297" s="23">
        <v>27</v>
      </c>
      <c r="G1297" s="23">
        <v>27</v>
      </c>
      <c r="H1297" s="23">
        <v>0</v>
      </c>
      <c r="I1297" s="23" t="s">
        <v>5</v>
      </c>
      <c r="J1297" s="23" t="s">
        <v>327</v>
      </c>
    </row>
    <row r="1298" spans="1:10" s="20" customFormat="1" ht="12" x14ac:dyDescent="0.25">
      <c r="A1298" s="22">
        <v>1000106591</v>
      </c>
      <c r="B1298" s="23" t="s">
        <v>128</v>
      </c>
      <c r="C1298" s="24" t="s">
        <v>4</v>
      </c>
      <c r="D1298" s="23" t="s">
        <v>2161</v>
      </c>
      <c r="E1298" s="23">
        <v>1085.1079999999999</v>
      </c>
      <c r="F1298" s="23">
        <v>2</v>
      </c>
      <c r="G1298" s="23">
        <v>2</v>
      </c>
      <c r="H1298" s="23">
        <v>0</v>
      </c>
      <c r="I1298" s="23" t="s">
        <v>5</v>
      </c>
      <c r="J1298" s="23" t="s">
        <v>111</v>
      </c>
    </row>
    <row r="1299" spans="1:10" s="20" customFormat="1" ht="12" x14ac:dyDescent="0.25">
      <c r="A1299" s="22">
        <v>1000010072</v>
      </c>
      <c r="B1299" s="23" t="s">
        <v>3468</v>
      </c>
      <c r="C1299" s="24" t="s">
        <v>4</v>
      </c>
      <c r="D1299" s="23" t="s">
        <v>2161</v>
      </c>
      <c r="E1299" s="23">
        <v>1085.04</v>
      </c>
      <c r="F1299" s="23">
        <v>3</v>
      </c>
      <c r="G1299" s="23">
        <v>3</v>
      </c>
      <c r="H1299" s="23">
        <v>0</v>
      </c>
      <c r="I1299" s="23" t="s">
        <v>5</v>
      </c>
      <c r="J1299" s="23" t="s">
        <v>111</v>
      </c>
    </row>
    <row r="1300" spans="1:10" s="20" customFormat="1" ht="12" x14ac:dyDescent="0.25">
      <c r="A1300" s="22">
        <v>1000105285</v>
      </c>
      <c r="B1300" s="23" t="s">
        <v>3469</v>
      </c>
      <c r="C1300" s="24" t="s">
        <v>4</v>
      </c>
      <c r="D1300" s="23" t="s">
        <v>2090</v>
      </c>
      <c r="E1300" s="23">
        <v>1084.5</v>
      </c>
      <c r="F1300" s="23">
        <v>30</v>
      </c>
      <c r="G1300" s="23">
        <v>30</v>
      </c>
      <c r="H1300" s="23">
        <v>0</v>
      </c>
      <c r="I1300" s="23" t="s">
        <v>5</v>
      </c>
      <c r="J1300" s="23" t="s">
        <v>327</v>
      </c>
    </row>
    <row r="1301" spans="1:10" s="20" customFormat="1" ht="12" x14ac:dyDescent="0.25">
      <c r="A1301" s="22">
        <v>1000021080</v>
      </c>
      <c r="B1301" s="23" t="s">
        <v>1242</v>
      </c>
      <c r="C1301" s="24" t="s">
        <v>4</v>
      </c>
      <c r="D1301" s="23" t="s">
        <v>2090</v>
      </c>
      <c r="E1301" s="23">
        <v>1082.96</v>
      </c>
      <c r="F1301" s="23">
        <v>1</v>
      </c>
      <c r="G1301" s="23">
        <v>1</v>
      </c>
      <c r="H1301" s="23">
        <v>0</v>
      </c>
      <c r="I1301" s="23" t="s">
        <v>5</v>
      </c>
      <c r="J1301" s="23" t="s">
        <v>327</v>
      </c>
    </row>
    <row r="1302" spans="1:10" s="20" customFormat="1" ht="12" x14ac:dyDescent="0.25">
      <c r="A1302" s="22">
        <v>1000095153</v>
      </c>
      <c r="B1302" s="23" t="s">
        <v>3471</v>
      </c>
      <c r="C1302" s="24" t="s">
        <v>4</v>
      </c>
      <c r="D1302" s="23" t="s">
        <v>2090</v>
      </c>
      <c r="E1302" s="23">
        <v>1080.22</v>
      </c>
      <c r="F1302" s="23">
        <v>2</v>
      </c>
      <c r="G1302" s="23">
        <v>2</v>
      </c>
      <c r="H1302" s="23">
        <v>0</v>
      </c>
      <c r="I1302" s="23" t="s">
        <v>5</v>
      </c>
      <c r="J1302" s="23" t="s">
        <v>327</v>
      </c>
    </row>
    <row r="1303" spans="1:10" s="20" customFormat="1" ht="12" x14ac:dyDescent="0.25">
      <c r="A1303" s="22">
        <v>1000093593</v>
      </c>
      <c r="B1303" s="23" t="s">
        <v>3473</v>
      </c>
      <c r="C1303" s="24" t="s">
        <v>4</v>
      </c>
      <c r="D1303" s="23" t="s">
        <v>2056</v>
      </c>
      <c r="E1303" s="23">
        <v>1079.0608988613701</v>
      </c>
      <c r="F1303" s="23">
        <v>1587</v>
      </c>
      <c r="G1303" s="23">
        <v>1587</v>
      </c>
      <c r="H1303" s="23">
        <v>0</v>
      </c>
      <c r="I1303" s="23" t="s">
        <v>5</v>
      </c>
      <c r="J1303" s="23" t="s">
        <v>1844</v>
      </c>
    </row>
    <row r="1304" spans="1:10" s="20" customFormat="1" ht="12" x14ac:dyDescent="0.25">
      <c r="A1304" s="22">
        <v>2500009358</v>
      </c>
      <c r="B1304" s="23" t="s">
        <v>3474</v>
      </c>
      <c r="C1304" s="24" t="s">
        <v>1996</v>
      </c>
      <c r="D1304" s="23" t="s">
        <v>2025</v>
      </c>
      <c r="E1304" s="23">
        <v>1078.65333333333</v>
      </c>
      <c r="F1304" s="23">
        <v>2</v>
      </c>
      <c r="G1304" s="23">
        <v>2</v>
      </c>
      <c r="H1304" s="23">
        <v>0</v>
      </c>
      <c r="I1304" s="23" t="s">
        <v>5</v>
      </c>
      <c r="J1304" s="23" t="s">
        <v>1993</v>
      </c>
    </row>
    <row r="1305" spans="1:10" s="20" customFormat="1" ht="12" x14ac:dyDescent="0.25">
      <c r="A1305" s="22">
        <v>1000102237</v>
      </c>
      <c r="B1305" s="23" t="s">
        <v>1789</v>
      </c>
      <c r="C1305" s="24" t="s">
        <v>4</v>
      </c>
      <c r="D1305" s="23" t="s">
        <v>2090</v>
      </c>
      <c r="E1305" s="23">
        <v>1077.5999999999999</v>
      </c>
      <c r="F1305" s="23">
        <v>2</v>
      </c>
      <c r="G1305" s="23">
        <v>2</v>
      </c>
      <c r="H1305" s="23">
        <v>0</v>
      </c>
      <c r="I1305" s="23" t="s">
        <v>5</v>
      </c>
      <c r="J1305" s="23" t="s">
        <v>327</v>
      </c>
    </row>
    <row r="1306" spans="1:10" s="20" customFormat="1" ht="12" x14ac:dyDescent="0.25">
      <c r="A1306" s="22">
        <v>1000020017</v>
      </c>
      <c r="B1306" s="23" t="s">
        <v>3475</v>
      </c>
      <c r="C1306" s="24" t="s">
        <v>4</v>
      </c>
      <c r="D1306" s="23" t="s">
        <v>2090</v>
      </c>
      <c r="E1306" s="23">
        <v>1076.7</v>
      </c>
      <c r="F1306" s="23">
        <v>2</v>
      </c>
      <c r="G1306" s="23">
        <v>2</v>
      </c>
      <c r="H1306" s="23">
        <v>0</v>
      </c>
      <c r="I1306" s="23" t="s">
        <v>5</v>
      </c>
      <c r="J1306" s="23" t="s">
        <v>327</v>
      </c>
    </row>
    <row r="1307" spans="1:10" s="20" customFormat="1" ht="12" x14ac:dyDescent="0.25">
      <c r="A1307" s="22">
        <v>2200000284</v>
      </c>
      <c r="B1307" s="23" t="s">
        <v>3476</v>
      </c>
      <c r="C1307" s="24" t="s">
        <v>2037</v>
      </c>
      <c r="D1307" s="23" t="s">
        <v>2038</v>
      </c>
      <c r="E1307" s="23">
        <v>1076.3036999999999</v>
      </c>
      <c r="F1307" s="23">
        <v>1</v>
      </c>
      <c r="G1307" s="23">
        <v>1</v>
      </c>
      <c r="H1307" s="23">
        <v>0</v>
      </c>
      <c r="I1307" s="23" t="s">
        <v>5</v>
      </c>
      <c r="J1307" s="23" t="s">
        <v>146</v>
      </c>
    </row>
    <row r="1308" spans="1:10" s="20" customFormat="1" ht="12" x14ac:dyDescent="0.25">
      <c r="A1308" s="22">
        <v>1000021251</v>
      </c>
      <c r="B1308" s="23" t="s">
        <v>1396</v>
      </c>
      <c r="C1308" s="24" t="s">
        <v>4</v>
      </c>
      <c r="D1308" s="23" t="s">
        <v>2090</v>
      </c>
      <c r="E1308" s="23">
        <v>1075.3599999999999</v>
      </c>
      <c r="F1308" s="23">
        <v>2</v>
      </c>
      <c r="G1308" s="23">
        <v>2</v>
      </c>
      <c r="H1308" s="23">
        <v>0</v>
      </c>
      <c r="I1308" s="23" t="s">
        <v>5</v>
      </c>
      <c r="J1308" s="23" t="s">
        <v>327</v>
      </c>
    </row>
    <row r="1309" spans="1:10" s="20" customFormat="1" ht="12" x14ac:dyDescent="0.25">
      <c r="A1309" s="22">
        <v>1000020119</v>
      </c>
      <c r="B1309" s="23" t="s">
        <v>374</v>
      </c>
      <c r="C1309" s="24" t="s">
        <v>4</v>
      </c>
      <c r="D1309" s="23" t="s">
        <v>2090</v>
      </c>
      <c r="E1309" s="23">
        <v>1073.31</v>
      </c>
      <c r="F1309" s="23">
        <v>3</v>
      </c>
      <c r="G1309" s="23">
        <v>3</v>
      </c>
      <c r="H1309" s="23">
        <v>0</v>
      </c>
      <c r="I1309" s="23" t="s">
        <v>5</v>
      </c>
      <c r="J1309" s="23" t="s">
        <v>327</v>
      </c>
    </row>
    <row r="1310" spans="1:10" s="20" customFormat="1" ht="12" x14ac:dyDescent="0.25">
      <c r="A1310" s="22">
        <v>1000020670</v>
      </c>
      <c r="B1310" s="23" t="s">
        <v>883</v>
      </c>
      <c r="C1310" s="24" t="s">
        <v>4</v>
      </c>
      <c r="D1310" s="23" t="s">
        <v>2090</v>
      </c>
      <c r="E1310" s="23">
        <v>1072.9000000000001</v>
      </c>
      <c r="F1310" s="23">
        <v>10</v>
      </c>
      <c r="G1310" s="23">
        <v>10</v>
      </c>
      <c r="H1310" s="23">
        <v>0</v>
      </c>
      <c r="I1310" s="23" t="s">
        <v>5</v>
      </c>
      <c r="J1310" s="23" t="s">
        <v>327</v>
      </c>
    </row>
    <row r="1311" spans="1:10" s="20" customFormat="1" ht="12" x14ac:dyDescent="0.25">
      <c r="A1311" s="22">
        <v>1000021041</v>
      </c>
      <c r="B1311" s="23" t="s">
        <v>1212</v>
      </c>
      <c r="C1311" s="24" t="s">
        <v>4</v>
      </c>
      <c r="D1311" s="23" t="s">
        <v>2090</v>
      </c>
      <c r="E1311" s="23">
        <v>1071.9449999999999</v>
      </c>
      <c r="F1311" s="23">
        <v>3</v>
      </c>
      <c r="G1311" s="23">
        <v>3</v>
      </c>
      <c r="H1311" s="23">
        <v>0</v>
      </c>
      <c r="I1311" s="23" t="s">
        <v>5</v>
      </c>
      <c r="J1311" s="23" t="s">
        <v>327</v>
      </c>
    </row>
    <row r="1312" spans="1:10" s="20" customFormat="1" ht="12" x14ac:dyDescent="0.25">
      <c r="A1312" s="22">
        <v>1000020187</v>
      </c>
      <c r="B1312" s="23" t="s">
        <v>429</v>
      </c>
      <c r="C1312" s="24" t="s">
        <v>4</v>
      </c>
      <c r="D1312" s="23" t="s">
        <v>2090</v>
      </c>
      <c r="E1312" s="23">
        <v>1069.3599999999999</v>
      </c>
      <c r="F1312" s="23">
        <v>4</v>
      </c>
      <c r="G1312" s="23">
        <v>4</v>
      </c>
      <c r="H1312" s="23">
        <v>0</v>
      </c>
      <c r="I1312" s="23" t="s">
        <v>5</v>
      </c>
      <c r="J1312" s="23" t="s">
        <v>327</v>
      </c>
    </row>
    <row r="1313" spans="1:10" s="20" customFormat="1" ht="12" x14ac:dyDescent="0.25">
      <c r="A1313" s="22">
        <v>1000106069</v>
      </c>
      <c r="B1313" s="23" t="s">
        <v>3477</v>
      </c>
      <c r="C1313" s="24" t="s">
        <v>4</v>
      </c>
      <c r="D1313" s="23" t="s">
        <v>2161</v>
      </c>
      <c r="E1313" s="23">
        <v>1068.5999999999999</v>
      </c>
      <c r="F1313" s="23">
        <v>2</v>
      </c>
      <c r="G1313" s="23">
        <v>2</v>
      </c>
      <c r="H1313" s="23">
        <v>0</v>
      </c>
      <c r="I1313" s="23" t="s">
        <v>5</v>
      </c>
      <c r="J1313" s="23" t="s">
        <v>111</v>
      </c>
    </row>
    <row r="1314" spans="1:10" s="20" customFormat="1" ht="12" x14ac:dyDescent="0.25">
      <c r="A1314" s="22">
        <v>1000021136</v>
      </c>
      <c r="B1314" s="23" t="s">
        <v>1288</v>
      </c>
      <c r="C1314" s="24" t="s">
        <v>4</v>
      </c>
      <c r="D1314" s="23" t="s">
        <v>2090</v>
      </c>
      <c r="E1314" s="23">
        <v>1068.24</v>
      </c>
      <c r="F1314" s="23">
        <v>2</v>
      </c>
      <c r="G1314" s="23">
        <v>2</v>
      </c>
      <c r="H1314" s="23">
        <v>0</v>
      </c>
      <c r="I1314" s="23" t="s">
        <v>5</v>
      </c>
      <c r="J1314" s="23" t="s">
        <v>327</v>
      </c>
    </row>
    <row r="1315" spans="1:10" s="20" customFormat="1" ht="12" x14ac:dyDescent="0.25">
      <c r="A1315" s="22">
        <v>1000100430</v>
      </c>
      <c r="B1315" s="23" t="s">
        <v>1741</v>
      </c>
      <c r="C1315" s="24" t="s">
        <v>4</v>
      </c>
      <c r="D1315" s="23" t="s">
        <v>2090</v>
      </c>
      <c r="E1315" s="23">
        <v>1066.194</v>
      </c>
      <c r="F1315" s="23">
        <v>2</v>
      </c>
      <c r="G1315" s="23">
        <v>2</v>
      </c>
      <c r="H1315" s="23">
        <v>0</v>
      </c>
      <c r="I1315" s="23" t="s">
        <v>5</v>
      </c>
      <c r="J1315" s="23" t="s">
        <v>327</v>
      </c>
    </row>
    <row r="1316" spans="1:10" s="20" customFormat="1" ht="12" x14ac:dyDescent="0.25">
      <c r="A1316" s="22">
        <v>1000021185</v>
      </c>
      <c r="B1316" s="23" t="s">
        <v>1332</v>
      </c>
      <c r="C1316" s="24" t="s">
        <v>4</v>
      </c>
      <c r="D1316" s="23" t="s">
        <v>2090</v>
      </c>
      <c r="E1316" s="23">
        <v>1065.1154179612699</v>
      </c>
      <c r="F1316" s="23">
        <v>25</v>
      </c>
      <c r="G1316" s="23">
        <v>25</v>
      </c>
      <c r="H1316" s="23">
        <v>0</v>
      </c>
      <c r="I1316" s="23" t="s">
        <v>5</v>
      </c>
      <c r="J1316" s="23" t="s">
        <v>327</v>
      </c>
    </row>
    <row r="1317" spans="1:10" s="20" customFormat="1" ht="12" x14ac:dyDescent="0.25">
      <c r="A1317" s="22">
        <v>1000099034</v>
      </c>
      <c r="B1317" s="23" t="s">
        <v>3479</v>
      </c>
      <c r="C1317" s="24" t="s">
        <v>4</v>
      </c>
      <c r="D1317" s="23" t="s">
        <v>2056</v>
      </c>
      <c r="E1317" s="23">
        <v>1064.01999201955</v>
      </c>
      <c r="F1317" s="23">
        <v>160</v>
      </c>
      <c r="G1317" s="23">
        <v>160</v>
      </c>
      <c r="H1317" s="23">
        <v>0</v>
      </c>
      <c r="I1317" s="23" t="s">
        <v>5</v>
      </c>
      <c r="J1317" s="23" t="s">
        <v>1844</v>
      </c>
    </row>
    <row r="1318" spans="1:10" s="20" customFormat="1" ht="12" x14ac:dyDescent="0.25">
      <c r="A1318" s="22">
        <v>1000098722</v>
      </c>
      <c r="B1318" s="23" t="s">
        <v>1666</v>
      </c>
      <c r="C1318" s="24" t="s">
        <v>4</v>
      </c>
      <c r="D1318" s="23" t="s">
        <v>2090</v>
      </c>
      <c r="E1318" s="23">
        <v>1060.89857142857</v>
      </c>
      <c r="F1318" s="23">
        <v>3</v>
      </c>
      <c r="G1318" s="23">
        <v>3</v>
      </c>
      <c r="H1318" s="23">
        <v>0</v>
      </c>
      <c r="I1318" s="23" t="s">
        <v>5</v>
      </c>
      <c r="J1318" s="23" t="s">
        <v>327</v>
      </c>
    </row>
    <row r="1319" spans="1:10" s="20" customFormat="1" ht="12" x14ac:dyDescent="0.25">
      <c r="A1319" s="22">
        <v>1000101102</v>
      </c>
      <c r="B1319" s="23" t="s">
        <v>3482</v>
      </c>
      <c r="C1319" s="24" t="s">
        <v>4</v>
      </c>
      <c r="D1319" s="23" t="s">
        <v>2284</v>
      </c>
      <c r="E1319" s="23">
        <v>1059.56</v>
      </c>
      <c r="F1319" s="23">
        <v>1</v>
      </c>
      <c r="G1319" s="23">
        <v>1</v>
      </c>
      <c r="H1319" s="23">
        <v>0</v>
      </c>
      <c r="I1319" s="23" t="s">
        <v>5</v>
      </c>
      <c r="J1319" s="23" t="s">
        <v>1844</v>
      </c>
    </row>
    <row r="1320" spans="1:10" s="20" customFormat="1" ht="12" x14ac:dyDescent="0.25">
      <c r="A1320" s="22">
        <v>1000098442</v>
      </c>
      <c r="B1320" s="23" t="s">
        <v>1522</v>
      </c>
      <c r="C1320" s="24" t="s">
        <v>4</v>
      </c>
      <c r="D1320" s="23" t="s">
        <v>2090</v>
      </c>
      <c r="E1320" s="23">
        <v>1057.9691421856601</v>
      </c>
      <c r="F1320" s="23">
        <v>33</v>
      </c>
      <c r="G1320" s="23">
        <v>33</v>
      </c>
      <c r="H1320" s="23">
        <v>0</v>
      </c>
      <c r="I1320" s="23" t="s">
        <v>5</v>
      </c>
      <c r="J1320" s="23" t="s">
        <v>327</v>
      </c>
    </row>
    <row r="1321" spans="1:10" s="20" customFormat="1" ht="12" x14ac:dyDescent="0.25">
      <c r="A1321" s="22">
        <v>1000020335</v>
      </c>
      <c r="B1321" s="23" t="s">
        <v>567</v>
      </c>
      <c r="C1321" s="24" t="s">
        <v>4</v>
      </c>
      <c r="D1321" s="23" t="s">
        <v>2090</v>
      </c>
      <c r="E1321" s="23">
        <v>1056</v>
      </c>
      <c r="F1321" s="23">
        <v>200</v>
      </c>
      <c r="G1321" s="23">
        <v>200</v>
      </c>
      <c r="H1321" s="23">
        <v>0</v>
      </c>
      <c r="I1321" s="23" t="s">
        <v>5</v>
      </c>
      <c r="J1321" s="23" t="s">
        <v>327</v>
      </c>
    </row>
    <row r="1322" spans="1:10" s="20" customFormat="1" ht="12" x14ac:dyDescent="0.25">
      <c r="A1322" s="22">
        <v>2500008405</v>
      </c>
      <c r="B1322" s="23" t="s">
        <v>3483</v>
      </c>
      <c r="C1322" s="24" t="s">
        <v>1996</v>
      </c>
      <c r="D1322" s="23" t="s">
        <v>2025</v>
      </c>
      <c r="E1322" s="23">
        <v>1056</v>
      </c>
      <c r="F1322" s="23">
        <v>5</v>
      </c>
      <c r="G1322" s="23">
        <v>5</v>
      </c>
      <c r="H1322" s="23">
        <v>0</v>
      </c>
      <c r="I1322" s="23" t="s">
        <v>5</v>
      </c>
      <c r="J1322" s="23" t="s">
        <v>1993</v>
      </c>
    </row>
    <row r="1323" spans="1:10" s="20" customFormat="1" ht="12" x14ac:dyDescent="0.25">
      <c r="A1323" s="22">
        <v>1000100435</v>
      </c>
      <c r="B1323" s="23" t="s">
        <v>1746</v>
      </c>
      <c r="C1323" s="24" t="s">
        <v>4</v>
      </c>
      <c r="D1323" s="23" t="s">
        <v>2090</v>
      </c>
      <c r="E1323" s="23">
        <v>1055.0250000000001</v>
      </c>
      <c r="F1323" s="23">
        <v>6</v>
      </c>
      <c r="G1323" s="23">
        <v>6</v>
      </c>
      <c r="H1323" s="23">
        <v>0</v>
      </c>
      <c r="I1323" s="23" t="s">
        <v>5</v>
      </c>
      <c r="J1323" s="23" t="s">
        <v>327</v>
      </c>
    </row>
    <row r="1324" spans="1:10" s="20" customFormat="1" ht="12" x14ac:dyDescent="0.25">
      <c r="A1324" s="22">
        <v>1000020618</v>
      </c>
      <c r="B1324" s="23" t="s">
        <v>834</v>
      </c>
      <c r="C1324" s="24" t="s">
        <v>4</v>
      </c>
      <c r="D1324" s="23" t="s">
        <v>2090</v>
      </c>
      <c r="E1324" s="23">
        <v>1053.1639393939299</v>
      </c>
      <c r="F1324" s="23">
        <v>124</v>
      </c>
      <c r="G1324" s="23">
        <v>124</v>
      </c>
      <c r="H1324" s="23">
        <v>0</v>
      </c>
      <c r="I1324" s="23" t="s">
        <v>5</v>
      </c>
      <c r="J1324" s="23" t="s">
        <v>327</v>
      </c>
    </row>
    <row r="1325" spans="1:10" s="20" customFormat="1" ht="12" x14ac:dyDescent="0.25">
      <c r="A1325" s="22">
        <v>2500009325</v>
      </c>
      <c r="B1325" s="23" t="s">
        <v>3484</v>
      </c>
      <c r="C1325" s="24" t="s">
        <v>1996</v>
      </c>
      <c r="D1325" s="23" t="s">
        <v>2289</v>
      </c>
      <c r="E1325" s="23">
        <v>1050</v>
      </c>
      <c r="F1325" s="23">
        <v>5</v>
      </c>
      <c r="G1325" s="23">
        <v>5</v>
      </c>
      <c r="H1325" s="23">
        <v>0</v>
      </c>
      <c r="I1325" s="23" t="s">
        <v>5</v>
      </c>
      <c r="J1325" s="23" t="s">
        <v>1993</v>
      </c>
    </row>
    <row r="1326" spans="1:10" s="20" customFormat="1" ht="12" x14ac:dyDescent="0.25">
      <c r="A1326" s="22">
        <v>1000095013</v>
      </c>
      <c r="B1326" s="23" t="s">
        <v>3486</v>
      </c>
      <c r="C1326" s="24" t="s">
        <v>4</v>
      </c>
      <c r="D1326" s="23" t="s">
        <v>2056</v>
      </c>
      <c r="E1326" s="23">
        <v>1048.05</v>
      </c>
      <c r="F1326" s="23">
        <v>8500</v>
      </c>
      <c r="G1326" s="23">
        <v>8500</v>
      </c>
      <c r="H1326" s="23">
        <v>0</v>
      </c>
      <c r="I1326" s="23" t="s">
        <v>5</v>
      </c>
      <c r="J1326" s="23" t="s">
        <v>1844</v>
      </c>
    </row>
    <row r="1327" spans="1:10" s="20" customFormat="1" ht="12" x14ac:dyDescent="0.25">
      <c r="A1327" s="22">
        <v>1000020527</v>
      </c>
      <c r="B1327" s="23" t="s">
        <v>748</v>
      </c>
      <c r="C1327" s="24" t="s">
        <v>4</v>
      </c>
      <c r="D1327" s="23" t="s">
        <v>2090</v>
      </c>
      <c r="E1327" s="23">
        <v>1047.5999999999999</v>
      </c>
      <c r="F1327" s="23">
        <v>10</v>
      </c>
      <c r="G1327" s="23">
        <v>10</v>
      </c>
      <c r="H1327" s="23">
        <v>0</v>
      </c>
      <c r="I1327" s="23" t="s">
        <v>5</v>
      </c>
      <c r="J1327" s="23" t="s">
        <v>327</v>
      </c>
    </row>
    <row r="1328" spans="1:10" s="20" customFormat="1" ht="12" x14ac:dyDescent="0.25">
      <c r="A1328" s="22">
        <v>1000107072</v>
      </c>
      <c r="B1328" s="23" t="s">
        <v>3488</v>
      </c>
      <c r="C1328" s="24" t="s">
        <v>4</v>
      </c>
      <c r="D1328" s="23" t="s">
        <v>2056</v>
      </c>
      <c r="E1328" s="23">
        <v>1045.704</v>
      </c>
      <c r="F1328" s="23">
        <v>51</v>
      </c>
      <c r="G1328" s="23">
        <v>51</v>
      </c>
      <c r="H1328" s="23">
        <v>0</v>
      </c>
      <c r="I1328" s="23" t="s">
        <v>5</v>
      </c>
      <c r="J1328" s="23" t="s">
        <v>1844</v>
      </c>
    </row>
    <row r="1329" spans="1:10" s="20" customFormat="1" ht="12" x14ac:dyDescent="0.25">
      <c r="A1329" s="22">
        <v>1000100317</v>
      </c>
      <c r="B1329" s="23" t="s">
        <v>3489</v>
      </c>
      <c r="C1329" s="24" t="s">
        <v>4</v>
      </c>
      <c r="D1329" s="23" t="s">
        <v>2090</v>
      </c>
      <c r="E1329" s="23">
        <v>1040.4295999999999</v>
      </c>
      <c r="F1329" s="23">
        <v>1</v>
      </c>
      <c r="G1329" s="23">
        <v>1</v>
      </c>
      <c r="H1329" s="23">
        <v>0</v>
      </c>
      <c r="I1329" s="23" t="s">
        <v>5</v>
      </c>
      <c r="J1329" s="23" t="s">
        <v>327</v>
      </c>
    </row>
    <row r="1330" spans="1:10" s="20" customFormat="1" ht="12" x14ac:dyDescent="0.25">
      <c r="A1330" s="22">
        <v>1000020334</v>
      </c>
      <c r="B1330" s="23" t="s">
        <v>566</v>
      </c>
      <c r="C1330" s="24" t="s">
        <v>4</v>
      </c>
      <c r="D1330" s="23" t="s">
        <v>2090</v>
      </c>
      <c r="E1330" s="23">
        <v>1036.72</v>
      </c>
      <c r="F1330" s="23">
        <v>2</v>
      </c>
      <c r="G1330" s="23">
        <v>2</v>
      </c>
      <c r="H1330" s="23">
        <v>0</v>
      </c>
      <c r="I1330" s="23" t="s">
        <v>5</v>
      </c>
      <c r="J1330" s="23" t="s">
        <v>327</v>
      </c>
    </row>
    <row r="1331" spans="1:10" s="20" customFormat="1" ht="12" x14ac:dyDescent="0.25">
      <c r="A1331" s="22">
        <v>1000096789</v>
      </c>
      <c r="B1331" s="23" t="s">
        <v>3491</v>
      </c>
      <c r="C1331" s="24" t="s">
        <v>4</v>
      </c>
      <c r="D1331" s="23" t="s">
        <v>2090</v>
      </c>
      <c r="E1331" s="23">
        <v>1035.53</v>
      </c>
      <c r="F1331" s="23">
        <v>22</v>
      </c>
      <c r="G1331" s="23">
        <v>22</v>
      </c>
      <c r="H1331" s="23">
        <v>0</v>
      </c>
      <c r="I1331" s="23" t="s">
        <v>5</v>
      </c>
      <c r="J1331" s="23" t="s">
        <v>327</v>
      </c>
    </row>
    <row r="1332" spans="1:10" s="20" customFormat="1" ht="12" x14ac:dyDescent="0.25">
      <c r="A1332" s="22">
        <v>2500009146</v>
      </c>
      <c r="B1332" s="23" t="s">
        <v>1978</v>
      </c>
      <c r="C1332" s="24" t="s">
        <v>1996</v>
      </c>
      <c r="D1332" s="23" t="s">
        <v>2025</v>
      </c>
      <c r="E1332" s="23">
        <v>1035</v>
      </c>
      <c r="F1332" s="23">
        <v>1</v>
      </c>
      <c r="G1332" s="23">
        <v>1</v>
      </c>
      <c r="H1332" s="23">
        <v>0</v>
      </c>
      <c r="I1332" s="23" t="s">
        <v>5</v>
      </c>
      <c r="J1332" s="23" t="s">
        <v>1993</v>
      </c>
    </row>
    <row r="1333" spans="1:10" s="20" customFormat="1" ht="12" x14ac:dyDescent="0.25">
      <c r="A1333" s="22">
        <v>1000020244</v>
      </c>
      <c r="B1333" s="23" t="s">
        <v>483</v>
      </c>
      <c r="C1333" s="24" t="s">
        <v>4</v>
      </c>
      <c r="D1333" s="23" t="s">
        <v>2090</v>
      </c>
      <c r="E1333" s="23">
        <v>1034.00241386877</v>
      </c>
      <c r="F1333" s="23">
        <v>145</v>
      </c>
      <c r="G1333" s="23">
        <v>145</v>
      </c>
      <c r="H1333" s="23">
        <v>0</v>
      </c>
      <c r="I1333" s="23" t="s">
        <v>5</v>
      </c>
      <c r="J1333" s="23" t="s">
        <v>327</v>
      </c>
    </row>
    <row r="1334" spans="1:10" s="20" customFormat="1" ht="12" x14ac:dyDescent="0.25">
      <c r="A1334" s="22">
        <v>1000098708</v>
      </c>
      <c r="B1334" s="23" t="s">
        <v>1656</v>
      </c>
      <c r="C1334" s="24" t="s">
        <v>4</v>
      </c>
      <c r="D1334" s="23" t="s">
        <v>2090</v>
      </c>
      <c r="E1334" s="23">
        <v>1032.96</v>
      </c>
      <c r="F1334" s="23">
        <v>2</v>
      </c>
      <c r="G1334" s="23">
        <v>2</v>
      </c>
      <c r="H1334" s="23">
        <v>0</v>
      </c>
      <c r="I1334" s="23" t="s">
        <v>5</v>
      </c>
      <c r="J1334" s="23" t="s">
        <v>327</v>
      </c>
    </row>
    <row r="1335" spans="1:10" s="20" customFormat="1" ht="12" x14ac:dyDescent="0.25">
      <c r="A1335" s="22">
        <v>1000021154</v>
      </c>
      <c r="B1335" s="23" t="s">
        <v>1303</v>
      </c>
      <c r="C1335" s="24" t="s">
        <v>4</v>
      </c>
      <c r="D1335" s="23" t="s">
        <v>2090</v>
      </c>
      <c r="E1335" s="23">
        <v>1030.52</v>
      </c>
      <c r="F1335" s="23">
        <v>4</v>
      </c>
      <c r="G1335" s="23">
        <v>4</v>
      </c>
      <c r="H1335" s="23">
        <v>0</v>
      </c>
      <c r="I1335" s="23" t="s">
        <v>5</v>
      </c>
      <c r="J1335" s="23" t="s">
        <v>327</v>
      </c>
    </row>
    <row r="1336" spans="1:10" s="20" customFormat="1" ht="12" x14ac:dyDescent="0.25">
      <c r="A1336" s="22">
        <v>1000020964</v>
      </c>
      <c r="B1336" s="23" t="s">
        <v>1140</v>
      </c>
      <c r="C1336" s="24" t="s">
        <v>4</v>
      </c>
      <c r="D1336" s="23" t="s">
        <v>2090</v>
      </c>
      <c r="E1336" s="23">
        <v>1024.6099999999999</v>
      </c>
      <c r="F1336" s="23">
        <v>3</v>
      </c>
      <c r="G1336" s="23">
        <v>3</v>
      </c>
      <c r="H1336" s="23">
        <v>0</v>
      </c>
      <c r="I1336" s="23" t="s">
        <v>5</v>
      </c>
      <c r="J1336" s="23" t="s">
        <v>327</v>
      </c>
    </row>
    <row r="1337" spans="1:10" s="20" customFormat="1" ht="12" x14ac:dyDescent="0.25">
      <c r="A1337" s="22">
        <v>1000110799</v>
      </c>
      <c r="B1337" s="23" t="s">
        <v>3495</v>
      </c>
      <c r="C1337" s="24" t="s">
        <v>4</v>
      </c>
      <c r="D1337" s="23" t="s">
        <v>2090</v>
      </c>
      <c r="E1337" s="23">
        <v>1022.85</v>
      </c>
      <c r="F1337" s="23">
        <v>2</v>
      </c>
      <c r="G1337" s="23">
        <v>2</v>
      </c>
      <c r="H1337" s="23">
        <v>0</v>
      </c>
      <c r="I1337" s="23" t="s">
        <v>5</v>
      </c>
      <c r="J1337" s="23" t="s">
        <v>327</v>
      </c>
    </row>
    <row r="1338" spans="1:10" s="20" customFormat="1" ht="12" x14ac:dyDescent="0.25">
      <c r="A1338" s="22">
        <v>1000108814</v>
      </c>
      <c r="B1338" s="23" t="s">
        <v>3496</v>
      </c>
      <c r="C1338" s="24" t="s">
        <v>4</v>
      </c>
      <c r="D1338" s="23" t="s">
        <v>2056</v>
      </c>
      <c r="E1338" s="23">
        <v>1020.84</v>
      </c>
      <c r="F1338" s="23">
        <v>80</v>
      </c>
      <c r="G1338" s="23">
        <v>80</v>
      </c>
      <c r="H1338" s="23">
        <v>0</v>
      </c>
      <c r="I1338" s="23" t="s">
        <v>5</v>
      </c>
      <c r="J1338" s="23" t="s">
        <v>1844</v>
      </c>
    </row>
    <row r="1339" spans="1:10" s="20" customFormat="1" ht="12" x14ac:dyDescent="0.25">
      <c r="A1339" s="22">
        <v>1000102974</v>
      </c>
      <c r="B1339" s="23" t="s">
        <v>3497</v>
      </c>
      <c r="C1339" s="24" t="s">
        <v>4</v>
      </c>
      <c r="D1339" s="23" t="s">
        <v>2090</v>
      </c>
      <c r="E1339" s="23">
        <v>1020.21214285714</v>
      </c>
      <c r="F1339" s="23">
        <v>13</v>
      </c>
      <c r="G1339" s="23">
        <v>13</v>
      </c>
      <c r="H1339" s="23">
        <v>0</v>
      </c>
      <c r="I1339" s="23" t="s">
        <v>5</v>
      </c>
      <c r="J1339" s="23" t="s">
        <v>327</v>
      </c>
    </row>
    <row r="1340" spans="1:10" s="20" customFormat="1" ht="12" x14ac:dyDescent="0.25">
      <c r="A1340" s="22">
        <v>1000098637</v>
      </c>
      <c r="B1340" s="23" t="s">
        <v>1615</v>
      </c>
      <c r="C1340" s="24" t="s">
        <v>4</v>
      </c>
      <c r="D1340" s="23" t="s">
        <v>2090</v>
      </c>
      <c r="E1340" s="23">
        <v>1018.73</v>
      </c>
      <c r="F1340" s="23">
        <v>1</v>
      </c>
      <c r="G1340" s="23">
        <v>1</v>
      </c>
      <c r="H1340" s="23">
        <v>0</v>
      </c>
      <c r="I1340" s="23" t="s">
        <v>5</v>
      </c>
      <c r="J1340" s="23" t="s">
        <v>327</v>
      </c>
    </row>
    <row r="1341" spans="1:10" s="20" customFormat="1" ht="12" x14ac:dyDescent="0.25">
      <c r="A1341" s="22">
        <v>1000021106</v>
      </c>
      <c r="B1341" s="23" t="s">
        <v>1267</v>
      </c>
      <c r="C1341" s="24" t="s">
        <v>4</v>
      </c>
      <c r="D1341" s="23" t="s">
        <v>2090</v>
      </c>
      <c r="E1341" s="23">
        <v>1018.542</v>
      </c>
      <c r="F1341" s="23">
        <v>7</v>
      </c>
      <c r="G1341" s="23">
        <v>7</v>
      </c>
      <c r="H1341" s="23">
        <v>0</v>
      </c>
      <c r="I1341" s="23" t="s">
        <v>5</v>
      </c>
      <c r="J1341" s="23" t="s">
        <v>327</v>
      </c>
    </row>
    <row r="1342" spans="1:10" s="20" customFormat="1" ht="12" x14ac:dyDescent="0.25">
      <c r="A1342" s="22">
        <v>1000021189</v>
      </c>
      <c r="B1342" s="23" t="s">
        <v>1336</v>
      </c>
      <c r="C1342" s="24" t="s">
        <v>4</v>
      </c>
      <c r="D1342" s="23" t="s">
        <v>2090</v>
      </c>
      <c r="E1342" s="23">
        <v>1017.42</v>
      </c>
      <c r="F1342" s="23">
        <v>2</v>
      </c>
      <c r="G1342" s="23">
        <v>2</v>
      </c>
      <c r="H1342" s="23">
        <v>0</v>
      </c>
      <c r="I1342" s="23" t="s">
        <v>5</v>
      </c>
      <c r="J1342" s="23" t="s">
        <v>327</v>
      </c>
    </row>
    <row r="1343" spans="1:10" s="20" customFormat="1" ht="12" x14ac:dyDescent="0.25">
      <c r="A1343" s="22">
        <v>1000020437</v>
      </c>
      <c r="B1343" s="23" t="s">
        <v>664</v>
      </c>
      <c r="C1343" s="24" t="s">
        <v>4</v>
      </c>
      <c r="D1343" s="23" t="s">
        <v>2090</v>
      </c>
      <c r="E1343" s="23">
        <v>1014.09142857142</v>
      </c>
      <c r="F1343" s="23">
        <v>89</v>
      </c>
      <c r="G1343" s="23">
        <v>89</v>
      </c>
      <c r="H1343" s="23">
        <v>0</v>
      </c>
      <c r="I1343" s="23" t="s">
        <v>5</v>
      </c>
      <c r="J1343" s="23" t="s">
        <v>327</v>
      </c>
    </row>
    <row r="1344" spans="1:10" s="20" customFormat="1" ht="12" x14ac:dyDescent="0.25">
      <c r="A1344" s="22">
        <v>1000094465</v>
      </c>
      <c r="B1344" s="23" t="s">
        <v>3498</v>
      </c>
      <c r="C1344" s="24" t="s">
        <v>4</v>
      </c>
      <c r="D1344" s="23" t="s">
        <v>2161</v>
      </c>
      <c r="E1344" s="23">
        <v>1012.5</v>
      </c>
      <c r="F1344" s="23">
        <v>5</v>
      </c>
      <c r="G1344" s="23">
        <v>5</v>
      </c>
      <c r="H1344" s="23">
        <v>0</v>
      </c>
      <c r="I1344" s="23" t="s">
        <v>5</v>
      </c>
      <c r="J1344" s="23" t="s">
        <v>111</v>
      </c>
    </row>
    <row r="1345" spans="1:10" s="20" customFormat="1" ht="12" x14ac:dyDescent="0.25">
      <c r="A1345" s="22">
        <v>1000100241</v>
      </c>
      <c r="B1345" s="23" t="s">
        <v>3500</v>
      </c>
      <c r="C1345" s="24" t="s">
        <v>4</v>
      </c>
      <c r="D1345" s="23" t="s">
        <v>2090</v>
      </c>
      <c r="E1345" s="23">
        <v>1010.93684210526</v>
      </c>
      <c r="F1345" s="23">
        <v>15</v>
      </c>
      <c r="G1345" s="23">
        <v>15</v>
      </c>
      <c r="H1345" s="23">
        <v>0</v>
      </c>
      <c r="I1345" s="23" t="s">
        <v>5</v>
      </c>
      <c r="J1345" s="23" t="s">
        <v>327</v>
      </c>
    </row>
    <row r="1346" spans="1:10" s="20" customFormat="1" ht="12" x14ac:dyDescent="0.25">
      <c r="A1346" s="22">
        <v>1000021061</v>
      </c>
      <c r="B1346" s="23" t="s">
        <v>1226</v>
      </c>
      <c r="C1346" s="24" t="s">
        <v>4</v>
      </c>
      <c r="D1346" s="23" t="s">
        <v>2090</v>
      </c>
      <c r="E1346" s="23">
        <v>1010.73</v>
      </c>
      <c r="F1346" s="23">
        <v>1</v>
      </c>
      <c r="G1346" s="23">
        <v>1</v>
      </c>
      <c r="H1346" s="23">
        <v>0</v>
      </c>
      <c r="I1346" s="23" t="s">
        <v>5</v>
      </c>
      <c r="J1346" s="23" t="s">
        <v>327</v>
      </c>
    </row>
    <row r="1347" spans="1:10" s="20" customFormat="1" ht="12" x14ac:dyDescent="0.25">
      <c r="A1347" s="22">
        <v>1000098771</v>
      </c>
      <c r="B1347" s="23" t="s">
        <v>1691</v>
      </c>
      <c r="C1347" s="24" t="s">
        <v>4</v>
      </c>
      <c r="D1347" s="23" t="s">
        <v>2090</v>
      </c>
      <c r="E1347" s="23">
        <v>1010.562</v>
      </c>
      <c r="F1347" s="23">
        <v>3</v>
      </c>
      <c r="G1347" s="23">
        <v>3</v>
      </c>
      <c r="H1347" s="23">
        <v>0</v>
      </c>
      <c r="I1347" s="23" t="s">
        <v>5</v>
      </c>
      <c r="J1347" s="23" t="s">
        <v>327</v>
      </c>
    </row>
    <row r="1348" spans="1:10" s="20" customFormat="1" ht="12" x14ac:dyDescent="0.25">
      <c r="A1348" s="22">
        <v>1000021323</v>
      </c>
      <c r="B1348" s="23" t="s">
        <v>1455</v>
      </c>
      <c r="C1348" s="24" t="s">
        <v>4</v>
      </c>
      <c r="D1348" s="23" t="s">
        <v>2090</v>
      </c>
      <c r="E1348" s="23">
        <v>1009.46</v>
      </c>
      <c r="F1348" s="23">
        <v>2</v>
      </c>
      <c r="G1348" s="23">
        <v>2</v>
      </c>
      <c r="H1348" s="23">
        <v>0</v>
      </c>
      <c r="I1348" s="23" t="s">
        <v>5</v>
      </c>
      <c r="J1348" s="23" t="s">
        <v>327</v>
      </c>
    </row>
    <row r="1349" spans="1:10" s="20" customFormat="1" ht="12" x14ac:dyDescent="0.25">
      <c r="A1349" s="22">
        <v>1000096242</v>
      </c>
      <c r="B1349" s="23" t="s">
        <v>3501</v>
      </c>
      <c r="C1349" s="24" t="s">
        <v>4</v>
      </c>
      <c r="D1349" s="23" t="s">
        <v>2090</v>
      </c>
      <c r="E1349" s="23">
        <v>1008.71166666666</v>
      </c>
      <c r="F1349" s="23">
        <v>2</v>
      </c>
      <c r="G1349" s="23">
        <v>2</v>
      </c>
      <c r="H1349" s="23">
        <v>0</v>
      </c>
      <c r="I1349" s="23" t="s">
        <v>5</v>
      </c>
      <c r="J1349" s="23" t="s">
        <v>327</v>
      </c>
    </row>
    <row r="1350" spans="1:10" s="20" customFormat="1" ht="12" x14ac:dyDescent="0.25">
      <c r="A1350" s="22">
        <v>1000102090</v>
      </c>
      <c r="B1350" s="23" t="s">
        <v>1759</v>
      </c>
      <c r="C1350" s="24" t="s">
        <v>4</v>
      </c>
      <c r="D1350" s="23" t="s">
        <v>2090</v>
      </c>
      <c r="E1350" s="23">
        <v>1006.88</v>
      </c>
      <c r="F1350" s="23">
        <v>10</v>
      </c>
      <c r="G1350" s="23">
        <v>10</v>
      </c>
      <c r="H1350" s="23">
        <v>0</v>
      </c>
      <c r="I1350" s="23" t="s">
        <v>5</v>
      </c>
      <c r="J1350" s="23" t="s">
        <v>327</v>
      </c>
    </row>
    <row r="1351" spans="1:10" s="20" customFormat="1" ht="12" x14ac:dyDescent="0.25">
      <c r="A1351" s="22">
        <v>1000021006</v>
      </c>
      <c r="B1351" s="23" t="s">
        <v>1178</v>
      </c>
      <c r="C1351" s="24" t="s">
        <v>4</v>
      </c>
      <c r="D1351" s="23" t="s">
        <v>2090</v>
      </c>
      <c r="E1351" s="23">
        <v>1006.124</v>
      </c>
      <c r="F1351" s="23">
        <v>2</v>
      </c>
      <c r="G1351" s="23">
        <v>2</v>
      </c>
      <c r="H1351" s="23">
        <v>0</v>
      </c>
      <c r="I1351" s="23" t="s">
        <v>5</v>
      </c>
      <c r="J1351" s="23" t="s">
        <v>327</v>
      </c>
    </row>
    <row r="1352" spans="1:10" s="20" customFormat="1" ht="12" x14ac:dyDescent="0.25">
      <c r="A1352" s="22">
        <v>1000106066</v>
      </c>
      <c r="B1352" s="23" t="s">
        <v>3502</v>
      </c>
      <c r="C1352" s="24" t="s">
        <v>4</v>
      </c>
      <c r="D1352" s="23" t="s">
        <v>2161</v>
      </c>
      <c r="E1352" s="23">
        <v>1005.768</v>
      </c>
      <c r="F1352" s="23">
        <v>4</v>
      </c>
      <c r="G1352" s="23">
        <v>4</v>
      </c>
      <c r="H1352" s="23">
        <v>0</v>
      </c>
      <c r="I1352" s="23" t="s">
        <v>5</v>
      </c>
      <c r="J1352" s="23" t="s">
        <v>111</v>
      </c>
    </row>
    <row r="1353" spans="1:10" s="20" customFormat="1" ht="12" x14ac:dyDescent="0.25">
      <c r="A1353" s="22">
        <v>2500009103</v>
      </c>
      <c r="B1353" s="23" t="s">
        <v>3503</v>
      </c>
      <c r="C1353" s="24" t="s">
        <v>1996</v>
      </c>
      <c r="D1353" s="23" t="s">
        <v>2289</v>
      </c>
      <c r="E1353" s="23">
        <v>1005</v>
      </c>
      <c r="F1353" s="23">
        <v>2</v>
      </c>
      <c r="G1353" s="23">
        <v>2</v>
      </c>
      <c r="H1353" s="23">
        <v>0</v>
      </c>
      <c r="I1353" s="23" t="s">
        <v>5</v>
      </c>
      <c r="J1353" s="23" t="s">
        <v>1993</v>
      </c>
    </row>
    <row r="1354" spans="1:10" s="20" customFormat="1" ht="12" x14ac:dyDescent="0.25">
      <c r="A1354" s="22">
        <v>2200000297</v>
      </c>
      <c r="B1354" s="23" t="s">
        <v>3504</v>
      </c>
      <c r="C1354" s="24" t="s">
        <v>2037</v>
      </c>
      <c r="D1354" s="23" t="s">
        <v>2038</v>
      </c>
      <c r="E1354" s="23">
        <v>1003.955</v>
      </c>
      <c r="F1354" s="23">
        <v>1</v>
      </c>
      <c r="G1354" s="23">
        <v>1</v>
      </c>
      <c r="H1354" s="23">
        <v>0</v>
      </c>
      <c r="I1354" s="23" t="s">
        <v>5</v>
      </c>
      <c r="J1354" s="23" t="s">
        <v>146</v>
      </c>
    </row>
    <row r="1355" spans="1:10" s="20" customFormat="1" ht="12" x14ac:dyDescent="0.25">
      <c r="A1355" s="22">
        <v>1000106051</v>
      </c>
      <c r="B1355" s="23" t="s">
        <v>3505</v>
      </c>
      <c r="C1355" s="24" t="s">
        <v>4</v>
      </c>
      <c r="D1355" s="23" t="s">
        <v>2161</v>
      </c>
      <c r="E1355" s="23">
        <v>1002.84</v>
      </c>
      <c r="F1355" s="23">
        <v>4</v>
      </c>
      <c r="G1355" s="23">
        <v>4</v>
      </c>
      <c r="H1355" s="23">
        <v>0</v>
      </c>
      <c r="I1355" s="23" t="s">
        <v>5</v>
      </c>
      <c r="J1355" s="23" t="s">
        <v>111</v>
      </c>
    </row>
    <row r="1356" spans="1:10" s="20" customFormat="1" ht="12" x14ac:dyDescent="0.25">
      <c r="A1356" s="22">
        <v>1000104228</v>
      </c>
      <c r="B1356" s="23" t="s">
        <v>3506</v>
      </c>
      <c r="C1356" s="24" t="s">
        <v>4</v>
      </c>
      <c r="D1356" s="23" t="s">
        <v>2161</v>
      </c>
      <c r="E1356" s="23">
        <v>1002.84</v>
      </c>
      <c r="F1356" s="23">
        <v>2</v>
      </c>
      <c r="G1356" s="23">
        <v>2</v>
      </c>
      <c r="H1356" s="23">
        <v>0</v>
      </c>
      <c r="I1356" s="23" t="s">
        <v>5</v>
      </c>
      <c r="J1356" s="23" t="s">
        <v>111</v>
      </c>
    </row>
    <row r="1357" spans="1:10" s="20" customFormat="1" ht="12" x14ac:dyDescent="0.25">
      <c r="A1357" s="22">
        <v>1000103741</v>
      </c>
      <c r="B1357" s="23" t="s">
        <v>3507</v>
      </c>
      <c r="C1357" s="24" t="s">
        <v>4</v>
      </c>
      <c r="D1357" s="23" t="s">
        <v>2056</v>
      </c>
      <c r="E1357" s="23">
        <v>1002.84</v>
      </c>
      <c r="F1357" s="23">
        <v>50</v>
      </c>
      <c r="G1357" s="23">
        <v>50</v>
      </c>
      <c r="H1357" s="23">
        <v>0</v>
      </c>
      <c r="I1357" s="23" t="s">
        <v>5</v>
      </c>
      <c r="J1357" s="23" t="s">
        <v>1844</v>
      </c>
    </row>
    <row r="1358" spans="1:10" s="20" customFormat="1" ht="12" x14ac:dyDescent="0.25">
      <c r="A1358" s="22">
        <v>1000020185</v>
      </c>
      <c r="B1358" s="23" t="s">
        <v>326</v>
      </c>
      <c r="C1358" s="24" t="s">
        <v>4</v>
      </c>
      <c r="D1358" s="23" t="s">
        <v>2090</v>
      </c>
      <c r="E1358" s="23">
        <v>1001.16</v>
      </c>
      <c r="F1358" s="23">
        <v>18</v>
      </c>
      <c r="G1358" s="23">
        <v>18</v>
      </c>
      <c r="H1358" s="23">
        <v>0</v>
      </c>
      <c r="I1358" s="23" t="s">
        <v>5</v>
      </c>
      <c r="J1358" s="23" t="s">
        <v>327</v>
      </c>
    </row>
    <row r="1359" spans="1:10" s="20" customFormat="1" ht="12" x14ac:dyDescent="0.25">
      <c r="A1359" s="22">
        <v>2200000295</v>
      </c>
      <c r="B1359" s="23" t="s">
        <v>3508</v>
      </c>
      <c r="C1359" s="24" t="s">
        <v>2037</v>
      </c>
      <c r="D1359" s="23" t="s">
        <v>2038</v>
      </c>
      <c r="E1359" s="23">
        <v>1000.45</v>
      </c>
      <c r="F1359" s="23">
        <v>1</v>
      </c>
      <c r="G1359" s="23">
        <v>1</v>
      </c>
      <c r="H1359" s="23">
        <v>0</v>
      </c>
      <c r="I1359" s="23" t="s">
        <v>5</v>
      </c>
      <c r="J1359" s="23" t="s">
        <v>146</v>
      </c>
    </row>
    <row r="1360" spans="1:10" s="20" customFormat="1" ht="12" x14ac:dyDescent="0.25">
      <c r="A1360" s="22">
        <v>1000100337</v>
      </c>
      <c r="B1360" s="23" t="s">
        <v>3510</v>
      </c>
      <c r="C1360" s="24" t="s">
        <v>4</v>
      </c>
      <c r="D1360" s="23" t="s">
        <v>2090</v>
      </c>
      <c r="E1360" s="23">
        <v>999.2</v>
      </c>
      <c r="F1360" s="23">
        <v>25</v>
      </c>
      <c r="G1360" s="23">
        <v>25</v>
      </c>
      <c r="H1360" s="23">
        <v>0</v>
      </c>
      <c r="I1360" s="23" t="s">
        <v>5</v>
      </c>
      <c r="J1360" s="23" t="s">
        <v>327</v>
      </c>
    </row>
    <row r="1361" spans="1:10" s="20" customFormat="1" ht="12" x14ac:dyDescent="0.25">
      <c r="A1361" s="22">
        <v>1000020199</v>
      </c>
      <c r="B1361" s="23" t="s">
        <v>440</v>
      </c>
      <c r="C1361" s="24" t="s">
        <v>4</v>
      </c>
      <c r="D1361" s="23" t="s">
        <v>2090</v>
      </c>
      <c r="E1361" s="23">
        <v>998.4</v>
      </c>
      <c r="F1361" s="23">
        <v>4</v>
      </c>
      <c r="G1361" s="23">
        <v>4</v>
      </c>
      <c r="H1361" s="23">
        <v>0</v>
      </c>
      <c r="I1361" s="23" t="s">
        <v>5</v>
      </c>
      <c r="J1361" s="23" t="s">
        <v>327</v>
      </c>
    </row>
    <row r="1362" spans="1:10" s="20" customFormat="1" ht="12" x14ac:dyDescent="0.25">
      <c r="A1362" s="22">
        <v>1000102727</v>
      </c>
      <c r="B1362" s="23" t="s">
        <v>3512</v>
      </c>
      <c r="C1362" s="24" t="s">
        <v>4</v>
      </c>
      <c r="D1362" s="23" t="s">
        <v>2090</v>
      </c>
      <c r="E1362" s="23">
        <v>997.5</v>
      </c>
      <c r="F1362" s="23">
        <v>20</v>
      </c>
      <c r="G1362" s="23">
        <v>20</v>
      </c>
      <c r="H1362" s="23">
        <v>0</v>
      </c>
      <c r="I1362" s="23" t="s">
        <v>5</v>
      </c>
      <c r="J1362" s="23" t="s">
        <v>327</v>
      </c>
    </row>
    <row r="1363" spans="1:10" s="20" customFormat="1" ht="12" x14ac:dyDescent="0.25">
      <c r="A1363" s="22">
        <v>1000100363</v>
      </c>
      <c r="B1363" s="23" t="s">
        <v>1703</v>
      </c>
      <c r="C1363" s="24" t="s">
        <v>4</v>
      </c>
      <c r="D1363" s="23" t="s">
        <v>2218</v>
      </c>
      <c r="E1363" s="23">
        <v>996.905555555555</v>
      </c>
      <c r="F1363" s="23">
        <v>15</v>
      </c>
      <c r="G1363" s="23">
        <v>15</v>
      </c>
      <c r="H1363" s="23">
        <v>0</v>
      </c>
      <c r="I1363" s="23" t="s">
        <v>5</v>
      </c>
      <c r="J1363" s="23" t="s">
        <v>327</v>
      </c>
    </row>
    <row r="1364" spans="1:10" s="20" customFormat="1" ht="12" x14ac:dyDescent="0.25">
      <c r="A1364" s="22">
        <v>1000098971</v>
      </c>
      <c r="B1364" s="23" t="s">
        <v>3514</v>
      </c>
      <c r="C1364" s="24" t="s">
        <v>4</v>
      </c>
      <c r="D1364" s="23" t="s">
        <v>2161</v>
      </c>
      <c r="E1364" s="23">
        <v>992</v>
      </c>
      <c r="F1364" s="23">
        <v>5</v>
      </c>
      <c r="G1364" s="23">
        <v>5</v>
      </c>
      <c r="H1364" s="23">
        <v>0</v>
      </c>
      <c r="I1364" s="23" t="s">
        <v>5</v>
      </c>
      <c r="J1364" s="23" t="s">
        <v>111</v>
      </c>
    </row>
    <row r="1365" spans="1:10" s="20" customFormat="1" ht="12" x14ac:dyDescent="0.25">
      <c r="A1365" s="22">
        <v>1000098707</v>
      </c>
      <c r="B1365" s="23" t="s">
        <v>1655</v>
      </c>
      <c r="C1365" s="24" t="s">
        <v>4</v>
      </c>
      <c r="D1365" s="23" t="s">
        <v>2090</v>
      </c>
      <c r="E1365" s="23">
        <v>988.46333333333303</v>
      </c>
      <c r="F1365" s="23">
        <v>1</v>
      </c>
      <c r="G1365" s="23">
        <v>1</v>
      </c>
      <c r="H1365" s="23">
        <v>0</v>
      </c>
      <c r="I1365" s="23" t="s">
        <v>5</v>
      </c>
      <c r="J1365" s="23" t="s">
        <v>327</v>
      </c>
    </row>
    <row r="1366" spans="1:10" s="20" customFormat="1" ht="12" x14ac:dyDescent="0.25">
      <c r="A1366" s="22">
        <v>1000098673</v>
      </c>
      <c r="B1366" s="23" t="s">
        <v>1633</v>
      </c>
      <c r="C1366" s="24" t="s">
        <v>4</v>
      </c>
      <c r="D1366" s="23" t="s">
        <v>2090</v>
      </c>
      <c r="E1366" s="23">
        <v>985.77</v>
      </c>
      <c r="F1366" s="23">
        <v>10</v>
      </c>
      <c r="G1366" s="23">
        <v>10</v>
      </c>
      <c r="H1366" s="23">
        <v>0</v>
      </c>
      <c r="I1366" s="23" t="s">
        <v>5</v>
      </c>
      <c r="J1366" s="23" t="s">
        <v>327</v>
      </c>
    </row>
    <row r="1367" spans="1:10" s="20" customFormat="1" ht="12" x14ac:dyDescent="0.25">
      <c r="A1367" s="22">
        <v>1000101869</v>
      </c>
      <c r="B1367" s="23" t="s">
        <v>1755</v>
      </c>
      <c r="C1367" s="24" t="s">
        <v>4</v>
      </c>
      <c r="D1367" s="23" t="s">
        <v>2090</v>
      </c>
      <c r="E1367" s="23">
        <v>985.03636684303297</v>
      </c>
      <c r="F1367" s="23">
        <v>26</v>
      </c>
      <c r="G1367" s="23">
        <v>26</v>
      </c>
      <c r="H1367" s="23">
        <v>0</v>
      </c>
      <c r="I1367" s="23" t="s">
        <v>5</v>
      </c>
      <c r="J1367" s="23" t="s">
        <v>327</v>
      </c>
    </row>
    <row r="1368" spans="1:10" s="20" customFormat="1" ht="12" x14ac:dyDescent="0.25">
      <c r="A1368" s="22">
        <v>1000021111</v>
      </c>
      <c r="B1368" s="23" t="s">
        <v>1272</v>
      </c>
      <c r="C1368" s="24" t="s">
        <v>4</v>
      </c>
      <c r="D1368" s="23" t="s">
        <v>2090</v>
      </c>
      <c r="E1368" s="23">
        <v>984.19</v>
      </c>
      <c r="F1368" s="23">
        <v>5</v>
      </c>
      <c r="G1368" s="23">
        <v>5</v>
      </c>
      <c r="H1368" s="23">
        <v>0</v>
      </c>
      <c r="I1368" s="23" t="s">
        <v>5</v>
      </c>
      <c r="J1368" s="23" t="s">
        <v>327</v>
      </c>
    </row>
    <row r="1369" spans="1:10" s="20" customFormat="1" ht="12" x14ac:dyDescent="0.25">
      <c r="A1369" s="22">
        <v>1000095833</v>
      </c>
      <c r="B1369" s="23" t="s">
        <v>3519</v>
      </c>
      <c r="C1369" s="24" t="s">
        <v>4</v>
      </c>
      <c r="D1369" s="23" t="s">
        <v>2056</v>
      </c>
      <c r="E1369" s="23">
        <v>983.03647058823503</v>
      </c>
      <c r="F1369" s="23">
        <v>9</v>
      </c>
      <c r="G1369" s="23">
        <v>9</v>
      </c>
      <c r="H1369" s="23">
        <v>0</v>
      </c>
      <c r="I1369" s="23" t="s">
        <v>5</v>
      </c>
      <c r="J1369" s="23" t="s">
        <v>1844</v>
      </c>
    </row>
    <row r="1370" spans="1:10" s="20" customFormat="1" ht="12" x14ac:dyDescent="0.25">
      <c r="A1370" s="22">
        <v>1000095267</v>
      </c>
      <c r="B1370" s="23" t="s">
        <v>1500</v>
      </c>
      <c r="C1370" s="24" t="s">
        <v>4</v>
      </c>
      <c r="D1370" s="23" t="s">
        <v>2090</v>
      </c>
      <c r="E1370" s="23">
        <v>982.92</v>
      </c>
      <c r="F1370" s="23">
        <v>2</v>
      </c>
      <c r="G1370" s="23">
        <v>2</v>
      </c>
      <c r="H1370" s="23">
        <v>0</v>
      </c>
      <c r="I1370" s="23" t="s">
        <v>5</v>
      </c>
      <c r="J1370" s="23" t="s">
        <v>327</v>
      </c>
    </row>
    <row r="1371" spans="1:10" s="20" customFormat="1" ht="12" x14ac:dyDescent="0.25">
      <c r="A1371" s="22">
        <v>1000021074</v>
      </c>
      <c r="B1371" s="23" t="s">
        <v>1236</v>
      </c>
      <c r="C1371" s="24" t="s">
        <v>4</v>
      </c>
      <c r="D1371" s="23" t="s">
        <v>2090</v>
      </c>
      <c r="E1371" s="23">
        <v>979.77</v>
      </c>
      <c r="F1371" s="23">
        <v>3</v>
      </c>
      <c r="G1371" s="23">
        <v>3</v>
      </c>
      <c r="H1371" s="23">
        <v>0</v>
      </c>
      <c r="I1371" s="23" t="s">
        <v>5</v>
      </c>
      <c r="J1371" s="23" t="s">
        <v>327</v>
      </c>
    </row>
    <row r="1372" spans="1:10" s="20" customFormat="1" ht="12" x14ac:dyDescent="0.25">
      <c r="A1372" s="22">
        <v>1000021241</v>
      </c>
      <c r="B1372" s="23" t="s">
        <v>1386</v>
      </c>
      <c r="C1372" s="24" t="s">
        <v>2205</v>
      </c>
      <c r="D1372" s="23" t="s">
        <v>2090</v>
      </c>
      <c r="E1372" s="23">
        <v>979.02</v>
      </c>
      <c r="F1372" s="23">
        <v>3</v>
      </c>
      <c r="G1372" s="23">
        <v>3</v>
      </c>
      <c r="H1372" s="23">
        <v>0</v>
      </c>
      <c r="I1372" s="23" t="s">
        <v>5</v>
      </c>
      <c r="J1372" s="23" t="s">
        <v>327</v>
      </c>
    </row>
    <row r="1373" spans="1:10" s="20" customFormat="1" ht="12" x14ac:dyDescent="0.25">
      <c r="A1373" s="22">
        <v>1000100428</v>
      </c>
      <c r="B1373" s="23" t="s">
        <v>1739</v>
      </c>
      <c r="C1373" s="24" t="s">
        <v>4</v>
      </c>
      <c r="D1373" s="23" t="s">
        <v>2090</v>
      </c>
      <c r="E1373" s="23">
        <v>978.6</v>
      </c>
      <c r="F1373" s="23">
        <v>2</v>
      </c>
      <c r="G1373" s="23">
        <v>2</v>
      </c>
      <c r="H1373" s="23">
        <v>0</v>
      </c>
      <c r="I1373" s="23" t="s">
        <v>5</v>
      </c>
      <c r="J1373" s="23" t="s">
        <v>327</v>
      </c>
    </row>
    <row r="1374" spans="1:10" s="20" customFormat="1" ht="12" x14ac:dyDescent="0.25">
      <c r="A1374" s="22">
        <v>1000097884</v>
      </c>
      <c r="B1374" s="23" t="s">
        <v>3521</v>
      </c>
      <c r="C1374" s="24" t="s">
        <v>4</v>
      </c>
      <c r="D1374" s="23" t="s">
        <v>2056</v>
      </c>
      <c r="E1374" s="23">
        <v>977.55</v>
      </c>
      <c r="F1374" s="23">
        <v>1</v>
      </c>
      <c r="G1374" s="23">
        <v>1</v>
      </c>
      <c r="H1374" s="23">
        <v>0</v>
      </c>
      <c r="I1374" s="23" t="s">
        <v>5</v>
      </c>
      <c r="J1374" s="23" t="s">
        <v>1844</v>
      </c>
    </row>
    <row r="1375" spans="1:10" s="20" customFormat="1" ht="12" x14ac:dyDescent="0.25">
      <c r="A1375" s="22">
        <v>1000020932</v>
      </c>
      <c r="B1375" s="23" t="s">
        <v>1111</v>
      </c>
      <c r="C1375" s="24" t="s">
        <v>4</v>
      </c>
      <c r="D1375" s="23" t="s">
        <v>2090</v>
      </c>
      <c r="E1375" s="23">
        <v>977.04600000000005</v>
      </c>
      <c r="F1375" s="23">
        <v>6</v>
      </c>
      <c r="G1375" s="23">
        <v>6</v>
      </c>
      <c r="H1375" s="23">
        <v>0</v>
      </c>
      <c r="I1375" s="23" t="s">
        <v>5</v>
      </c>
      <c r="J1375" s="23" t="s">
        <v>327</v>
      </c>
    </row>
    <row r="1376" spans="1:10" s="20" customFormat="1" ht="12" x14ac:dyDescent="0.25">
      <c r="A1376" s="22">
        <v>1000020621</v>
      </c>
      <c r="B1376" s="23" t="s">
        <v>837</v>
      </c>
      <c r="C1376" s="24" t="s">
        <v>4</v>
      </c>
      <c r="D1376" s="23" t="s">
        <v>2090</v>
      </c>
      <c r="E1376" s="23">
        <v>975.92</v>
      </c>
      <c r="F1376" s="23">
        <v>88</v>
      </c>
      <c r="G1376" s="23">
        <v>88</v>
      </c>
      <c r="H1376" s="23">
        <v>0</v>
      </c>
      <c r="I1376" s="23" t="s">
        <v>5</v>
      </c>
      <c r="J1376" s="23" t="s">
        <v>327</v>
      </c>
    </row>
    <row r="1377" spans="1:10" s="20" customFormat="1" ht="12" x14ac:dyDescent="0.25">
      <c r="A1377" s="22">
        <v>1000098645</v>
      </c>
      <c r="B1377" s="23" t="s">
        <v>1622</v>
      </c>
      <c r="C1377" s="24" t="s">
        <v>4</v>
      </c>
      <c r="D1377" s="23" t="s">
        <v>2090</v>
      </c>
      <c r="E1377" s="23">
        <v>972.28</v>
      </c>
      <c r="F1377" s="23">
        <v>5</v>
      </c>
      <c r="G1377" s="23">
        <v>5</v>
      </c>
      <c r="H1377" s="23">
        <v>0</v>
      </c>
      <c r="I1377" s="23" t="s">
        <v>5</v>
      </c>
      <c r="J1377" s="23" t="s">
        <v>327</v>
      </c>
    </row>
    <row r="1378" spans="1:10" s="20" customFormat="1" ht="12" x14ac:dyDescent="0.25">
      <c r="A1378" s="22">
        <v>1000111009</v>
      </c>
      <c r="B1378" s="23" t="s">
        <v>3524</v>
      </c>
      <c r="C1378" s="24" t="s">
        <v>4</v>
      </c>
      <c r="D1378" s="23" t="s">
        <v>2090</v>
      </c>
      <c r="E1378" s="23">
        <v>967.65</v>
      </c>
      <c r="F1378" s="23">
        <v>1</v>
      </c>
      <c r="G1378" s="23">
        <v>0</v>
      </c>
      <c r="H1378" s="23">
        <v>1</v>
      </c>
      <c r="I1378" s="23" t="s">
        <v>71</v>
      </c>
      <c r="J1378" s="23" t="s">
        <v>327</v>
      </c>
    </row>
    <row r="1379" spans="1:10" s="20" customFormat="1" ht="12" x14ac:dyDescent="0.25">
      <c r="A1379" s="22">
        <v>1000098758</v>
      </c>
      <c r="B1379" s="23" t="s">
        <v>1688</v>
      </c>
      <c r="C1379" s="24" t="s">
        <v>4</v>
      </c>
      <c r="D1379" s="23" t="s">
        <v>2090</v>
      </c>
      <c r="E1379" s="23">
        <v>966.51056249999999</v>
      </c>
      <c r="F1379" s="23">
        <v>14</v>
      </c>
      <c r="G1379" s="23">
        <v>14</v>
      </c>
      <c r="H1379" s="23">
        <v>0</v>
      </c>
      <c r="I1379" s="23" t="s">
        <v>5</v>
      </c>
      <c r="J1379" s="23" t="s">
        <v>327</v>
      </c>
    </row>
    <row r="1380" spans="1:10" s="20" customFormat="1" ht="12" x14ac:dyDescent="0.25">
      <c r="A1380" s="22">
        <v>1000010067</v>
      </c>
      <c r="B1380" s="23" t="s">
        <v>3526</v>
      </c>
      <c r="C1380" s="24" t="s">
        <v>4</v>
      </c>
      <c r="D1380" s="23" t="s">
        <v>2161</v>
      </c>
      <c r="E1380" s="23">
        <v>966.36268749999999</v>
      </c>
      <c r="F1380" s="23">
        <v>21</v>
      </c>
      <c r="G1380" s="23">
        <v>21</v>
      </c>
      <c r="H1380" s="23">
        <v>0</v>
      </c>
      <c r="I1380" s="23" t="s">
        <v>5</v>
      </c>
      <c r="J1380" s="23" t="s">
        <v>111</v>
      </c>
    </row>
    <row r="1381" spans="1:10" s="20" customFormat="1" ht="12" x14ac:dyDescent="0.25">
      <c r="A1381" s="22">
        <v>1000093787</v>
      </c>
      <c r="B1381" s="23" t="s">
        <v>3528</v>
      </c>
      <c r="C1381" s="24" t="s">
        <v>4</v>
      </c>
      <c r="D1381" s="23" t="s">
        <v>2218</v>
      </c>
      <c r="E1381" s="23">
        <v>965.53471741365502</v>
      </c>
      <c r="F1381" s="23">
        <v>281</v>
      </c>
      <c r="G1381" s="23">
        <v>281</v>
      </c>
      <c r="H1381" s="23">
        <v>0</v>
      </c>
      <c r="I1381" s="23" t="s">
        <v>5</v>
      </c>
      <c r="J1381" s="23" t="s">
        <v>327</v>
      </c>
    </row>
    <row r="1382" spans="1:10" s="20" customFormat="1" ht="12" x14ac:dyDescent="0.25">
      <c r="A1382" s="22">
        <v>1000020028</v>
      </c>
      <c r="B1382" s="23" t="s">
        <v>3529</v>
      </c>
      <c r="C1382" s="24" t="s">
        <v>4</v>
      </c>
      <c r="D1382" s="23" t="s">
        <v>2090</v>
      </c>
      <c r="E1382" s="23">
        <v>963.82322994652395</v>
      </c>
      <c r="F1382" s="23">
        <v>32</v>
      </c>
      <c r="G1382" s="23">
        <v>32</v>
      </c>
      <c r="H1382" s="23">
        <v>0</v>
      </c>
      <c r="I1382" s="23" t="s">
        <v>5</v>
      </c>
      <c r="J1382" s="23" t="s">
        <v>327</v>
      </c>
    </row>
    <row r="1383" spans="1:10" s="20" customFormat="1" ht="12" x14ac:dyDescent="0.25">
      <c r="A1383" s="22">
        <v>2500008069</v>
      </c>
      <c r="B1383" s="23" t="s">
        <v>3530</v>
      </c>
      <c r="C1383" s="24" t="s">
        <v>1996</v>
      </c>
      <c r="D1383" s="23" t="s">
        <v>2025</v>
      </c>
      <c r="E1383" s="23">
        <v>963.57142857142799</v>
      </c>
      <c r="F1383" s="23">
        <v>1</v>
      </c>
      <c r="G1383" s="23">
        <v>1</v>
      </c>
      <c r="H1383" s="23">
        <v>0</v>
      </c>
      <c r="I1383" s="23" t="s">
        <v>5</v>
      </c>
      <c r="J1383" s="23" t="s">
        <v>1993</v>
      </c>
    </row>
    <row r="1384" spans="1:10" s="20" customFormat="1" ht="12" x14ac:dyDescent="0.25">
      <c r="A1384" s="22">
        <v>1000020410</v>
      </c>
      <c r="B1384" s="23" t="s">
        <v>640</v>
      </c>
      <c r="C1384" s="24" t="s">
        <v>4</v>
      </c>
      <c r="D1384" s="23" t="s">
        <v>2090</v>
      </c>
      <c r="E1384" s="23">
        <v>961.11342326486294</v>
      </c>
      <c r="F1384" s="23">
        <v>170</v>
      </c>
      <c r="G1384" s="23">
        <v>170</v>
      </c>
      <c r="H1384" s="23">
        <v>0</v>
      </c>
      <c r="I1384" s="23" t="s">
        <v>5</v>
      </c>
      <c r="J1384" s="23" t="s">
        <v>327</v>
      </c>
    </row>
    <row r="1385" spans="1:10" s="20" customFormat="1" ht="12" x14ac:dyDescent="0.25">
      <c r="A1385" s="22">
        <v>2500005900</v>
      </c>
      <c r="B1385" s="23" t="s">
        <v>3531</v>
      </c>
      <c r="C1385" s="24" t="s">
        <v>1996</v>
      </c>
      <c r="D1385" s="23" t="s">
        <v>2025</v>
      </c>
      <c r="E1385" s="23">
        <v>961.05633802816897</v>
      </c>
      <c r="F1385" s="23">
        <v>4</v>
      </c>
      <c r="G1385" s="23">
        <v>4</v>
      </c>
      <c r="H1385" s="23">
        <v>0</v>
      </c>
      <c r="I1385" s="23" t="s">
        <v>5</v>
      </c>
      <c r="J1385" s="23" t="s">
        <v>1993</v>
      </c>
    </row>
    <row r="1386" spans="1:10" s="20" customFormat="1" ht="12" x14ac:dyDescent="0.25">
      <c r="A1386" s="22">
        <v>1000020922</v>
      </c>
      <c r="B1386" s="23" t="s">
        <v>1102</v>
      </c>
      <c r="C1386" s="24" t="s">
        <v>4</v>
      </c>
      <c r="D1386" s="23" t="s">
        <v>2090</v>
      </c>
      <c r="E1386" s="23">
        <v>960.4</v>
      </c>
      <c r="F1386" s="23">
        <v>4</v>
      </c>
      <c r="G1386" s="23">
        <v>4</v>
      </c>
      <c r="H1386" s="23">
        <v>0</v>
      </c>
      <c r="I1386" s="23" t="s">
        <v>5</v>
      </c>
      <c r="J1386" s="23" t="s">
        <v>327</v>
      </c>
    </row>
    <row r="1387" spans="1:10" s="20" customFormat="1" ht="12" x14ac:dyDescent="0.25">
      <c r="A1387" s="22">
        <v>1000020813</v>
      </c>
      <c r="B1387" s="23" t="s">
        <v>1015</v>
      </c>
      <c r="C1387" s="24" t="s">
        <v>4</v>
      </c>
      <c r="D1387" s="23" t="s">
        <v>2090</v>
      </c>
      <c r="E1387" s="23">
        <v>958.56</v>
      </c>
      <c r="F1387" s="23">
        <v>4</v>
      </c>
      <c r="G1387" s="23">
        <v>4</v>
      </c>
      <c r="H1387" s="23">
        <v>0</v>
      </c>
      <c r="I1387" s="23" t="s">
        <v>5</v>
      </c>
      <c r="J1387" s="23" t="s">
        <v>327</v>
      </c>
    </row>
    <row r="1388" spans="1:10" s="20" customFormat="1" ht="12" x14ac:dyDescent="0.25">
      <c r="A1388" s="22">
        <v>1000021102</v>
      </c>
      <c r="B1388" s="23" t="s">
        <v>1263</v>
      </c>
      <c r="C1388" s="24" t="s">
        <v>4</v>
      </c>
      <c r="D1388" s="23" t="s">
        <v>2090</v>
      </c>
      <c r="E1388" s="23">
        <v>957.5625</v>
      </c>
      <c r="F1388" s="23">
        <v>5</v>
      </c>
      <c r="G1388" s="23">
        <v>5</v>
      </c>
      <c r="H1388" s="23">
        <v>0</v>
      </c>
      <c r="I1388" s="23" t="s">
        <v>5</v>
      </c>
      <c r="J1388" s="23" t="s">
        <v>327</v>
      </c>
    </row>
    <row r="1389" spans="1:10" s="20" customFormat="1" ht="12" x14ac:dyDescent="0.25">
      <c r="A1389" s="22">
        <v>1000020324</v>
      </c>
      <c r="B1389" s="23" t="s">
        <v>558</v>
      </c>
      <c r="C1389" s="24" t="s">
        <v>4</v>
      </c>
      <c r="D1389" s="23" t="s">
        <v>2090</v>
      </c>
      <c r="E1389" s="23">
        <v>957.16</v>
      </c>
      <c r="F1389" s="23">
        <v>4</v>
      </c>
      <c r="G1389" s="23">
        <v>4</v>
      </c>
      <c r="H1389" s="23">
        <v>0</v>
      </c>
      <c r="I1389" s="23" t="s">
        <v>5</v>
      </c>
      <c r="J1389" s="23" t="s">
        <v>327</v>
      </c>
    </row>
    <row r="1390" spans="1:10" s="20" customFormat="1" ht="12" x14ac:dyDescent="0.25">
      <c r="A1390" s="22">
        <v>1000100327</v>
      </c>
      <c r="B1390" s="23" t="s">
        <v>3534</v>
      </c>
      <c r="C1390" s="24" t="s">
        <v>4</v>
      </c>
      <c r="D1390" s="23" t="s">
        <v>2090</v>
      </c>
      <c r="E1390" s="23">
        <v>957</v>
      </c>
      <c r="F1390" s="23">
        <v>110</v>
      </c>
      <c r="G1390" s="23">
        <v>110</v>
      </c>
      <c r="H1390" s="23">
        <v>0</v>
      </c>
      <c r="I1390" s="23" t="s">
        <v>5</v>
      </c>
      <c r="J1390" s="23" t="s">
        <v>327</v>
      </c>
    </row>
    <row r="1391" spans="1:10" s="20" customFormat="1" ht="12" x14ac:dyDescent="0.25">
      <c r="A1391" s="22">
        <v>1000098546</v>
      </c>
      <c r="B1391" s="23" t="s">
        <v>1577</v>
      </c>
      <c r="C1391" s="24" t="s">
        <v>4</v>
      </c>
      <c r="D1391" s="23" t="s">
        <v>2090</v>
      </c>
      <c r="E1391" s="23">
        <v>955.51</v>
      </c>
      <c r="F1391" s="23">
        <v>3</v>
      </c>
      <c r="G1391" s="23">
        <v>3</v>
      </c>
      <c r="H1391" s="23">
        <v>0</v>
      </c>
      <c r="I1391" s="23" t="s">
        <v>5</v>
      </c>
      <c r="J1391" s="23" t="s">
        <v>327</v>
      </c>
    </row>
    <row r="1392" spans="1:10" s="20" customFormat="1" ht="12" x14ac:dyDescent="0.25">
      <c r="A1392" s="22">
        <v>1000010229</v>
      </c>
      <c r="B1392" s="23" t="s">
        <v>3535</v>
      </c>
      <c r="C1392" s="24" t="s">
        <v>4</v>
      </c>
      <c r="D1392" s="23" t="s">
        <v>2161</v>
      </c>
      <c r="E1392" s="23">
        <v>955.12800000000004</v>
      </c>
      <c r="F1392" s="23">
        <v>3</v>
      </c>
      <c r="G1392" s="23">
        <v>3</v>
      </c>
      <c r="H1392" s="23">
        <v>0</v>
      </c>
      <c r="I1392" s="23" t="s">
        <v>5</v>
      </c>
      <c r="J1392" s="23" t="s">
        <v>111</v>
      </c>
    </row>
    <row r="1393" spans="1:10" s="20" customFormat="1" ht="12" x14ac:dyDescent="0.25">
      <c r="A1393" s="22">
        <v>1000020910</v>
      </c>
      <c r="B1393" s="23" t="s">
        <v>1090</v>
      </c>
      <c r="C1393" s="24" t="s">
        <v>4</v>
      </c>
      <c r="D1393" s="23" t="s">
        <v>2090</v>
      </c>
      <c r="E1393" s="23">
        <v>954.84</v>
      </c>
      <c r="F1393" s="23">
        <v>2</v>
      </c>
      <c r="G1393" s="23">
        <v>2</v>
      </c>
      <c r="H1393" s="23">
        <v>0</v>
      </c>
      <c r="I1393" s="23" t="s">
        <v>5</v>
      </c>
      <c r="J1393" s="23" t="s">
        <v>327</v>
      </c>
    </row>
    <row r="1394" spans="1:10" s="20" customFormat="1" ht="12" x14ac:dyDescent="0.25">
      <c r="A1394" s="22">
        <v>1000099333</v>
      </c>
      <c r="B1394" s="23" t="s">
        <v>3536</v>
      </c>
      <c r="C1394" s="24" t="s">
        <v>4</v>
      </c>
      <c r="D1394" s="23" t="s">
        <v>2161</v>
      </c>
      <c r="E1394" s="23">
        <v>952.88</v>
      </c>
      <c r="F1394" s="23">
        <v>3</v>
      </c>
      <c r="G1394" s="23">
        <v>3</v>
      </c>
      <c r="H1394" s="23">
        <v>0</v>
      </c>
      <c r="I1394" s="23" t="s">
        <v>5</v>
      </c>
      <c r="J1394" s="23" t="s">
        <v>111</v>
      </c>
    </row>
    <row r="1395" spans="1:10" s="20" customFormat="1" ht="12" x14ac:dyDescent="0.25">
      <c r="A1395" s="22">
        <v>1000020016</v>
      </c>
      <c r="B1395" s="23" t="s">
        <v>3537</v>
      </c>
      <c r="C1395" s="24" t="s">
        <v>4</v>
      </c>
      <c r="D1395" s="23" t="s">
        <v>2090</v>
      </c>
      <c r="E1395" s="23">
        <v>952.875</v>
      </c>
      <c r="F1395" s="23">
        <v>3</v>
      </c>
      <c r="G1395" s="23">
        <v>3</v>
      </c>
      <c r="H1395" s="23">
        <v>0</v>
      </c>
      <c r="I1395" s="23" t="s">
        <v>5</v>
      </c>
      <c r="J1395" s="23" t="s">
        <v>327</v>
      </c>
    </row>
    <row r="1396" spans="1:10" s="20" customFormat="1" ht="12" x14ac:dyDescent="0.25">
      <c r="A1396" s="22">
        <v>1000020623</v>
      </c>
      <c r="B1396" s="23" t="s">
        <v>838</v>
      </c>
      <c r="C1396" s="24" t="s">
        <v>4</v>
      </c>
      <c r="D1396" s="23" t="s">
        <v>2090</v>
      </c>
      <c r="E1396" s="23">
        <v>952.54</v>
      </c>
      <c r="F1396" s="23">
        <v>97</v>
      </c>
      <c r="G1396" s="23">
        <v>97</v>
      </c>
      <c r="H1396" s="23">
        <v>0</v>
      </c>
      <c r="I1396" s="23" t="s">
        <v>5</v>
      </c>
      <c r="J1396" s="23" t="s">
        <v>327</v>
      </c>
    </row>
    <row r="1397" spans="1:10" s="20" customFormat="1" ht="12" x14ac:dyDescent="0.25">
      <c r="A1397" s="22">
        <v>1000097433</v>
      </c>
      <c r="B1397" s="23" t="s">
        <v>3538</v>
      </c>
      <c r="C1397" s="24" t="s">
        <v>4</v>
      </c>
      <c r="D1397" s="23" t="s">
        <v>2090</v>
      </c>
      <c r="E1397" s="23">
        <v>951.98</v>
      </c>
      <c r="F1397" s="23">
        <v>2</v>
      </c>
      <c r="G1397" s="23">
        <v>2</v>
      </c>
      <c r="H1397" s="23">
        <v>0</v>
      </c>
      <c r="I1397" s="23" t="s">
        <v>5</v>
      </c>
      <c r="J1397" s="23" t="s">
        <v>327</v>
      </c>
    </row>
    <row r="1398" spans="1:10" s="20" customFormat="1" ht="12" x14ac:dyDescent="0.25">
      <c r="A1398" s="22">
        <v>1000020966</v>
      </c>
      <c r="B1398" s="23" t="s">
        <v>1142</v>
      </c>
      <c r="C1398" s="24" t="s">
        <v>4</v>
      </c>
      <c r="D1398" s="23" t="s">
        <v>2090</v>
      </c>
      <c r="E1398" s="23">
        <v>951.04</v>
      </c>
      <c r="F1398" s="23">
        <v>2</v>
      </c>
      <c r="G1398" s="23">
        <v>2</v>
      </c>
      <c r="H1398" s="23">
        <v>0</v>
      </c>
      <c r="I1398" s="23" t="s">
        <v>5</v>
      </c>
      <c r="J1398" s="23" t="s">
        <v>327</v>
      </c>
    </row>
    <row r="1399" spans="1:10" s="20" customFormat="1" ht="12" x14ac:dyDescent="0.25">
      <c r="A1399" s="22">
        <v>1000020468</v>
      </c>
      <c r="B1399" s="23" t="s">
        <v>694</v>
      </c>
      <c r="C1399" s="24" t="s">
        <v>4</v>
      </c>
      <c r="D1399" s="23" t="s">
        <v>2090</v>
      </c>
      <c r="E1399" s="23">
        <v>947.75</v>
      </c>
      <c r="F1399" s="23">
        <v>25</v>
      </c>
      <c r="G1399" s="23">
        <v>25</v>
      </c>
      <c r="H1399" s="23">
        <v>0</v>
      </c>
      <c r="I1399" s="23" t="s">
        <v>5</v>
      </c>
      <c r="J1399" s="23" t="s">
        <v>327</v>
      </c>
    </row>
    <row r="1400" spans="1:10" s="20" customFormat="1" ht="12" x14ac:dyDescent="0.25">
      <c r="A1400" s="22">
        <v>1000102281</v>
      </c>
      <c r="B1400" s="23" t="s">
        <v>3539</v>
      </c>
      <c r="C1400" s="24" t="s">
        <v>4</v>
      </c>
      <c r="D1400" s="23" t="s">
        <v>2090</v>
      </c>
      <c r="E1400" s="23">
        <v>942.75</v>
      </c>
      <c r="F1400" s="23">
        <v>10</v>
      </c>
      <c r="G1400" s="23">
        <v>10</v>
      </c>
      <c r="H1400" s="23">
        <v>0</v>
      </c>
      <c r="I1400" s="23" t="s">
        <v>5</v>
      </c>
      <c r="J1400" s="23" t="s">
        <v>327</v>
      </c>
    </row>
    <row r="1401" spans="1:10" s="20" customFormat="1" ht="12" x14ac:dyDescent="0.25">
      <c r="A1401" s="22">
        <v>1000021200</v>
      </c>
      <c r="B1401" s="23" t="s">
        <v>1346</v>
      </c>
      <c r="C1401" s="24" t="s">
        <v>4</v>
      </c>
      <c r="D1401" s="23" t="s">
        <v>2090</v>
      </c>
      <c r="E1401" s="23">
        <v>941.49</v>
      </c>
      <c r="F1401" s="23">
        <v>9</v>
      </c>
      <c r="G1401" s="23">
        <v>9</v>
      </c>
      <c r="H1401" s="23">
        <v>0</v>
      </c>
      <c r="I1401" s="23" t="s">
        <v>5</v>
      </c>
      <c r="J1401" s="23" t="s">
        <v>327</v>
      </c>
    </row>
    <row r="1402" spans="1:10" s="20" customFormat="1" ht="12" x14ac:dyDescent="0.25">
      <c r="A1402" s="22">
        <v>1000010110</v>
      </c>
      <c r="B1402" s="23" t="s">
        <v>3540</v>
      </c>
      <c r="C1402" s="24" t="s">
        <v>4</v>
      </c>
      <c r="D1402" s="23" t="s">
        <v>2161</v>
      </c>
      <c r="E1402" s="23">
        <v>941</v>
      </c>
      <c r="F1402" s="23">
        <v>10</v>
      </c>
      <c r="G1402" s="23">
        <v>10</v>
      </c>
      <c r="H1402" s="23">
        <v>0</v>
      </c>
      <c r="I1402" s="23" t="s">
        <v>5</v>
      </c>
      <c r="J1402" s="23" t="s">
        <v>111</v>
      </c>
    </row>
    <row r="1403" spans="1:10" s="20" customFormat="1" ht="12" x14ac:dyDescent="0.25">
      <c r="A1403" s="22">
        <v>1000102785</v>
      </c>
      <c r="B1403" s="23" t="s">
        <v>1859</v>
      </c>
      <c r="C1403" s="24" t="s">
        <v>4</v>
      </c>
      <c r="D1403" s="23" t="s">
        <v>2056</v>
      </c>
      <c r="E1403" s="23">
        <v>939.918562224482</v>
      </c>
      <c r="F1403" s="23">
        <v>173</v>
      </c>
      <c r="G1403" s="23">
        <v>173</v>
      </c>
      <c r="H1403" s="23">
        <v>0</v>
      </c>
      <c r="I1403" s="23" t="s">
        <v>5</v>
      </c>
      <c r="J1403" s="23" t="s">
        <v>1844</v>
      </c>
    </row>
    <row r="1404" spans="1:10" s="20" customFormat="1" ht="12" x14ac:dyDescent="0.25">
      <c r="A1404" s="22">
        <v>1000021295</v>
      </c>
      <c r="B1404" s="23" t="s">
        <v>1430</v>
      </c>
      <c r="C1404" s="24" t="s">
        <v>4</v>
      </c>
      <c r="D1404" s="23" t="s">
        <v>2090</v>
      </c>
      <c r="E1404" s="23">
        <v>939.84</v>
      </c>
      <c r="F1404" s="23">
        <v>2</v>
      </c>
      <c r="G1404" s="23">
        <v>2</v>
      </c>
      <c r="H1404" s="23">
        <v>0</v>
      </c>
      <c r="I1404" s="23" t="s">
        <v>5</v>
      </c>
      <c r="J1404" s="23" t="s">
        <v>327</v>
      </c>
    </row>
    <row r="1405" spans="1:10" s="20" customFormat="1" ht="12" x14ac:dyDescent="0.25">
      <c r="A1405" s="22">
        <v>2500008662</v>
      </c>
      <c r="B1405" s="23" t="s">
        <v>3541</v>
      </c>
      <c r="C1405" s="24" t="s">
        <v>1996</v>
      </c>
      <c r="D1405" s="23" t="s">
        <v>2025</v>
      </c>
      <c r="E1405" s="23">
        <v>938.08333333333303</v>
      </c>
      <c r="F1405" s="23">
        <v>4</v>
      </c>
      <c r="G1405" s="23">
        <v>4</v>
      </c>
      <c r="H1405" s="23">
        <v>0</v>
      </c>
      <c r="I1405" s="23" t="s">
        <v>5</v>
      </c>
      <c r="J1405" s="23" t="s">
        <v>1993</v>
      </c>
    </row>
    <row r="1406" spans="1:10" s="20" customFormat="1" ht="12" x14ac:dyDescent="0.25">
      <c r="A1406" s="22">
        <v>2500009341</v>
      </c>
      <c r="B1406" s="23" t="s">
        <v>3544</v>
      </c>
      <c r="C1406" s="24" t="s">
        <v>1996</v>
      </c>
      <c r="D1406" s="23" t="s">
        <v>2289</v>
      </c>
      <c r="E1406" s="23">
        <v>937.5</v>
      </c>
      <c r="F1406" s="23">
        <v>5</v>
      </c>
      <c r="G1406" s="23">
        <v>5</v>
      </c>
      <c r="H1406" s="23">
        <v>0</v>
      </c>
      <c r="I1406" s="23" t="s">
        <v>5</v>
      </c>
      <c r="J1406" s="23" t="s">
        <v>1993</v>
      </c>
    </row>
    <row r="1407" spans="1:10" s="20" customFormat="1" ht="12" x14ac:dyDescent="0.25">
      <c r="A1407" s="22">
        <v>1000103070</v>
      </c>
      <c r="B1407" s="23" t="s">
        <v>3545</v>
      </c>
      <c r="C1407" s="24" t="s">
        <v>4</v>
      </c>
      <c r="D1407" s="23" t="s">
        <v>2090</v>
      </c>
      <c r="E1407" s="23">
        <v>937.10810909090901</v>
      </c>
      <c r="F1407" s="23">
        <v>32</v>
      </c>
      <c r="G1407" s="23">
        <v>32</v>
      </c>
      <c r="H1407" s="23">
        <v>0</v>
      </c>
      <c r="I1407" s="23" t="s">
        <v>5</v>
      </c>
      <c r="J1407" s="23" t="s">
        <v>327</v>
      </c>
    </row>
    <row r="1408" spans="1:10" s="20" customFormat="1" ht="12" x14ac:dyDescent="0.25">
      <c r="A1408" s="22">
        <v>1000020162</v>
      </c>
      <c r="B1408" s="23" t="s">
        <v>409</v>
      </c>
      <c r="C1408" s="24" t="s">
        <v>4</v>
      </c>
      <c r="D1408" s="23" t="s">
        <v>2090</v>
      </c>
      <c r="E1408" s="23">
        <v>936.54</v>
      </c>
      <c r="F1408" s="23">
        <v>2</v>
      </c>
      <c r="G1408" s="23">
        <v>2</v>
      </c>
      <c r="H1408" s="23">
        <v>0</v>
      </c>
      <c r="I1408" s="23" t="s">
        <v>5</v>
      </c>
      <c r="J1408" s="23" t="s">
        <v>327</v>
      </c>
    </row>
    <row r="1409" spans="1:10" s="20" customFormat="1" ht="12" x14ac:dyDescent="0.25">
      <c r="A1409" s="22">
        <v>1000020798</v>
      </c>
      <c r="B1409" s="23" t="s">
        <v>1002</v>
      </c>
      <c r="C1409" s="24" t="s">
        <v>4</v>
      </c>
      <c r="D1409" s="23" t="s">
        <v>2090</v>
      </c>
      <c r="E1409" s="23">
        <v>936.48570429570395</v>
      </c>
      <c r="F1409" s="23">
        <v>7</v>
      </c>
      <c r="G1409" s="23">
        <v>7</v>
      </c>
      <c r="H1409" s="23">
        <v>0</v>
      </c>
      <c r="I1409" s="23" t="s">
        <v>5</v>
      </c>
      <c r="J1409" s="23" t="s">
        <v>327</v>
      </c>
    </row>
    <row r="1410" spans="1:10" s="20" customFormat="1" ht="12" x14ac:dyDescent="0.25">
      <c r="A1410" s="22">
        <v>1000002210</v>
      </c>
      <c r="B1410" s="23" t="s">
        <v>10</v>
      </c>
      <c r="C1410" s="24" t="s">
        <v>2109</v>
      </c>
      <c r="D1410" s="23" t="s">
        <v>2070</v>
      </c>
      <c r="E1410" s="23">
        <v>933.75</v>
      </c>
      <c r="F1410" s="23">
        <v>1</v>
      </c>
      <c r="G1410" s="23">
        <v>1</v>
      </c>
      <c r="H1410" s="23">
        <v>0</v>
      </c>
      <c r="I1410" s="23" t="s">
        <v>5</v>
      </c>
      <c r="J1410" s="23" t="s">
        <v>6</v>
      </c>
    </row>
    <row r="1411" spans="1:10" s="20" customFormat="1" ht="12" x14ac:dyDescent="0.25">
      <c r="A1411" s="22">
        <v>1000020263</v>
      </c>
      <c r="B1411" s="23" t="s">
        <v>502</v>
      </c>
      <c r="C1411" s="24" t="s">
        <v>4</v>
      </c>
      <c r="D1411" s="23" t="s">
        <v>2090</v>
      </c>
      <c r="E1411" s="23">
        <v>932.46</v>
      </c>
      <c r="F1411" s="23">
        <v>55</v>
      </c>
      <c r="G1411" s="23">
        <v>55</v>
      </c>
      <c r="H1411" s="23">
        <v>0</v>
      </c>
      <c r="I1411" s="23" t="s">
        <v>5</v>
      </c>
      <c r="J1411" s="23" t="s">
        <v>327</v>
      </c>
    </row>
    <row r="1412" spans="1:10" s="20" customFormat="1" ht="12" x14ac:dyDescent="0.25">
      <c r="A1412" s="22">
        <v>1000097934</v>
      </c>
      <c r="B1412" s="23" t="s">
        <v>1512</v>
      </c>
      <c r="C1412" s="24" t="s">
        <v>4</v>
      </c>
      <c r="D1412" s="23" t="s">
        <v>2090</v>
      </c>
      <c r="E1412" s="23">
        <v>930.71</v>
      </c>
      <c r="F1412" s="23">
        <v>10</v>
      </c>
      <c r="G1412" s="23">
        <v>10</v>
      </c>
      <c r="H1412" s="23">
        <v>0</v>
      </c>
      <c r="I1412" s="23" t="s">
        <v>5</v>
      </c>
      <c r="J1412" s="23" t="s">
        <v>327</v>
      </c>
    </row>
    <row r="1413" spans="1:10" s="20" customFormat="1" ht="12" x14ac:dyDescent="0.25">
      <c r="A1413" s="22">
        <v>1000092611</v>
      </c>
      <c r="B1413" s="23" t="s">
        <v>3547</v>
      </c>
      <c r="C1413" s="24" t="s">
        <v>4</v>
      </c>
      <c r="D1413" s="23" t="s">
        <v>2090</v>
      </c>
      <c r="E1413" s="23">
        <v>927.11</v>
      </c>
      <c r="F1413" s="23">
        <v>2</v>
      </c>
      <c r="G1413" s="23">
        <v>2</v>
      </c>
      <c r="H1413" s="23">
        <v>0</v>
      </c>
      <c r="I1413" s="23" t="s">
        <v>5</v>
      </c>
      <c r="J1413" s="23" t="s">
        <v>327</v>
      </c>
    </row>
    <row r="1414" spans="1:10" s="20" customFormat="1" ht="12" x14ac:dyDescent="0.25">
      <c r="A1414" s="22">
        <v>1000021060</v>
      </c>
      <c r="B1414" s="23" t="s">
        <v>1225</v>
      </c>
      <c r="C1414" s="24" t="s">
        <v>4</v>
      </c>
      <c r="D1414" s="23" t="s">
        <v>2090</v>
      </c>
      <c r="E1414" s="23">
        <v>926.99</v>
      </c>
      <c r="F1414" s="23">
        <v>1</v>
      </c>
      <c r="G1414" s="23">
        <v>1</v>
      </c>
      <c r="H1414" s="23">
        <v>0</v>
      </c>
      <c r="I1414" s="23" t="s">
        <v>5</v>
      </c>
      <c r="J1414" s="23" t="s">
        <v>327</v>
      </c>
    </row>
    <row r="1415" spans="1:10" s="20" customFormat="1" ht="12" x14ac:dyDescent="0.25">
      <c r="A1415" s="22">
        <v>1000094032</v>
      </c>
      <c r="B1415" s="23" t="s">
        <v>3548</v>
      </c>
      <c r="C1415" s="24" t="s">
        <v>4</v>
      </c>
      <c r="D1415" s="23" t="s">
        <v>2090</v>
      </c>
      <c r="E1415" s="23">
        <v>926.58</v>
      </c>
      <c r="F1415" s="23">
        <v>2</v>
      </c>
      <c r="G1415" s="23">
        <v>2</v>
      </c>
      <c r="H1415" s="23">
        <v>0</v>
      </c>
      <c r="I1415" s="23" t="s">
        <v>5</v>
      </c>
      <c r="J1415" s="23" t="s">
        <v>327</v>
      </c>
    </row>
    <row r="1416" spans="1:10" s="20" customFormat="1" ht="12" x14ac:dyDescent="0.25">
      <c r="A1416" s="22">
        <v>1000102234</v>
      </c>
      <c r="B1416" s="23" t="s">
        <v>1786</v>
      </c>
      <c r="C1416" s="24" t="s">
        <v>4</v>
      </c>
      <c r="D1416" s="23" t="s">
        <v>2090</v>
      </c>
      <c r="E1416" s="23">
        <v>924.96</v>
      </c>
      <c r="F1416" s="23">
        <v>5</v>
      </c>
      <c r="G1416" s="23">
        <v>5</v>
      </c>
      <c r="H1416" s="23">
        <v>0</v>
      </c>
      <c r="I1416" s="23" t="s">
        <v>5</v>
      </c>
      <c r="J1416" s="23" t="s">
        <v>327</v>
      </c>
    </row>
    <row r="1417" spans="1:10" s="20" customFormat="1" ht="12" x14ac:dyDescent="0.25">
      <c r="A1417" s="22">
        <v>1000021285</v>
      </c>
      <c r="B1417" s="23" t="s">
        <v>1421</v>
      </c>
      <c r="C1417" s="24" t="s">
        <v>4</v>
      </c>
      <c r="D1417" s="23" t="s">
        <v>2090</v>
      </c>
      <c r="E1417" s="23">
        <v>923.62</v>
      </c>
      <c r="F1417" s="23">
        <v>10</v>
      </c>
      <c r="G1417" s="23">
        <v>10</v>
      </c>
      <c r="H1417" s="23">
        <v>0</v>
      </c>
      <c r="I1417" s="23" t="s">
        <v>5</v>
      </c>
      <c r="J1417" s="23" t="s">
        <v>327</v>
      </c>
    </row>
    <row r="1418" spans="1:10" s="20" customFormat="1" ht="12" x14ac:dyDescent="0.25">
      <c r="A1418" s="22">
        <v>1000020560</v>
      </c>
      <c r="B1418" s="23" t="s">
        <v>777</v>
      </c>
      <c r="C1418" s="24" t="s">
        <v>4</v>
      </c>
      <c r="D1418" s="23" t="s">
        <v>2090</v>
      </c>
      <c r="E1418" s="23">
        <v>923</v>
      </c>
      <c r="F1418" s="23">
        <v>25</v>
      </c>
      <c r="G1418" s="23">
        <v>25</v>
      </c>
      <c r="H1418" s="23">
        <v>0</v>
      </c>
      <c r="I1418" s="23" t="s">
        <v>5</v>
      </c>
      <c r="J1418" s="23" t="s">
        <v>327</v>
      </c>
    </row>
    <row r="1419" spans="1:10" s="20" customFormat="1" ht="12" x14ac:dyDescent="0.25">
      <c r="A1419" s="22">
        <v>1000093783</v>
      </c>
      <c r="B1419" s="23" t="s">
        <v>3549</v>
      </c>
      <c r="C1419" s="24" t="s">
        <v>4</v>
      </c>
      <c r="D1419" s="23" t="s">
        <v>2090</v>
      </c>
      <c r="E1419" s="23">
        <v>922.88666666666597</v>
      </c>
      <c r="F1419" s="23">
        <v>8</v>
      </c>
      <c r="G1419" s="23">
        <v>8</v>
      </c>
      <c r="H1419" s="23">
        <v>0</v>
      </c>
      <c r="I1419" s="23" t="s">
        <v>5</v>
      </c>
      <c r="J1419" s="23" t="s">
        <v>327</v>
      </c>
    </row>
    <row r="1420" spans="1:10" s="20" customFormat="1" ht="12" x14ac:dyDescent="0.25">
      <c r="A1420" s="22">
        <v>1000020971</v>
      </c>
      <c r="B1420" s="23" t="s">
        <v>1145</v>
      </c>
      <c r="C1420" s="24" t="s">
        <v>4</v>
      </c>
      <c r="D1420" s="23" t="s">
        <v>2090</v>
      </c>
      <c r="E1420" s="23">
        <v>922.8</v>
      </c>
      <c r="F1420" s="23">
        <v>1</v>
      </c>
      <c r="G1420" s="23">
        <v>1</v>
      </c>
      <c r="H1420" s="23">
        <v>0</v>
      </c>
      <c r="I1420" s="23" t="s">
        <v>5</v>
      </c>
      <c r="J1420" s="23" t="s">
        <v>327</v>
      </c>
    </row>
    <row r="1421" spans="1:10" s="20" customFormat="1" ht="12" x14ac:dyDescent="0.25">
      <c r="A1421" s="22">
        <v>1000103681</v>
      </c>
      <c r="B1421" s="23" t="s">
        <v>3550</v>
      </c>
      <c r="C1421" s="24" t="s">
        <v>4</v>
      </c>
      <c r="D1421" s="23" t="s">
        <v>2090</v>
      </c>
      <c r="E1421" s="23">
        <v>922.5</v>
      </c>
      <c r="F1421" s="23">
        <v>10</v>
      </c>
      <c r="G1421" s="23">
        <v>10</v>
      </c>
      <c r="H1421" s="23">
        <v>0</v>
      </c>
      <c r="I1421" s="23" t="s">
        <v>5</v>
      </c>
      <c r="J1421" s="23" t="s">
        <v>327</v>
      </c>
    </row>
    <row r="1422" spans="1:10" s="20" customFormat="1" ht="12" x14ac:dyDescent="0.25">
      <c r="A1422" s="22">
        <v>1000021020</v>
      </c>
      <c r="B1422" s="23" t="s">
        <v>1192</v>
      </c>
      <c r="C1422" s="24" t="s">
        <v>4</v>
      </c>
      <c r="D1422" s="23" t="s">
        <v>2090</v>
      </c>
      <c r="E1422" s="23">
        <v>922.16750000000002</v>
      </c>
      <c r="F1422" s="23">
        <v>3</v>
      </c>
      <c r="G1422" s="23">
        <v>3</v>
      </c>
      <c r="H1422" s="23">
        <v>0</v>
      </c>
      <c r="I1422" s="23" t="s">
        <v>5</v>
      </c>
      <c r="J1422" s="23" t="s">
        <v>327</v>
      </c>
    </row>
    <row r="1423" spans="1:10" s="20" customFormat="1" ht="12" x14ac:dyDescent="0.25">
      <c r="A1423" s="22">
        <v>1000021078</v>
      </c>
      <c r="B1423" s="23" t="s">
        <v>1240</v>
      </c>
      <c r="C1423" s="24" t="s">
        <v>4</v>
      </c>
      <c r="D1423" s="23" t="s">
        <v>2090</v>
      </c>
      <c r="E1423" s="23">
        <v>920.76</v>
      </c>
      <c r="F1423" s="23">
        <v>1</v>
      </c>
      <c r="G1423" s="23">
        <v>1</v>
      </c>
      <c r="H1423" s="23">
        <v>0</v>
      </c>
      <c r="I1423" s="23" t="s">
        <v>5</v>
      </c>
      <c r="J1423" s="23" t="s">
        <v>327</v>
      </c>
    </row>
    <row r="1424" spans="1:10" s="20" customFormat="1" ht="12" x14ac:dyDescent="0.25">
      <c r="A1424" s="22">
        <v>2500009291</v>
      </c>
      <c r="B1424" s="23" t="s">
        <v>1989</v>
      </c>
      <c r="C1424" s="24" t="s">
        <v>1996</v>
      </c>
      <c r="D1424" s="23" t="s">
        <v>2117</v>
      </c>
      <c r="E1424" s="23">
        <v>918.75</v>
      </c>
      <c r="F1424" s="23">
        <v>1</v>
      </c>
      <c r="G1424" s="23">
        <v>1</v>
      </c>
      <c r="H1424" s="23">
        <v>0</v>
      </c>
      <c r="I1424" s="23" t="s">
        <v>5</v>
      </c>
      <c r="J1424" s="23" t="s">
        <v>1993</v>
      </c>
    </row>
    <row r="1425" spans="1:10" s="20" customFormat="1" ht="12" x14ac:dyDescent="0.25">
      <c r="A1425" s="22">
        <v>2500009337</v>
      </c>
      <c r="B1425" s="23" t="s">
        <v>3484</v>
      </c>
      <c r="C1425" s="24" t="s">
        <v>1996</v>
      </c>
      <c r="D1425" s="23" t="s">
        <v>2289</v>
      </c>
      <c r="E1425" s="23">
        <v>918.75</v>
      </c>
      <c r="F1425" s="23">
        <v>5</v>
      </c>
      <c r="G1425" s="23">
        <v>5</v>
      </c>
      <c r="H1425" s="23">
        <v>0</v>
      </c>
      <c r="I1425" s="23" t="s">
        <v>5</v>
      </c>
      <c r="J1425" s="23" t="s">
        <v>1993</v>
      </c>
    </row>
    <row r="1426" spans="1:10" s="20" customFormat="1" ht="12" x14ac:dyDescent="0.25">
      <c r="A1426" s="22">
        <v>1000020279</v>
      </c>
      <c r="B1426" s="23" t="s">
        <v>515</v>
      </c>
      <c r="C1426" s="24" t="s">
        <v>4</v>
      </c>
      <c r="D1426" s="23" t="s">
        <v>2090</v>
      </c>
      <c r="E1426" s="23">
        <v>913.78</v>
      </c>
      <c r="F1426" s="23">
        <v>27</v>
      </c>
      <c r="G1426" s="23">
        <v>27</v>
      </c>
      <c r="H1426" s="23">
        <v>0</v>
      </c>
      <c r="I1426" s="23" t="s">
        <v>5</v>
      </c>
      <c r="J1426" s="23" t="s">
        <v>327</v>
      </c>
    </row>
    <row r="1427" spans="1:10" s="20" customFormat="1" ht="12" x14ac:dyDescent="0.25">
      <c r="A1427" s="22">
        <v>1000020445</v>
      </c>
      <c r="B1427" s="23" t="s">
        <v>672</v>
      </c>
      <c r="C1427" s="24" t="s">
        <v>4</v>
      </c>
      <c r="D1427" s="23" t="s">
        <v>2090</v>
      </c>
      <c r="E1427" s="23">
        <v>909.99044444444405</v>
      </c>
      <c r="F1427" s="23">
        <v>41</v>
      </c>
      <c r="G1427" s="23">
        <v>41</v>
      </c>
      <c r="H1427" s="23">
        <v>0</v>
      </c>
      <c r="I1427" s="23" t="s">
        <v>5</v>
      </c>
      <c r="J1427" s="23" t="s">
        <v>327</v>
      </c>
    </row>
    <row r="1428" spans="1:10" s="20" customFormat="1" ht="12" x14ac:dyDescent="0.25">
      <c r="A1428" s="22">
        <v>1000010226</v>
      </c>
      <c r="B1428" s="23" t="s">
        <v>3556</v>
      </c>
      <c r="C1428" s="24" t="s">
        <v>4</v>
      </c>
      <c r="D1428" s="23" t="s">
        <v>2161</v>
      </c>
      <c r="E1428" s="23">
        <v>908.244611111111</v>
      </c>
      <c r="F1428" s="23">
        <v>5</v>
      </c>
      <c r="G1428" s="23">
        <v>5</v>
      </c>
      <c r="H1428" s="23">
        <v>0</v>
      </c>
      <c r="I1428" s="23" t="s">
        <v>5</v>
      </c>
      <c r="J1428" s="23" t="s">
        <v>111</v>
      </c>
    </row>
    <row r="1429" spans="1:10" s="20" customFormat="1" ht="12" x14ac:dyDescent="0.25">
      <c r="A1429" s="22">
        <v>1000099336</v>
      </c>
      <c r="B1429" s="23" t="s">
        <v>3557</v>
      </c>
      <c r="C1429" s="24" t="s">
        <v>4</v>
      </c>
      <c r="D1429" s="23" t="s">
        <v>2090</v>
      </c>
      <c r="E1429" s="23">
        <v>907.42499999999995</v>
      </c>
      <c r="F1429" s="23">
        <v>1</v>
      </c>
      <c r="G1429" s="23">
        <v>1</v>
      </c>
      <c r="H1429" s="23">
        <v>0</v>
      </c>
      <c r="I1429" s="23" t="s">
        <v>5</v>
      </c>
      <c r="J1429" s="23" t="s">
        <v>327</v>
      </c>
    </row>
    <row r="1430" spans="1:10" s="20" customFormat="1" ht="12" x14ac:dyDescent="0.25">
      <c r="A1430" s="22">
        <v>1000098724</v>
      </c>
      <c r="B1430" s="23" t="s">
        <v>1667</v>
      </c>
      <c r="C1430" s="24" t="s">
        <v>4</v>
      </c>
      <c r="D1430" s="23" t="s">
        <v>2218</v>
      </c>
      <c r="E1430" s="23">
        <v>907.14312500000005</v>
      </c>
      <c r="F1430" s="23">
        <v>1</v>
      </c>
      <c r="G1430" s="23">
        <v>1</v>
      </c>
      <c r="H1430" s="23">
        <v>0</v>
      </c>
      <c r="I1430" s="23" t="s">
        <v>5</v>
      </c>
      <c r="J1430" s="23" t="s">
        <v>327</v>
      </c>
    </row>
    <row r="1431" spans="1:10" s="20" customFormat="1" ht="12" x14ac:dyDescent="0.25">
      <c r="A1431" s="22">
        <v>1000020248</v>
      </c>
      <c r="B1431" s="23" t="s">
        <v>487</v>
      </c>
      <c r="C1431" s="24" t="s">
        <v>4</v>
      </c>
      <c r="D1431" s="23" t="s">
        <v>2090</v>
      </c>
      <c r="E1431" s="23">
        <v>905</v>
      </c>
      <c r="F1431" s="23">
        <v>100</v>
      </c>
      <c r="G1431" s="23">
        <v>100</v>
      </c>
      <c r="H1431" s="23">
        <v>0</v>
      </c>
      <c r="I1431" s="23" t="s">
        <v>5</v>
      </c>
      <c r="J1431" s="23" t="s">
        <v>327</v>
      </c>
    </row>
    <row r="1432" spans="1:10" s="20" customFormat="1" ht="12" x14ac:dyDescent="0.25">
      <c r="A1432" s="22">
        <v>1000021317</v>
      </c>
      <c r="B1432" s="23" t="s">
        <v>1449</v>
      </c>
      <c r="C1432" s="24" t="s">
        <v>4</v>
      </c>
      <c r="D1432" s="23" t="s">
        <v>2090</v>
      </c>
      <c r="E1432" s="23">
        <v>904.88</v>
      </c>
      <c r="F1432" s="23">
        <v>2</v>
      </c>
      <c r="G1432" s="23">
        <v>2</v>
      </c>
      <c r="H1432" s="23">
        <v>0</v>
      </c>
      <c r="I1432" s="23" t="s">
        <v>5</v>
      </c>
      <c r="J1432" s="23" t="s">
        <v>327</v>
      </c>
    </row>
    <row r="1433" spans="1:10" s="20" customFormat="1" ht="12" x14ac:dyDescent="0.25">
      <c r="A1433" s="22">
        <v>1000010088</v>
      </c>
      <c r="B1433" s="23" t="s">
        <v>3558</v>
      </c>
      <c r="C1433" s="24" t="s">
        <v>4</v>
      </c>
      <c r="D1433" s="23" t="s">
        <v>2161</v>
      </c>
      <c r="E1433" s="23">
        <v>904.2</v>
      </c>
      <c r="F1433" s="23">
        <v>5</v>
      </c>
      <c r="G1433" s="23">
        <v>5</v>
      </c>
      <c r="H1433" s="23">
        <v>0</v>
      </c>
      <c r="I1433" s="23" t="s">
        <v>5</v>
      </c>
      <c r="J1433" s="23" t="s">
        <v>111</v>
      </c>
    </row>
    <row r="1434" spans="1:10" s="20" customFormat="1" ht="12" x14ac:dyDescent="0.25">
      <c r="A1434" s="22">
        <v>1000100896</v>
      </c>
      <c r="B1434" s="23" t="s">
        <v>3559</v>
      </c>
      <c r="C1434" s="24" t="s">
        <v>4</v>
      </c>
      <c r="D1434" s="23" t="s">
        <v>2161</v>
      </c>
      <c r="E1434" s="23">
        <v>904.2</v>
      </c>
      <c r="F1434" s="23">
        <v>4</v>
      </c>
      <c r="G1434" s="23">
        <v>4</v>
      </c>
      <c r="H1434" s="23">
        <v>0</v>
      </c>
      <c r="I1434" s="23" t="s">
        <v>5</v>
      </c>
      <c r="J1434" s="23" t="s">
        <v>111</v>
      </c>
    </row>
    <row r="1435" spans="1:10" s="20" customFormat="1" ht="12" x14ac:dyDescent="0.25">
      <c r="A1435" s="22">
        <v>1000098688</v>
      </c>
      <c r="B1435" s="23" t="s">
        <v>1641</v>
      </c>
      <c r="C1435" s="24" t="s">
        <v>4</v>
      </c>
      <c r="D1435" s="23" t="s">
        <v>2090</v>
      </c>
      <c r="E1435" s="23">
        <v>903</v>
      </c>
      <c r="F1435" s="23">
        <v>5</v>
      </c>
      <c r="G1435" s="23">
        <v>5</v>
      </c>
      <c r="H1435" s="23">
        <v>0</v>
      </c>
      <c r="I1435" s="23" t="s">
        <v>5</v>
      </c>
      <c r="J1435" s="23" t="s">
        <v>327</v>
      </c>
    </row>
    <row r="1436" spans="1:10" s="20" customFormat="1" ht="12" x14ac:dyDescent="0.25">
      <c r="A1436" s="22">
        <v>1000020418</v>
      </c>
      <c r="B1436" s="23" t="s">
        <v>647</v>
      </c>
      <c r="C1436" s="24" t="s">
        <v>4</v>
      </c>
      <c r="D1436" s="23" t="s">
        <v>2090</v>
      </c>
      <c r="E1436" s="23">
        <v>901.34</v>
      </c>
      <c r="F1436" s="23">
        <v>115</v>
      </c>
      <c r="G1436" s="23">
        <v>115</v>
      </c>
      <c r="H1436" s="23">
        <v>0</v>
      </c>
      <c r="I1436" s="23" t="s">
        <v>5</v>
      </c>
      <c r="J1436" s="23" t="s">
        <v>327</v>
      </c>
    </row>
    <row r="1437" spans="1:10" s="20" customFormat="1" ht="12" x14ac:dyDescent="0.25">
      <c r="A1437" s="22">
        <v>1000098076</v>
      </c>
      <c r="B1437" s="23" t="s">
        <v>3560</v>
      </c>
      <c r="C1437" s="24" t="s">
        <v>4</v>
      </c>
      <c r="D1437" s="23" t="s">
        <v>2090</v>
      </c>
      <c r="E1437" s="23">
        <v>900.67666666666605</v>
      </c>
      <c r="F1437" s="23">
        <v>3</v>
      </c>
      <c r="G1437" s="23">
        <v>3</v>
      </c>
      <c r="H1437" s="23">
        <v>0</v>
      </c>
      <c r="I1437" s="23" t="s">
        <v>5</v>
      </c>
      <c r="J1437" s="23" t="s">
        <v>327</v>
      </c>
    </row>
    <row r="1438" spans="1:10" s="20" customFormat="1" ht="12" x14ac:dyDescent="0.25">
      <c r="A1438" s="22">
        <v>1000021208</v>
      </c>
      <c r="B1438" s="23" t="s">
        <v>1354</v>
      </c>
      <c r="C1438" s="24" t="s">
        <v>4</v>
      </c>
      <c r="D1438" s="23" t="s">
        <v>2090</v>
      </c>
      <c r="E1438" s="23">
        <v>900.62</v>
      </c>
      <c r="F1438" s="23">
        <v>7</v>
      </c>
      <c r="G1438" s="23">
        <v>7</v>
      </c>
      <c r="H1438" s="23">
        <v>0</v>
      </c>
      <c r="I1438" s="23" t="s">
        <v>5</v>
      </c>
      <c r="J1438" s="23" t="s">
        <v>327</v>
      </c>
    </row>
    <row r="1439" spans="1:10" s="20" customFormat="1" ht="12" x14ac:dyDescent="0.25">
      <c r="A1439" s="22">
        <v>1000020628</v>
      </c>
      <c r="B1439" s="23" t="s">
        <v>843</v>
      </c>
      <c r="C1439" s="24" t="s">
        <v>4</v>
      </c>
      <c r="D1439" s="23" t="s">
        <v>2090</v>
      </c>
      <c r="E1439" s="23">
        <v>899.81423437499996</v>
      </c>
      <c r="F1439" s="23">
        <v>63</v>
      </c>
      <c r="G1439" s="23">
        <v>63</v>
      </c>
      <c r="H1439" s="23">
        <v>0</v>
      </c>
      <c r="I1439" s="23" t="s">
        <v>5</v>
      </c>
      <c r="J1439" s="23" t="s">
        <v>327</v>
      </c>
    </row>
    <row r="1440" spans="1:10" s="20" customFormat="1" ht="12" x14ac:dyDescent="0.25">
      <c r="A1440" s="22">
        <v>1000010213</v>
      </c>
      <c r="B1440" s="23" t="s">
        <v>3563</v>
      </c>
      <c r="C1440" s="24" t="s">
        <v>4</v>
      </c>
      <c r="D1440" s="23" t="s">
        <v>2161</v>
      </c>
      <c r="E1440" s="23">
        <v>897.39666666666596</v>
      </c>
      <c r="F1440" s="23">
        <v>1</v>
      </c>
      <c r="G1440" s="23">
        <v>1</v>
      </c>
      <c r="H1440" s="23">
        <v>0</v>
      </c>
      <c r="I1440" s="23" t="s">
        <v>5</v>
      </c>
      <c r="J1440" s="23" t="s">
        <v>111</v>
      </c>
    </row>
    <row r="1441" spans="1:10" s="20" customFormat="1" ht="12" x14ac:dyDescent="0.25">
      <c r="A1441" s="22">
        <v>1000010091</v>
      </c>
      <c r="B1441" s="23" t="s">
        <v>113</v>
      </c>
      <c r="C1441" s="24" t="s">
        <v>4</v>
      </c>
      <c r="D1441" s="23" t="s">
        <v>2161</v>
      </c>
      <c r="E1441" s="23">
        <v>892.75073609467404</v>
      </c>
      <c r="F1441" s="23">
        <v>3</v>
      </c>
      <c r="G1441" s="23">
        <v>3</v>
      </c>
      <c r="H1441" s="23">
        <v>0</v>
      </c>
      <c r="I1441" s="23" t="s">
        <v>5</v>
      </c>
      <c r="J1441" s="23" t="s">
        <v>111</v>
      </c>
    </row>
    <row r="1442" spans="1:10" s="20" customFormat="1" ht="12" x14ac:dyDescent="0.25">
      <c r="A1442" s="22">
        <v>1000101101</v>
      </c>
      <c r="B1442" s="23" t="s">
        <v>3564</v>
      </c>
      <c r="C1442" s="24" t="s">
        <v>4</v>
      </c>
      <c r="D1442" s="23" t="s">
        <v>2284</v>
      </c>
      <c r="E1442" s="23">
        <v>891.19</v>
      </c>
      <c r="F1442" s="23">
        <v>1</v>
      </c>
      <c r="G1442" s="23">
        <v>1</v>
      </c>
      <c r="H1442" s="23">
        <v>0</v>
      </c>
      <c r="I1442" s="23" t="s">
        <v>5</v>
      </c>
      <c r="J1442" s="23" t="s">
        <v>1844</v>
      </c>
    </row>
    <row r="1443" spans="1:10" s="20" customFormat="1" ht="12" x14ac:dyDescent="0.25">
      <c r="A1443" s="22">
        <v>1000021064</v>
      </c>
      <c r="B1443" s="23" t="s">
        <v>1229</v>
      </c>
      <c r="C1443" s="24" t="s">
        <v>4</v>
      </c>
      <c r="D1443" s="23" t="s">
        <v>2090</v>
      </c>
      <c r="E1443" s="23">
        <v>889.5</v>
      </c>
      <c r="F1443" s="23">
        <v>5</v>
      </c>
      <c r="G1443" s="23">
        <v>5</v>
      </c>
      <c r="H1443" s="23">
        <v>0</v>
      </c>
      <c r="I1443" s="23" t="s">
        <v>5</v>
      </c>
      <c r="J1443" s="23" t="s">
        <v>327</v>
      </c>
    </row>
    <row r="1444" spans="1:10" s="20" customFormat="1" ht="12" x14ac:dyDescent="0.25">
      <c r="A1444" s="22">
        <v>1000020988</v>
      </c>
      <c r="B1444" s="23" t="s">
        <v>1162</v>
      </c>
      <c r="C1444" s="24" t="s">
        <v>4</v>
      </c>
      <c r="D1444" s="23" t="s">
        <v>2090</v>
      </c>
      <c r="E1444" s="23">
        <v>889.28</v>
      </c>
      <c r="F1444" s="23">
        <v>4</v>
      </c>
      <c r="G1444" s="23">
        <v>4</v>
      </c>
      <c r="H1444" s="23">
        <v>0</v>
      </c>
      <c r="I1444" s="23" t="s">
        <v>5</v>
      </c>
      <c r="J1444" s="23" t="s">
        <v>327</v>
      </c>
    </row>
    <row r="1445" spans="1:10" s="20" customFormat="1" ht="12" x14ac:dyDescent="0.25">
      <c r="A1445" s="22">
        <v>1000096246</v>
      </c>
      <c r="B1445" s="23" t="s">
        <v>3566</v>
      </c>
      <c r="C1445" s="24" t="s">
        <v>4</v>
      </c>
      <c r="D1445" s="23" t="s">
        <v>2090</v>
      </c>
      <c r="E1445" s="23">
        <v>888.36444444444396</v>
      </c>
      <c r="F1445" s="23">
        <v>2</v>
      </c>
      <c r="G1445" s="23">
        <v>2</v>
      </c>
      <c r="H1445" s="23">
        <v>0</v>
      </c>
      <c r="I1445" s="23" t="s">
        <v>5</v>
      </c>
      <c r="J1445" s="23" t="s">
        <v>327</v>
      </c>
    </row>
    <row r="1446" spans="1:10" s="20" customFormat="1" ht="12" x14ac:dyDescent="0.25">
      <c r="A1446" s="22">
        <v>1000098776</v>
      </c>
      <c r="B1446" s="23" t="s">
        <v>3567</v>
      </c>
      <c r="C1446" s="24" t="s">
        <v>4</v>
      </c>
      <c r="D1446" s="23" t="s">
        <v>2161</v>
      </c>
      <c r="E1446" s="23">
        <v>886.95</v>
      </c>
      <c r="F1446" s="23">
        <v>3</v>
      </c>
      <c r="G1446" s="23">
        <v>3</v>
      </c>
      <c r="H1446" s="23">
        <v>0</v>
      </c>
      <c r="I1446" s="23" t="s">
        <v>5</v>
      </c>
      <c r="J1446" s="23" t="s">
        <v>111</v>
      </c>
    </row>
    <row r="1447" spans="1:10" s="20" customFormat="1" ht="12" x14ac:dyDescent="0.25">
      <c r="A1447" s="22">
        <v>1000102701</v>
      </c>
      <c r="B1447" s="23" t="s">
        <v>3568</v>
      </c>
      <c r="C1447" s="24" t="s">
        <v>4</v>
      </c>
      <c r="D1447" s="23" t="s">
        <v>2090</v>
      </c>
      <c r="E1447" s="23">
        <v>885.15</v>
      </c>
      <c r="F1447" s="23">
        <v>38</v>
      </c>
      <c r="G1447" s="23">
        <v>38</v>
      </c>
      <c r="H1447" s="23">
        <v>0</v>
      </c>
      <c r="I1447" s="23" t="s">
        <v>5</v>
      </c>
      <c r="J1447" s="23" t="s">
        <v>327</v>
      </c>
    </row>
    <row r="1448" spans="1:10" s="20" customFormat="1" ht="12" x14ac:dyDescent="0.25">
      <c r="A1448" s="22">
        <v>1000093674</v>
      </c>
      <c r="B1448" s="23" t="s">
        <v>3571</v>
      </c>
      <c r="C1448" s="24" t="s">
        <v>4</v>
      </c>
      <c r="D1448" s="23" t="s">
        <v>2056</v>
      </c>
      <c r="E1448" s="23">
        <v>881.5</v>
      </c>
      <c r="F1448" s="23">
        <v>10</v>
      </c>
      <c r="G1448" s="23">
        <v>10</v>
      </c>
      <c r="H1448" s="23">
        <v>0</v>
      </c>
      <c r="I1448" s="23" t="s">
        <v>5</v>
      </c>
      <c r="J1448" s="23" t="s">
        <v>1844</v>
      </c>
    </row>
    <row r="1449" spans="1:10" s="20" customFormat="1" ht="12" x14ac:dyDescent="0.25">
      <c r="A1449" s="22">
        <v>2500009292</v>
      </c>
      <c r="B1449" s="23" t="s">
        <v>3572</v>
      </c>
      <c r="C1449" s="24" t="s">
        <v>1996</v>
      </c>
      <c r="D1449" s="23" t="s">
        <v>2117</v>
      </c>
      <c r="E1449" s="23">
        <v>881.25</v>
      </c>
      <c r="F1449" s="23">
        <v>1</v>
      </c>
      <c r="G1449" s="23">
        <v>1</v>
      </c>
      <c r="H1449" s="23">
        <v>0</v>
      </c>
      <c r="I1449" s="23" t="s">
        <v>5</v>
      </c>
      <c r="J1449" s="23" t="s">
        <v>1993</v>
      </c>
    </row>
    <row r="1450" spans="1:10" s="20" customFormat="1" ht="12" x14ac:dyDescent="0.25">
      <c r="A1450" s="22">
        <v>1000020431</v>
      </c>
      <c r="B1450" s="23" t="s">
        <v>658</v>
      </c>
      <c r="C1450" s="24" t="s">
        <v>4</v>
      </c>
      <c r="D1450" s="23" t="s">
        <v>2090</v>
      </c>
      <c r="E1450" s="23">
        <v>881.15923076923002</v>
      </c>
      <c r="F1450" s="23">
        <v>110</v>
      </c>
      <c r="G1450" s="23">
        <v>110</v>
      </c>
      <c r="H1450" s="23">
        <v>0</v>
      </c>
      <c r="I1450" s="23" t="s">
        <v>5</v>
      </c>
      <c r="J1450" s="23" t="s">
        <v>327</v>
      </c>
    </row>
    <row r="1451" spans="1:10" s="20" customFormat="1" ht="12" x14ac:dyDescent="0.25">
      <c r="A1451" s="22">
        <v>1000020907</v>
      </c>
      <c r="B1451" s="23" t="s">
        <v>1088</v>
      </c>
      <c r="C1451" s="24" t="s">
        <v>4</v>
      </c>
      <c r="D1451" s="23" t="s">
        <v>2090</v>
      </c>
      <c r="E1451" s="23">
        <v>880.56</v>
      </c>
      <c r="F1451" s="23">
        <v>1</v>
      </c>
      <c r="G1451" s="23">
        <v>1</v>
      </c>
      <c r="H1451" s="23">
        <v>0</v>
      </c>
      <c r="I1451" s="23" t="s">
        <v>5</v>
      </c>
      <c r="J1451" s="23" t="s">
        <v>327</v>
      </c>
    </row>
    <row r="1452" spans="1:10" s="20" customFormat="1" ht="12" x14ac:dyDescent="0.25">
      <c r="A1452" s="22">
        <v>1000103201</v>
      </c>
      <c r="B1452" s="23" t="s">
        <v>1808</v>
      </c>
      <c r="C1452" s="24" t="s">
        <v>4</v>
      </c>
      <c r="D1452" s="23" t="s">
        <v>2090</v>
      </c>
      <c r="E1452" s="23">
        <v>880.01</v>
      </c>
      <c r="F1452" s="23">
        <v>3</v>
      </c>
      <c r="G1452" s="23">
        <v>3</v>
      </c>
      <c r="H1452" s="23">
        <v>0</v>
      </c>
      <c r="I1452" s="23" t="s">
        <v>5</v>
      </c>
      <c r="J1452" s="23" t="s">
        <v>327</v>
      </c>
    </row>
    <row r="1453" spans="1:10" s="20" customFormat="1" ht="12" x14ac:dyDescent="0.25">
      <c r="A1453" s="22">
        <v>1000098435</v>
      </c>
      <c r="B1453" s="23" t="s">
        <v>1515</v>
      </c>
      <c r="C1453" s="24" t="s">
        <v>4</v>
      </c>
      <c r="D1453" s="23" t="s">
        <v>2090</v>
      </c>
      <c r="E1453" s="23">
        <v>878.98800000000006</v>
      </c>
      <c r="F1453" s="23">
        <v>3</v>
      </c>
      <c r="G1453" s="23">
        <v>3</v>
      </c>
      <c r="H1453" s="23">
        <v>0</v>
      </c>
      <c r="I1453" s="23" t="s">
        <v>5</v>
      </c>
      <c r="J1453" s="23" t="s">
        <v>327</v>
      </c>
    </row>
    <row r="1454" spans="1:10" s="20" customFormat="1" ht="12" x14ac:dyDescent="0.25">
      <c r="A1454" s="22">
        <v>1000021152</v>
      </c>
      <c r="B1454" s="23" t="s">
        <v>1301</v>
      </c>
      <c r="C1454" s="24" t="s">
        <v>4</v>
      </c>
      <c r="D1454" s="23" t="s">
        <v>2090</v>
      </c>
      <c r="E1454" s="23">
        <v>878.44</v>
      </c>
      <c r="F1454" s="23">
        <v>4</v>
      </c>
      <c r="G1454" s="23">
        <v>4</v>
      </c>
      <c r="H1454" s="23">
        <v>0</v>
      </c>
      <c r="I1454" s="23" t="s">
        <v>5</v>
      </c>
      <c r="J1454" s="23" t="s">
        <v>327</v>
      </c>
    </row>
    <row r="1455" spans="1:10" s="20" customFormat="1" ht="12" x14ac:dyDescent="0.25">
      <c r="A1455" s="22">
        <v>2500008396</v>
      </c>
      <c r="B1455" s="23" t="s">
        <v>3573</v>
      </c>
      <c r="C1455" s="24" t="s">
        <v>1996</v>
      </c>
      <c r="D1455" s="23" t="s">
        <v>2025</v>
      </c>
      <c r="E1455" s="23">
        <v>877.5</v>
      </c>
      <c r="F1455" s="23">
        <v>2</v>
      </c>
      <c r="G1455" s="23">
        <v>2</v>
      </c>
      <c r="H1455" s="23">
        <v>0</v>
      </c>
      <c r="I1455" s="23" t="s">
        <v>5</v>
      </c>
      <c r="J1455" s="23" t="s">
        <v>1993</v>
      </c>
    </row>
    <row r="1456" spans="1:10" s="20" customFormat="1" ht="12" x14ac:dyDescent="0.25">
      <c r="A1456" s="22">
        <v>2500009195</v>
      </c>
      <c r="B1456" s="23" t="s">
        <v>3574</v>
      </c>
      <c r="C1456" s="24" t="s">
        <v>1996</v>
      </c>
      <c r="D1456" s="23" t="s">
        <v>2025</v>
      </c>
      <c r="E1456" s="23">
        <v>877.5</v>
      </c>
      <c r="F1456" s="23">
        <v>2</v>
      </c>
      <c r="G1456" s="23">
        <v>2</v>
      </c>
      <c r="H1456" s="23">
        <v>0</v>
      </c>
      <c r="I1456" s="23" t="s">
        <v>5</v>
      </c>
      <c r="J1456" s="23" t="s">
        <v>1993</v>
      </c>
    </row>
    <row r="1457" spans="1:10" s="20" customFormat="1" ht="12" x14ac:dyDescent="0.25">
      <c r="A1457" s="22">
        <v>1000021256</v>
      </c>
      <c r="B1457" s="23" t="s">
        <v>1401</v>
      </c>
      <c r="C1457" s="24" t="s">
        <v>4</v>
      </c>
      <c r="D1457" s="23" t="s">
        <v>2218</v>
      </c>
      <c r="E1457" s="23">
        <v>869.4375</v>
      </c>
      <c r="F1457" s="23">
        <v>1</v>
      </c>
      <c r="G1457" s="23">
        <v>1</v>
      </c>
      <c r="H1457" s="23">
        <v>0</v>
      </c>
      <c r="I1457" s="23" t="s">
        <v>5</v>
      </c>
      <c r="J1457" s="23" t="s">
        <v>327</v>
      </c>
    </row>
    <row r="1458" spans="1:10" s="20" customFormat="1" ht="12" x14ac:dyDescent="0.25">
      <c r="A1458" s="22">
        <v>1000098594</v>
      </c>
      <c r="B1458" s="23" t="s">
        <v>1600</v>
      </c>
      <c r="C1458" s="24" t="s">
        <v>4</v>
      </c>
      <c r="D1458" s="23" t="s">
        <v>2090</v>
      </c>
      <c r="E1458" s="23">
        <v>869.21</v>
      </c>
      <c r="F1458" s="23">
        <v>2</v>
      </c>
      <c r="G1458" s="23">
        <v>2</v>
      </c>
      <c r="H1458" s="23">
        <v>0</v>
      </c>
      <c r="I1458" s="23" t="s">
        <v>5</v>
      </c>
      <c r="J1458" s="23" t="s">
        <v>327</v>
      </c>
    </row>
    <row r="1459" spans="1:10" s="20" customFormat="1" ht="12" x14ac:dyDescent="0.25">
      <c r="A1459" s="22">
        <v>2200002051</v>
      </c>
      <c r="B1459" s="23" t="s">
        <v>3577</v>
      </c>
      <c r="C1459" s="24" t="s">
        <v>2030</v>
      </c>
      <c r="D1459" s="23" t="s">
        <v>2859</v>
      </c>
      <c r="E1459" s="23">
        <v>863.77499999999998</v>
      </c>
      <c r="F1459" s="23">
        <v>2</v>
      </c>
      <c r="G1459" s="23">
        <v>2</v>
      </c>
      <c r="H1459" s="23">
        <v>0</v>
      </c>
      <c r="I1459" s="23" t="s">
        <v>5</v>
      </c>
      <c r="J1459" s="23" t="s">
        <v>138</v>
      </c>
    </row>
    <row r="1460" spans="1:10" s="20" customFormat="1" ht="12" x14ac:dyDescent="0.25">
      <c r="A1460" s="22">
        <v>1000095394</v>
      </c>
      <c r="B1460" s="23" t="s">
        <v>3578</v>
      </c>
      <c r="C1460" s="24" t="s">
        <v>4</v>
      </c>
      <c r="D1460" s="23" t="s">
        <v>2090</v>
      </c>
      <c r="E1460" s="23">
        <v>863.71</v>
      </c>
      <c r="F1460" s="23">
        <v>3</v>
      </c>
      <c r="G1460" s="23">
        <v>3</v>
      </c>
      <c r="H1460" s="23">
        <v>0</v>
      </c>
      <c r="I1460" s="23" t="s">
        <v>5</v>
      </c>
      <c r="J1460" s="23" t="s">
        <v>327</v>
      </c>
    </row>
    <row r="1461" spans="1:10" s="20" customFormat="1" ht="12" x14ac:dyDescent="0.25">
      <c r="A1461" s="22">
        <v>1000098849</v>
      </c>
      <c r="B1461" s="23" t="s">
        <v>3579</v>
      </c>
      <c r="C1461" s="24" t="s">
        <v>4</v>
      </c>
      <c r="D1461" s="23" t="s">
        <v>2161</v>
      </c>
      <c r="E1461" s="23">
        <v>863.46974999999998</v>
      </c>
      <c r="F1461" s="23">
        <v>3</v>
      </c>
      <c r="G1461" s="23">
        <v>3</v>
      </c>
      <c r="H1461" s="23">
        <v>0</v>
      </c>
      <c r="I1461" s="23" t="s">
        <v>5</v>
      </c>
      <c r="J1461" s="23" t="s">
        <v>111</v>
      </c>
    </row>
    <row r="1462" spans="1:10" s="20" customFormat="1" ht="12" x14ac:dyDescent="0.25">
      <c r="A1462" s="22">
        <v>1000021366</v>
      </c>
      <c r="B1462" s="23" t="s">
        <v>1461</v>
      </c>
      <c r="C1462" s="24" t="s">
        <v>4</v>
      </c>
      <c r="D1462" s="23" t="s">
        <v>2090</v>
      </c>
      <c r="E1462" s="23">
        <v>863.18</v>
      </c>
      <c r="F1462" s="23">
        <v>2</v>
      </c>
      <c r="G1462" s="23">
        <v>2</v>
      </c>
      <c r="H1462" s="23">
        <v>0</v>
      </c>
      <c r="I1462" s="23" t="s">
        <v>5</v>
      </c>
      <c r="J1462" s="23" t="s">
        <v>327</v>
      </c>
    </row>
    <row r="1463" spans="1:10" s="20" customFormat="1" ht="12" x14ac:dyDescent="0.25">
      <c r="A1463" s="22">
        <v>1000100651</v>
      </c>
      <c r="B1463" s="23" t="s">
        <v>3580</v>
      </c>
      <c r="C1463" s="24" t="s">
        <v>4</v>
      </c>
      <c r="D1463" s="23" t="s">
        <v>2056</v>
      </c>
      <c r="E1463" s="23">
        <v>863.1</v>
      </c>
      <c r="F1463" s="23">
        <v>1750</v>
      </c>
      <c r="G1463" s="23">
        <v>1750</v>
      </c>
      <c r="H1463" s="23">
        <v>0</v>
      </c>
      <c r="I1463" s="23" t="s">
        <v>5</v>
      </c>
      <c r="J1463" s="23" t="s">
        <v>1844</v>
      </c>
    </row>
    <row r="1464" spans="1:10" s="20" customFormat="1" ht="12" x14ac:dyDescent="0.25">
      <c r="A1464" s="22">
        <v>1000020116</v>
      </c>
      <c r="B1464" s="23" t="s">
        <v>371</v>
      </c>
      <c r="C1464" s="24" t="s">
        <v>4</v>
      </c>
      <c r="D1464" s="23" t="s">
        <v>2090</v>
      </c>
      <c r="E1464" s="23">
        <v>862.54</v>
      </c>
      <c r="F1464" s="23">
        <v>2</v>
      </c>
      <c r="G1464" s="23">
        <v>2</v>
      </c>
      <c r="H1464" s="23">
        <v>0</v>
      </c>
      <c r="I1464" s="23" t="s">
        <v>5</v>
      </c>
      <c r="J1464" s="23" t="s">
        <v>327</v>
      </c>
    </row>
    <row r="1465" spans="1:10" s="20" customFormat="1" ht="12" x14ac:dyDescent="0.25">
      <c r="A1465" s="22">
        <v>1000093598</v>
      </c>
      <c r="B1465" s="23" t="s">
        <v>3581</v>
      </c>
      <c r="C1465" s="24" t="s">
        <v>4</v>
      </c>
      <c r="D1465" s="23" t="s">
        <v>2056</v>
      </c>
      <c r="E1465" s="23">
        <v>861.631197744166</v>
      </c>
      <c r="F1465" s="23">
        <v>28</v>
      </c>
      <c r="G1465" s="23">
        <v>28</v>
      </c>
      <c r="H1465" s="23">
        <v>0</v>
      </c>
      <c r="I1465" s="23" t="s">
        <v>5</v>
      </c>
      <c r="J1465" s="23" t="s">
        <v>1844</v>
      </c>
    </row>
    <row r="1466" spans="1:10" s="20" customFormat="1" ht="12" x14ac:dyDescent="0.25">
      <c r="A1466" s="22">
        <v>1000020200</v>
      </c>
      <c r="B1466" s="23" t="s">
        <v>441</v>
      </c>
      <c r="C1466" s="24" t="s">
        <v>4</v>
      </c>
      <c r="D1466" s="23" t="s">
        <v>2090</v>
      </c>
      <c r="E1466" s="23">
        <v>861.48</v>
      </c>
      <c r="F1466" s="23">
        <v>3</v>
      </c>
      <c r="G1466" s="23">
        <v>3</v>
      </c>
      <c r="H1466" s="23">
        <v>0</v>
      </c>
      <c r="I1466" s="23" t="s">
        <v>5</v>
      </c>
      <c r="J1466" s="23" t="s">
        <v>327</v>
      </c>
    </row>
    <row r="1467" spans="1:10" s="20" customFormat="1" ht="12" x14ac:dyDescent="0.25">
      <c r="A1467" s="22">
        <v>1000098573</v>
      </c>
      <c r="B1467" s="23" t="s">
        <v>1582</v>
      </c>
      <c r="C1467" s="24" t="s">
        <v>4</v>
      </c>
      <c r="D1467" s="23" t="s">
        <v>2090</v>
      </c>
      <c r="E1467" s="23">
        <v>861.22</v>
      </c>
      <c r="F1467" s="23">
        <v>61</v>
      </c>
      <c r="G1467" s="23">
        <v>61</v>
      </c>
      <c r="H1467" s="23">
        <v>0</v>
      </c>
      <c r="I1467" s="23" t="s">
        <v>5</v>
      </c>
      <c r="J1467" s="23" t="s">
        <v>327</v>
      </c>
    </row>
    <row r="1468" spans="1:10" s="20" customFormat="1" ht="12" x14ac:dyDescent="0.25">
      <c r="A1468" s="22">
        <v>2500008256</v>
      </c>
      <c r="B1468" s="23" t="s">
        <v>3582</v>
      </c>
      <c r="C1468" s="24" t="s">
        <v>1996</v>
      </c>
      <c r="D1468" s="23" t="s">
        <v>2025</v>
      </c>
      <c r="E1468" s="23">
        <v>860.625</v>
      </c>
      <c r="F1468" s="23">
        <v>1</v>
      </c>
      <c r="G1468" s="23">
        <v>1</v>
      </c>
      <c r="H1468" s="23">
        <v>0</v>
      </c>
      <c r="I1468" s="23" t="s">
        <v>5</v>
      </c>
      <c r="J1468" s="23" t="s">
        <v>1993</v>
      </c>
    </row>
    <row r="1469" spans="1:10" s="20" customFormat="1" ht="12" x14ac:dyDescent="0.25">
      <c r="A1469" s="22">
        <v>1000021225</v>
      </c>
      <c r="B1469" s="23" t="s">
        <v>1371</v>
      </c>
      <c r="C1469" s="24" t="s">
        <v>4</v>
      </c>
      <c r="D1469" s="23" t="s">
        <v>2090</v>
      </c>
      <c r="E1469" s="23">
        <v>860.4</v>
      </c>
      <c r="F1469" s="23">
        <v>3</v>
      </c>
      <c r="G1469" s="23">
        <v>3</v>
      </c>
      <c r="H1469" s="23">
        <v>0</v>
      </c>
      <c r="I1469" s="23" t="s">
        <v>5</v>
      </c>
      <c r="J1469" s="23" t="s">
        <v>327</v>
      </c>
    </row>
    <row r="1470" spans="1:10" s="20" customFormat="1" ht="12" x14ac:dyDescent="0.25">
      <c r="A1470" s="22">
        <v>1000020703</v>
      </c>
      <c r="B1470" s="23" t="s">
        <v>913</v>
      </c>
      <c r="C1470" s="24" t="s">
        <v>4</v>
      </c>
      <c r="D1470" s="23" t="s">
        <v>2090</v>
      </c>
      <c r="E1470" s="23">
        <v>857.10141414141401</v>
      </c>
      <c r="F1470" s="23">
        <v>8</v>
      </c>
      <c r="G1470" s="23">
        <v>8</v>
      </c>
      <c r="H1470" s="23">
        <v>0</v>
      </c>
      <c r="I1470" s="23" t="s">
        <v>5</v>
      </c>
      <c r="J1470" s="23" t="s">
        <v>327</v>
      </c>
    </row>
    <row r="1471" spans="1:10" s="20" customFormat="1" ht="12" x14ac:dyDescent="0.25">
      <c r="A1471" s="22">
        <v>1000102700</v>
      </c>
      <c r="B1471" s="23" t="s">
        <v>3586</v>
      </c>
      <c r="C1471" s="24" t="s">
        <v>4</v>
      </c>
      <c r="D1471" s="23" t="s">
        <v>2090</v>
      </c>
      <c r="E1471" s="23">
        <v>855.11</v>
      </c>
      <c r="F1471" s="23">
        <v>44</v>
      </c>
      <c r="G1471" s="23">
        <v>44</v>
      </c>
      <c r="H1471" s="23">
        <v>0</v>
      </c>
      <c r="I1471" s="23" t="s">
        <v>5</v>
      </c>
      <c r="J1471" s="23" t="s">
        <v>327</v>
      </c>
    </row>
    <row r="1472" spans="1:10" s="20" customFormat="1" ht="12" x14ac:dyDescent="0.25">
      <c r="A1472" s="22">
        <v>1000093673</v>
      </c>
      <c r="B1472" s="23" t="s">
        <v>3588</v>
      </c>
      <c r="C1472" s="24" t="s">
        <v>4</v>
      </c>
      <c r="D1472" s="23" t="s">
        <v>2056</v>
      </c>
      <c r="E1472" s="23">
        <v>854.49599999999998</v>
      </c>
      <c r="F1472" s="23">
        <v>12</v>
      </c>
      <c r="G1472" s="23">
        <v>12</v>
      </c>
      <c r="H1472" s="23">
        <v>0</v>
      </c>
      <c r="I1472" s="23" t="s">
        <v>5</v>
      </c>
      <c r="J1472" s="23" t="s">
        <v>1844</v>
      </c>
    </row>
    <row r="1473" spans="1:10" s="20" customFormat="1" ht="12" x14ac:dyDescent="0.25">
      <c r="A1473" s="22">
        <v>1000103217</v>
      </c>
      <c r="B1473" s="23" t="s">
        <v>3590</v>
      </c>
      <c r="C1473" s="24" t="s">
        <v>4</v>
      </c>
      <c r="D1473" s="23" t="s">
        <v>2090</v>
      </c>
      <c r="E1473" s="23">
        <v>852.64</v>
      </c>
      <c r="F1473" s="23">
        <v>1</v>
      </c>
      <c r="G1473" s="23">
        <v>1</v>
      </c>
      <c r="H1473" s="23">
        <v>0</v>
      </c>
      <c r="I1473" s="23" t="s">
        <v>5</v>
      </c>
      <c r="J1473" s="23" t="s">
        <v>327</v>
      </c>
    </row>
    <row r="1474" spans="1:10" s="20" customFormat="1" ht="12" x14ac:dyDescent="0.25">
      <c r="A1474" s="22">
        <v>1000020983</v>
      </c>
      <c r="B1474" s="23" t="s">
        <v>1157</v>
      </c>
      <c r="C1474" s="24" t="s">
        <v>4</v>
      </c>
      <c r="D1474" s="23" t="s">
        <v>2090</v>
      </c>
      <c r="E1474" s="23">
        <v>851.83</v>
      </c>
      <c r="F1474" s="23">
        <v>13</v>
      </c>
      <c r="G1474" s="23">
        <v>13</v>
      </c>
      <c r="H1474" s="23">
        <v>0</v>
      </c>
      <c r="I1474" s="23" t="s">
        <v>5</v>
      </c>
      <c r="J1474" s="23" t="s">
        <v>327</v>
      </c>
    </row>
    <row r="1475" spans="1:10" s="20" customFormat="1" ht="12" x14ac:dyDescent="0.25">
      <c r="A1475" s="22">
        <v>1000093532</v>
      </c>
      <c r="B1475" s="23" t="s">
        <v>3591</v>
      </c>
      <c r="C1475" s="24" t="s">
        <v>4</v>
      </c>
      <c r="D1475" s="23" t="s">
        <v>2161</v>
      </c>
      <c r="E1475" s="23">
        <v>851.73919999999998</v>
      </c>
      <c r="F1475" s="23">
        <v>4</v>
      </c>
      <c r="G1475" s="23">
        <v>4</v>
      </c>
      <c r="H1475" s="23">
        <v>0</v>
      </c>
      <c r="I1475" s="23" t="s">
        <v>5</v>
      </c>
      <c r="J1475" s="23" t="s">
        <v>111</v>
      </c>
    </row>
    <row r="1476" spans="1:10" s="20" customFormat="1" ht="12" x14ac:dyDescent="0.25">
      <c r="A1476" s="22">
        <v>1000020600</v>
      </c>
      <c r="B1476" s="23" t="s">
        <v>816</v>
      </c>
      <c r="C1476" s="24" t="s">
        <v>4</v>
      </c>
      <c r="D1476" s="23" t="s">
        <v>2090</v>
      </c>
      <c r="E1476" s="23">
        <v>850.5</v>
      </c>
      <c r="F1476" s="23">
        <v>34</v>
      </c>
      <c r="G1476" s="23">
        <v>34</v>
      </c>
      <c r="H1476" s="23">
        <v>0</v>
      </c>
      <c r="I1476" s="23" t="s">
        <v>5</v>
      </c>
      <c r="J1476" s="23" t="s">
        <v>327</v>
      </c>
    </row>
    <row r="1477" spans="1:10" s="20" customFormat="1" ht="12" x14ac:dyDescent="0.25">
      <c r="A1477" s="22">
        <v>1000094196</v>
      </c>
      <c r="B1477" s="23" t="s">
        <v>3594</v>
      </c>
      <c r="C1477" s="24" t="s">
        <v>4</v>
      </c>
      <c r="D1477" s="23" t="s">
        <v>2056</v>
      </c>
      <c r="E1477" s="23">
        <v>849.25116610177395</v>
      </c>
      <c r="F1477" s="23">
        <v>5184</v>
      </c>
      <c r="G1477" s="23">
        <v>5184</v>
      </c>
      <c r="H1477" s="23">
        <v>0</v>
      </c>
      <c r="I1477" s="23" t="s">
        <v>5</v>
      </c>
      <c r="J1477" s="23" t="s">
        <v>1844</v>
      </c>
    </row>
    <row r="1478" spans="1:10" s="20" customFormat="1" ht="12" x14ac:dyDescent="0.25">
      <c r="A1478" s="22">
        <v>1000102272</v>
      </c>
      <c r="B1478" s="23" t="s">
        <v>3595</v>
      </c>
      <c r="C1478" s="24" t="s">
        <v>4</v>
      </c>
      <c r="D1478" s="23" t="s">
        <v>2090</v>
      </c>
      <c r="E1478" s="23">
        <v>848.25</v>
      </c>
      <c r="F1478" s="23">
        <v>20</v>
      </c>
      <c r="G1478" s="23">
        <v>20</v>
      </c>
      <c r="H1478" s="23">
        <v>0</v>
      </c>
      <c r="I1478" s="23" t="s">
        <v>5</v>
      </c>
      <c r="J1478" s="23" t="s">
        <v>327</v>
      </c>
    </row>
    <row r="1479" spans="1:10" s="20" customFormat="1" ht="12" x14ac:dyDescent="0.25">
      <c r="A1479" s="22">
        <v>1000095440</v>
      </c>
      <c r="B1479" s="23" t="s">
        <v>3596</v>
      </c>
      <c r="C1479" s="24" t="s">
        <v>4</v>
      </c>
      <c r="D1479" s="23" t="s">
        <v>2090</v>
      </c>
      <c r="E1479" s="23">
        <v>845.82074074074001</v>
      </c>
      <c r="F1479" s="23">
        <v>23</v>
      </c>
      <c r="G1479" s="23">
        <v>23</v>
      </c>
      <c r="H1479" s="23">
        <v>0</v>
      </c>
      <c r="I1479" s="23" t="s">
        <v>5</v>
      </c>
      <c r="J1479" s="23" t="s">
        <v>327</v>
      </c>
    </row>
    <row r="1480" spans="1:10" s="20" customFormat="1" ht="12" x14ac:dyDescent="0.25">
      <c r="A1480" s="22">
        <v>1000020614</v>
      </c>
      <c r="B1480" s="23" t="s">
        <v>830</v>
      </c>
      <c r="C1480" s="24" t="s">
        <v>4</v>
      </c>
      <c r="D1480" s="23" t="s">
        <v>2090</v>
      </c>
      <c r="E1480" s="23">
        <v>845</v>
      </c>
      <c r="F1480" s="23">
        <v>100</v>
      </c>
      <c r="G1480" s="23">
        <v>100</v>
      </c>
      <c r="H1480" s="23">
        <v>0</v>
      </c>
      <c r="I1480" s="23" t="s">
        <v>5</v>
      </c>
      <c r="J1480" s="23" t="s">
        <v>327</v>
      </c>
    </row>
    <row r="1481" spans="1:10" s="20" customFormat="1" ht="12" x14ac:dyDescent="0.25">
      <c r="A1481" s="22">
        <v>1000020038</v>
      </c>
      <c r="B1481" s="23" t="s">
        <v>3598</v>
      </c>
      <c r="C1481" s="24" t="s">
        <v>4</v>
      </c>
      <c r="D1481" s="23" t="s">
        <v>2090</v>
      </c>
      <c r="E1481" s="23">
        <v>843.17647058823502</v>
      </c>
      <c r="F1481" s="23">
        <v>15</v>
      </c>
      <c r="G1481" s="23">
        <v>15</v>
      </c>
      <c r="H1481" s="23">
        <v>0</v>
      </c>
      <c r="I1481" s="23" t="s">
        <v>5</v>
      </c>
      <c r="J1481" s="23" t="s">
        <v>327</v>
      </c>
    </row>
    <row r="1482" spans="1:10" s="20" customFormat="1" ht="12" x14ac:dyDescent="0.25">
      <c r="A1482" s="22">
        <v>1000021234</v>
      </c>
      <c r="B1482" s="23" t="s">
        <v>1379</v>
      </c>
      <c r="C1482" s="24" t="s">
        <v>4</v>
      </c>
      <c r="D1482" s="23" t="s">
        <v>2090</v>
      </c>
      <c r="E1482" s="23">
        <v>841.95</v>
      </c>
      <c r="F1482" s="23">
        <v>3</v>
      </c>
      <c r="G1482" s="23">
        <v>3</v>
      </c>
      <c r="H1482" s="23">
        <v>0</v>
      </c>
      <c r="I1482" s="23" t="s">
        <v>5</v>
      </c>
      <c r="J1482" s="23" t="s">
        <v>327</v>
      </c>
    </row>
    <row r="1483" spans="1:10" s="20" customFormat="1" ht="12" x14ac:dyDescent="0.25">
      <c r="A1483" s="22">
        <v>1000021145</v>
      </c>
      <c r="B1483" s="23" t="s">
        <v>1296</v>
      </c>
      <c r="C1483" s="24" t="s">
        <v>4</v>
      </c>
      <c r="D1483" s="23" t="s">
        <v>2090</v>
      </c>
      <c r="E1483" s="23">
        <v>840.82500000000005</v>
      </c>
      <c r="F1483" s="23">
        <v>1</v>
      </c>
      <c r="G1483" s="23">
        <v>1</v>
      </c>
      <c r="H1483" s="23">
        <v>0</v>
      </c>
      <c r="I1483" s="23" t="s">
        <v>5</v>
      </c>
      <c r="J1483" s="23" t="s">
        <v>327</v>
      </c>
    </row>
    <row r="1484" spans="1:10" s="20" customFormat="1" ht="12" x14ac:dyDescent="0.25">
      <c r="A1484" s="22">
        <v>2500005935</v>
      </c>
      <c r="B1484" s="23" t="s">
        <v>1910</v>
      </c>
      <c r="C1484" s="24" t="s">
        <v>1996</v>
      </c>
      <c r="D1484" s="23" t="s">
        <v>2025</v>
      </c>
      <c r="E1484" s="23">
        <v>837</v>
      </c>
      <c r="F1484" s="23">
        <v>5</v>
      </c>
      <c r="G1484" s="23">
        <v>5</v>
      </c>
      <c r="H1484" s="23">
        <v>0</v>
      </c>
      <c r="I1484" s="23" t="s">
        <v>1995</v>
      </c>
      <c r="J1484" s="23" t="s">
        <v>1993</v>
      </c>
    </row>
    <row r="1485" spans="1:10" s="20" customFormat="1" ht="12" x14ac:dyDescent="0.25">
      <c r="A1485" s="22">
        <v>1000020182</v>
      </c>
      <c r="B1485" s="23" t="s">
        <v>425</v>
      </c>
      <c r="C1485" s="24" t="s">
        <v>4</v>
      </c>
      <c r="D1485" s="23" t="s">
        <v>2090</v>
      </c>
      <c r="E1485" s="23">
        <v>835.41</v>
      </c>
      <c r="F1485" s="23">
        <v>3</v>
      </c>
      <c r="G1485" s="23">
        <v>3</v>
      </c>
      <c r="H1485" s="23">
        <v>0</v>
      </c>
      <c r="I1485" s="23" t="s">
        <v>5</v>
      </c>
      <c r="J1485" s="23" t="s">
        <v>327</v>
      </c>
    </row>
    <row r="1486" spans="1:10" s="20" customFormat="1" ht="12" x14ac:dyDescent="0.25">
      <c r="A1486" s="22">
        <v>1000020940</v>
      </c>
      <c r="B1486" s="23" t="s">
        <v>1119</v>
      </c>
      <c r="C1486" s="24" t="s">
        <v>4</v>
      </c>
      <c r="D1486" s="23" t="s">
        <v>2090</v>
      </c>
      <c r="E1486" s="23">
        <v>834.66</v>
      </c>
      <c r="F1486" s="23">
        <v>2</v>
      </c>
      <c r="G1486" s="23">
        <v>2</v>
      </c>
      <c r="H1486" s="23">
        <v>0</v>
      </c>
      <c r="I1486" s="23" t="s">
        <v>5</v>
      </c>
      <c r="J1486" s="23" t="s">
        <v>327</v>
      </c>
    </row>
    <row r="1487" spans="1:10" s="20" customFormat="1" ht="12" x14ac:dyDescent="0.25">
      <c r="A1487" s="22">
        <v>1000103075</v>
      </c>
      <c r="B1487" s="23" t="s">
        <v>3601</v>
      </c>
      <c r="C1487" s="24" t="s">
        <v>4</v>
      </c>
      <c r="D1487" s="23" t="s">
        <v>2090</v>
      </c>
      <c r="E1487" s="23">
        <v>833.63499999999999</v>
      </c>
      <c r="F1487" s="23">
        <v>12</v>
      </c>
      <c r="G1487" s="23">
        <v>12</v>
      </c>
      <c r="H1487" s="23">
        <v>0</v>
      </c>
      <c r="I1487" s="23" t="s">
        <v>5</v>
      </c>
      <c r="J1487" s="23" t="s">
        <v>327</v>
      </c>
    </row>
    <row r="1488" spans="1:10" s="20" customFormat="1" ht="12" x14ac:dyDescent="0.25">
      <c r="A1488" s="22">
        <v>1000020859</v>
      </c>
      <c r="B1488" s="23" t="s">
        <v>1048</v>
      </c>
      <c r="C1488" s="24" t="s">
        <v>4</v>
      </c>
      <c r="D1488" s="23" t="s">
        <v>2090</v>
      </c>
      <c r="E1488" s="23">
        <v>833.02333333333297</v>
      </c>
      <c r="F1488" s="23">
        <v>2</v>
      </c>
      <c r="G1488" s="23">
        <v>2</v>
      </c>
      <c r="H1488" s="23">
        <v>0</v>
      </c>
      <c r="I1488" s="23" t="s">
        <v>5</v>
      </c>
      <c r="J1488" s="23" t="s">
        <v>327</v>
      </c>
    </row>
    <row r="1489" spans="1:10" s="20" customFormat="1" ht="12" x14ac:dyDescent="0.25">
      <c r="A1489" s="22">
        <v>2500009239</v>
      </c>
      <c r="B1489" s="23" t="s">
        <v>1988</v>
      </c>
      <c r="C1489" s="24" t="s">
        <v>1996</v>
      </c>
      <c r="D1489" s="23" t="s">
        <v>3603</v>
      </c>
      <c r="E1489" s="23">
        <v>830.45</v>
      </c>
      <c r="F1489" s="23">
        <v>1</v>
      </c>
      <c r="G1489" s="23">
        <v>1</v>
      </c>
      <c r="H1489" s="23">
        <v>0</v>
      </c>
      <c r="I1489" s="23" t="s">
        <v>5</v>
      </c>
      <c r="J1489" s="23" t="s">
        <v>1993</v>
      </c>
    </row>
    <row r="1490" spans="1:10" s="20" customFormat="1" ht="12" x14ac:dyDescent="0.25">
      <c r="A1490" s="22">
        <v>1000021210</v>
      </c>
      <c r="B1490" s="23" t="s">
        <v>1356</v>
      </c>
      <c r="C1490" s="24" t="s">
        <v>4</v>
      </c>
      <c r="D1490" s="23" t="s">
        <v>2218</v>
      </c>
      <c r="E1490" s="23">
        <v>830.43719999999996</v>
      </c>
      <c r="F1490" s="23">
        <v>6</v>
      </c>
      <c r="G1490" s="23">
        <v>6</v>
      </c>
      <c r="H1490" s="23">
        <v>0</v>
      </c>
      <c r="I1490" s="23" t="s">
        <v>5</v>
      </c>
      <c r="J1490" s="23" t="s">
        <v>327</v>
      </c>
    </row>
    <row r="1491" spans="1:10" s="20" customFormat="1" ht="12" x14ac:dyDescent="0.25">
      <c r="A1491" s="22">
        <v>1000021116</v>
      </c>
      <c r="B1491" s="23" t="s">
        <v>1276</v>
      </c>
      <c r="C1491" s="24" t="s">
        <v>4</v>
      </c>
      <c r="D1491" s="23" t="s">
        <v>2090</v>
      </c>
      <c r="E1491" s="23">
        <v>830.16</v>
      </c>
      <c r="F1491" s="23">
        <v>4</v>
      </c>
      <c r="G1491" s="23">
        <v>4</v>
      </c>
      <c r="H1491" s="23">
        <v>0</v>
      </c>
      <c r="I1491" s="23" t="s">
        <v>5</v>
      </c>
      <c r="J1491" s="23" t="s">
        <v>327</v>
      </c>
    </row>
    <row r="1492" spans="1:10" s="20" customFormat="1" ht="12" x14ac:dyDescent="0.25">
      <c r="A1492" s="22">
        <v>1000093811</v>
      </c>
      <c r="B1492" s="23" t="s">
        <v>3604</v>
      </c>
      <c r="C1492" s="24" t="s">
        <v>4</v>
      </c>
      <c r="D1492" s="23" t="s">
        <v>2161</v>
      </c>
      <c r="E1492" s="23">
        <v>829.4</v>
      </c>
      <c r="F1492" s="23">
        <v>3</v>
      </c>
      <c r="G1492" s="23">
        <v>3</v>
      </c>
      <c r="H1492" s="23">
        <v>0</v>
      </c>
      <c r="I1492" s="23" t="s">
        <v>5</v>
      </c>
      <c r="J1492" s="23" t="s">
        <v>111</v>
      </c>
    </row>
    <row r="1493" spans="1:10" s="20" customFormat="1" ht="12" x14ac:dyDescent="0.25">
      <c r="A1493" s="22">
        <v>1000020582</v>
      </c>
      <c r="B1493" s="23" t="s">
        <v>798</v>
      </c>
      <c r="C1493" s="24" t="s">
        <v>4</v>
      </c>
      <c r="D1493" s="23" t="s">
        <v>2090</v>
      </c>
      <c r="E1493" s="23">
        <v>829</v>
      </c>
      <c r="F1493" s="23">
        <v>25</v>
      </c>
      <c r="G1493" s="23">
        <v>25</v>
      </c>
      <c r="H1493" s="23">
        <v>0</v>
      </c>
      <c r="I1493" s="23" t="s">
        <v>5</v>
      </c>
      <c r="J1493" s="23" t="s">
        <v>327</v>
      </c>
    </row>
    <row r="1494" spans="1:10" s="20" customFormat="1" ht="12" x14ac:dyDescent="0.25">
      <c r="A1494" s="22">
        <v>1000098702</v>
      </c>
      <c r="B1494" s="23" t="s">
        <v>1652</v>
      </c>
      <c r="C1494" s="24" t="s">
        <v>4</v>
      </c>
      <c r="D1494" s="23" t="s">
        <v>2090</v>
      </c>
      <c r="E1494" s="23">
        <v>828.30086309523801</v>
      </c>
      <c r="F1494" s="23">
        <v>10</v>
      </c>
      <c r="G1494" s="23">
        <v>10</v>
      </c>
      <c r="H1494" s="23">
        <v>0</v>
      </c>
      <c r="I1494" s="23" t="s">
        <v>5</v>
      </c>
      <c r="J1494" s="23" t="s">
        <v>327</v>
      </c>
    </row>
    <row r="1495" spans="1:10" s="20" customFormat="1" ht="12" x14ac:dyDescent="0.25">
      <c r="A1495" s="22">
        <v>1000020144</v>
      </c>
      <c r="B1495" s="23" t="s">
        <v>397</v>
      </c>
      <c r="C1495" s="24" t="s">
        <v>4</v>
      </c>
      <c r="D1495" s="23" t="s">
        <v>2090</v>
      </c>
      <c r="E1495" s="23">
        <v>828.3</v>
      </c>
      <c r="F1495" s="23">
        <v>10</v>
      </c>
      <c r="G1495" s="23">
        <v>10</v>
      </c>
      <c r="H1495" s="23">
        <v>0</v>
      </c>
      <c r="I1495" s="23" t="s">
        <v>5</v>
      </c>
      <c r="J1495" s="23" t="s">
        <v>327</v>
      </c>
    </row>
    <row r="1496" spans="1:10" s="20" customFormat="1" ht="12" x14ac:dyDescent="0.25">
      <c r="A1496" s="22">
        <v>1000096209</v>
      </c>
      <c r="B1496" s="23" t="s">
        <v>3606</v>
      </c>
      <c r="C1496" s="24" t="s">
        <v>4</v>
      </c>
      <c r="D1496" s="23" t="s">
        <v>2090</v>
      </c>
      <c r="E1496" s="23">
        <v>826.82</v>
      </c>
      <c r="F1496" s="23">
        <v>2</v>
      </c>
      <c r="G1496" s="23">
        <v>2</v>
      </c>
      <c r="H1496" s="23">
        <v>0</v>
      </c>
      <c r="I1496" s="23" t="s">
        <v>5</v>
      </c>
      <c r="J1496" s="23" t="s">
        <v>327</v>
      </c>
    </row>
    <row r="1497" spans="1:10" s="20" customFormat="1" ht="12" x14ac:dyDescent="0.25">
      <c r="A1497" s="22">
        <v>1000020970</v>
      </c>
      <c r="B1497" s="23" t="s">
        <v>1144</v>
      </c>
      <c r="C1497" s="24" t="s">
        <v>4</v>
      </c>
      <c r="D1497" s="23" t="s">
        <v>2090</v>
      </c>
      <c r="E1497" s="23">
        <v>826.14</v>
      </c>
      <c r="F1497" s="23">
        <v>1</v>
      </c>
      <c r="G1497" s="23">
        <v>1</v>
      </c>
      <c r="H1497" s="23">
        <v>0</v>
      </c>
      <c r="I1497" s="23" t="s">
        <v>5</v>
      </c>
      <c r="J1497" s="23" t="s">
        <v>327</v>
      </c>
    </row>
    <row r="1498" spans="1:10" s="20" customFormat="1" ht="12" x14ac:dyDescent="0.25">
      <c r="A1498" s="22">
        <v>2500008216</v>
      </c>
      <c r="B1498" s="23" t="s">
        <v>3610</v>
      </c>
      <c r="C1498" s="24" t="s">
        <v>1996</v>
      </c>
      <c r="D1498" s="23" t="s">
        <v>2025</v>
      </c>
      <c r="E1498" s="23">
        <v>824.86</v>
      </c>
      <c r="F1498" s="23">
        <v>7</v>
      </c>
      <c r="G1498" s="23">
        <v>7</v>
      </c>
      <c r="H1498" s="23">
        <v>0</v>
      </c>
      <c r="I1498" s="23" t="s">
        <v>5</v>
      </c>
      <c r="J1498" s="23" t="s">
        <v>1993</v>
      </c>
    </row>
    <row r="1499" spans="1:10" s="20" customFormat="1" ht="12" x14ac:dyDescent="0.25">
      <c r="A1499" s="22">
        <v>1000103203</v>
      </c>
      <c r="B1499" s="23" t="s">
        <v>1810</v>
      </c>
      <c r="C1499" s="24" t="s">
        <v>4</v>
      </c>
      <c r="D1499" s="23" t="s">
        <v>2090</v>
      </c>
      <c r="E1499" s="23">
        <v>824.39202830188594</v>
      </c>
      <c r="F1499" s="23">
        <v>29</v>
      </c>
      <c r="G1499" s="23">
        <v>29</v>
      </c>
      <c r="H1499" s="23">
        <v>0</v>
      </c>
      <c r="I1499" s="23" t="s">
        <v>5</v>
      </c>
      <c r="J1499" s="23" t="s">
        <v>327</v>
      </c>
    </row>
    <row r="1500" spans="1:10" s="20" customFormat="1" ht="12" x14ac:dyDescent="0.25">
      <c r="A1500" s="22">
        <v>1000010223</v>
      </c>
      <c r="B1500" s="23" t="s">
        <v>3611</v>
      </c>
      <c r="C1500" s="24" t="s">
        <v>4</v>
      </c>
      <c r="D1500" s="23" t="s">
        <v>2161</v>
      </c>
      <c r="E1500" s="23">
        <v>824.38714285714195</v>
      </c>
      <c r="F1500" s="23">
        <v>3</v>
      </c>
      <c r="G1500" s="23">
        <v>3</v>
      </c>
      <c r="H1500" s="23">
        <v>0</v>
      </c>
      <c r="I1500" s="23" t="s">
        <v>5</v>
      </c>
      <c r="J1500" s="23" t="s">
        <v>111</v>
      </c>
    </row>
    <row r="1501" spans="1:10" s="20" customFormat="1" ht="12" x14ac:dyDescent="0.25">
      <c r="A1501" s="22">
        <v>1000020777</v>
      </c>
      <c r="B1501" s="23" t="s">
        <v>981</v>
      </c>
      <c r="C1501" s="24" t="s">
        <v>4</v>
      </c>
      <c r="D1501" s="23" t="s">
        <v>2090</v>
      </c>
      <c r="E1501" s="23">
        <v>822.27096774193501</v>
      </c>
      <c r="F1501" s="23">
        <v>30</v>
      </c>
      <c r="G1501" s="23">
        <v>30</v>
      </c>
      <c r="H1501" s="23">
        <v>0</v>
      </c>
      <c r="I1501" s="23" t="s">
        <v>5</v>
      </c>
      <c r="J1501" s="23" t="s">
        <v>327</v>
      </c>
    </row>
    <row r="1502" spans="1:10" s="20" customFormat="1" ht="12" x14ac:dyDescent="0.25">
      <c r="A1502" s="22">
        <v>1000098738</v>
      </c>
      <c r="B1502" s="23" t="s">
        <v>1678</v>
      </c>
      <c r="C1502" s="24" t="s">
        <v>4</v>
      </c>
      <c r="D1502" s="23" t="s">
        <v>2090</v>
      </c>
      <c r="E1502" s="23">
        <v>820.97</v>
      </c>
      <c r="F1502" s="23">
        <v>20</v>
      </c>
      <c r="G1502" s="23">
        <v>20</v>
      </c>
      <c r="H1502" s="23">
        <v>0</v>
      </c>
      <c r="I1502" s="23" t="s">
        <v>5</v>
      </c>
      <c r="J1502" s="23" t="s">
        <v>327</v>
      </c>
    </row>
    <row r="1503" spans="1:10" s="20" customFormat="1" ht="12" x14ac:dyDescent="0.25">
      <c r="A1503" s="22">
        <v>1000020237</v>
      </c>
      <c r="B1503" s="23" t="s">
        <v>476</v>
      </c>
      <c r="C1503" s="24" t="s">
        <v>4</v>
      </c>
      <c r="D1503" s="23" t="s">
        <v>2090</v>
      </c>
      <c r="E1503" s="23">
        <v>819</v>
      </c>
      <c r="F1503" s="23">
        <v>130</v>
      </c>
      <c r="G1503" s="23">
        <v>130</v>
      </c>
      <c r="H1503" s="23">
        <v>0</v>
      </c>
      <c r="I1503" s="23" t="s">
        <v>5</v>
      </c>
      <c r="J1503" s="23" t="s">
        <v>327</v>
      </c>
    </row>
    <row r="1504" spans="1:10" s="20" customFormat="1" ht="12" x14ac:dyDescent="0.25">
      <c r="A1504" s="22">
        <v>1000020113</v>
      </c>
      <c r="B1504" s="23" t="s">
        <v>369</v>
      </c>
      <c r="C1504" s="24" t="s">
        <v>4</v>
      </c>
      <c r="D1504" s="23" t="s">
        <v>2090</v>
      </c>
      <c r="E1504" s="23">
        <v>818.61</v>
      </c>
      <c r="F1504" s="23">
        <v>3</v>
      </c>
      <c r="G1504" s="23">
        <v>3</v>
      </c>
      <c r="H1504" s="23">
        <v>0</v>
      </c>
      <c r="I1504" s="23" t="s">
        <v>5</v>
      </c>
      <c r="J1504" s="23" t="s">
        <v>327</v>
      </c>
    </row>
    <row r="1505" spans="1:10" s="20" customFormat="1" ht="12" x14ac:dyDescent="0.25">
      <c r="A1505" s="22">
        <v>1000021008</v>
      </c>
      <c r="B1505" s="23" t="s">
        <v>1180</v>
      </c>
      <c r="C1505" s="24" t="s">
        <v>4</v>
      </c>
      <c r="D1505" s="23" t="s">
        <v>2090</v>
      </c>
      <c r="E1505" s="23">
        <v>813.54</v>
      </c>
      <c r="F1505" s="23">
        <v>2</v>
      </c>
      <c r="G1505" s="23">
        <v>2</v>
      </c>
      <c r="H1505" s="23">
        <v>0</v>
      </c>
      <c r="I1505" s="23" t="s">
        <v>5</v>
      </c>
      <c r="J1505" s="23" t="s">
        <v>327</v>
      </c>
    </row>
    <row r="1506" spans="1:10" s="20" customFormat="1" ht="12" x14ac:dyDescent="0.25">
      <c r="A1506" s="22">
        <v>1000095245</v>
      </c>
      <c r="B1506" s="23" t="s">
        <v>3616</v>
      </c>
      <c r="C1506" s="24" t="s">
        <v>4</v>
      </c>
      <c r="D1506" s="23" t="s">
        <v>2090</v>
      </c>
      <c r="E1506" s="23">
        <v>812.57749999999999</v>
      </c>
      <c r="F1506" s="23">
        <v>2</v>
      </c>
      <c r="G1506" s="23">
        <v>2</v>
      </c>
      <c r="H1506" s="23">
        <v>0</v>
      </c>
      <c r="I1506" s="23" t="s">
        <v>5</v>
      </c>
      <c r="J1506" s="23" t="s">
        <v>327</v>
      </c>
    </row>
    <row r="1507" spans="1:10" s="20" customFormat="1" ht="12" x14ac:dyDescent="0.25">
      <c r="A1507" s="22">
        <v>1000095195</v>
      </c>
      <c r="B1507" s="23" t="s">
        <v>3619</v>
      </c>
      <c r="C1507" s="24" t="s">
        <v>4</v>
      </c>
      <c r="D1507" s="23" t="s">
        <v>2090</v>
      </c>
      <c r="E1507" s="23">
        <v>809.78</v>
      </c>
      <c r="F1507" s="23">
        <v>3</v>
      </c>
      <c r="G1507" s="23">
        <v>3</v>
      </c>
      <c r="H1507" s="23">
        <v>0</v>
      </c>
      <c r="I1507" s="23" t="s">
        <v>5</v>
      </c>
      <c r="J1507" s="23" t="s">
        <v>327</v>
      </c>
    </row>
    <row r="1508" spans="1:10" s="20" customFormat="1" ht="12" x14ac:dyDescent="0.25">
      <c r="A1508" s="22">
        <v>1000020316</v>
      </c>
      <c r="B1508" s="23" t="s">
        <v>551</v>
      </c>
      <c r="C1508" s="24" t="s">
        <v>4</v>
      </c>
      <c r="D1508" s="23" t="s">
        <v>2090</v>
      </c>
      <c r="E1508" s="23">
        <v>807.3</v>
      </c>
      <c r="F1508" s="23">
        <v>5</v>
      </c>
      <c r="G1508" s="23">
        <v>5</v>
      </c>
      <c r="H1508" s="23">
        <v>0</v>
      </c>
      <c r="I1508" s="23" t="s">
        <v>5</v>
      </c>
      <c r="J1508" s="23" t="s">
        <v>327</v>
      </c>
    </row>
    <row r="1509" spans="1:10" s="20" customFormat="1" ht="12" x14ac:dyDescent="0.25">
      <c r="A1509" s="22">
        <v>2500008166</v>
      </c>
      <c r="B1509" s="23" t="s">
        <v>3621</v>
      </c>
      <c r="C1509" s="24" t="s">
        <v>1996</v>
      </c>
      <c r="D1509" s="23" t="s">
        <v>2025</v>
      </c>
      <c r="E1509" s="23">
        <v>807.15499999999997</v>
      </c>
      <c r="F1509" s="23">
        <v>6</v>
      </c>
      <c r="G1509" s="23">
        <v>6</v>
      </c>
      <c r="H1509" s="23">
        <v>0</v>
      </c>
      <c r="I1509" s="23" t="s">
        <v>5</v>
      </c>
      <c r="J1509" s="23" t="s">
        <v>1993</v>
      </c>
    </row>
    <row r="1510" spans="1:10" s="20" customFormat="1" ht="12" x14ac:dyDescent="0.25">
      <c r="A1510" s="22">
        <v>1000098550</v>
      </c>
      <c r="B1510" s="23" t="s">
        <v>3622</v>
      </c>
      <c r="C1510" s="24" t="s">
        <v>4</v>
      </c>
      <c r="D1510" s="23" t="s">
        <v>2090</v>
      </c>
      <c r="E1510" s="23">
        <v>806.25</v>
      </c>
      <c r="F1510" s="23">
        <v>25</v>
      </c>
      <c r="G1510" s="23">
        <v>25</v>
      </c>
      <c r="H1510" s="23">
        <v>0</v>
      </c>
      <c r="I1510" s="23" t="s">
        <v>5</v>
      </c>
      <c r="J1510" s="23" t="s">
        <v>327</v>
      </c>
    </row>
    <row r="1511" spans="1:10" s="20" customFormat="1" ht="12" x14ac:dyDescent="0.25">
      <c r="A1511" s="22">
        <v>1000095217</v>
      </c>
      <c r="B1511" s="23" t="s">
        <v>3626</v>
      </c>
      <c r="C1511" s="24" t="s">
        <v>4</v>
      </c>
      <c r="D1511" s="23" t="s">
        <v>2218</v>
      </c>
      <c r="E1511" s="23">
        <v>800</v>
      </c>
      <c r="F1511" s="23">
        <v>20</v>
      </c>
      <c r="G1511" s="23">
        <v>20</v>
      </c>
      <c r="H1511" s="23">
        <v>0</v>
      </c>
      <c r="I1511" s="23" t="s">
        <v>5</v>
      </c>
      <c r="J1511" s="23" t="s">
        <v>327</v>
      </c>
    </row>
    <row r="1512" spans="1:10" s="20" customFormat="1" ht="12" x14ac:dyDescent="0.25">
      <c r="A1512" s="22">
        <v>1000100727</v>
      </c>
      <c r="B1512" s="23" t="s">
        <v>3627</v>
      </c>
      <c r="C1512" s="24" t="s">
        <v>4</v>
      </c>
      <c r="D1512" s="23" t="s">
        <v>2161</v>
      </c>
      <c r="E1512" s="23">
        <v>799.66800000000001</v>
      </c>
      <c r="F1512" s="23">
        <v>2</v>
      </c>
      <c r="G1512" s="23">
        <v>2</v>
      </c>
      <c r="H1512" s="23">
        <v>0</v>
      </c>
      <c r="I1512" s="23" t="s">
        <v>5</v>
      </c>
      <c r="J1512" s="23" t="s">
        <v>111</v>
      </c>
    </row>
    <row r="1513" spans="1:10" s="20" customFormat="1" ht="12" x14ac:dyDescent="0.25">
      <c r="A1513" s="22">
        <v>1000021144</v>
      </c>
      <c r="B1513" s="23" t="s">
        <v>1295</v>
      </c>
      <c r="C1513" s="24" t="s">
        <v>4</v>
      </c>
      <c r="D1513" s="23" t="s">
        <v>2090</v>
      </c>
      <c r="E1513" s="23">
        <v>798.65</v>
      </c>
      <c r="F1513" s="23">
        <v>1</v>
      </c>
      <c r="G1513" s="23">
        <v>1</v>
      </c>
      <c r="H1513" s="23">
        <v>0</v>
      </c>
      <c r="I1513" s="23" t="s">
        <v>5</v>
      </c>
      <c r="J1513" s="23" t="s">
        <v>327</v>
      </c>
    </row>
    <row r="1514" spans="1:10" s="20" customFormat="1" ht="12" x14ac:dyDescent="0.25">
      <c r="A1514" s="22">
        <v>1000103149</v>
      </c>
      <c r="B1514" s="23" t="s">
        <v>3628</v>
      </c>
      <c r="C1514" s="24" t="s">
        <v>4</v>
      </c>
      <c r="D1514" s="23" t="s">
        <v>2090</v>
      </c>
      <c r="E1514" s="23">
        <v>796.35</v>
      </c>
      <c r="F1514" s="23">
        <v>1</v>
      </c>
      <c r="G1514" s="23">
        <v>1</v>
      </c>
      <c r="H1514" s="23">
        <v>0</v>
      </c>
      <c r="I1514" s="23" t="s">
        <v>5</v>
      </c>
      <c r="J1514" s="23" t="s">
        <v>327</v>
      </c>
    </row>
    <row r="1515" spans="1:10" s="20" customFormat="1" ht="12" x14ac:dyDescent="0.25">
      <c r="A1515" s="22">
        <v>1000109985</v>
      </c>
      <c r="B1515" s="23" t="s">
        <v>3629</v>
      </c>
      <c r="C1515" s="24" t="s">
        <v>4</v>
      </c>
      <c r="D1515" s="23" t="s">
        <v>2043</v>
      </c>
      <c r="E1515" s="23">
        <v>795.24</v>
      </c>
      <c r="F1515" s="23">
        <v>3</v>
      </c>
      <c r="G1515" s="23">
        <v>3</v>
      </c>
      <c r="H1515" s="23">
        <v>0</v>
      </c>
      <c r="I1515" s="23" t="s">
        <v>71</v>
      </c>
      <c r="J1515" s="23" t="s">
        <v>33</v>
      </c>
    </row>
    <row r="1516" spans="1:10" s="20" customFormat="1" ht="12" x14ac:dyDescent="0.25">
      <c r="A1516" s="22">
        <v>1000100646</v>
      </c>
      <c r="B1516" s="23" t="s">
        <v>3630</v>
      </c>
      <c r="C1516" s="24" t="s">
        <v>4</v>
      </c>
      <c r="D1516" s="23" t="s">
        <v>2056</v>
      </c>
      <c r="E1516" s="23">
        <v>794.15</v>
      </c>
      <c r="F1516" s="23">
        <v>2</v>
      </c>
      <c r="G1516" s="23">
        <v>2</v>
      </c>
      <c r="H1516" s="23">
        <v>0</v>
      </c>
      <c r="I1516" s="23" t="s">
        <v>5</v>
      </c>
      <c r="J1516" s="23" t="s">
        <v>1844</v>
      </c>
    </row>
    <row r="1517" spans="1:10" s="20" customFormat="1" ht="12" x14ac:dyDescent="0.25">
      <c r="A1517" s="22">
        <v>1000100647</v>
      </c>
      <c r="B1517" s="23" t="s">
        <v>3632</v>
      </c>
      <c r="C1517" s="24" t="s">
        <v>4</v>
      </c>
      <c r="D1517" s="23" t="s">
        <v>2056</v>
      </c>
      <c r="E1517" s="23">
        <v>793.74</v>
      </c>
      <c r="F1517" s="23">
        <v>2</v>
      </c>
      <c r="G1517" s="23">
        <v>2</v>
      </c>
      <c r="H1517" s="23">
        <v>0</v>
      </c>
      <c r="I1517" s="23" t="s">
        <v>5</v>
      </c>
      <c r="J1517" s="23" t="s">
        <v>1844</v>
      </c>
    </row>
    <row r="1518" spans="1:10" s="20" customFormat="1" ht="12" x14ac:dyDescent="0.25">
      <c r="A1518" s="22">
        <v>1000100649</v>
      </c>
      <c r="B1518" s="23" t="s">
        <v>3634</v>
      </c>
      <c r="C1518" s="24" t="s">
        <v>4</v>
      </c>
      <c r="D1518" s="23" t="s">
        <v>2056</v>
      </c>
      <c r="E1518" s="23">
        <v>791.8</v>
      </c>
      <c r="F1518" s="23">
        <v>2</v>
      </c>
      <c r="G1518" s="23">
        <v>2</v>
      </c>
      <c r="H1518" s="23">
        <v>0</v>
      </c>
      <c r="I1518" s="23" t="s">
        <v>5</v>
      </c>
      <c r="J1518" s="23" t="s">
        <v>1844</v>
      </c>
    </row>
    <row r="1519" spans="1:10" s="20" customFormat="1" ht="12" x14ac:dyDescent="0.25">
      <c r="A1519" s="22">
        <v>1000100648</v>
      </c>
      <c r="B1519" s="23" t="s">
        <v>3635</v>
      </c>
      <c r="C1519" s="24" t="s">
        <v>4</v>
      </c>
      <c r="D1519" s="23" t="s">
        <v>2056</v>
      </c>
      <c r="E1519" s="23">
        <v>790.87</v>
      </c>
      <c r="F1519" s="23">
        <v>2</v>
      </c>
      <c r="G1519" s="23">
        <v>2</v>
      </c>
      <c r="H1519" s="23">
        <v>0</v>
      </c>
      <c r="I1519" s="23" t="s">
        <v>5</v>
      </c>
      <c r="J1519" s="23" t="s">
        <v>1844</v>
      </c>
    </row>
    <row r="1520" spans="1:10" s="20" customFormat="1" ht="12" x14ac:dyDescent="0.25">
      <c r="A1520" s="22">
        <v>1000106068</v>
      </c>
      <c r="B1520" s="23" t="s">
        <v>3636</v>
      </c>
      <c r="C1520" s="24" t="s">
        <v>4</v>
      </c>
      <c r="D1520" s="23" t="s">
        <v>2161</v>
      </c>
      <c r="E1520" s="23">
        <v>790.28</v>
      </c>
      <c r="F1520" s="23">
        <v>2</v>
      </c>
      <c r="G1520" s="23">
        <v>2</v>
      </c>
      <c r="H1520" s="23">
        <v>0</v>
      </c>
      <c r="I1520" s="23" t="s">
        <v>5</v>
      </c>
      <c r="J1520" s="23" t="s">
        <v>111</v>
      </c>
    </row>
    <row r="1521" spans="1:10" s="20" customFormat="1" ht="12" x14ac:dyDescent="0.25">
      <c r="A1521" s="22">
        <v>1000103637</v>
      </c>
      <c r="B1521" s="23" t="s">
        <v>3639</v>
      </c>
      <c r="C1521" s="24" t="s">
        <v>4</v>
      </c>
      <c r="D1521" s="23" t="s">
        <v>2161</v>
      </c>
      <c r="E1521" s="23">
        <v>785.28</v>
      </c>
      <c r="F1521" s="23">
        <v>3</v>
      </c>
      <c r="G1521" s="23">
        <v>3</v>
      </c>
      <c r="H1521" s="23">
        <v>0</v>
      </c>
      <c r="I1521" s="23" t="s">
        <v>5</v>
      </c>
      <c r="J1521" s="23" t="s">
        <v>111</v>
      </c>
    </row>
    <row r="1522" spans="1:10" s="20" customFormat="1" ht="12" x14ac:dyDescent="0.25">
      <c r="A1522" s="22">
        <v>1000021253</v>
      </c>
      <c r="B1522" s="23" t="s">
        <v>1398</v>
      </c>
      <c r="C1522" s="24" t="s">
        <v>4</v>
      </c>
      <c r="D1522" s="23" t="s">
        <v>2090</v>
      </c>
      <c r="E1522" s="23">
        <v>783.58057142857103</v>
      </c>
      <c r="F1522" s="23">
        <v>4</v>
      </c>
      <c r="G1522" s="23">
        <v>4</v>
      </c>
      <c r="H1522" s="23">
        <v>0</v>
      </c>
      <c r="I1522" s="23" t="s">
        <v>5</v>
      </c>
      <c r="J1522" s="23" t="s">
        <v>327</v>
      </c>
    </row>
    <row r="1523" spans="1:10" s="20" customFormat="1" ht="12" x14ac:dyDescent="0.25">
      <c r="A1523" s="22">
        <v>1000021242</v>
      </c>
      <c r="B1523" s="23" t="s">
        <v>1387</v>
      </c>
      <c r="C1523" s="24" t="s">
        <v>4</v>
      </c>
      <c r="D1523" s="23" t="s">
        <v>2090</v>
      </c>
      <c r="E1523" s="23">
        <v>780.24</v>
      </c>
      <c r="F1523" s="23">
        <v>2</v>
      </c>
      <c r="G1523" s="23">
        <v>2</v>
      </c>
      <c r="H1523" s="23">
        <v>0</v>
      </c>
      <c r="I1523" s="23" t="s">
        <v>5</v>
      </c>
      <c r="J1523" s="23" t="s">
        <v>327</v>
      </c>
    </row>
    <row r="1524" spans="1:10" s="20" customFormat="1" ht="12" x14ac:dyDescent="0.25">
      <c r="A1524" s="22">
        <v>1000010176</v>
      </c>
      <c r="B1524" s="23" t="s">
        <v>123</v>
      </c>
      <c r="C1524" s="24" t="s">
        <v>4</v>
      </c>
      <c r="D1524" s="23" t="s">
        <v>2161</v>
      </c>
      <c r="E1524" s="23">
        <v>780</v>
      </c>
      <c r="F1524" s="23">
        <v>4</v>
      </c>
      <c r="G1524" s="23">
        <v>4</v>
      </c>
      <c r="H1524" s="23">
        <v>0</v>
      </c>
      <c r="I1524" s="23" t="s">
        <v>5</v>
      </c>
      <c r="J1524" s="23" t="s">
        <v>111</v>
      </c>
    </row>
    <row r="1525" spans="1:10" s="20" customFormat="1" ht="12" x14ac:dyDescent="0.25">
      <c r="A1525" s="22">
        <v>1000021038</v>
      </c>
      <c r="B1525" s="23" t="s">
        <v>1209</v>
      </c>
      <c r="C1525" s="24" t="s">
        <v>4</v>
      </c>
      <c r="D1525" s="23" t="s">
        <v>2090</v>
      </c>
      <c r="E1525" s="23">
        <v>778.28</v>
      </c>
      <c r="F1525" s="23">
        <v>5</v>
      </c>
      <c r="G1525" s="23">
        <v>5</v>
      </c>
      <c r="H1525" s="23">
        <v>0</v>
      </c>
      <c r="I1525" s="23" t="s">
        <v>5</v>
      </c>
      <c r="J1525" s="23" t="s">
        <v>327</v>
      </c>
    </row>
    <row r="1526" spans="1:10" s="20" customFormat="1" ht="12" x14ac:dyDescent="0.25">
      <c r="A1526" s="22">
        <v>1000101591</v>
      </c>
      <c r="B1526" s="23" t="s">
        <v>3642</v>
      </c>
      <c r="C1526" s="24" t="s">
        <v>4</v>
      </c>
      <c r="D1526" s="23" t="s">
        <v>2090</v>
      </c>
      <c r="E1526" s="23">
        <v>777.38</v>
      </c>
      <c r="F1526" s="23">
        <v>5</v>
      </c>
      <c r="G1526" s="23">
        <v>5</v>
      </c>
      <c r="H1526" s="23">
        <v>0</v>
      </c>
      <c r="I1526" s="23" t="s">
        <v>5</v>
      </c>
      <c r="J1526" s="23" t="s">
        <v>327</v>
      </c>
    </row>
    <row r="1527" spans="1:10" s="20" customFormat="1" ht="12" x14ac:dyDescent="0.25">
      <c r="A1527" s="22">
        <v>1000099429</v>
      </c>
      <c r="B1527" s="23" t="s">
        <v>3644</v>
      </c>
      <c r="C1527" s="24" t="s">
        <v>4</v>
      </c>
      <c r="D1527" s="23" t="s">
        <v>2090</v>
      </c>
      <c r="E1527" s="23">
        <v>775.2</v>
      </c>
      <c r="F1527" s="23">
        <v>38</v>
      </c>
      <c r="G1527" s="23">
        <v>0</v>
      </c>
      <c r="H1527" s="23">
        <v>38</v>
      </c>
      <c r="I1527" s="23" t="s">
        <v>44</v>
      </c>
      <c r="J1527" s="23" t="s">
        <v>327</v>
      </c>
    </row>
    <row r="1528" spans="1:10" s="20" customFormat="1" ht="12" x14ac:dyDescent="0.25">
      <c r="A1528" s="22">
        <v>1000100364</v>
      </c>
      <c r="B1528" s="23" t="s">
        <v>1704</v>
      </c>
      <c r="C1528" s="24" t="s">
        <v>4</v>
      </c>
      <c r="D1528" s="23" t="s">
        <v>2090</v>
      </c>
      <c r="E1528" s="23">
        <v>770.47</v>
      </c>
      <c r="F1528" s="23">
        <v>10</v>
      </c>
      <c r="G1528" s="23">
        <v>10</v>
      </c>
      <c r="H1528" s="23">
        <v>0</v>
      </c>
      <c r="I1528" s="23" t="s">
        <v>5</v>
      </c>
      <c r="J1528" s="23" t="s">
        <v>327</v>
      </c>
    </row>
    <row r="1529" spans="1:10" s="20" customFormat="1" ht="12" x14ac:dyDescent="0.25">
      <c r="A1529" s="22">
        <v>1000103205</v>
      </c>
      <c r="B1529" s="23" t="s">
        <v>1812</v>
      </c>
      <c r="C1529" s="24" t="s">
        <v>4</v>
      </c>
      <c r="D1529" s="23" t="s">
        <v>2090</v>
      </c>
      <c r="E1529" s="23">
        <v>769.71008841732896</v>
      </c>
      <c r="F1529" s="23">
        <v>35</v>
      </c>
      <c r="G1529" s="23">
        <v>35</v>
      </c>
      <c r="H1529" s="23">
        <v>0</v>
      </c>
      <c r="I1529" s="23" t="s">
        <v>5</v>
      </c>
      <c r="J1529" s="23" t="s">
        <v>327</v>
      </c>
    </row>
    <row r="1530" spans="1:10" s="20" customFormat="1" ht="12" x14ac:dyDescent="0.25">
      <c r="A1530" s="22">
        <v>1000020118</v>
      </c>
      <c r="B1530" s="23" t="s">
        <v>373</v>
      </c>
      <c r="C1530" s="24" t="s">
        <v>4</v>
      </c>
      <c r="D1530" s="23" t="s">
        <v>2090</v>
      </c>
      <c r="E1530" s="23">
        <v>768.63980000000004</v>
      </c>
      <c r="F1530" s="23">
        <v>2</v>
      </c>
      <c r="G1530" s="23">
        <v>2</v>
      </c>
      <c r="H1530" s="23">
        <v>0</v>
      </c>
      <c r="I1530" s="23" t="s">
        <v>5</v>
      </c>
      <c r="J1530" s="23" t="s">
        <v>327</v>
      </c>
    </row>
    <row r="1531" spans="1:10" s="20" customFormat="1" ht="12" x14ac:dyDescent="0.25">
      <c r="A1531" s="22">
        <v>1000020658</v>
      </c>
      <c r="B1531" s="23" t="s">
        <v>871</v>
      </c>
      <c r="C1531" s="24" t="s">
        <v>4</v>
      </c>
      <c r="D1531" s="23" t="s">
        <v>2090</v>
      </c>
      <c r="E1531" s="23">
        <v>766.72500000000002</v>
      </c>
      <c r="F1531" s="23">
        <v>17</v>
      </c>
      <c r="G1531" s="23">
        <v>17</v>
      </c>
      <c r="H1531" s="23">
        <v>0</v>
      </c>
      <c r="I1531" s="23" t="s">
        <v>5</v>
      </c>
      <c r="J1531" s="23" t="s">
        <v>327</v>
      </c>
    </row>
    <row r="1532" spans="1:10" s="20" customFormat="1" ht="12" x14ac:dyDescent="0.25">
      <c r="A1532" s="22">
        <v>2500008615</v>
      </c>
      <c r="B1532" s="23" t="s">
        <v>3647</v>
      </c>
      <c r="C1532" s="24" t="s">
        <v>1996</v>
      </c>
      <c r="D1532" s="23" t="s">
        <v>2025</v>
      </c>
      <c r="E1532" s="23">
        <v>765</v>
      </c>
      <c r="F1532" s="23">
        <v>1</v>
      </c>
      <c r="G1532" s="23">
        <v>0</v>
      </c>
      <c r="H1532" s="23">
        <v>1</v>
      </c>
      <c r="I1532" s="23" t="s">
        <v>1995</v>
      </c>
      <c r="J1532" s="23" t="s">
        <v>1993</v>
      </c>
    </row>
    <row r="1533" spans="1:10" s="20" customFormat="1" ht="12" x14ac:dyDescent="0.25">
      <c r="A1533" s="22">
        <v>2500008616</v>
      </c>
      <c r="B1533" s="23" t="s">
        <v>3648</v>
      </c>
      <c r="C1533" s="24" t="s">
        <v>1996</v>
      </c>
      <c r="D1533" s="23" t="s">
        <v>2025</v>
      </c>
      <c r="E1533" s="23">
        <v>765</v>
      </c>
      <c r="F1533" s="23">
        <v>1</v>
      </c>
      <c r="G1533" s="23">
        <v>0</v>
      </c>
      <c r="H1533" s="23">
        <v>1</v>
      </c>
      <c r="I1533" s="23" t="s">
        <v>1995</v>
      </c>
      <c r="J1533" s="23" t="s">
        <v>1993</v>
      </c>
    </row>
    <row r="1534" spans="1:10" s="20" customFormat="1" ht="12" x14ac:dyDescent="0.25">
      <c r="A1534" s="22">
        <v>1000095834</v>
      </c>
      <c r="B1534" s="23" t="s">
        <v>3650</v>
      </c>
      <c r="C1534" s="24" t="s">
        <v>4</v>
      </c>
      <c r="D1534" s="23" t="s">
        <v>2056</v>
      </c>
      <c r="E1534" s="23">
        <v>763.14712222222204</v>
      </c>
      <c r="F1534" s="23">
        <v>902</v>
      </c>
      <c r="G1534" s="23">
        <v>902</v>
      </c>
      <c r="H1534" s="23">
        <v>0</v>
      </c>
      <c r="I1534" s="23" t="s">
        <v>5</v>
      </c>
      <c r="J1534" s="23" t="s">
        <v>1844</v>
      </c>
    </row>
    <row r="1535" spans="1:10" s="20" customFormat="1" ht="12" x14ac:dyDescent="0.25">
      <c r="A1535" s="22">
        <v>1000021109</v>
      </c>
      <c r="B1535" s="23" t="s">
        <v>1270</v>
      </c>
      <c r="C1535" s="24" t="s">
        <v>4</v>
      </c>
      <c r="D1535" s="23" t="s">
        <v>2090</v>
      </c>
      <c r="E1535" s="23">
        <v>763.06</v>
      </c>
      <c r="F1535" s="23">
        <v>2</v>
      </c>
      <c r="G1535" s="23">
        <v>2</v>
      </c>
      <c r="H1535" s="23">
        <v>0</v>
      </c>
      <c r="I1535" s="23" t="s">
        <v>5</v>
      </c>
      <c r="J1535" s="23" t="s">
        <v>327</v>
      </c>
    </row>
    <row r="1536" spans="1:10" s="20" customFormat="1" ht="12" x14ac:dyDescent="0.25">
      <c r="A1536" s="22">
        <v>1000098530</v>
      </c>
      <c r="B1536" s="23" t="s">
        <v>1564</v>
      </c>
      <c r="C1536" s="24" t="s">
        <v>4</v>
      </c>
      <c r="D1536" s="23" t="s">
        <v>2090</v>
      </c>
      <c r="E1536" s="23">
        <v>762.7</v>
      </c>
      <c r="F1536" s="23">
        <v>2</v>
      </c>
      <c r="G1536" s="23">
        <v>2</v>
      </c>
      <c r="H1536" s="23">
        <v>0</v>
      </c>
      <c r="I1536" s="23" t="s">
        <v>5</v>
      </c>
      <c r="J1536" s="23" t="s">
        <v>327</v>
      </c>
    </row>
    <row r="1537" spans="1:10" s="20" customFormat="1" ht="12" x14ac:dyDescent="0.25">
      <c r="A1537" s="22">
        <v>1000098574</v>
      </c>
      <c r="B1537" s="23" t="s">
        <v>1583</v>
      </c>
      <c r="C1537" s="24" t="s">
        <v>4</v>
      </c>
      <c r="D1537" s="23" t="s">
        <v>2090</v>
      </c>
      <c r="E1537" s="23">
        <v>760.3</v>
      </c>
      <c r="F1537" s="23">
        <v>25</v>
      </c>
      <c r="G1537" s="23">
        <v>25</v>
      </c>
      <c r="H1537" s="23">
        <v>0</v>
      </c>
      <c r="I1537" s="23" t="s">
        <v>5</v>
      </c>
      <c r="J1537" s="23" t="s">
        <v>327</v>
      </c>
    </row>
    <row r="1538" spans="1:10" s="20" customFormat="1" ht="12" x14ac:dyDescent="0.25">
      <c r="A1538" s="22">
        <v>1000020972</v>
      </c>
      <c r="B1538" s="23" t="s">
        <v>1146</v>
      </c>
      <c r="C1538" s="24" t="s">
        <v>4</v>
      </c>
      <c r="D1538" s="23" t="s">
        <v>2090</v>
      </c>
      <c r="E1538" s="23">
        <v>757.46</v>
      </c>
      <c r="F1538" s="23">
        <v>10</v>
      </c>
      <c r="G1538" s="23">
        <v>10</v>
      </c>
      <c r="H1538" s="23">
        <v>0</v>
      </c>
      <c r="I1538" s="23" t="s">
        <v>5</v>
      </c>
      <c r="J1538" s="23" t="s">
        <v>327</v>
      </c>
    </row>
    <row r="1539" spans="1:10" s="20" customFormat="1" ht="12" x14ac:dyDescent="0.25">
      <c r="A1539" s="22">
        <v>1000020004</v>
      </c>
      <c r="B1539" s="23" t="s">
        <v>3652</v>
      </c>
      <c r="C1539" s="24" t="s">
        <v>4</v>
      </c>
      <c r="D1539" s="23" t="s">
        <v>2090</v>
      </c>
      <c r="E1539" s="23">
        <v>756.05341970310303</v>
      </c>
      <c r="F1539" s="23">
        <v>109</v>
      </c>
      <c r="G1539" s="23">
        <v>109</v>
      </c>
      <c r="H1539" s="23">
        <v>0</v>
      </c>
      <c r="I1539" s="23" t="s">
        <v>5</v>
      </c>
      <c r="J1539" s="23" t="s">
        <v>327</v>
      </c>
    </row>
    <row r="1540" spans="1:10" s="20" customFormat="1" ht="12" x14ac:dyDescent="0.25">
      <c r="A1540" s="22">
        <v>1000010163</v>
      </c>
      <c r="B1540" s="23" t="s">
        <v>3653</v>
      </c>
      <c r="C1540" s="24" t="s">
        <v>4</v>
      </c>
      <c r="D1540" s="23" t="s">
        <v>2161</v>
      </c>
      <c r="E1540" s="23">
        <v>753.75</v>
      </c>
      <c r="F1540" s="23">
        <v>5</v>
      </c>
      <c r="G1540" s="23">
        <v>5</v>
      </c>
      <c r="H1540" s="23">
        <v>0</v>
      </c>
      <c r="I1540" s="23" t="s">
        <v>5</v>
      </c>
      <c r="J1540" s="23" t="s">
        <v>111</v>
      </c>
    </row>
    <row r="1541" spans="1:10" s="20" customFormat="1" ht="12" x14ac:dyDescent="0.25">
      <c r="A1541" s="22">
        <v>1000020631</v>
      </c>
      <c r="B1541" s="23" t="s">
        <v>846</v>
      </c>
      <c r="C1541" s="24" t="s">
        <v>4</v>
      </c>
      <c r="D1541" s="23" t="s">
        <v>2090</v>
      </c>
      <c r="E1541" s="23">
        <v>751.73006934984505</v>
      </c>
      <c r="F1541" s="23">
        <v>59</v>
      </c>
      <c r="G1541" s="23">
        <v>59</v>
      </c>
      <c r="H1541" s="23">
        <v>0</v>
      </c>
      <c r="I1541" s="23" t="s">
        <v>5</v>
      </c>
      <c r="J1541" s="23" t="s">
        <v>327</v>
      </c>
    </row>
    <row r="1542" spans="1:10" s="20" customFormat="1" ht="12" x14ac:dyDescent="0.25">
      <c r="A1542" s="22">
        <v>1000103529</v>
      </c>
      <c r="B1542" s="23" t="s">
        <v>1831</v>
      </c>
      <c r="C1542" s="24" t="s">
        <v>4</v>
      </c>
      <c r="D1542" s="23" t="s">
        <v>2090</v>
      </c>
      <c r="E1542" s="23">
        <v>751.69</v>
      </c>
      <c r="F1542" s="23">
        <v>5</v>
      </c>
      <c r="G1542" s="23">
        <v>5</v>
      </c>
      <c r="H1542" s="23">
        <v>0</v>
      </c>
      <c r="I1542" s="23" t="s">
        <v>5</v>
      </c>
      <c r="J1542" s="23" t="s">
        <v>327</v>
      </c>
    </row>
    <row r="1543" spans="1:10" s="20" customFormat="1" ht="12" x14ac:dyDescent="0.25">
      <c r="A1543" s="22">
        <v>1000102408</v>
      </c>
      <c r="B1543" s="23" t="s">
        <v>3656</v>
      </c>
      <c r="C1543" s="24" t="s">
        <v>4</v>
      </c>
      <c r="D1543" s="23" t="s">
        <v>2090</v>
      </c>
      <c r="E1543" s="23">
        <v>751.20187438271</v>
      </c>
      <c r="F1543" s="23">
        <v>38</v>
      </c>
      <c r="G1543" s="23">
        <v>38</v>
      </c>
      <c r="H1543" s="23">
        <v>0</v>
      </c>
      <c r="I1543" s="23" t="s">
        <v>5</v>
      </c>
      <c r="J1543" s="23" t="s">
        <v>327</v>
      </c>
    </row>
    <row r="1544" spans="1:10" s="20" customFormat="1" ht="12" x14ac:dyDescent="0.25">
      <c r="A1544" s="22">
        <v>1000020097</v>
      </c>
      <c r="B1544" s="23" t="s">
        <v>354</v>
      </c>
      <c r="C1544" s="24" t="s">
        <v>4</v>
      </c>
      <c r="D1544" s="23" t="s">
        <v>2090</v>
      </c>
      <c r="E1544" s="23">
        <v>751.16</v>
      </c>
      <c r="F1544" s="23">
        <v>4</v>
      </c>
      <c r="G1544" s="23">
        <v>4</v>
      </c>
      <c r="H1544" s="23">
        <v>0</v>
      </c>
      <c r="I1544" s="23" t="s">
        <v>5</v>
      </c>
      <c r="J1544" s="23" t="s">
        <v>327</v>
      </c>
    </row>
    <row r="1545" spans="1:10" s="20" customFormat="1" ht="12" x14ac:dyDescent="0.25">
      <c r="A1545" s="22">
        <v>1000100361</v>
      </c>
      <c r="B1545" s="23" t="s">
        <v>1702</v>
      </c>
      <c r="C1545" s="24" t="s">
        <v>4</v>
      </c>
      <c r="D1545" s="23" t="s">
        <v>2090</v>
      </c>
      <c r="E1545" s="23">
        <v>750.92</v>
      </c>
      <c r="F1545" s="23">
        <v>29</v>
      </c>
      <c r="G1545" s="23">
        <v>29</v>
      </c>
      <c r="H1545" s="23">
        <v>0</v>
      </c>
      <c r="I1545" s="23" t="s">
        <v>5</v>
      </c>
      <c r="J1545" s="23" t="s">
        <v>327</v>
      </c>
    </row>
    <row r="1546" spans="1:10" s="20" customFormat="1" ht="12" x14ac:dyDescent="0.25">
      <c r="A1546" s="22">
        <v>1000020615</v>
      </c>
      <c r="B1546" s="23" t="s">
        <v>831</v>
      </c>
      <c r="C1546" s="24" t="s">
        <v>4</v>
      </c>
      <c r="D1546" s="23" t="s">
        <v>2090</v>
      </c>
      <c r="E1546" s="23">
        <v>750</v>
      </c>
      <c r="F1546" s="23">
        <v>100</v>
      </c>
      <c r="G1546" s="23">
        <v>100</v>
      </c>
      <c r="H1546" s="23">
        <v>0</v>
      </c>
      <c r="I1546" s="23" t="s">
        <v>5</v>
      </c>
      <c r="J1546" s="23" t="s">
        <v>327</v>
      </c>
    </row>
    <row r="1547" spans="1:10" s="20" customFormat="1" ht="12" x14ac:dyDescent="0.25">
      <c r="A1547" s="22">
        <v>2500005599</v>
      </c>
      <c r="B1547" s="23" t="s">
        <v>3658</v>
      </c>
      <c r="C1547" s="24" t="s">
        <v>1996</v>
      </c>
      <c r="D1547" s="23" t="s">
        <v>2025</v>
      </c>
      <c r="E1547" s="23">
        <v>750</v>
      </c>
      <c r="F1547" s="23">
        <v>1</v>
      </c>
      <c r="G1547" s="23">
        <v>1</v>
      </c>
      <c r="H1547" s="23">
        <v>0</v>
      </c>
      <c r="I1547" s="23" t="s">
        <v>5</v>
      </c>
      <c r="J1547" s="23" t="s">
        <v>1993</v>
      </c>
    </row>
    <row r="1548" spans="1:10" s="20" customFormat="1" ht="12" x14ac:dyDescent="0.25">
      <c r="A1548" s="22">
        <v>2500008971</v>
      </c>
      <c r="B1548" s="23" t="s">
        <v>3660</v>
      </c>
      <c r="C1548" s="24" t="s">
        <v>1996</v>
      </c>
      <c r="D1548" s="23" t="s">
        <v>2025</v>
      </c>
      <c r="E1548" s="23">
        <v>749.25</v>
      </c>
      <c r="F1548" s="23">
        <v>6</v>
      </c>
      <c r="G1548" s="23">
        <v>6</v>
      </c>
      <c r="H1548" s="23">
        <v>0</v>
      </c>
      <c r="I1548" s="23" t="s">
        <v>5</v>
      </c>
      <c r="J1548" s="23" t="s">
        <v>1993</v>
      </c>
    </row>
    <row r="1549" spans="1:10" s="20" customFormat="1" ht="12" x14ac:dyDescent="0.25">
      <c r="A1549" s="22">
        <v>1000002870</v>
      </c>
      <c r="B1549" s="23" t="s">
        <v>12</v>
      </c>
      <c r="C1549" s="24" t="s">
        <v>2109</v>
      </c>
      <c r="D1549" s="23" t="s">
        <v>2070</v>
      </c>
      <c r="E1549" s="23">
        <v>749.06</v>
      </c>
      <c r="F1549" s="23">
        <v>2</v>
      </c>
      <c r="G1549" s="23">
        <v>2</v>
      </c>
      <c r="H1549" s="23">
        <v>0</v>
      </c>
      <c r="I1549" s="23" t="s">
        <v>5</v>
      </c>
      <c r="J1549" s="23" t="s">
        <v>6</v>
      </c>
    </row>
    <row r="1550" spans="1:10" s="20" customFormat="1" ht="12" x14ac:dyDescent="0.25">
      <c r="A1550" s="22">
        <v>1000021157</v>
      </c>
      <c r="B1550" s="23" t="s">
        <v>1306</v>
      </c>
      <c r="C1550" s="24" t="s">
        <v>4</v>
      </c>
      <c r="D1550" s="23" t="s">
        <v>2090</v>
      </c>
      <c r="E1550" s="23">
        <v>746.88</v>
      </c>
      <c r="F1550" s="23">
        <v>2</v>
      </c>
      <c r="G1550" s="23">
        <v>2</v>
      </c>
      <c r="H1550" s="23">
        <v>0</v>
      </c>
      <c r="I1550" s="23" t="s">
        <v>5</v>
      </c>
      <c r="J1550" s="23" t="s">
        <v>327</v>
      </c>
    </row>
    <row r="1551" spans="1:10" s="20" customFormat="1" ht="12" x14ac:dyDescent="0.25">
      <c r="A1551" s="22">
        <v>1000021158</v>
      </c>
      <c r="B1551" s="23" t="s">
        <v>1307</v>
      </c>
      <c r="C1551" s="24" t="s">
        <v>4</v>
      </c>
      <c r="D1551" s="23" t="s">
        <v>2090</v>
      </c>
      <c r="E1551" s="23">
        <v>746.88</v>
      </c>
      <c r="F1551" s="23">
        <v>2</v>
      </c>
      <c r="G1551" s="23">
        <v>2</v>
      </c>
      <c r="H1551" s="23">
        <v>0</v>
      </c>
      <c r="I1551" s="23" t="s">
        <v>5</v>
      </c>
      <c r="J1551" s="23" t="s">
        <v>327</v>
      </c>
    </row>
    <row r="1552" spans="1:10" s="20" customFormat="1" ht="12" x14ac:dyDescent="0.25">
      <c r="A1552" s="22">
        <v>1000021055</v>
      </c>
      <c r="B1552" s="23" t="s">
        <v>1221</v>
      </c>
      <c r="C1552" s="24" t="s">
        <v>4</v>
      </c>
      <c r="D1552" s="23" t="s">
        <v>2090</v>
      </c>
      <c r="E1552" s="23">
        <v>746.74</v>
      </c>
      <c r="F1552" s="23">
        <v>2</v>
      </c>
      <c r="G1552" s="23">
        <v>2</v>
      </c>
      <c r="H1552" s="23">
        <v>0</v>
      </c>
      <c r="I1552" s="23" t="s">
        <v>5</v>
      </c>
      <c r="J1552" s="23" t="s">
        <v>327</v>
      </c>
    </row>
    <row r="1553" spans="1:10" s="20" customFormat="1" ht="12" x14ac:dyDescent="0.25">
      <c r="A1553" s="22">
        <v>1000102221</v>
      </c>
      <c r="B1553" s="23" t="s">
        <v>1776</v>
      </c>
      <c r="C1553" s="24" t="s">
        <v>4</v>
      </c>
      <c r="D1553" s="23" t="s">
        <v>2218</v>
      </c>
      <c r="E1553" s="23">
        <v>745.07242031295198</v>
      </c>
      <c r="F1553" s="23">
        <v>303</v>
      </c>
      <c r="G1553" s="23">
        <v>303</v>
      </c>
      <c r="H1553" s="23">
        <v>0</v>
      </c>
      <c r="I1553" s="23" t="s">
        <v>5</v>
      </c>
      <c r="J1553" s="23" t="s">
        <v>327</v>
      </c>
    </row>
    <row r="1554" spans="1:10" s="20" customFormat="1" ht="12" x14ac:dyDescent="0.25">
      <c r="A1554" s="22">
        <v>2500005888</v>
      </c>
      <c r="B1554" s="23" t="s">
        <v>3662</v>
      </c>
      <c r="C1554" s="24" t="s">
        <v>1996</v>
      </c>
      <c r="D1554" s="23" t="s">
        <v>2025</v>
      </c>
      <c r="E1554" s="23">
        <v>743.32822222222205</v>
      </c>
      <c r="F1554" s="23">
        <v>8</v>
      </c>
      <c r="G1554" s="23">
        <v>8</v>
      </c>
      <c r="H1554" s="23">
        <v>0</v>
      </c>
      <c r="I1554" s="23" t="s">
        <v>5</v>
      </c>
      <c r="J1554" s="23" t="s">
        <v>1993</v>
      </c>
    </row>
    <row r="1555" spans="1:10" s="20" customFormat="1" ht="12" x14ac:dyDescent="0.25">
      <c r="A1555" s="22">
        <v>1000021123</v>
      </c>
      <c r="B1555" s="23" t="s">
        <v>1282</v>
      </c>
      <c r="C1555" s="24" t="s">
        <v>4</v>
      </c>
      <c r="D1555" s="23" t="s">
        <v>2090</v>
      </c>
      <c r="E1555" s="23">
        <v>742.72</v>
      </c>
      <c r="F1555" s="23">
        <v>2</v>
      </c>
      <c r="G1555" s="23">
        <v>2</v>
      </c>
      <c r="H1555" s="23">
        <v>0</v>
      </c>
      <c r="I1555" s="23" t="s">
        <v>5</v>
      </c>
      <c r="J1555" s="23" t="s">
        <v>327</v>
      </c>
    </row>
    <row r="1556" spans="1:10" s="20" customFormat="1" ht="12" x14ac:dyDescent="0.25">
      <c r="A1556" s="22">
        <v>1000020183</v>
      </c>
      <c r="B1556" s="23" t="s">
        <v>426</v>
      </c>
      <c r="C1556" s="24" t="s">
        <v>4</v>
      </c>
      <c r="D1556" s="23" t="s">
        <v>2090</v>
      </c>
      <c r="E1556" s="23">
        <v>742</v>
      </c>
      <c r="F1556" s="23">
        <v>20</v>
      </c>
      <c r="G1556" s="23">
        <v>20</v>
      </c>
      <c r="H1556" s="23">
        <v>0</v>
      </c>
      <c r="I1556" s="23" t="s">
        <v>5</v>
      </c>
      <c r="J1556" s="23" t="s">
        <v>327</v>
      </c>
    </row>
    <row r="1557" spans="1:10" s="20" customFormat="1" ht="12" x14ac:dyDescent="0.25">
      <c r="A1557" s="22">
        <v>1000102208</v>
      </c>
      <c r="B1557" s="23" t="s">
        <v>1770</v>
      </c>
      <c r="C1557" s="24" t="s">
        <v>4</v>
      </c>
      <c r="D1557" s="23" t="s">
        <v>2090</v>
      </c>
      <c r="E1557" s="23">
        <v>741.38</v>
      </c>
      <c r="F1557" s="23">
        <v>25</v>
      </c>
      <c r="G1557" s="23">
        <v>25</v>
      </c>
      <c r="H1557" s="23">
        <v>0</v>
      </c>
      <c r="I1557" s="23" t="s">
        <v>5</v>
      </c>
      <c r="J1557" s="23" t="s">
        <v>327</v>
      </c>
    </row>
    <row r="1558" spans="1:10" s="20" customFormat="1" ht="12" x14ac:dyDescent="0.25">
      <c r="A1558" s="22">
        <v>1000010216</v>
      </c>
      <c r="B1558" s="23" t="s">
        <v>3665</v>
      </c>
      <c r="C1558" s="24" t="s">
        <v>4</v>
      </c>
      <c r="D1558" s="23" t="s">
        <v>2161</v>
      </c>
      <c r="E1558" s="23">
        <v>740.88</v>
      </c>
      <c r="F1558" s="23">
        <v>7</v>
      </c>
      <c r="G1558" s="23">
        <v>7</v>
      </c>
      <c r="H1558" s="23">
        <v>0</v>
      </c>
      <c r="I1558" s="23" t="s">
        <v>5</v>
      </c>
      <c r="J1558" s="23" t="s">
        <v>111</v>
      </c>
    </row>
    <row r="1559" spans="1:10" s="20" customFormat="1" ht="12" x14ac:dyDescent="0.25">
      <c r="A1559" s="22">
        <v>1000020944</v>
      </c>
      <c r="B1559" s="23" t="s">
        <v>1123</v>
      </c>
      <c r="C1559" s="24" t="s">
        <v>4</v>
      </c>
      <c r="D1559" s="23" t="s">
        <v>2090</v>
      </c>
      <c r="E1559" s="23">
        <v>738.52499999999998</v>
      </c>
      <c r="F1559" s="23">
        <v>1</v>
      </c>
      <c r="G1559" s="23">
        <v>1</v>
      </c>
      <c r="H1559" s="23">
        <v>0</v>
      </c>
      <c r="I1559" s="23" t="s">
        <v>5</v>
      </c>
      <c r="J1559" s="23" t="s">
        <v>327</v>
      </c>
    </row>
    <row r="1560" spans="1:10" s="20" customFormat="1" ht="12" x14ac:dyDescent="0.25">
      <c r="A1560" s="22">
        <v>1000020217</v>
      </c>
      <c r="B1560" s="23" t="s">
        <v>457</v>
      </c>
      <c r="C1560" s="24" t="s">
        <v>4</v>
      </c>
      <c r="D1560" s="23" t="s">
        <v>2090</v>
      </c>
      <c r="E1560" s="23">
        <v>737.4</v>
      </c>
      <c r="F1560" s="23">
        <v>3</v>
      </c>
      <c r="G1560" s="23">
        <v>3</v>
      </c>
      <c r="H1560" s="23">
        <v>0</v>
      </c>
      <c r="I1560" s="23" t="s">
        <v>5</v>
      </c>
      <c r="J1560" s="23" t="s">
        <v>327</v>
      </c>
    </row>
    <row r="1561" spans="1:10" s="20" customFormat="1" ht="12" x14ac:dyDescent="0.25">
      <c r="A1561" s="22">
        <v>1000020184</v>
      </c>
      <c r="B1561" s="23" t="s">
        <v>427</v>
      </c>
      <c r="C1561" s="24" t="s">
        <v>4</v>
      </c>
      <c r="D1561" s="23" t="s">
        <v>2090</v>
      </c>
      <c r="E1561" s="23">
        <v>737</v>
      </c>
      <c r="F1561" s="23">
        <v>20</v>
      </c>
      <c r="G1561" s="23">
        <v>20</v>
      </c>
      <c r="H1561" s="23">
        <v>0</v>
      </c>
      <c r="I1561" s="23" t="s">
        <v>5</v>
      </c>
      <c r="J1561" s="23" t="s">
        <v>327</v>
      </c>
    </row>
    <row r="1562" spans="1:10" s="20" customFormat="1" ht="12" x14ac:dyDescent="0.25">
      <c r="A1562" s="22">
        <v>1000020256</v>
      </c>
      <c r="B1562" s="23" t="s">
        <v>495</v>
      </c>
      <c r="C1562" s="24" t="s">
        <v>4</v>
      </c>
      <c r="D1562" s="23" t="s">
        <v>2090</v>
      </c>
      <c r="E1562" s="23">
        <v>736.5</v>
      </c>
      <c r="F1562" s="23">
        <v>75</v>
      </c>
      <c r="G1562" s="23">
        <v>75</v>
      </c>
      <c r="H1562" s="23">
        <v>0</v>
      </c>
      <c r="I1562" s="23" t="s">
        <v>5</v>
      </c>
      <c r="J1562" s="23" t="s">
        <v>327</v>
      </c>
    </row>
    <row r="1563" spans="1:10" s="20" customFormat="1" ht="12" x14ac:dyDescent="0.25">
      <c r="A1563" s="22">
        <v>1000103145</v>
      </c>
      <c r="B1563" s="23" t="s">
        <v>3666</v>
      </c>
      <c r="C1563" s="24" t="s">
        <v>4</v>
      </c>
      <c r="D1563" s="23" t="s">
        <v>2090</v>
      </c>
      <c r="E1563" s="23">
        <v>736.31399999999996</v>
      </c>
      <c r="F1563" s="23">
        <v>3</v>
      </c>
      <c r="G1563" s="23">
        <v>3</v>
      </c>
      <c r="H1563" s="23">
        <v>0</v>
      </c>
      <c r="I1563" s="23" t="s">
        <v>5</v>
      </c>
      <c r="J1563" s="23" t="s">
        <v>327</v>
      </c>
    </row>
    <row r="1564" spans="1:10" s="20" customFormat="1" ht="12" x14ac:dyDescent="0.25">
      <c r="A1564" s="22">
        <v>1000020524</v>
      </c>
      <c r="B1564" s="23" t="s">
        <v>328</v>
      </c>
      <c r="C1564" s="24" t="s">
        <v>4</v>
      </c>
      <c r="D1564" s="23" t="s">
        <v>2090</v>
      </c>
      <c r="E1564" s="23">
        <v>736.26</v>
      </c>
      <c r="F1564" s="23">
        <v>6</v>
      </c>
      <c r="G1564" s="23">
        <v>6</v>
      </c>
      <c r="H1564" s="23">
        <v>0</v>
      </c>
      <c r="I1564" s="23" t="s">
        <v>5</v>
      </c>
      <c r="J1564" s="23" t="s">
        <v>327</v>
      </c>
    </row>
    <row r="1565" spans="1:10" s="20" customFormat="1" ht="12" x14ac:dyDescent="0.25">
      <c r="A1565" s="22">
        <v>2500008201</v>
      </c>
      <c r="B1565" s="23" t="s">
        <v>3159</v>
      </c>
      <c r="C1565" s="24" t="s">
        <v>2088</v>
      </c>
      <c r="D1565" s="23" t="s">
        <v>2025</v>
      </c>
      <c r="E1565" s="23">
        <v>734.25</v>
      </c>
      <c r="F1565" s="23">
        <v>1</v>
      </c>
      <c r="G1565" s="23">
        <v>1</v>
      </c>
      <c r="H1565" s="23">
        <v>0</v>
      </c>
      <c r="I1565" s="23" t="s">
        <v>5</v>
      </c>
      <c r="J1565" s="23" t="s">
        <v>1993</v>
      </c>
    </row>
    <row r="1566" spans="1:10" s="20" customFormat="1" ht="12" x14ac:dyDescent="0.25">
      <c r="A1566" s="22">
        <v>1000020825</v>
      </c>
      <c r="B1566" s="23" t="s">
        <v>1023</v>
      </c>
      <c r="C1566" s="24" t="s">
        <v>4</v>
      </c>
      <c r="D1566" s="23" t="s">
        <v>2090</v>
      </c>
      <c r="E1566" s="23">
        <v>734.03</v>
      </c>
      <c r="F1566" s="23">
        <v>1</v>
      </c>
      <c r="G1566" s="23">
        <v>1</v>
      </c>
      <c r="H1566" s="23">
        <v>0</v>
      </c>
      <c r="I1566" s="23" t="s">
        <v>5</v>
      </c>
      <c r="J1566" s="23" t="s">
        <v>327</v>
      </c>
    </row>
    <row r="1567" spans="1:10" s="20" customFormat="1" ht="12" x14ac:dyDescent="0.25">
      <c r="A1567" s="22">
        <v>1000020330</v>
      </c>
      <c r="B1567" s="23" t="s">
        <v>563</v>
      </c>
      <c r="C1567" s="24" t="s">
        <v>4</v>
      </c>
      <c r="D1567" s="23" t="s">
        <v>2090</v>
      </c>
      <c r="E1567" s="23">
        <v>733.8</v>
      </c>
      <c r="F1567" s="23">
        <v>3</v>
      </c>
      <c r="G1567" s="23">
        <v>3</v>
      </c>
      <c r="H1567" s="23">
        <v>0</v>
      </c>
      <c r="I1567" s="23" t="s">
        <v>5</v>
      </c>
      <c r="J1567" s="23" t="s">
        <v>327</v>
      </c>
    </row>
    <row r="1568" spans="1:10" s="20" customFormat="1" ht="12" x14ac:dyDescent="0.25">
      <c r="A1568" s="22">
        <v>1000107341</v>
      </c>
      <c r="B1568" s="23" t="s">
        <v>132</v>
      </c>
      <c r="C1568" s="24" t="s">
        <v>4</v>
      </c>
      <c r="D1568" s="23" t="s">
        <v>2161</v>
      </c>
      <c r="E1568" s="23">
        <v>733.34107518140399</v>
      </c>
      <c r="F1568" s="23">
        <v>1</v>
      </c>
      <c r="G1568" s="23">
        <v>1</v>
      </c>
      <c r="H1568" s="23">
        <v>0</v>
      </c>
      <c r="I1568" s="23" t="s">
        <v>5</v>
      </c>
      <c r="J1568" s="23" t="s">
        <v>111</v>
      </c>
    </row>
    <row r="1569" spans="1:10" s="20" customFormat="1" ht="12" x14ac:dyDescent="0.25">
      <c r="A1569" s="22">
        <v>1000021228</v>
      </c>
      <c r="B1569" s="23" t="s">
        <v>1374</v>
      </c>
      <c r="C1569" s="24" t="s">
        <v>4</v>
      </c>
      <c r="D1569" s="23" t="s">
        <v>2090</v>
      </c>
      <c r="E1569" s="23">
        <v>731.49</v>
      </c>
      <c r="F1569" s="23">
        <v>3</v>
      </c>
      <c r="G1569" s="23">
        <v>3</v>
      </c>
      <c r="H1569" s="23">
        <v>0</v>
      </c>
      <c r="I1569" s="23" t="s">
        <v>5</v>
      </c>
      <c r="J1569" s="23" t="s">
        <v>327</v>
      </c>
    </row>
    <row r="1570" spans="1:10" s="20" customFormat="1" ht="12" x14ac:dyDescent="0.25">
      <c r="A1570" s="22">
        <v>1000020945</v>
      </c>
      <c r="B1570" s="23" t="s">
        <v>1124</v>
      </c>
      <c r="C1570" s="24" t="s">
        <v>4</v>
      </c>
      <c r="D1570" s="23" t="s">
        <v>2090</v>
      </c>
      <c r="E1570" s="23">
        <v>729.77</v>
      </c>
      <c r="F1570" s="23">
        <v>1</v>
      </c>
      <c r="G1570" s="23">
        <v>1</v>
      </c>
      <c r="H1570" s="23">
        <v>0</v>
      </c>
      <c r="I1570" s="23" t="s">
        <v>5</v>
      </c>
      <c r="J1570" s="23" t="s">
        <v>327</v>
      </c>
    </row>
    <row r="1571" spans="1:10" s="20" customFormat="1" ht="12" x14ac:dyDescent="0.25">
      <c r="A1571" s="22">
        <v>1000097557</v>
      </c>
      <c r="B1571" s="23" t="s">
        <v>3670</v>
      </c>
      <c r="C1571" s="24" t="s">
        <v>4</v>
      </c>
      <c r="D1571" s="23" t="s">
        <v>2161</v>
      </c>
      <c r="E1571" s="23">
        <v>729</v>
      </c>
      <c r="F1571" s="23">
        <v>1</v>
      </c>
      <c r="G1571" s="23">
        <v>1</v>
      </c>
      <c r="H1571" s="23">
        <v>0</v>
      </c>
      <c r="I1571" s="23" t="s">
        <v>5</v>
      </c>
      <c r="J1571" s="23" t="s">
        <v>111</v>
      </c>
    </row>
    <row r="1572" spans="1:10" s="20" customFormat="1" ht="12" x14ac:dyDescent="0.25">
      <c r="A1572" s="22">
        <v>1000021253</v>
      </c>
      <c r="B1572" s="23" t="s">
        <v>1398</v>
      </c>
      <c r="C1572" s="24" t="s">
        <v>2205</v>
      </c>
      <c r="D1572" s="23" t="s">
        <v>2090</v>
      </c>
      <c r="E1572" s="23">
        <v>728.64</v>
      </c>
      <c r="F1572" s="23">
        <v>4</v>
      </c>
      <c r="G1572" s="23">
        <v>4</v>
      </c>
      <c r="H1572" s="23">
        <v>0</v>
      </c>
      <c r="I1572" s="23" t="s">
        <v>5</v>
      </c>
      <c r="J1572" s="23" t="s">
        <v>327</v>
      </c>
    </row>
    <row r="1573" spans="1:10" s="20" customFormat="1" ht="12" x14ac:dyDescent="0.25">
      <c r="A1573" s="22">
        <v>1000103525</v>
      </c>
      <c r="B1573" s="23" t="s">
        <v>1827</v>
      </c>
      <c r="C1573" s="24" t="s">
        <v>4</v>
      </c>
      <c r="D1573" s="23" t="s">
        <v>2090</v>
      </c>
      <c r="E1573" s="23">
        <v>728.25</v>
      </c>
      <c r="F1573" s="23">
        <v>5</v>
      </c>
      <c r="G1573" s="23">
        <v>5</v>
      </c>
      <c r="H1573" s="23">
        <v>0</v>
      </c>
      <c r="I1573" s="23" t="s">
        <v>5</v>
      </c>
      <c r="J1573" s="23" t="s">
        <v>327</v>
      </c>
    </row>
    <row r="1574" spans="1:10" s="20" customFormat="1" ht="12" x14ac:dyDescent="0.25">
      <c r="A1574" s="22">
        <v>2200000299</v>
      </c>
      <c r="B1574" s="23" t="s">
        <v>3672</v>
      </c>
      <c r="C1574" s="24" t="s">
        <v>2037</v>
      </c>
      <c r="D1574" s="23" t="s">
        <v>2038</v>
      </c>
      <c r="E1574" s="23">
        <v>726.63</v>
      </c>
      <c r="F1574" s="23">
        <v>1</v>
      </c>
      <c r="G1574" s="23">
        <v>1</v>
      </c>
      <c r="H1574" s="23">
        <v>0</v>
      </c>
      <c r="I1574" s="23" t="s">
        <v>5</v>
      </c>
      <c r="J1574" s="23" t="s">
        <v>146</v>
      </c>
    </row>
    <row r="1575" spans="1:10" s="20" customFormat="1" ht="12" x14ac:dyDescent="0.25">
      <c r="A1575" s="22">
        <v>1000103143</v>
      </c>
      <c r="B1575" s="23" t="s">
        <v>3673</v>
      </c>
      <c r="C1575" s="24" t="s">
        <v>4</v>
      </c>
      <c r="D1575" s="23" t="s">
        <v>2090</v>
      </c>
      <c r="E1575" s="23">
        <v>726.38</v>
      </c>
      <c r="F1575" s="23">
        <v>27</v>
      </c>
      <c r="G1575" s="23">
        <v>27</v>
      </c>
      <c r="H1575" s="23">
        <v>0</v>
      </c>
      <c r="I1575" s="23" t="s">
        <v>5</v>
      </c>
      <c r="J1575" s="23" t="s">
        <v>327</v>
      </c>
    </row>
    <row r="1576" spans="1:10" s="20" customFormat="1" ht="12" x14ac:dyDescent="0.25">
      <c r="A1576" s="22">
        <v>1000100433</v>
      </c>
      <c r="B1576" s="23" t="s">
        <v>1744</v>
      </c>
      <c r="C1576" s="24" t="s">
        <v>4</v>
      </c>
      <c r="D1576" s="23" t="s">
        <v>2090</v>
      </c>
      <c r="E1576" s="23">
        <v>725.4</v>
      </c>
      <c r="F1576" s="23">
        <v>12</v>
      </c>
      <c r="G1576" s="23">
        <v>12</v>
      </c>
      <c r="H1576" s="23">
        <v>0</v>
      </c>
      <c r="I1576" s="23" t="s">
        <v>5</v>
      </c>
      <c r="J1576" s="23" t="s">
        <v>327</v>
      </c>
    </row>
    <row r="1577" spans="1:10" s="20" customFormat="1" ht="12" x14ac:dyDescent="0.25">
      <c r="A1577" s="22">
        <v>1000095711</v>
      </c>
      <c r="B1577" s="23" t="s">
        <v>3675</v>
      </c>
      <c r="C1577" s="24" t="s">
        <v>2027</v>
      </c>
      <c r="D1577" s="23" t="s">
        <v>2173</v>
      </c>
      <c r="E1577" s="23">
        <v>723.77987173333304</v>
      </c>
      <c r="F1577" s="23">
        <v>1</v>
      </c>
      <c r="G1577" s="23">
        <v>1</v>
      </c>
      <c r="H1577" s="23">
        <v>0</v>
      </c>
      <c r="I1577" s="23" t="s">
        <v>32</v>
      </c>
      <c r="J1577" s="23" t="s">
        <v>6</v>
      </c>
    </row>
    <row r="1578" spans="1:10" s="20" customFormat="1" ht="12" x14ac:dyDescent="0.25">
      <c r="A1578" s="22">
        <v>1000098642</v>
      </c>
      <c r="B1578" s="23" t="s">
        <v>1620</v>
      </c>
      <c r="C1578" s="24" t="s">
        <v>4</v>
      </c>
      <c r="D1578" s="23" t="s">
        <v>2090</v>
      </c>
      <c r="E1578" s="23">
        <v>723.26</v>
      </c>
      <c r="F1578" s="23">
        <v>3</v>
      </c>
      <c r="G1578" s="23">
        <v>3</v>
      </c>
      <c r="H1578" s="23">
        <v>0</v>
      </c>
      <c r="I1578" s="23" t="s">
        <v>5</v>
      </c>
      <c r="J1578" s="23" t="s">
        <v>327</v>
      </c>
    </row>
    <row r="1579" spans="1:10" s="20" customFormat="1" ht="12" x14ac:dyDescent="0.25">
      <c r="A1579" s="22">
        <v>1000020773</v>
      </c>
      <c r="B1579" s="23" t="s">
        <v>977</v>
      </c>
      <c r="C1579" s="24" t="s">
        <v>4</v>
      </c>
      <c r="D1579" s="23" t="s">
        <v>2090</v>
      </c>
      <c r="E1579" s="23">
        <v>723.15</v>
      </c>
      <c r="F1579" s="23">
        <v>1</v>
      </c>
      <c r="G1579" s="23">
        <v>1</v>
      </c>
      <c r="H1579" s="23">
        <v>0</v>
      </c>
      <c r="I1579" s="23" t="s">
        <v>5</v>
      </c>
      <c r="J1579" s="23" t="s">
        <v>327</v>
      </c>
    </row>
    <row r="1580" spans="1:10" s="20" customFormat="1" ht="12" x14ac:dyDescent="0.25">
      <c r="A1580" s="22">
        <v>1000103195</v>
      </c>
      <c r="B1580" s="23" t="s">
        <v>1803</v>
      </c>
      <c r="C1580" s="24" t="s">
        <v>4</v>
      </c>
      <c r="D1580" s="23" t="s">
        <v>2090</v>
      </c>
      <c r="E1580" s="23">
        <v>722.74</v>
      </c>
      <c r="F1580" s="23">
        <v>3</v>
      </c>
      <c r="G1580" s="23">
        <v>3</v>
      </c>
      <c r="H1580" s="23">
        <v>0</v>
      </c>
      <c r="I1580" s="23" t="s">
        <v>5</v>
      </c>
      <c r="J1580" s="23" t="s">
        <v>327</v>
      </c>
    </row>
    <row r="1581" spans="1:10" s="20" customFormat="1" ht="12" x14ac:dyDescent="0.25">
      <c r="A1581" s="22">
        <v>1000098676</v>
      </c>
      <c r="B1581" s="23" t="s">
        <v>1635</v>
      </c>
      <c r="C1581" s="24" t="s">
        <v>4</v>
      </c>
      <c r="D1581" s="23" t="s">
        <v>2090</v>
      </c>
      <c r="E1581" s="23">
        <v>722.66</v>
      </c>
      <c r="F1581" s="23">
        <v>1</v>
      </c>
      <c r="G1581" s="23">
        <v>1</v>
      </c>
      <c r="H1581" s="23">
        <v>0</v>
      </c>
      <c r="I1581" s="23" t="s">
        <v>5</v>
      </c>
      <c r="J1581" s="23" t="s">
        <v>327</v>
      </c>
    </row>
    <row r="1582" spans="1:10" s="20" customFormat="1" ht="12" x14ac:dyDescent="0.25">
      <c r="A1582" s="22">
        <v>1000102854</v>
      </c>
      <c r="B1582" s="23" t="s">
        <v>3678</v>
      </c>
      <c r="C1582" s="24" t="s">
        <v>4</v>
      </c>
      <c r="D1582" s="23" t="s">
        <v>2056</v>
      </c>
      <c r="E1582" s="23">
        <v>721.30499999999995</v>
      </c>
      <c r="F1582" s="23">
        <v>195</v>
      </c>
      <c r="G1582" s="23">
        <v>195</v>
      </c>
      <c r="H1582" s="23">
        <v>0</v>
      </c>
      <c r="I1582" s="23" t="s">
        <v>5</v>
      </c>
      <c r="J1582" s="23" t="s">
        <v>1844</v>
      </c>
    </row>
    <row r="1583" spans="1:10" s="20" customFormat="1" ht="12" x14ac:dyDescent="0.25">
      <c r="A1583" s="22">
        <v>1000100365</v>
      </c>
      <c r="B1583" s="23" t="s">
        <v>1705</v>
      </c>
      <c r="C1583" s="24" t="s">
        <v>4</v>
      </c>
      <c r="D1583" s="23" t="s">
        <v>2090</v>
      </c>
      <c r="E1583" s="23">
        <v>721.00687893081704</v>
      </c>
      <c r="F1583" s="23">
        <v>105</v>
      </c>
      <c r="G1583" s="23">
        <v>105</v>
      </c>
      <c r="H1583" s="23">
        <v>0</v>
      </c>
      <c r="I1583" s="23" t="s">
        <v>5</v>
      </c>
      <c r="J1583" s="23" t="s">
        <v>327</v>
      </c>
    </row>
    <row r="1584" spans="1:10" s="20" customFormat="1" ht="12" x14ac:dyDescent="0.25">
      <c r="A1584" s="22">
        <v>1000021054</v>
      </c>
      <c r="B1584" s="23" t="s">
        <v>1220</v>
      </c>
      <c r="C1584" s="24" t="s">
        <v>4</v>
      </c>
      <c r="D1584" s="23" t="s">
        <v>2090</v>
      </c>
      <c r="E1584" s="23">
        <v>719.14</v>
      </c>
      <c r="F1584" s="23">
        <v>2</v>
      </c>
      <c r="G1584" s="23">
        <v>2</v>
      </c>
      <c r="H1584" s="23">
        <v>0</v>
      </c>
      <c r="I1584" s="23" t="s">
        <v>5</v>
      </c>
      <c r="J1584" s="23" t="s">
        <v>327</v>
      </c>
    </row>
    <row r="1585" spans="1:10" s="20" customFormat="1" ht="12" x14ac:dyDescent="0.25">
      <c r="A1585" s="22">
        <v>1000020903</v>
      </c>
      <c r="B1585" s="23" t="s">
        <v>1084</v>
      </c>
      <c r="C1585" s="24" t="s">
        <v>4</v>
      </c>
      <c r="D1585" s="23" t="s">
        <v>2090</v>
      </c>
      <c r="E1585" s="23">
        <v>717.33</v>
      </c>
      <c r="F1585" s="23">
        <v>3</v>
      </c>
      <c r="G1585" s="23">
        <v>3</v>
      </c>
      <c r="H1585" s="23">
        <v>0</v>
      </c>
      <c r="I1585" s="23" t="s">
        <v>5</v>
      </c>
      <c r="J1585" s="23" t="s">
        <v>327</v>
      </c>
    </row>
    <row r="1586" spans="1:10" s="20" customFormat="1" ht="12" x14ac:dyDescent="0.25">
      <c r="A1586" s="22">
        <v>1000020521</v>
      </c>
      <c r="B1586" s="23" t="s">
        <v>743</v>
      </c>
      <c r="C1586" s="24" t="s">
        <v>4</v>
      </c>
      <c r="D1586" s="23" t="s">
        <v>2090</v>
      </c>
      <c r="E1586" s="23">
        <v>716.4</v>
      </c>
      <c r="F1586" s="23">
        <v>8</v>
      </c>
      <c r="G1586" s="23">
        <v>8</v>
      </c>
      <c r="H1586" s="23">
        <v>0</v>
      </c>
      <c r="I1586" s="23" t="s">
        <v>5</v>
      </c>
      <c r="J1586" s="23" t="s">
        <v>327</v>
      </c>
    </row>
    <row r="1587" spans="1:10" s="20" customFormat="1" ht="12" x14ac:dyDescent="0.25">
      <c r="A1587" s="22">
        <v>1000098577</v>
      </c>
      <c r="B1587" s="23" t="s">
        <v>1586</v>
      </c>
      <c r="C1587" s="24" t="s">
        <v>4</v>
      </c>
      <c r="D1587" s="23" t="s">
        <v>2090</v>
      </c>
      <c r="E1587" s="23">
        <v>715.66</v>
      </c>
      <c r="F1587" s="23">
        <v>4</v>
      </c>
      <c r="G1587" s="23">
        <v>4</v>
      </c>
      <c r="H1587" s="23">
        <v>0</v>
      </c>
      <c r="I1587" s="23" t="s">
        <v>5</v>
      </c>
      <c r="J1587" s="23" t="s">
        <v>327</v>
      </c>
    </row>
    <row r="1588" spans="1:10" s="20" customFormat="1" ht="12" x14ac:dyDescent="0.25">
      <c r="A1588" s="22">
        <v>1000098698</v>
      </c>
      <c r="B1588" s="23" t="s">
        <v>1649</v>
      </c>
      <c r="C1588" s="24" t="s">
        <v>4</v>
      </c>
      <c r="D1588" s="23" t="s">
        <v>2090</v>
      </c>
      <c r="E1588" s="23">
        <v>713.11</v>
      </c>
      <c r="F1588" s="23">
        <v>2</v>
      </c>
      <c r="G1588" s="23">
        <v>2</v>
      </c>
      <c r="H1588" s="23">
        <v>0</v>
      </c>
      <c r="I1588" s="23" t="s">
        <v>5</v>
      </c>
      <c r="J1588" s="23" t="s">
        <v>327</v>
      </c>
    </row>
    <row r="1589" spans="1:10" s="20" customFormat="1" ht="12" x14ac:dyDescent="0.25">
      <c r="A1589" s="22">
        <v>1000103753</v>
      </c>
      <c r="B1589" s="23" t="s">
        <v>3681</v>
      </c>
      <c r="C1589" s="24" t="s">
        <v>4</v>
      </c>
      <c r="D1589" s="23" t="s">
        <v>2056</v>
      </c>
      <c r="E1589" s="23">
        <v>712.85828571428499</v>
      </c>
      <c r="F1589" s="23">
        <v>20</v>
      </c>
      <c r="G1589" s="23">
        <v>20</v>
      </c>
      <c r="H1589" s="23">
        <v>0</v>
      </c>
      <c r="I1589" s="23" t="s">
        <v>5</v>
      </c>
      <c r="J1589" s="23" t="s">
        <v>1844</v>
      </c>
    </row>
    <row r="1590" spans="1:10" s="20" customFormat="1" ht="12" x14ac:dyDescent="0.25">
      <c r="A1590" s="22">
        <v>1000101151</v>
      </c>
      <c r="B1590" s="23" t="s">
        <v>3682</v>
      </c>
      <c r="C1590" s="24" t="s">
        <v>4</v>
      </c>
      <c r="D1590" s="23" t="s">
        <v>2284</v>
      </c>
      <c r="E1590" s="23">
        <v>712.5</v>
      </c>
      <c r="F1590" s="23">
        <v>2</v>
      </c>
      <c r="G1590" s="23">
        <v>2</v>
      </c>
      <c r="H1590" s="23">
        <v>0</v>
      </c>
      <c r="I1590" s="23" t="s">
        <v>5</v>
      </c>
      <c r="J1590" s="23" t="s">
        <v>1844</v>
      </c>
    </row>
    <row r="1591" spans="1:10" s="20" customFormat="1" ht="12" x14ac:dyDescent="0.25">
      <c r="A1591" s="22">
        <v>1000021282</v>
      </c>
      <c r="B1591" s="23" t="s">
        <v>1419</v>
      </c>
      <c r="C1591" s="24" t="s">
        <v>4</v>
      </c>
      <c r="D1591" s="23" t="s">
        <v>2090</v>
      </c>
      <c r="E1591" s="23">
        <v>709.24</v>
      </c>
      <c r="F1591" s="23">
        <v>2</v>
      </c>
      <c r="G1591" s="23">
        <v>2</v>
      </c>
      <c r="H1591" s="23">
        <v>0</v>
      </c>
      <c r="I1591" s="23" t="s">
        <v>5</v>
      </c>
      <c r="J1591" s="23" t="s">
        <v>327</v>
      </c>
    </row>
    <row r="1592" spans="1:10" s="20" customFormat="1" ht="12" x14ac:dyDescent="0.25">
      <c r="A1592" s="22">
        <v>1000101103</v>
      </c>
      <c r="B1592" s="23" t="s">
        <v>3683</v>
      </c>
      <c r="C1592" s="24" t="s">
        <v>4</v>
      </c>
      <c r="D1592" s="23" t="s">
        <v>2284</v>
      </c>
      <c r="E1592" s="23">
        <v>709.05</v>
      </c>
      <c r="F1592" s="23">
        <v>1</v>
      </c>
      <c r="G1592" s="23">
        <v>1</v>
      </c>
      <c r="H1592" s="23">
        <v>0</v>
      </c>
      <c r="I1592" s="23" t="s">
        <v>5</v>
      </c>
      <c r="J1592" s="23" t="s">
        <v>1844</v>
      </c>
    </row>
    <row r="1593" spans="1:10" s="20" customFormat="1" ht="12" x14ac:dyDescent="0.25">
      <c r="A1593" s="22">
        <v>1000099196</v>
      </c>
      <c r="B1593" s="23" t="s">
        <v>3684</v>
      </c>
      <c r="C1593" s="24" t="s">
        <v>4</v>
      </c>
      <c r="D1593" s="23" t="s">
        <v>2161</v>
      </c>
      <c r="E1593" s="23">
        <v>706.12964705882302</v>
      </c>
      <c r="F1593" s="23">
        <v>4</v>
      </c>
      <c r="G1593" s="23">
        <v>4</v>
      </c>
      <c r="H1593" s="23">
        <v>0</v>
      </c>
      <c r="I1593" s="23" t="s">
        <v>5</v>
      </c>
      <c r="J1593" s="23" t="s">
        <v>111</v>
      </c>
    </row>
    <row r="1594" spans="1:10" s="20" customFormat="1" ht="12" x14ac:dyDescent="0.25">
      <c r="A1594" s="22">
        <v>2500008261</v>
      </c>
      <c r="B1594" s="23" t="s">
        <v>3685</v>
      </c>
      <c r="C1594" s="24" t="s">
        <v>1996</v>
      </c>
      <c r="D1594" s="23" t="s">
        <v>2025</v>
      </c>
      <c r="E1594" s="23">
        <v>705.37666666666598</v>
      </c>
      <c r="F1594" s="23">
        <v>1</v>
      </c>
      <c r="G1594" s="23">
        <v>1</v>
      </c>
      <c r="H1594" s="23">
        <v>0</v>
      </c>
      <c r="I1594" s="23" t="s">
        <v>5</v>
      </c>
      <c r="J1594" s="23" t="s">
        <v>1993</v>
      </c>
    </row>
    <row r="1595" spans="1:10" s="20" customFormat="1" ht="12" x14ac:dyDescent="0.25">
      <c r="A1595" s="22">
        <v>1000020210</v>
      </c>
      <c r="B1595" s="23" t="s">
        <v>450</v>
      </c>
      <c r="C1595" s="24" t="s">
        <v>4</v>
      </c>
      <c r="D1595" s="23" t="s">
        <v>2090</v>
      </c>
      <c r="E1595" s="23">
        <v>704</v>
      </c>
      <c r="F1595" s="23">
        <v>4</v>
      </c>
      <c r="G1595" s="23">
        <v>4</v>
      </c>
      <c r="H1595" s="23">
        <v>0</v>
      </c>
      <c r="I1595" s="23" t="s">
        <v>5</v>
      </c>
      <c r="J1595" s="23" t="s">
        <v>327</v>
      </c>
    </row>
    <row r="1596" spans="1:10" s="20" customFormat="1" ht="12" x14ac:dyDescent="0.25">
      <c r="A1596" s="22">
        <v>1000102642</v>
      </c>
      <c r="B1596" s="23" t="s">
        <v>3686</v>
      </c>
      <c r="C1596" s="24" t="s">
        <v>4</v>
      </c>
      <c r="D1596" s="23" t="s">
        <v>2056</v>
      </c>
      <c r="E1596" s="23">
        <v>701.94109090909001</v>
      </c>
      <c r="F1596" s="23">
        <v>90</v>
      </c>
      <c r="G1596" s="23">
        <v>90</v>
      </c>
      <c r="H1596" s="23">
        <v>0</v>
      </c>
      <c r="I1596" s="23" t="s">
        <v>5</v>
      </c>
      <c r="J1596" s="23" t="s">
        <v>1844</v>
      </c>
    </row>
    <row r="1597" spans="1:10" s="20" customFormat="1" ht="12" x14ac:dyDescent="0.25">
      <c r="A1597" s="22">
        <v>1000101584</v>
      </c>
      <c r="B1597" s="23" t="s">
        <v>3688</v>
      </c>
      <c r="C1597" s="24" t="s">
        <v>4</v>
      </c>
      <c r="D1597" s="23" t="s">
        <v>2056</v>
      </c>
      <c r="E1597" s="23">
        <v>701.36666666666599</v>
      </c>
      <c r="F1597" s="23">
        <v>2</v>
      </c>
      <c r="G1597" s="23">
        <v>2</v>
      </c>
      <c r="H1597" s="23">
        <v>0</v>
      </c>
      <c r="I1597" s="23" t="s">
        <v>5</v>
      </c>
      <c r="J1597" s="23" t="s">
        <v>1844</v>
      </c>
    </row>
    <row r="1598" spans="1:10" s="20" customFormat="1" ht="12" x14ac:dyDescent="0.25">
      <c r="A1598" s="22">
        <v>1000020571</v>
      </c>
      <c r="B1598" s="23" t="s">
        <v>788</v>
      </c>
      <c r="C1598" s="24" t="s">
        <v>4</v>
      </c>
      <c r="D1598" s="23" t="s">
        <v>2090</v>
      </c>
      <c r="E1598" s="23">
        <v>701.35</v>
      </c>
      <c r="F1598" s="23">
        <v>5</v>
      </c>
      <c r="G1598" s="23">
        <v>5</v>
      </c>
      <c r="H1598" s="23">
        <v>0</v>
      </c>
      <c r="I1598" s="23" t="s">
        <v>5</v>
      </c>
      <c r="J1598" s="23" t="s">
        <v>327</v>
      </c>
    </row>
    <row r="1599" spans="1:10" s="20" customFormat="1" ht="12" x14ac:dyDescent="0.25">
      <c r="A1599" s="22">
        <v>1000108815</v>
      </c>
      <c r="B1599" s="23" t="s">
        <v>3689</v>
      </c>
      <c r="C1599" s="24" t="s">
        <v>4</v>
      </c>
      <c r="D1599" s="23" t="s">
        <v>2056</v>
      </c>
      <c r="E1599" s="23">
        <v>701.26800000000003</v>
      </c>
      <c r="F1599" s="23">
        <v>60</v>
      </c>
      <c r="G1599" s="23">
        <v>60</v>
      </c>
      <c r="H1599" s="23">
        <v>0</v>
      </c>
      <c r="I1599" s="23" t="s">
        <v>5</v>
      </c>
      <c r="J1599" s="23" t="s">
        <v>1844</v>
      </c>
    </row>
    <row r="1600" spans="1:10" s="20" customFormat="1" ht="12" x14ac:dyDescent="0.25">
      <c r="A1600" s="22">
        <v>1000020860</v>
      </c>
      <c r="B1600" s="23" t="s">
        <v>1049</v>
      </c>
      <c r="C1600" s="24" t="s">
        <v>4</v>
      </c>
      <c r="D1600" s="23" t="s">
        <v>2090</v>
      </c>
      <c r="E1600" s="23">
        <v>700.80373597998801</v>
      </c>
      <c r="F1600" s="23">
        <v>2</v>
      </c>
      <c r="G1600" s="23">
        <v>2</v>
      </c>
      <c r="H1600" s="23">
        <v>0</v>
      </c>
      <c r="I1600" s="23" t="s">
        <v>5</v>
      </c>
      <c r="J1600" s="23" t="s">
        <v>327</v>
      </c>
    </row>
    <row r="1601" spans="1:10" s="20" customFormat="1" ht="12" x14ac:dyDescent="0.25">
      <c r="A1601" s="22">
        <v>1000020673</v>
      </c>
      <c r="B1601" s="23" t="s">
        <v>886</v>
      </c>
      <c r="C1601" s="24" t="s">
        <v>4</v>
      </c>
      <c r="D1601" s="23" t="s">
        <v>2090</v>
      </c>
      <c r="E1601" s="23">
        <v>699</v>
      </c>
      <c r="F1601" s="23">
        <v>16</v>
      </c>
      <c r="G1601" s="23">
        <v>16</v>
      </c>
      <c r="H1601" s="23">
        <v>0</v>
      </c>
      <c r="I1601" s="23" t="s">
        <v>5</v>
      </c>
      <c r="J1601" s="23" t="s">
        <v>327</v>
      </c>
    </row>
    <row r="1602" spans="1:10" s="20" customFormat="1" ht="12" x14ac:dyDescent="0.25">
      <c r="A1602" s="22">
        <v>2500008569</v>
      </c>
      <c r="B1602" s="23" t="s">
        <v>3176</v>
      </c>
      <c r="C1602" s="24" t="s">
        <v>1996</v>
      </c>
      <c r="D1602" s="23" t="s">
        <v>2117</v>
      </c>
      <c r="E1602" s="23">
        <v>697.5</v>
      </c>
      <c r="F1602" s="23">
        <v>2</v>
      </c>
      <c r="G1602" s="23">
        <v>2</v>
      </c>
      <c r="H1602" s="23">
        <v>0</v>
      </c>
      <c r="I1602" s="23" t="s">
        <v>5</v>
      </c>
      <c r="J1602" s="23" t="s">
        <v>1993</v>
      </c>
    </row>
    <row r="1603" spans="1:10" s="20" customFormat="1" ht="12" x14ac:dyDescent="0.25">
      <c r="A1603" s="22">
        <v>1000021477</v>
      </c>
      <c r="B1603" s="23" t="s">
        <v>1491</v>
      </c>
      <c r="C1603" s="24" t="s">
        <v>4</v>
      </c>
      <c r="D1603" s="23" t="s">
        <v>2090</v>
      </c>
      <c r="E1603" s="23">
        <v>696.44</v>
      </c>
      <c r="F1603" s="23">
        <v>1</v>
      </c>
      <c r="G1603" s="23">
        <v>1</v>
      </c>
      <c r="H1603" s="23">
        <v>0</v>
      </c>
      <c r="I1603" s="23" t="s">
        <v>5</v>
      </c>
      <c r="J1603" s="23" t="s">
        <v>327</v>
      </c>
    </row>
    <row r="1604" spans="1:10" s="20" customFormat="1" ht="12" x14ac:dyDescent="0.25">
      <c r="A1604" s="22">
        <v>1000021173</v>
      </c>
      <c r="B1604" s="23" t="s">
        <v>1320</v>
      </c>
      <c r="C1604" s="24" t="s">
        <v>4</v>
      </c>
      <c r="D1604" s="23" t="s">
        <v>2090</v>
      </c>
      <c r="E1604" s="23">
        <v>695.6</v>
      </c>
      <c r="F1604" s="23">
        <v>10</v>
      </c>
      <c r="G1604" s="23">
        <v>10</v>
      </c>
      <c r="H1604" s="23">
        <v>0</v>
      </c>
      <c r="I1604" s="23" t="s">
        <v>5</v>
      </c>
      <c r="J1604" s="23" t="s">
        <v>327</v>
      </c>
    </row>
    <row r="1605" spans="1:10" s="20" customFormat="1" ht="12" x14ac:dyDescent="0.25">
      <c r="A1605" s="22">
        <v>1000093600</v>
      </c>
      <c r="B1605" s="23" t="s">
        <v>3691</v>
      </c>
      <c r="C1605" s="24" t="s">
        <v>4</v>
      </c>
      <c r="D1605" s="23" t="s">
        <v>2056</v>
      </c>
      <c r="E1605" s="23">
        <v>693.30102172593297</v>
      </c>
      <c r="F1605" s="23">
        <v>177</v>
      </c>
      <c r="G1605" s="23">
        <v>177</v>
      </c>
      <c r="H1605" s="23">
        <v>0</v>
      </c>
      <c r="I1605" s="23" t="s">
        <v>5</v>
      </c>
      <c r="J1605" s="23" t="s">
        <v>1844</v>
      </c>
    </row>
    <row r="1606" spans="1:10" s="20" customFormat="1" ht="12" x14ac:dyDescent="0.25">
      <c r="A1606" s="22">
        <v>1000098675</v>
      </c>
      <c r="B1606" s="23" t="s">
        <v>1634</v>
      </c>
      <c r="C1606" s="24" t="s">
        <v>4</v>
      </c>
      <c r="D1606" s="23" t="s">
        <v>2090</v>
      </c>
      <c r="E1606" s="23">
        <v>693</v>
      </c>
      <c r="F1606" s="23">
        <v>20</v>
      </c>
      <c r="G1606" s="23">
        <v>20</v>
      </c>
      <c r="H1606" s="23">
        <v>0</v>
      </c>
      <c r="I1606" s="23" t="s">
        <v>5</v>
      </c>
      <c r="J1606" s="23" t="s">
        <v>327</v>
      </c>
    </row>
    <row r="1607" spans="1:10" s="20" customFormat="1" ht="12" x14ac:dyDescent="0.25">
      <c r="A1607" s="22">
        <v>1000020930</v>
      </c>
      <c r="B1607" s="23" t="s">
        <v>1110</v>
      </c>
      <c r="C1607" s="24" t="s">
        <v>4</v>
      </c>
      <c r="D1607" s="23" t="s">
        <v>2090</v>
      </c>
      <c r="E1607" s="23">
        <v>692.16</v>
      </c>
      <c r="F1607" s="23">
        <v>4</v>
      </c>
      <c r="G1607" s="23">
        <v>4</v>
      </c>
      <c r="H1607" s="23">
        <v>0</v>
      </c>
      <c r="I1607" s="23" t="s">
        <v>5</v>
      </c>
      <c r="J1607" s="23" t="s">
        <v>327</v>
      </c>
    </row>
    <row r="1608" spans="1:10" s="20" customFormat="1" ht="12" x14ac:dyDescent="0.25">
      <c r="A1608" s="22">
        <v>2500008253</v>
      </c>
      <c r="B1608" s="23" t="s">
        <v>3692</v>
      </c>
      <c r="C1608" s="24" t="s">
        <v>1996</v>
      </c>
      <c r="D1608" s="23" t="s">
        <v>2025</v>
      </c>
      <c r="E1608" s="23">
        <v>691.88273809523798</v>
      </c>
      <c r="F1608" s="23">
        <v>5</v>
      </c>
      <c r="G1608" s="23">
        <v>5</v>
      </c>
      <c r="H1608" s="23">
        <v>0</v>
      </c>
      <c r="I1608" s="23" t="s">
        <v>5</v>
      </c>
      <c r="J1608" s="23" t="s">
        <v>1993</v>
      </c>
    </row>
    <row r="1609" spans="1:10" s="20" customFormat="1" ht="12" x14ac:dyDescent="0.25">
      <c r="A1609" s="22">
        <v>1000098764</v>
      </c>
      <c r="B1609" s="23" t="s">
        <v>1690</v>
      </c>
      <c r="C1609" s="24" t="s">
        <v>4</v>
      </c>
      <c r="D1609" s="23" t="s">
        <v>2090</v>
      </c>
      <c r="E1609" s="23">
        <v>690.50074326282197</v>
      </c>
      <c r="F1609" s="23">
        <v>220</v>
      </c>
      <c r="G1609" s="23">
        <v>220</v>
      </c>
      <c r="H1609" s="23">
        <v>0</v>
      </c>
      <c r="I1609" s="23" t="s">
        <v>5</v>
      </c>
      <c r="J1609" s="23" t="s">
        <v>327</v>
      </c>
    </row>
    <row r="1610" spans="1:10" s="20" customFormat="1" ht="12" x14ac:dyDescent="0.25">
      <c r="A1610" s="22">
        <v>1000010232</v>
      </c>
      <c r="B1610" s="23" t="s">
        <v>3694</v>
      </c>
      <c r="C1610" s="24" t="s">
        <v>4</v>
      </c>
      <c r="D1610" s="23" t="s">
        <v>2161</v>
      </c>
      <c r="E1610" s="23">
        <v>689.77499999999998</v>
      </c>
      <c r="F1610" s="23">
        <v>5</v>
      </c>
      <c r="G1610" s="23">
        <v>5</v>
      </c>
      <c r="H1610" s="23">
        <v>0</v>
      </c>
      <c r="I1610" s="23" t="s">
        <v>5</v>
      </c>
      <c r="J1610" s="23" t="s">
        <v>111</v>
      </c>
    </row>
    <row r="1611" spans="1:10" s="20" customFormat="1" ht="12" x14ac:dyDescent="0.25">
      <c r="A1611" s="22">
        <v>1000020803</v>
      </c>
      <c r="B1611" s="23" t="s">
        <v>1007</v>
      </c>
      <c r="C1611" s="24" t="s">
        <v>4</v>
      </c>
      <c r="D1611" s="23" t="s">
        <v>2090</v>
      </c>
      <c r="E1611" s="23">
        <v>689.73599999999999</v>
      </c>
      <c r="F1611" s="23">
        <v>4</v>
      </c>
      <c r="G1611" s="23">
        <v>4</v>
      </c>
      <c r="H1611" s="23">
        <v>0</v>
      </c>
      <c r="I1611" s="23" t="s">
        <v>5</v>
      </c>
      <c r="J1611" s="23" t="s">
        <v>327</v>
      </c>
    </row>
    <row r="1612" spans="1:10" s="20" customFormat="1" ht="12" x14ac:dyDescent="0.25">
      <c r="A1612" s="22">
        <v>1000020503</v>
      </c>
      <c r="B1612" s="23" t="s">
        <v>728</v>
      </c>
      <c r="C1612" s="24" t="s">
        <v>4</v>
      </c>
      <c r="D1612" s="23" t="s">
        <v>2090</v>
      </c>
      <c r="E1612" s="23">
        <v>689.25</v>
      </c>
      <c r="F1612" s="23">
        <v>10</v>
      </c>
      <c r="G1612" s="23">
        <v>10</v>
      </c>
      <c r="H1612" s="23">
        <v>0</v>
      </c>
      <c r="I1612" s="23" t="s">
        <v>5</v>
      </c>
      <c r="J1612" s="23" t="s">
        <v>327</v>
      </c>
    </row>
    <row r="1613" spans="1:10" s="20" customFormat="1" ht="12" x14ac:dyDescent="0.25">
      <c r="A1613" s="22">
        <v>1000020830</v>
      </c>
      <c r="B1613" s="23" t="s">
        <v>1026</v>
      </c>
      <c r="C1613" s="24" t="s">
        <v>4</v>
      </c>
      <c r="D1613" s="23" t="s">
        <v>2090</v>
      </c>
      <c r="E1613" s="23">
        <v>688.9</v>
      </c>
      <c r="F1613" s="23">
        <v>10</v>
      </c>
      <c r="G1613" s="23">
        <v>10</v>
      </c>
      <c r="H1613" s="23">
        <v>0</v>
      </c>
      <c r="I1613" s="23" t="s">
        <v>5</v>
      </c>
      <c r="J1613" s="23" t="s">
        <v>327</v>
      </c>
    </row>
    <row r="1614" spans="1:10" s="20" customFormat="1" ht="12" x14ac:dyDescent="0.25">
      <c r="A1614" s="22">
        <v>1000020511</v>
      </c>
      <c r="B1614" s="23" t="s">
        <v>734</v>
      </c>
      <c r="C1614" s="24" t="s">
        <v>4</v>
      </c>
      <c r="D1614" s="23" t="s">
        <v>2090</v>
      </c>
      <c r="E1614" s="23">
        <v>688.34857142857095</v>
      </c>
      <c r="F1614" s="23">
        <v>8</v>
      </c>
      <c r="G1614" s="23">
        <v>8</v>
      </c>
      <c r="H1614" s="23">
        <v>0</v>
      </c>
      <c r="I1614" s="23" t="s">
        <v>5</v>
      </c>
      <c r="J1614" s="23" t="s">
        <v>327</v>
      </c>
    </row>
    <row r="1615" spans="1:10" s="20" customFormat="1" ht="12" x14ac:dyDescent="0.25">
      <c r="A1615" s="22">
        <v>1000098934</v>
      </c>
      <c r="B1615" s="23" t="s">
        <v>3697</v>
      </c>
      <c r="C1615" s="24" t="s">
        <v>4</v>
      </c>
      <c r="D1615" s="23" t="s">
        <v>2161</v>
      </c>
      <c r="E1615" s="23">
        <v>686.01726666666605</v>
      </c>
      <c r="F1615" s="23">
        <v>3</v>
      </c>
      <c r="G1615" s="23">
        <v>3</v>
      </c>
      <c r="H1615" s="23">
        <v>0</v>
      </c>
      <c r="I1615" s="23" t="s">
        <v>5</v>
      </c>
      <c r="J1615" s="23" t="s">
        <v>111</v>
      </c>
    </row>
    <row r="1616" spans="1:10" s="20" customFormat="1" ht="12" x14ac:dyDescent="0.25">
      <c r="A1616" s="22">
        <v>1000020552</v>
      </c>
      <c r="B1616" s="23" t="s">
        <v>770</v>
      </c>
      <c r="C1616" s="24" t="s">
        <v>4</v>
      </c>
      <c r="D1616" s="23" t="s">
        <v>2090</v>
      </c>
      <c r="E1616" s="23">
        <v>685.48</v>
      </c>
      <c r="F1616" s="23">
        <v>2</v>
      </c>
      <c r="G1616" s="23">
        <v>2</v>
      </c>
      <c r="H1616" s="23">
        <v>0</v>
      </c>
      <c r="I1616" s="23" t="s">
        <v>5</v>
      </c>
      <c r="J1616" s="23" t="s">
        <v>327</v>
      </c>
    </row>
    <row r="1617" spans="1:10" s="20" customFormat="1" ht="12" x14ac:dyDescent="0.25">
      <c r="A1617" s="22">
        <v>1000104281</v>
      </c>
      <c r="B1617" s="23" t="s">
        <v>3699</v>
      </c>
      <c r="C1617" s="24" t="s">
        <v>4</v>
      </c>
      <c r="D1617" s="23" t="s">
        <v>2056</v>
      </c>
      <c r="E1617" s="23">
        <v>684.72</v>
      </c>
      <c r="F1617" s="23">
        <v>9</v>
      </c>
      <c r="G1617" s="23">
        <v>9</v>
      </c>
      <c r="H1617" s="23">
        <v>0</v>
      </c>
      <c r="I1617" s="23" t="s">
        <v>5</v>
      </c>
      <c r="J1617" s="23" t="s">
        <v>1844</v>
      </c>
    </row>
    <row r="1618" spans="1:10" s="20" customFormat="1" ht="12" x14ac:dyDescent="0.25">
      <c r="A1618" s="22">
        <v>1000020973</v>
      </c>
      <c r="B1618" s="23" t="s">
        <v>1147</v>
      </c>
      <c r="C1618" s="24" t="s">
        <v>4</v>
      </c>
      <c r="D1618" s="23" t="s">
        <v>2090</v>
      </c>
      <c r="E1618" s="23">
        <v>683.72</v>
      </c>
      <c r="F1618" s="23">
        <v>4</v>
      </c>
      <c r="G1618" s="23">
        <v>4</v>
      </c>
      <c r="H1618" s="23">
        <v>0</v>
      </c>
      <c r="I1618" s="23" t="s">
        <v>5</v>
      </c>
      <c r="J1618" s="23" t="s">
        <v>327</v>
      </c>
    </row>
    <row r="1619" spans="1:10" s="20" customFormat="1" ht="12" x14ac:dyDescent="0.25">
      <c r="A1619" s="22">
        <v>1000020606</v>
      </c>
      <c r="B1619" s="23" t="s">
        <v>822</v>
      </c>
      <c r="C1619" s="24" t="s">
        <v>4</v>
      </c>
      <c r="D1619" s="23" t="s">
        <v>2090</v>
      </c>
      <c r="E1619" s="23">
        <v>683</v>
      </c>
      <c r="F1619" s="23">
        <v>25</v>
      </c>
      <c r="G1619" s="23">
        <v>25</v>
      </c>
      <c r="H1619" s="23">
        <v>0</v>
      </c>
      <c r="I1619" s="23" t="s">
        <v>5</v>
      </c>
      <c r="J1619" s="23" t="s">
        <v>327</v>
      </c>
    </row>
    <row r="1620" spans="1:10" s="20" customFormat="1" ht="12" x14ac:dyDescent="0.25">
      <c r="A1620" s="22">
        <v>1000020508</v>
      </c>
      <c r="B1620" s="23" t="s">
        <v>731</v>
      </c>
      <c r="C1620" s="24" t="s">
        <v>4</v>
      </c>
      <c r="D1620" s="23" t="s">
        <v>2090</v>
      </c>
      <c r="E1620" s="23">
        <v>682.9</v>
      </c>
      <c r="F1620" s="23">
        <v>10</v>
      </c>
      <c r="G1620" s="23">
        <v>10</v>
      </c>
      <c r="H1620" s="23">
        <v>0</v>
      </c>
      <c r="I1620" s="23" t="s">
        <v>5</v>
      </c>
      <c r="J1620" s="23" t="s">
        <v>327</v>
      </c>
    </row>
    <row r="1621" spans="1:10" s="20" customFormat="1" ht="12" x14ac:dyDescent="0.25">
      <c r="A1621" s="22">
        <v>1000021021</v>
      </c>
      <c r="B1621" s="23" t="s">
        <v>1193</v>
      </c>
      <c r="C1621" s="24" t="s">
        <v>4</v>
      </c>
      <c r="D1621" s="23" t="s">
        <v>2090</v>
      </c>
      <c r="E1621" s="23">
        <v>681.68</v>
      </c>
      <c r="F1621" s="23">
        <v>2</v>
      </c>
      <c r="G1621" s="23">
        <v>2</v>
      </c>
      <c r="H1621" s="23">
        <v>0</v>
      </c>
      <c r="I1621" s="23" t="s">
        <v>5</v>
      </c>
      <c r="J1621" s="23" t="s">
        <v>327</v>
      </c>
    </row>
    <row r="1622" spans="1:10" s="20" customFormat="1" ht="12" x14ac:dyDescent="0.25">
      <c r="A1622" s="22">
        <v>1000021255</v>
      </c>
      <c r="B1622" s="23" t="s">
        <v>1400</v>
      </c>
      <c r="C1622" s="24" t="s">
        <v>4</v>
      </c>
      <c r="D1622" s="23" t="s">
        <v>2090</v>
      </c>
      <c r="E1622" s="23">
        <v>678.50199999999995</v>
      </c>
      <c r="F1622" s="23">
        <v>1</v>
      </c>
      <c r="G1622" s="23">
        <v>1</v>
      </c>
      <c r="H1622" s="23">
        <v>0</v>
      </c>
      <c r="I1622" s="23" t="s">
        <v>5</v>
      </c>
      <c r="J1622" s="23" t="s">
        <v>327</v>
      </c>
    </row>
    <row r="1623" spans="1:10" s="20" customFormat="1" ht="12" x14ac:dyDescent="0.25">
      <c r="A1623" s="22">
        <v>1000100334</v>
      </c>
      <c r="B1623" s="23" t="s">
        <v>3704</v>
      </c>
      <c r="C1623" s="24" t="s">
        <v>4</v>
      </c>
      <c r="D1623" s="23" t="s">
        <v>2090</v>
      </c>
      <c r="E1623" s="23">
        <v>676.35</v>
      </c>
      <c r="F1623" s="23">
        <v>3</v>
      </c>
      <c r="G1623" s="23">
        <v>3</v>
      </c>
      <c r="H1623" s="23">
        <v>0</v>
      </c>
      <c r="I1623" s="23" t="s">
        <v>5</v>
      </c>
      <c r="J1623" s="23" t="s">
        <v>327</v>
      </c>
    </row>
    <row r="1624" spans="1:10" s="20" customFormat="1" ht="12" x14ac:dyDescent="0.25">
      <c r="A1624" s="22">
        <v>1000103523</v>
      </c>
      <c r="B1624" s="23" t="s">
        <v>1825</v>
      </c>
      <c r="C1624" s="24" t="s">
        <v>4</v>
      </c>
      <c r="D1624" s="23" t="s">
        <v>2090</v>
      </c>
      <c r="E1624" s="23">
        <v>674.44</v>
      </c>
      <c r="F1624" s="23">
        <v>5</v>
      </c>
      <c r="G1624" s="23">
        <v>5</v>
      </c>
      <c r="H1624" s="23">
        <v>0</v>
      </c>
      <c r="I1624" s="23" t="s">
        <v>5</v>
      </c>
      <c r="J1624" s="23" t="s">
        <v>327</v>
      </c>
    </row>
    <row r="1625" spans="1:10" s="20" customFormat="1" ht="12" x14ac:dyDescent="0.25">
      <c r="A1625" s="22">
        <v>1000095356</v>
      </c>
      <c r="B1625" s="23" t="s">
        <v>3709</v>
      </c>
      <c r="C1625" s="24" t="s">
        <v>4</v>
      </c>
      <c r="D1625" s="23" t="s">
        <v>2090</v>
      </c>
      <c r="E1625" s="23">
        <v>673.91799934873995</v>
      </c>
      <c r="F1625" s="23">
        <v>3</v>
      </c>
      <c r="G1625" s="23">
        <v>3</v>
      </c>
      <c r="H1625" s="23">
        <v>0</v>
      </c>
      <c r="I1625" s="23" t="s">
        <v>5</v>
      </c>
      <c r="J1625" s="23" t="s">
        <v>327</v>
      </c>
    </row>
    <row r="1626" spans="1:10" s="20" customFormat="1" ht="12" x14ac:dyDescent="0.25">
      <c r="A1626" s="22">
        <v>1000099633</v>
      </c>
      <c r="B1626" s="23" t="s">
        <v>3710</v>
      </c>
      <c r="C1626" s="24" t="s">
        <v>4</v>
      </c>
      <c r="D1626" s="23" t="s">
        <v>2090</v>
      </c>
      <c r="E1626" s="23">
        <v>672.3</v>
      </c>
      <c r="F1626" s="23">
        <v>1</v>
      </c>
      <c r="G1626" s="23">
        <v>1</v>
      </c>
      <c r="H1626" s="23">
        <v>0</v>
      </c>
      <c r="I1626" s="23" t="s">
        <v>5</v>
      </c>
      <c r="J1626" s="23" t="s">
        <v>327</v>
      </c>
    </row>
    <row r="1627" spans="1:10" s="20" customFormat="1" ht="12" x14ac:dyDescent="0.25">
      <c r="A1627" s="22">
        <v>1000020277</v>
      </c>
      <c r="B1627" s="23" t="s">
        <v>513</v>
      </c>
      <c r="C1627" s="24" t="s">
        <v>4</v>
      </c>
      <c r="D1627" s="23" t="s">
        <v>2090</v>
      </c>
      <c r="E1627" s="23">
        <v>671.7</v>
      </c>
      <c r="F1627" s="23">
        <v>30</v>
      </c>
      <c r="G1627" s="23">
        <v>30</v>
      </c>
      <c r="H1627" s="23">
        <v>0</v>
      </c>
      <c r="I1627" s="23" t="s">
        <v>5</v>
      </c>
      <c r="J1627" s="23" t="s">
        <v>327</v>
      </c>
    </row>
    <row r="1628" spans="1:10" s="20" customFormat="1" ht="12" x14ac:dyDescent="0.25">
      <c r="A1628" s="22">
        <v>1000098717</v>
      </c>
      <c r="B1628" s="23" t="s">
        <v>1664</v>
      </c>
      <c r="C1628" s="24" t="s">
        <v>4</v>
      </c>
      <c r="D1628" s="23" t="s">
        <v>2090</v>
      </c>
      <c r="E1628" s="23">
        <v>671.24</v>
      </c>
      <c r="F1628" s="23">
        <v>2</v>
      </c>
      <c r="G1628" s="23">
        <v>2</v>
      </c>
      <c r="H1628" s="23">
        <v>0</v>
      </c>
      <c r="I1628" s="23" t="s">
        <v>5</v>
      </c>
      <c r="J1628" s="23" t="s">
        <v>327</v>
      </c>
    </row>
    <row r="1629" spans="1:10" s="20" customFormat="1" ht="12" x14ac:dyDescent="0.25">
      <c r="A1629" s="22">
        <v>1000098730</v>
      </c>
      <c r="B1629" s="23" t="s">
        <v>1672</v>
      </c>
      <c r="C1629" s="24" t="s">
        <v>4</v>
      </c>
      <c r="D1629" s="23" t="s">
        <v>2090</v>
      </c>
      <c r="E1629" s="23">
        <v>671.23800000000006</v>
      </c>
      <c r="F1629" s="23">
        <v>6</v>
      </c>
      <c r="G1629" s="23">
        <v>6</v>
      </c>
      <c r="H1629" s="23">
        <v>0</v>
      </c>
      <c r="I1629" s="23" t="s">
        <v>5</v>
      </c>
      <c r="J1629" s="23" t="s">
        <v>327</v>
      </c>
    </row>
    <row r="1630" spans="1:10" s="20" customFormat="1" ht="12" x14ac:dyDescent="0.25">
      <c r="A1630" s="22">
        <v>1000020051</v>
      </c>
      <c r="B1630" s="23" t="s">
        <v>3711</v>
      </c>
      <c r="C1630" s="24" t="s">
        <v>4</v>
      </c>
      <c r="D1630" s="23" t="s">
        <v>2090</v>
      </c>
      <c r="E1630" s="23">
        <v>670.94</v>
      </c>
      <c r="F1630" s="23">
        <v>15</v>
      </c>
      <c r="G1630" s="23">
        <v>15</v>
      </c>
      <c r="H1630" s="23">
        <v>0</v>
      </c>
      <c r="I1630" s="23" t="s">
        <v>5</v>
      </c>
      <c r="J1630" s="23" t="s">
        <v>327</v>
      </c>
    </row>
    <row r="1631" spans="1:10" s="20" customFormat="1" ht="12" x14ac:dyDescent="0.25">
      <c r="A1631" s="22">
        <v>1000010079</v>
      </c>
      <c r="B1631" s="23" t="s">
        <v>3712</v>
      </c>
      <c r="C1631" s="24" t="s">
        <v>4</v>
      </c>
      <c r="D1631" s="23" t="s">
        <v>2161</v>
      </c>
      <c r="E1631" s="23">
        <v>669.19964285714195</v>
      </c>
      <c r="F1631" s="23">
        <v>6</v>
      </c>
      <c r="G1631" s="23">
        <v>6</v>
      </c>
      <c r="H1631" s="23">
        <v>0</v>
      </c>
      <c r="I1631" s="23" t="s">
        <v>5</v>
      </c>
      <c r="J1631" s="23" t="s">
        <v>111</v>
      </c>
    </row>
    <row r="1632" spans="1:10" s="20" customFormat="1" ht="12" x14ac:dyDescent="0.25">
      <c r="A1632" s="22">
        <v>1000098671</v>
      </c>
      <c r="B1632" s="23" t="s">
        <v>1631</v>
      </c>
      <c r="C1632" s="24" t="s">
        <v>4</v>
      </c>
      <c r="D1632" s="23" t="s">
        <v>2090</v>
      </c>
      <c r="E1632" s="23">
        <v>667.6</v>
      </c>
      <c r="F1632" s="23">
        <v>5</v>
      </c>
      <c r="G1632" s="23">
        <v>5</v>
      </c>
      <c r="H1632" s="23">
        <v>0</v>
      </c>
      <c r="I1632" s="23" t="s">
        <v>5</v>
      </c>
      <c r="J1632" s="23" t="s">
        <v>327</v>
      </c>
    </row>
    <row r="1633" spans="1:10" s="20" customFormat="1" ht="12" x14ac:dyDescent="0.25">
      <c r="A1633" s="22">
        <v>1000020298</v>
      </c>
      <c r="B1633" s="23" t="s">
        <v>534</v>
      </c>
      <c r="C1633" s="24" t="s">
        <v>4</v>
      </c>
      <c r="D1633" s="23" t="s">
        <v>2090</v>
      </c>
      <c r="E1633" s="23">
        <v>666.7</v>
      </c>
      <c r="F1633" s="23">
        <v>10</v>
      </c>
      <c r="G1633" s="23">
        <v>10</v>
      </c>
      <c r="H1633" s="23">
        <v>0</v>
      </c>
      <c r="I1633" s="23" t="s">
        <v>5</v>
      </c>
      <c r="J1633" s="23" t="s">
        <v>327</v>
      </c>
    </row>
    <row r="1634" spans="1:10" s="20" customFormat="1" ht="12" x14ac:dyDescent="0.25">
      <c r="A1634" s="22">
        <v>1000100393</v>
      </c>
      <c r="B1634" s="23" t="s">
        <v>1722</v>
      </c>
      <c r="C1634" s="24" t="s">
        <v>4</v>
      </c>
      <c r="D1634" s="23" t="s">
        <v>2090</v>
      </c>
      <c r="E1634" s="23">
        <v>666.45</v>
      </c>
      <c r="F1634" s="23">
        <v>3</v>
      </c>
      <c r="G1634" s="23">
        <v>3</v>
      </c>
      <c r="H1634" s="23">
        <v>0</v>
      </c>
      <c r="I1634" s="23" t="s">
        <v>5</v>
      </c>
      <c r="J1634" s="23" t="s">
        <v>327</v>
      </c>
    </row>
    <row r="1635" spans="1:10" s="20" customFormat="1" ht="12" x14ac:dyDescent="0.25">
      <c r="A1635" s="22">
        <v>1000021183</v>
      </c>
      <c r="B1635" s="23" t="s">
        <v>1330</v>
      </c>
      <c r="C1635" s="24" t="s">
        <v>4</v>
      </c>
      <c r="D1635" s="23" t="s">
        <v>2090</v>
      </c>
      <c r="E1635" s="23">
        <v>666.17049999999995</v>
      </c>
      <c r="F1635" s="23">
        <v>17</v>
      </c>
      <c r="G1635" s="23">
        <v>17</v>
      </c>
      <c r="H1635" s="23">
        <v>0</v>
      </c>
      <c r="I1635" s="23" t="s">
        <v>5</v>
      </c>
      <c r="J1635" s="23" t="s">
        <v>327</v>
      </c>
    </row>
    <row r="1636" spans="1:10" s="20" customFormat="1" ht="12" x14ac:dyDescent="0.25">
      <c r="A1636" s="22">
        <v>2500008431</v>
      </c>
      <c r="B1636" s="23" t="s">
        <v>3713</v>
      </c>
      <c r="C1636" s="24" t="s">
        <v>1996</v>
      </c>
      <c r="D1636" s="23" t="s">
        <v>2025</v>
      </c>
      <c r="E1636" s="23">
        <v>665.63</v>
      </c>
      <c r="F1636" s="23">
        <v>5</v>
      </c>
      <c r="G1636" s="23">
        <v>5</v>
      </c>
      <c r="H1636" s="23">
        <v>0</v>
      </c>
      <c r="I1636" s="23" t="s">
        <v>5</v>
      </c>
      <c r="J1636" s="23" t="s">
        <v>1993</v>
      </c>
    </row>
    <row r="1637" spans="1:10" s="20" customFormat="1" ht="12" x14ac:dyDescent="0.25">
      <c r="A1637" s="22">
        <v>1000100159</v>
      </c>
      <c r="B1637" s="23" t="s">
        <v>3714</v>
      </c>
      <c r="C1637" s="24" t="s">
        <v>4</v>
      </c>
      <c r="D1637" s="23" t="s">
        <v>2056</v>
      </c>
      <c r="E1637" s="23">
        <v>665.03292754627103</v>
      </c>
      <c r="F1637" s="23">
        <v>317</v>
      </c>
      <c r="G1637" s="23">
        <v>317</v>
      </c>
      <c r="H1637" s="23">
        <v>0</v>
      </c>
      <c r="I1637" s="23" t="s">
        <v>5</v>
      </c>
      <c r="J1637" s="23" t="s">
        <v>1844</v>
      </c>
    </row>
    <row r="1638" spans="1:10" s="20" customFormat="1" ht="12" x14ac:dyDescent="0.25">
      <c r="A1638" s="22">
        <v>1000020895</v>
      </c>
      <c r="B1638" s="23" t="s">
        <v>1077</v>
      </c>
      <c r="C1638" s="24" t="s">
        <v>4</v>
      </c>
      <c r="D1638" s="23" t="s">
        <v>2090</v>
      </c>
      <c r="E1638" s="23">
        <v>662.74</v>
      </c>
      <c r="F1638" s="23">
        <v>2</v>
      </c>
      <c r="G1638" s="23">
        <v>2</v>
      </c>
      <c r="H1638" s="23">
        <v>0</v>
      </c>
      <c r="I1638" s="23" t="s">
        <v>5</v>
      </c>
      <c r="J1638" s="23" t="s">
        <v>327</v>
      </c>
    </row>
    <row r="1639" spans="1:10" s="20" customFormat="1" ht="12" x14ac:dyDescent="0.25">
      <c r="A1639" s="22">
        <v>2500008398</v>
      </c>
      <c r="B1639" s="23" t="s">
        <v>3717</v>
      </c>
      <c r="C1639" s="24" t="s">
        <v>1996</v>
      </c>
      <c r="D1639" s="23" t="s">
        <v>2025</v>
      </c>
      <c r="E1639" s="23">
        <v>660.88</v>
      </c>
      <c r="F1639" s="23">
        <v>1</v>
      </c>
      <c r="G1639" s="23">
        <v>1</v>
      </c>
      <c r="H1639" s="23">
        <v>0</v>
      </c>
      <c r="I1639" s="23" t="s">
        <v>5</v>
      </c>
      <c r="J1639" s="23" t="s">
        <v>1993</v>
      </c>
    </row>
    <row r="1640" spans="1:10" s="20" customFormat="1" ht="12" x14ac:dyDescent="0.25">
      <c r="A1640" s="22">
        <v>1000021202</v>
      </c>
      <c r="B1640" s="23" t="s">
        <v>1348</v>
      </c>
      <c r="C1640" s="24" t="s">
        <v>4</v>
      </c>
      <c r="D1640" s="23" t="s">
        <v>2090</v>
      </c>
      <c r="E1640" s="23">
        <v>660.22199999999998</v>
      </c>
      <c r="F1640" s="23">
        <v>6</v>
      </c>
      <c r="G1640" s="23">
        <v>6</v>
      </c>
      <c r="H1640" s="23">
        <v>0</v>
      </c>
      <c r="I1640" s="23" t="s">
        <v>5</v>
      </c>
      <c r="J1640" s="23" t="s">
        <v>327</v>
      </c>
    </row>
    <row r="1641" spans="1:10" s="20" customFormat="1" ht="12" x14ac:dyDescent="0.25">
      <c r="A1641" s="22">
        <v>1000093785</v>
      </c>
      <c r="B1641" s="23" t="s">
        <v>3720</v>
      </c>
      <c r="C1641" s="24" t="s">
        <v>4</v>
      </c>
      <c r="D1641" s="23" t="s">
        <v>2218</v>
      </c>
      <c r="E1641" s="23">
        <v>657.98934402332304</v>
      </c>
      <c r="F1641" s="23">
        <v>379</v>
      </c>
      <c r="G1641" s="23">
        <v>379</v>
      </c>
      <c r="H1641" s="23">
        <v>0</v>
      </c>
      <c r="I1641" s="23" t="s">
        <v>5</v>
      </c>
      <c r="J1641" s="23" t="s">
        <v>327</v>
      </c>
    </row>
    <row r="1642" spans="1:10" s="20" customFormat="1" ht="12" x14ac:dyDescent="0.25">
      <c r="A1642" s="22">
        <v>1000020049</v>
      </c>
      <c r="B1642" s="23" t="s">
        <v>3721</v>
      </c>
      <c r="C1642" s="24" t="s">
        <v>4</v>
      </c>
      <c r="D1642" s="23" t="s">
        <v>2090</v>
      </c>
      <c r="E1642" s="23">
        <v>657.79714285714203</v>
      </c>
      <c r="F1642" s="23">
        <v>8</v>
      </c>
      <c r="G1642" s="23">
        <v>8</v>
      </c>
      <c r="H1642" s="23">
        <v>0</v>
      </c>
      <c r="I1642" s="23" t="s">
        <v>5</v>
      </c>
      <c r="J1642" s="23" t="s">
        <v>327</v>
      </c>
    </row>
    <row r="1643" spans="1:10" s="20" customFormat="1" ht="12" x14ac:dyDescent="0.25">
      <c r="A1643" s="22">
        <v>1000020768</v>
      </c>
      <c r="B1643" s="23" t="s">
        <v>972</v>
      </c>
      <c r="C1643" s="24" t="s">
        <v>4</v>
      </c>
      <c r="D1643" s="23" t="s">
        <v>2090</v>
      </c>
      <c r="E1643" s="23">
        <v>655.44</v>
      </c>
      <c r="F1643" s="23">
        <v>4</v>
      </c>
      <c r="G1643" s="23">
        <v>4</v>
      </c>
      <c r="H1643" s="23">
        <v>0</v>
      </c>
      <c r="I1643" s="23" t="s">
        <v>5</v>
      </c>
      <c r="J1643" s="23" t="s">
        <v>327</v>
      </c>
    </row>
    <row r="1644" spans="1:10" s="20" customFormat="1" ht="12" x14ac:dyDescent="0.25">
      <c r="A1644" s="22">
        <v>1000021219</v>
      </c>
      <c r="B1644" s="23" t="s">
        <v>1365</v>
      </c>
      <c r="C1644" s="24" t="s">
        <v>4</v>
      </c>
      <c r="D1644" s="23" t="s">
        <v>2090</v>
      </c>
      <c r="E1644" s="23">
        <v>655.38</v>
      </c>
      <c r="F1644" s="23">
        <v>3</v>
      </c>
      <c r="G1644" s="23">
        <v>3</v>
      </c>
      <c r="H1644" s="23">
        <v>0</v>
      </c>
      <c r="I1644" s="23" t="s">
        <v>5</v>
      </c>
      <c r="J1644" s="23" t="s">
        <v>327</v>
      </c>
    </row>
    <row r="1645" spans="1:10" s="20" customFormat="1" ht="12" x14ac:dyDescent="0.25">
      <c r="A1645" s="22">
        <v>1000021098</v>
      </c>
      <c r="B1645" s="23" t="s">
        <v>1260</v>
      </c>
      <c r="C1645" s="24" t="s">
        <v>4</v>
      </c>
      <c r="D1645" s="23" t="s">
        <v>2090</v>
      </c>
      <c r="E1645" s="23">
        <v>655.22</v>
      </c>
      <c r="F1645" s="23">
        <v>2</v>
      </c>
      <c r="G1645" s="23">
        <v>2</v>
      </c>
      <c r="H1645" s="23">
        <v>0</v>
      </c>
      <c r="I1645" s="23" t="s">
        <v>5</v>
      </c>
      <c r="J1645" s="23" t="s">
        <v>327</v>
      </c>
    </row>
    <row r="1646" spans="1:10" s="20" customFormat="1" ht="12" x14ac:dyDescent="0.25">
      <c r="A1646" s="22">
        <v>1000103013</v>
      </c>
      <c r="B1646" s="23" t="s">
        <v>3722</v>
      </c>
      <c r="C1646" s="24" t="s">
        <v>4</v>
      </c>
      <c r="D1646" s="23" t="s">
        <v>2090</v>
      </c>
      <c r="E1646" s="23">
        <v>654.51391304347806</v>
      </c>
      <c r="F1646" s="23">
        <v>30</v>
      </c>
      <c r="G1646" s="23">
        <v>30</v>
      </c>
      <c r="H1646" s="23">
        <v>0</v>
      </c>
      <c r="I1646" s="23" t="s">
        <v>5</v>
      </c>
      <c r="J1646" s="23" t="s">
        <v>327</v>
      </c>
    </row>
    <row r="1647" spans="1:10" s="20" customFormat="1" ht="12" x14ac:dyDescent="0.25">
      <c r="A1647" s="22">
        <v>1000098850</v>
      </c>
      <c r="B1647" s="23" t="s">
        <v>3723</v>
      </c>
      <c r="C1647" s="24" t="s">
        <v>4</v>
      </c>
      <c r="D1647" s="23" t="s">
        <v>2230</v>
      </c>
      <c r="E1647" s="23">
        <v>653.51</v>
      </c>
      <c r="F1647" s="23">
        <v>1</v>
      </c>
      <c r="G1647" s="23">
        <v>1</v>
      </c>
      <c r="H1647" s="23">
        <v>0</v>
      </c>
      <c r="I1647" s="23" t="s">
        <v>5</v>
      </c>
      <c r="J1647" s="23" t="s">
        <v>111</v>
      </c>
    </row>
    <row r="1648" spans="1:10" s="20" customFormat="1" ht="12" x14ac:dyDescent="0.25">
      <c r="A1648" s="22">
        <v>1000096875</v>
      </c>
      <c r="B1648" s="23" t="s">
        <v>3724</v>
      </c>
      <c r="C1648" s="24" t="s">
        <v>4</v>
      </c>
      <c r="D1648" s="23" t="s">
        <v>2161</v>
      </c>
      <c r="E1648" s="23">
        <v>653.25599999999997</v>
      </c>
      <c r="F1648" s="23">
        <v>4</v>
      </c>
      <c r="G1648" s="23">
        <v>4</v>
      </c>
      <c r="H1648" s="23">
        <v>0</v>
      </c>
      <c r="I1648" s="23" t="s">
        <v>5</v>
      </c>
      <c r="J1648" s="23" t="s">
        <v>111</v>
      </c>
    </row>
    <row r="1649" spans="1:10" s="20" customFormat="1" ht="12" x14ac:dyDescent="0.25">
      <c r="A1649" s="22">
        <v>1000020542</v>
      </c>
      <c r="B1649" s="23" t="s">
        <v>762</v>
      </c>
      <c r="C1649" s="24" t="s">
        <v>4</v>
      </c>
      <c r="D1649" s="23" t="s">
        <v>2090</v>
      </c>
      <c r="E1649" s="23">
        <v>652.54</v>
      </c>
      <c r="F1649" s="23">
        <v>2</v>
      </c>
      <c r="G1649" s="23">
        <v>2</v>
      </c>
      <c r="H1649" s="23">
        <v>0</v>
      </c>
      <c r="I1649" s="23" t="s">
        <v>5</v>
      </c>
      <c r="J1649" s="23" t="s">
        <v>327</v>
      </c>
    </row>
    <row r="1650" spans="1:10" s="20" customFormat="1" ht="12" x14ac:dyDescent="0.25">
      <c r="A1650" s="22">
        <v>1000020556</v>
      </c>
      <c r="B1650" s="23" t="s">
        <v>774</v>
      </c>
      <c r="C1650" s="24" t="s">
        <v>4</v>
      </c>
      <c r="D1650" s="23" t="s">
        <v>2090</v>
      </c>
      <c r="E1650" s="23">
        <v>650.25</v>
      </c>
      <c r="F1650" s="23">
        <v>25</v>
      </c>
      <c r="G1650" s="23">
        <v>25</v>
      </c>
      <c r="H1650" s="23">
        <v>0</v>
      </c>
      <c r="I1650" s="23" t="s">
        <v>5</v>
      </c>
      <c r="J1650" s="23" t="s">
        <v>327</v>
      </c>
    </row>
    <row r="1651" spans="1:10" s="20" customFormat="1" ht="12" x14ac:dyDescent="0.25">
      <c r="A1651" s="22">
        <v>1000020487</v>
      </c>
      <c r="B1651" s="23" t="s">
        <v>712</v>
      </c>
      <c r="C1651" s="24" t="s">
        <v>4</v>
      </c>
      <c r="D1651" s="23" t="s">
        <v>2090</v>
      </c>
      <c r="E1651" s="23">
        <v>650.04432142857104</v>
      </c>
      <c r="F1651" s="23">
        <v>12</v>
      </c>
      <c r="G1651" s="23">
        <v>12</v>
      </c>
      <c r="H1651" s="23">
        <v>0</v>
      </c>
      <c r="I1651" s="23" t="s">
        <v>5</v>
      </c>
      <c r="J1651" s="23" t="s">
        <v>327</v>
      </c>
    </row>
    <row r="1652" spans="1:10" s="20" customFormat="1" ht="12" x14ac:dyDescent="0.25">
      <c r="A1652" s="22">
        <v>1000102922</v>
      </c>
      <c r="B1652" s="23" t="s">
        <v>3726</v>
      </c>
      <c r="C1652" s="24" t="s">
        <v>4</v>
      </c>
      <c r="D1652" s="23" t="s">
        <v>2056</v>
      </c>
      <c r="E1652" s="23">
        <v>649.28555066533295</v>
      </c>
      <c r="F1652" s="23">
        <v>92</v>
      </c>
      <c r="G1652" s="23">
        <v>92</v>
      </c>
      <c r="H1652" s="23">
        <v>0</v>
      </c>
      <c r="I1652" s="23" t="s">
        <v>5</v>
      </c>
      <c r="J1652" s="23" t="s">
        <v>1844</v>
      </c>
    </row>
    <row r="1653" spans="1:10" s="20" customFormat="1" ht="12" x14ac:dyDescent="0.25">
      <c r="A1653" s="22">
        <v>1000020611</v>
      </c>
      <c r="B1653" s="23" t="s">
        <v>827</v>
      </c>
      <c r="C1653" s="24" t="s">
        <v>4</v>
      </c>
      <c r="D1653" s="23" t="s">
        <v>2090</v>
      </c>
      <c r="E1653" s="23">
        <v>648.23</v>
      </c>
      <c r="F1653" s="23">
        <v>83</v>
      </c>
      <c r="G1653" s="23">
        <v>83</v>
      </c>
      <c r="H1653" s="23">
        <v>0</v>
      </c>
      <c r="I1653" s="23" t="s">
        <v>5</v>
      </c>
      <c r="J1653" s="23" t="s">
        <v>327</v>
      </c>
    </row>
    <row r="1654" spans="1:10" s="20" customFormat="1" ht="12" x14ac:dyDescent="0.25">
      <c r="A1654" s="22">
        <v>1000096756</v>
      </c>
      <c r="B1654" s="23" t="s">
        <v>3728</v>
      </c>
      <c r="C1654" s="24" t="s">
        <v>4</v>
      </c>
      <c r="D1654" s="23" t="s">
        <v>2090</v>
      </c>
      <c r="E1654" s="23">
        <v>646.63333333333298</v>
      </c>
      <c r="F1654" s="23">
        <v>5</v>
      </c>
      <c r="G1654" s="23">
        <v>5</v>
      </c>
      <c r="H1654" s="23">
        <v>0</v>
      </c>
      <c r="I1654" s="23" t="s">
        <v>5</v>
      </c>
      <c r="J1654" s="23" t="s">
        <v>327</v>
      </c>
    </row>
    <row r="1655" spans="1:10" s="20" customFormat="1" ht="12" x14ac:dyDescent="0.25">
      <c r="A1655" s="22">
        <v>1000020848</v>
      </c>
      <c r="B1655" s="23" t="s">
        <v>1040</v>
      </c>
      <c r="C1655" s="24" t="s">
        <v>4</v>
      </c>
      <c r="D1655" s="23" t="s">
        <v>2090</v>
      </c>
      <c r="E1655" s="23">
        <v>645.72903944551399</v>
      </c>
      <c r="F1655" s="23">
        <v>3</v>
      </c>
      <c r="G1655" s="23">
        <v>3</v>
      </c>
      <c r="H1655" s="23">
        <v>0</v>
      </c>
      <c r="I1655" s="23" t="s">
        <v>5</v>
      </c>
      <c r="J1655" s="23" t="s">
        <v>327</v>
      </c>
    </row>
    <row r="1656" spans="1:10" s="20" customFormat="1" ht="12" x14ac:dyDescent="0.25">
      <c r="A1656" s="22">
        <v>1000010127</v>
      </c>
      <c r="B1656" s="23" t="s">
        <v>3729</v>
      </c>
      <c r="C1656" s="24" t="s">
        <v>4</v>
      </c>
      <c r="D1656" s="23" t="s">
        <v>2161</v>
      </c>
      <c r="E1656" s="23">
        <v>644.76</v>
      </c>
      <c r="F1656" s="23">
        <v>1</v>
      </c>
      <c r="G1656" s="23">
        <v>1</v>
      </c>
      <c r="H1656" s="23">
        <v>0</v>
      </c>
      <c r="I1656" s="23" t="s">
        <v>5</v>
      </c>
      <c r="J1656" s="23" t="s">
        <v>111</v>
      </c>
    </row>
    <row r="1657" spans="1:10" s="20" customFormat="1" ht="12" x14ac:dyDescent="0.25">
      <c r="A1657" s="22">
        <v>1000021217</v>
      </c>
      <c r="B1657" s="23" t="s">
        <v>1363</v>
      </c>
      <c r="C1657" s="24" t="s">
        <v>4</v>
      </c>
      <c r="D1657" s="23" t="s">
        <v>2090</v>
      </c>
      <c r="E1657" s="23">
        <v>644.73749999999995</v>
      </c>
      <c r="F1657" s="23">
        <v>3</v>
      </c>
      <c r="G1657" s="23">
        <v>3</v>
      </c>
      <c r="H1657" s="23">
        <v>0</v>
      </c>
      <c r="I1657" s="23" t="s">
        <v>5</v>
      </c>
      <c r="J1657" s="23" t="s">
        <v>327</v>
      </c>
    </row>
    <row r="1658" spans="1:10" s="20" customFormat="1" ht="12" x14ac:dyDescent="0.25">
      <c r="A1658" s="22">
        <v>1000020107</v>
      </c>
      <c r="B1658" s="23" t="s">
        <v>363</v>
      </c>
      <c r="C1658" s="24" t="s">
        <v>4</v>
      </c>
      <c r="D1658" s="23" t="s">
        <v>2218</v>
      </c>
      <c r="E1658" s="23">
        <v>642.97533333333297</v>
      </c>
      <c r="F1658" s="23">
        <v>2</v>
      </c>
      <c r="G1658" s="23">
        <v>2</v>
      </c>
      <c r="H1658" s="23">
        <v>0</v>
      </c>
      <c r="I1658" s="23" t="s">
        <v>5</v>
      </c>
      <c r="J1658" s="23" t="s">
        <v>327</v>
      </c>
    </row>
    <row r="1659" spans="1:10" s="20" customFormat="1" ht="12" x14ac:dyDescent="0.25">
      <c r="A1659" s="22">
        <v>2500008223</v>
      </c>
      <c r="B1659" s="23" t="s">
        <v>3730</v>
      </c>
      <c r="C1659" s="24" t="s">
        <v>1996</v>
      </c>
      <c r="D1659" s="23" t="s">
        <v>2025</v>
      </c>
      <c r="E1659" s="23">
        <v>641.63150059999998</v>
      </c>
      <c r="F1659" s="23">
        <v>4</v>
      </c>
      <c r="G1659" s="23">
        <v>4</v>
      </c>
      <c r="H1659" s="23">
        <v>0</v>
      </c>
      <c r="I1659" s="23" t="s">
        <v>5</v>
      </c>
      <c r="J1659" s="23" t="s">
        <v>1993</v>
      </c>
    </row>
    <row r="1660" spans="1:10" s="20" customFormat="1" ht="12" x14ac:dyDescent="0.25">
      <c r="A1660" s="22">
        <v>1000097831</v>
      </c>
      <c r="B1660" s="23" t="s">
        <v>3731</v>
      </c>
      <c r="C1660" s="24" t="s">
        <v>4</v>
      </c>
      <c r="D1660" s="23" t="s">
        <v>2056</v>
      </c>
      <c r="E1660" s="23">
        <v>639.96799999999996</v>
      </c>
      <c r="F1660" s="23">
        <v>30</v>
      </c>
      <c r="G1660" s="23">
        <v>30</v>
      </c>
      <c r="H1660" s="23">
        <v>0</v>
      </c>
      <c r="I1660" s="23" t="s">
        <v>5</v>
      </c>
      <c r="J1660" s="23" t="s">
        <v>1844</v>
      </c>
    </row>
    <row r="1661" spans="1:10" s="20" customFormat="1" ht="12" x14ac:dyDescent="0.25">
      <c r="A1661" s="22">
        <v>1000020637</v>
      </c>
      <c r="B1661" s="23" t="s">
        <v>852</v>
      </c>
      <c r="C1661" s="24" t="s">
        <v>4</v>
      </c>
      <c r="D1661" s="23" t="s">
        <v>2090</v>
      </c>
      <c r="E1661" s="23">
        <v>639.09510518933996</v>
      </c>
      <c r="F1661" s="23">
        <v>32</v>
      </c>
      <c r="G1661" s="23">
        <v>22</v>
      </c>
      <c r="H1661" s="23">
        <v>10</v>
      </c>
      <c r="I1661" s="23" t="s">
        <v>44</v>
      </c>
      <c r="J1661" s="23" t="s">
        <v>327</v>
      </c>
    </row>
    <row r="1662" spans="1:10" s="20" customFormat="1" ht="12" x14ac:dyDescent="0.25">
      <c r="A1662" s="22">
        <v>1000020587</v>
      </c>
      <c r="B1662" s="23" t="s">
        <v>803</v>
      </c>
      <c r="C1662" s="24" t="s">
        <v>4</v>
      </c>
      <c r="D1662" s="23" t="s">
        <v>2090</v>
      </c>
      <c r="E1662" s="23">
        <v>637.65</v>
      </c>
      <c r="F1662" s="23">
        <v>5</v>
      </c>
      <c r="G1662" s="23">
        <v>5</v>
      </c>
      <c r="H1662" s="23">
        <v>0</v>
      </c>
      <c r="I1662" s="23" t="s">
        <v>5</v>
      </c>
      <c r="J1662" s="23" t="s">
        <v>327</v>
      </c>
    </row>
    <row r="1663" spans="1:10" s="20" customFormat="1" ht="12" x14ac:dyDescent="0.25">
      <c r="A1663" s="22">
        <v>1000020967</v>
      </c>
      <c r="B1663" s="23" t="s">
        <v>1143</v>
      </c>
      <c r="C1663" s="24" t="s">
        <v>4</v>
      </c>
      <c r="D1663" s="23" t="s">
        <v>2090</v>
      </c>
      <c r="E1663" s="23">
        <v>633.85</v>
      </c>
      <c r="F1663" s="23">
        <v>1</v>
      </c>
      <c r="G1663" s="23">
        <v>1</v>
      </c>
      <c r="H1663" s="23">
        <v>0</v>
      </c>
      <c r="I1663" s="23" t="s">
        <v>5</v>
      </c>
      <c r="J1663" s="23" t="s">
        <v>327</v>
      </c>
    </row>
    <row r="1664" spans="1:10" s="20" customFormat="1" ht="12" x14ac:dyDescent="0.25">
      <c r="A1664" s="22">
        <v>1000021167</v>
      </c>
      <c r="B1664" s="23" t="s">
        <v>1315</v>
      </c>
      <c r="C1664" s="24" t="s">
        <v>4</v>
      </c>
      <c r="D1664" s="23" t="s">
        <v>2090</v>
      </c>
      <c r="E1664" s="23">
        <v>630.42999999999995</v>
      </c>
      <c r="F1664" s="23">
        <v>1</v>
      </c>
      <c r="G1664" s="23">
        <v>1</v>
      </c>
      <c r="H1664" s="23">
        <v>0</v>
      </c>
      <c r="I1664" s="23" t="s">
        <v>5</v>
      </c>
      <c r="J1664" s="23" t="s">
        <v>327</v>
      </c>
    </row>
    <row r="1665" spans="1:10" s="20" customFormat="1" ht="12" x14ac:dyDescent="0.25">
      <c r="A1665" s="22">
        <v>1000020933</v>
      </c>
      <c r="B1665" s="23" t="s">
        <v>1112</v>
      </c>
      <c r="C1665" s="24" t="s">
        <v>4</v>
      </c>
      <c r="D1665" s="23" t="s">
        <v>2090</v>
      </c>
      <c r="E1665" s="23">
        <v>630.24</v>
      </c>
      <c r="F1665" s="23">
        <v>4</v>
      </c>
      <c r="G1665" s="23">
        <v>4</v>
      </c>
      <c r="H1665" s="23">
        <v>0</v>
      </c>
      <c r="I1665" s="23" t="s">
        <v>5</v>
      </c>
      <c r="J1665" s="23" t="s">
        <v>327</v>
      </c>
    </row>
    <row r="1666" spans="1:10" s="20" customFormat="1" ht="12" x14ac:dyDescent="0.25">
      <c r="A1666" s="22">
        <v>1000098545</v>
      </c>
      <c r="B1666" s="23" t="s">
        <v>1576</v>
      </c>
      <c r="C1666" s="24" t="s">
        <v>4</v>
      </c>
      <c r="D1666" s="23" t="s">
        <v>2090</v>
      </c>
      <c r="E1666" s="23">
        <v>625.16999999999996</v>
      </c>
      <c r="F1666" s="23">
        <v>2</v>
      </c>
      <c r="G1666" s="23">
        <v>2</v>
      </c>
      <c r="H1666" s="23">
        <v>0</v>
      </c>
      <c r="I1666" s="23" t="s">
        <v>5</v>
      </c>
      <c r="J1666" s="23" t="s">
        <v>327</v>
      </c>
    </row>
    <row r="1667" spans="1:10" s="20" customFormat="1" ht="12" x14ac:dyDescent="0.25">
      <c r="A1667" s="22">
        <v>1000020759</v>
      </c>
      <c r="B1667" s="23" t="s">
        <v>964</v>
      </c>
      <c r="C1667" s="24" t="s">
        <v>4</v>
      </c>
      <c r="D1667" s="23" t="s">
        <v>2090</v>
      </c>
      <c r="E1667" s="23">
        <v>624.79999999999995</v>
      </c>
      <c r="F1667" s="23">
        <v>10</v>
      </c>
      <c r="G1667" s="23">
        <v>10</v>
      </c>
      <c r="H1667" s="23">
        <v>0</v>
      </c>
      <c r="I1667" s="23" t="s">
        <v>5</v>
      </c>
      <c r="J1667" s="23" t="s">
        <v>327</v>
      </c>
    </row>
    <row r="1668" spans="1:10" s="20" customFormat="1" ht="12" x14ac:dyDescent="0.25">
      <c r="A1668" s="22">
        <v>1000095965</v>
      </c>
      <c r="B1668" s="23" t="s">
        <v>3737</v>
      </c>
      <c r="C1668" s="24" t="s">
        <v>4</v>
      </c>
      <c r="D1668" s="23" t="s">
        <v>2161</v>
      </c>
      <c r="E1668" s="23">
        <v>624.37666666666598</v>
      </c>
      <c r="F1668" s="23">
        <v>1</v>
      </c>
      <c r="G1668" s="23">
        <v>1</v>
      </c>
      <c r="H1668" s="23">
        <v>0</v>
      </c>
      <c r="I1668" s="23" t="s">
        <v>5</v>
      </c>
      <c r="J1668" s="23" t="s">
        <v>111</v>
      </c>
    </row>
    <row r="1669" spans="1:10" s="20" customFormat="1" ht="12" x14ac:dyDescent="0.25">
      <c r="A1669" s="22">
        <v>1000100426</v>
      </c>
      <c r="B1669" s="23" t="s">
        <v>1737</v>
      </c>
      <c r="C1669" s="24" t="s">
        <v>4</v>
      </c>
      <c r="D1669" s="23" t="s">
        <v>2090</v>
      </c>
      <c r="E1669" s="23">
        <v>621.67499999999995</v>
      </c>
      <c r="F1669" s="23">
        <v>3</v>
      </c>
      <c r="G1669" s="23">
        <v>3</v>
      </c>
      <c r="H1669" s="23">
        <v>0</v>
      </c>
      <c r="I1669" s="23" t="s">
        <v>5</v>
      </c>
      <c r="J1669" s="23" t="s">
        <v>327</v>
      </c>
    </row>
    <row r="1670" spans="1:10" s="20" customFormat="1" ht="12" x14ac:dyDescent="0.25">
      <c r="A1670" s="22">
        <v>1000021043</v>
      </c>
      <c r="B1670" s="23" t="s">
        <v>1213</v>
      </c>
      <c r="C1670" s="24" t="s">
        <v>4</v>
      </c>
      <c r="D1670" s="23" t="s">
        <v>2090</v>
      </c>
      <c r="E1670" s="23">
        <v>621.15</v>
      </c>
      <c r="F1670" s="23">
        <v>3</v>
      </c>
      <c r="G1670" s="23">
        <v>3</v>
      </c>
      <c r="H1670" s="23">
        <v>0</v>
      </c>
      <c r="I1670" s="23" t="s">
        <v>5</v>
      </c>
      <c r="J1670" s="23" t="s">
        <v>327</v>
      </c>
    </row>
    <row r="1671" spans="1:10" s="20" customFormat="1" ht="12" x14ac:dyDescent="0.25">
      <c r="A1671" s="22">
        <v>2500008376</v>
      </c>
      <c r="B1671" s="23" t="s">
        <v>3739</v>
      </c>
      <c r="C1671" s="24" t="s">
        <v>1996</v>
      </c>
      <c r="D1671" s="23" t="s">
        <v>2025</v>
      </c>
      <c r="E1671" s="23">
        <v>620.4</v>
      </c>
      <c r="F1671" s="23">
        <v>2</v>
      </c>
      <c r="G1671" s="23">
        <v>2</v>
      </c>
      <c r="H1671" s="23">
        <v>0</v>
      </c>
      <c r="I1671" s="23" t="s">
        <v>5</v>
      </c>
      <c r="J1671" s="23" t="s">
        <v>1993</v>
      </c>
    </row>
    <row r="1672" spans="1:10" s="20" customFormat="1" ht="12" x14ac:dyDescent="0.25">
      <c r="A1672" s="22">
        <v>1000021280</v>
      </c>
      <c r="B1672" s="23" t="s">
        <v>1417</v>
      </c>
      <c r="C1672" s="24" t="s">
        <v>4</v>
      </c>
      <c r="D1672" s="23" t="s">
        <v>2090</v>
      </c>
      <c r="E1672" s="23">
        <v>619.16</v>
      </c>
      <c r="F1672" s="23">
        <v>2</v>
      </c>
      <c r="G1672" s="23">
        <v>2</v>
      </c>
      <c r="H1672" s="23">
        <v>0</v>
      </c>
      <c r="I1672" s="23" t="s">
        <v>5</v>
      </c>
      <c r="J1672" s="23" t="s">
        <v>327</v>
      </c>
    </row>
    <row r="1673" spans="1:10" s="20" customFormat="1" ht="12" x14ac:dyDescent="0.25">
      <c r="A1673" s="22">
        <v>1000020034</v>
      </c>
      <c r="B1673" s="23" t="s">
        <v>3740</v>
      </c>
      <c r="C1673" s="24" t="s">
        <v>4</v>
      </c>
      <c r="D1673" s="23" t="s">
        <v>2090</v>
      </c>
      <c r="E1673" s="23">
        <v>619.05999999999995</v>
      </c>
      <c r="F1673" s="23">
        <v>7</v>
      </c>
      <c r="G1673" s="23">
        <v>7</v>
      </c>
      <c r="H1673" s="23">
        <v>0</v>
      </c>
      <c r="I1673" s="23" t="s">
        <v>5</v>
      </c>
      <c r="J1673" s="23" t="s">
        <v>327</v>
      </c>
    </row>
    <row r="1674" spans="1:10" s="20" customFormat="1" ht="12" x14ac:dyDescent="0.25">
      <c r="A1674" s="22">
        <v>1000020339</v>
      </c>
      <c r="B1674" s="23" t="s">
        <v>571</v>
      </c>
      <c r="C1674" s="24" t="s">
        <v>4</v>
      </c>
      <c r="D1674" s="23" t="s">
        <v>2090</v>
      </c>
      <c r="E1674" s="23">
        <v>619.012077399899</v>
      </c>
      <c r="F1674" s="23">
        <v>109</v>
      </c>
      <c r="G1674" s="23">
        <v>109</v>
      </c>
      <c r="H1674" s="23">
        <v>0</v>
      </c>
      <c r="I1674" s="23" t="s">
        <v>5</v>
      </c>
      <c r="J1674" s="23" t="s">
        <v>327</v>
      </c>
    </row>
    <row r="1675" spans="1:10" s="20" customFormat="1" ht="12" x14ac:dyDescent="0.25">
      <c r="A1675" s="22">
        <v>1000106171</v>
      </c>
      <c r="B1675" s="23" t="s">
        <v>3741</v>
      </c>
      <c r="C1675" s="24" t="s">
        <v>4</v>
      </c>
      <c r="D1675" s="23" t="s">
        <v>2090</v>
      </c>
      <c r="E1675" s="23">
        <v>618.75</v>
      </c>
      <c r="F1675" s="23">
        <v>5</v>
      </c>
      <c r="G1675" s="23">
        <v>5</v>
      </c>
      <c r="H1675" s="23">
        <v>0</v>
      </c>
      <c r="I1675" s="23" t="s">
        <v>5</v>
      </c>
      <c r="J1675" s="23" t="s">
        <v>327</v>
      </c>
    </row>
    <row r="1676" spans="1:10" s="20" customFormat="1" ht="12" x14ac:dyDescent="0.25">
      <c r="A1676" s="22">
        <v>2500008064</v>
      </c>
      <c r="B1676" s="23" t="s">
        <v>3742</v>
      </c>
      <c r="C1676" s="24" t="s">
        <v>1996</v>
      </c>
      <c r="D1676" s="23" t="s">
        <v>2025</v>
      </c>
      <c r="E1676" s="23">
        <v>618.30437500000005</v>
      </c>
      <c r="F1676" s="23">
        <v>1</v>
      </c>
      <c r="G1676" s="23">
        <v>1</v>
      </c>
      <c r="H1676" s="23">
        <v>0</v>
      </c>
      <c r="I1676" s="23" t="s">
        <v>5</v>
      </c>
      <c r="J1676" s="23" t="s">
        <v>1993</v>
      </c>
    </row>
    <row r="1677" spans="1:10" s="20" customFormat="1" ht="12" x14ac:dyDescent="0.25">
      <c r="A1677" s="22">
        <v>1000020939</v>
      </c>
      <c r="B1677" s="23" t="s">
        <v>1118</v>
      </c>
      <c r="C1677" s="24" t="s">
        <v>4</v>
      </c>
      <c r="D1677" s="23" t="s">
        <v>2090</v>
      </c>
      <c r="E1677" s="23">
        <v>618.08000000000004</v>
      </c>
      <c r="F1677" s="23">
        <v>1</v>
      </c>
      <c r="G1677" s="23">
        <v>1</v>
      </c>
      <c r="H1677" s="23">
        <v>0</v>
      </c>
      <c r="I1677" s="23" t="s">
        <v>5</v>
      </c>
      <c r="J1677" s="23" t="s">
        <v>327</v>
      </c>
    </row>
    <row r="1678" spans="1:10" s="20" customFormat="1" ht="12" x14ac:dyDescent="0.25">
      <c r="A1678" s="22">
        <v>1000020586</v>
      </c>
      <c r="B1678" s="23" t="s">
        <v>802</v>
      </c>
      <c r="C1678" s="24" t="s">
        <v>4</v>
      </c>
      <c r="D1678" s="23" t="s">
        <v>2090</v>
      </c>
      <c r="E1678" s="23">
        <v>618</v>
      </c>
      <c r="F1678" s="23">
        <v>5</v>
      </c>
      <c r="G1678" s="23">
        <v>5</v>
      </c>
      <c r="H1678" s="23">
        <v>0</v>
      </c>
      <c r="I1678" s="23" t="s">
        <v>5</v>
      </c>
      <c r="J1678" s="23" t="s">
        <v>327</v>
      </c>
    </row>
    <row r="1679" spans="1:10" s="20" customFormat="1" ht="12" x14ac:dyDescent="0.25">
      <c r="A1679" s="22">
        <v>1000020292</v>
      </c>
      <c r="B1679" s="23" t="s">
        <v>528</v>
      </c>
      <c r="C1679" s="24" t="s">
        <v>4</v>
      </c>
      <c r="D1679" s="23" t="s">
        <v>2090</v>
      </c>
      <c r="E1679" s="23">
        <v>617.4</v>
      </c>
      <c r="F1679" s="23">
        <v>10</v>
      </c>
      <c r="G1679" s="23">
        <v>10</v>
      </c>
      <c r="H1679" s="23">
        <v>0</v>
      </c>
      <c r="I1679" s="23" t="s">
        <v>5</v>
      </c>
      <c r="J1679" s="23" t="s">
        <v>327</v>
      </c>
    </row>
    <row r="1680" spans="1:10" s="20" customFormat="1" ht="12" x14ac:dyDescent="0.25">
      <c r="A1680" s="22">
        <v>1000102322</v>
      </c>
      <c r="B1680" s="23" t="s">
        <v>3743</v>
      </c>
      <c r="C1680" s="24" t="s">
        <v>4</v>
      </c>
      <c r="D1680" s="23" t="s">
        <v>2161</v>
      </c>
      <c r="E1680" s="23">
        <v>616.5</v>
      </c>
      <c r="F1680" s="23">
        <v>2</v>
      </c>
      <c r="G1680" s="23">
        <v>2</v>
      </c>
      <c r="H1680" s="23">
        <v>0</v>
      </c>
      <c r="I1680" s="23" t="s">
        <v>5</v>
      </c>
      <c r="J1680" s="23" t="s">
        <v>111</v>
      </c>
    </row>
    <row r="1681" spans="1:10" s="20" customFormat="1" ht="12" x14ac:dyDescent="0.25">
      <c r="A1681" s="22">
        <v>1000021397</v>
      </c>
      <c r="B1681" s="23" t="s">
        <v>1473</v>
      </c>
      <c r="C1681" s="24" t="s">
        <v>4</v>
      </c>
      <c r="D1681" s="23" t="s">
        <v>2090</v>
      </c>
      <c r="E1681" s="23">
        <v>613.57500000000005</v>
      </c>
      <c r="F1681" s="23">
        <v>6</v>
      </c>
      <c r="G1681" s="23">
        <v>6</v>
      </c>
      <c r="H1681" s="23">
        <v>0</v>
      </c>
      <c r="I1681" s="23" t="s">
        <v>5</v>
      </c>
      <c r="J1681" s="23" t="s">
        <v>327</v>
      </c>
    </row>
    <row r="1682" spans="1:10" s="20" customFormat="1" ht="12" x14ac:dyDescent="0.25">
      <c r="A1682" s="22">
        <v>1000099609</v>
      </c>
      <c r="B1682" s="23" t="s">
        <v>3747</v>
      </c>
      <c r="C1682" s="24" t="s">
        <v>4</v>
      </c>
      <c r="D1682" s="23" t="s">
        <v>2056</v>
      </c>
      <c r="E1682" s="23">
        <v>612.48125000000005</v>
      </c>
      <c r="F1682" s="23">
        <v>10</v>
      </c>
      <c r="G1682" s="23">
        <v>10</v>
      </c>
      <c r="H1682" s="23">
        <v>0</v>
      </c>
      <c r="I1682" s="23" t="s">
        <v>5</v>
      </c>
      <c r="J1682" s="23" t="s">
        <v>1844</v>
      </c>
    </row>
    <row r="1683" spans="1:10" s="20" customFormat="1" ht="12" x14ac:dyDescent="0.25">
      <c r="A1683" s="22">
        <v>1000020173</v>
      </c>
      <c r="B1683" s="23" t="s">
        <v>417</v>
      </c>
      <c r="C1683" s="24" t="s">
        <v>4</v>
      </c>
      <c r="D1683" s="23" t="s">
        <v>2090</v>
      </c>
      <c r="E1683" s="23">
        <v>611.04</v>
      </c>
      <c r="F1683" s="23">
        <v>8</v>
      </c>
      <c r="G1683" s="23">
        <v>8</v>
      </c>
      <c r="H1683" s="23">
        <v>0</v>
      </c>
      <c r="I1683" s="23" t="s">
        <v>5</v>
      </c>
      <c r="J1683" s="23" t="s">
        <v>327</v>
      </c>
    </row>
    <row r="1684" spans="1:10" s="20" customFormat="1" ht="12" x14ac:dyDescent="0.25">
      <c r="A1684" s="22">
        <v>2500008244</v>
      </c>
      <c r="B1684" s="23" t="s">
        <v>3750</v>
      </c>
      <c r="C1684" s="24" t="s">
        <v>1996</v>
      </c>
      <c r="D1684" s="23" t="s">
        <v>2643</v>
      </c>
      <c r="E1684" s="23">
        <v>607.5</v>
      </c>
      <c r="F1684" s="23">
        <v>2</v>
      </c>
      <c r="G1684" s="23">
        <v>2</v>
      </c>
      <c r="H1684" s="23">
        <v>0</v>
      </c>
      <c r="I1684" s="23" t="s">
        <v>5</v>
      </c>
      <c r="J1684" s="23" t="s">
        <v>1993</v>
      </c>
    </row>
    <row r="1685" spans="1:10" s="20" customFormat="1" ht="12" x14ac:dyDescent="0.25">
      <c r="A1685" s="22">
        <v>1000020767</v>
      </c>
      <c r="B1685" s="23" t="s">
        <v>971</v>
      </c>
      <c r="C1685" s="24" t="s">
        <v>4</v>
      </c>
      <c r="D1685" s="23" t="s">
        <v>2090</v>
      </c>
      <c r="E1685" s="23">
        <v>607.17283333333296</v>
      </c>
      <c r="F1685" s="23">
        <v>4</v>
      </c>
      <c r="G1685" s="23">
        <v>4</v>
      </c>
      <c r="H1685" s="23">
        <v>0</v>
      </c>
      <c r="I1685" s="23" t="s">
        <v>5</v>
      </c>
      <c r="J1685" s="23" t="s">
        <v>327</v>
      </c>
    </row>
    <row r="1686" spans="1:10" s="20" customFormat="1" ht="12" x14ac:dyDescent="0.25">
      <c r="A1686" s="22">
        <v>1000020698</v>
      </c>
      <c r="B1686" s="23" t="s">
        <v>908</v>
      </c>
      <c r="C1686" s="24" t="s">
        <v>4</v>
      </c>
      <c r="D1686" s="23" t="s">
        <v>2090</v>
      </c>
      <c r="E1686" s="23">
        <v>607.13</v>
      </c>
      <c r="F1686" s="23">
        <v>5</v>
      </c>
      <c r="G1686" s="23">
        <v>5</v>
      </c>
      <c r="H1686" s="23">
        <v>0</v>
      </c>
      <c r="I1686" s="23" t="s">
        <v>5</v>
      </c>
      <c r="J1686" s="23" t="s">
        <v>327</v>
      </c>
    </row>
    <row r="1687" spans="1:10" s="20" customFormat="1" ht="12" x14ac:dyDescent="0.25">
      <c r="A1687" s="22">
        <v>1000020514</v>
      </c>
      <c r="B1687" s="23" t="s">
        <v>736</v>
      </c>
      <c r="C1687" s="24" t="s">
        <v>4</v>
      </c>
      <c r="D1687" s="23" t="s">
        <v>2090</v>
      </c>
      <c r="E1687" s="23">
        <v>605.44000000000005</v>
      </c>
      <c r="F1687" s="23">
        <v>8</v>
      </c>
      <c r="G1687" s="23">
        <v>8</v>
      </c>
      <c r="H1687" s="23">
        <v>0</v>
      </c>
      <c r="I1687" s="23" t="s">
        <v>5</v>
      </c>
      <c r="J1687" s="23" t="s">
        <v>327</v>
      </c>
    </row>
    <row r="1688" spans="1:10" s="20" customFormat="1" ht="12" x14ac:dyDescent="0.25">
      <c r="A1688" s="22">
        <v>1000020816</v>
      </c>
      <c r="B1688" s="23" t="s">
        <v>1018</v>
      </c>
      <c r="C1688" s="24" t="s">
        <v>4</v>
      </c>
      <c r="D1688" s="23" t="s">
        <v>2090</v>
      </c>
      <c r="E1688" s="23">
        <v>603.76</v>
      </c>
      <c r="F1688" s="23">
        <v>2</v>
      </c>
      <c r="G1688" s="23">
        <v>2</v>
      </c>
      <c r="H1688" s="23">
        <v>0</v>
      </c>
      <c r="I1688" s="23" t="s">
        <v>5</v>
      </c>
      <c r="J1688" s="23" t="s">
        <v>327</v>
      </c>
    </row>
    <row r="1689" spans="1:10" s="20" customFormat="1" ht="12" x14ac:dyDescent="0.25">
      <c r="A1689" s="22">
        <v>1000020209</v>
      </c>
      <c r="B1689" s="23" t="s">
        <v>449</v>
      </c>
      <c r="C1689" s="24" t="s">
        <v>4</v>
      </c>
      <c r="D1689" s="23" t="s">
        <v>2090</v>
      </c>
      <c r="E1689" s="23">
        <v>603.6</v>
      </c>
      <c r="F1689" s="23">
        <v>4</v>
      </c>
      <c r="G1689" s="23">
        <v>4</v>
      </c>
      <c r="H1689" s="23">
        <v>0</v>
      </c>
      <c r="I1689" s="23" t="s">
        <v>5</v>
      </c>
      <c r="J1689" s="23" t="s">
        <v>327</v>
      </c>
    </row>
    <row r="1690" spans="1:10" s="20" customFormat="1" ht="12" x14ac:dyDescent="0.25">
      <c r="A1690" s="22">
        <v>1000095818</v>
      </c>
      <c r="B1690" s="23" t="s">
        <v>3751</v>
      </c>
      <c r="C1690" s="24" t="s">
        <v>4</v>
      </c>
      <c r="D1690" s="23" t="s">
        <v>2056</v>
      </c>
      <c r="E1690" s="23">
        <v>603.07500000000005</v>
      </c>
      <c r="F1690" s="23">
        <v>22</v>
      </c>
      <c r="G1690" s="23">
        <v>22</v>
      </c>
      <c r="H1690" s="23">
        <v>0</v>
      </c>
      <c r="I1690" s="23" t="s">
        <v>5</v>
      </c>
      <c r="J1690" s="23" t="s">
        <v>1844</v>
      </c>
    </row>
    <row r="1691" spans="1:10" s="20" customFormat="1" ht="12" x14ac:dyDescent="0.25">
      <c r="A1691" s="22">
        <v>2900000011</v>
      </c>
      <c r="B1691" s="23" t="s">
        <v>1991</v>
      </c>
      <c r="C1691" s="24" t="s">
        <v>1996</v>
      </c>
      <c r="D1691" s="23" t="s">
        <v>3752</v>
      </c>
      <c r="E1691" s="23">
        <v>602.35130000000004</v>
      </c>
      <c r="F1691" s="23">
        <v>4</v>
      </c>
      <c r="G1691" s="23">
        <v>4</v>
      </c>
      <c r="H1691" s="23">
        <v>0</v>
      </c>
      <c r="I1691" s="23" t="s">
        <v>5</v>
      </c>
      <c r="J1691" s="23" t="s">
        <v>1993</v>
      </c>
    </row>
    <row r="1692" spans="1:10" s="20" customFormat="1" ht="12" x14ac:dyDescent="0.25">
      <c r="A1692" s="22">
        <v>1000020943</v>
      </c>
      <c r="B1692" s="23" t="s">
        <v>1122</v>
      </c>
      <c r="C1692" s="24" t="s">
        <v>4</v>
      </c>
      <c r="D1692" s="23" t="s">
        <v>2090</v>
      </c>
      <c r="E1692" s="23">
        <v>602.30999999999995</v>
      </c>
      <c r="F1692" s="23">
        <v>1</v>
      </c>
      <c r="G1692" s="23">
        <v>1</v>
      </c>
      <c r="H1692" s="23">
        <v>0</v>
      </c>
      <c r="I1692" s="23" t="s">
        <v>5</v>
      </c>
      <c r="J1692" s="23" t="s">
        <v>327</v>
      </c>
    </row>
    <row r="1693" spans="1:10" s="20" customFormat="1" ht="12" x14ac:dyDescent="0.25">
      <c r="A1693" s="22">
        <v>1000097023</v>
      </c>
      <c r="B1693" s="23" t="s">
        <v>3753</v>
      </c>
      <c r="C1693" s="24" t="s">
        <v>4</v>
      </c>
      <c r="D1693" s="23" t="s">
        <v>2090</v>
      </c>
      <c r="E1693" s="23">
        <v>602.24666666666599</v>
      </c>
      <c r="F1693" s="23">
        <v>2</v>
      </c>
      <c r="G1693" s="23">
        <v>2</v>
      </c>
      <c r="H1693" s="23">
        <v>0</v>
      </c>
      <c r="I1693" s="23" t="s">
        <v>5</v>
      </c>
      <c r="J1693" s="23" t="s">
        <v>327</v>
      </c>
    </row>
    <row r="1694" spans="1:10" s="20" customFormat="1" ht="12" x14ac:dyDescent="0.25">
      <c r="A1694" s="22">
        <v>1000098154</v>
      </c>
      <c r="B1694" s="23" t="s">
        <v>3379</v>
      </c>
      <c r="C1694" s="24" t="s">
        <v>4</v>
      </c>
      <c r="D1694" s="23" t="s">
        <v>2056</v>
      </c>
      <c r="E1694" s="23">
        <v>599.92784615384596</v>
      </c>
      <c r="F1694" s="23">
        <v>70</v>
      </c>
      <c r="G1694" s="23">
        <v>70</v>
      </c>
      <c r="H1694" s="23">
        <v>0</v>
      </c>
      <c r="I1694" s="23" t="s">
        <v>5</v>
      </c>
      <c r="J1694" s="23" t="s">
        <v>1844</v>
      </c>
    </row>
    <row r="1695" spans="1:10" s="20" customFormat="1" ht="12" x14ac:dyDescent="0.25">
      <c r="A1695" s="22">
        <v>2500005578</v>
      </c>
      <c r="B1695" s="23" t="s">
        <v>3756</v>
      </c>
      <c r="C1695" s="24" t="s">
        <v>1996</v>
      </c>
      <c r="D1695" s="23" t="s">
        <v>2025</v>
      </c>
      <c r="E1695" s="23">
        <v>599.81452742891202</v>
      </c>
      <c r="F1695" s="23">
        <v>12</v>
      </c>
      <c r="G1695" s="23">
        <v>12</v>
      </c>
      <c r="H1695" s="23">
        <v>0</v>
      </c>
      <c r="I1695" s="23" t="s">
        <v>5</v>
      </c>
      <c r="J1695" s="23" t="s">
        <v>1993</v>
      </c>
    </row>
    <row r="1696" spans="1:10" s="20" customFormat="1" ht="12" x14ac:dyDescent="0.25">
      <c r="A1696" s="22">
        <v>1000020640</v>
      </c>
      <c r="B1696" s="23" t="s">
        <v>855</v>
      </c>
      <c r="C1696" s="24" t="s">
        <v>4</v>
      </c>
      <c r="D1696" s="23" t="s">
        <v>2090</v>
      </c>
      <c r="E1696" s="23">
        <v>598.5</v>
      </c>
      <c r="F1696" s="23">
        <v>35</v>
      </c>
      <c r="G1696" s="23">
        <v>35</v>
      </c>
      <c r="H1696" s="23">
        <v>0</v>
      </c>
      <c r="I1696" s="23" t="s">
        <v>71</v>
      </c>
      <c r="J1696" s="23" t="s">
        <v>327</v>
      </c>
    </row>
    <row r="1697" spans="1:10" s="20" customFormat="1" ht="12" x14ac:dyDescent="0.25">
      <c r="A1697" s="22">
        <v>1000020404</v>
      </c>
      <c r="B1697" s="23" t="s">
        <v>634</v>
      </c>
      <c r="C1697" s="24" t="s">
        <v>4</v>
      </c>
      <c r="D1697" s="23" t="s">
        <v>2090</v>
      </c>
      <c r="E1697" s="23">
        <v>598</v>
      </c>
      <c r="F1697" s="23">
        <v>100</v>
      </c>
      <c r="G1697" s="23">
        <v>100</v>
      </c>
      <c r="H1697" s="23">
        <v>0</v>
      </c>
      <c r="I1697" s="23" t="s">
        <v>5</v>
      </c>
      <c r="J1697" s="23" t="s">
        <v>327</v>
      </c>
    </row>
    <row r="1698" spans="1:10" s="20" customFormat="1" ht="12" x14ac:dyDescent="0.25">
      <c r="A1698" s="22">
        <v>1000020112</v>
      </c>
      <c r="B1698" s="23" t="s">
        <v>368</v>
      </c>
      <c r="C1698" s="24" t="s">
        <v>4</v>
      </c>
      <c r="D1698" s="23" t="s">
        <v>2090</v>
      </c>
      <c r="E1698" s="23">
        <v>597.05999999999995</v>
      </c>
      <c r="F1698" s="23">
        <v>2</v>
      </c>
      <c r="G1698" s="23">
        <v>2</v>
      </c>
      <c r="H1698" s="23">
        <v>0</v>
      </c>
      <c r="I1698" s="23" t="s">
        <v>5</v>
      </c>
      <c r="J1698" s="23" t="s">
        <v>327</v>
      </c>
    </row>
    <row r="1699" spans="1:10" s="20" customFormat="1" ht="12" x14ac:dyDescent="0.25">
      <c r="A1699" s="22">
        <v>1000020110</v>
      </c>
      <c r="B1699" s="23" t="s">
        <v>366</v>
      </c>
      <c r="C1699" s="24" t="s">
        <v>4</v>
      </c>
      <c r="D1699" s="23" t="s">
        <v>2090</v>
      </c>
      <c r="E1699" s="23">
        <v>597.05999999999995</v>
      </c>
      <c r="F1699" s="23">
        <v>2</v>
      </c>
      <c r="G1699" s="23">
        <v>2</v>
      </c>
      <c r="H1699" s="23">
        <v>0</v>
      </c>
      <c r="I1699" s="23" t="s">
        <v>5</v>
      </c>
      <c r="J1699" s="23" t="s">
        <v>327</v>
      </c>
    </row>
    <row r="1700" spans="1:10" s="20" customFormat="1" ht="12" x14ac:dyDescent="0.25">
      <c r="A1700" s="22">
        <v>1000020266</v>
      </c>
      <c r="B1700" s="23" t="s">
        <v>504</v>
      </c>
      <c r="C1700" s="24" t="s">
        <v>4</v>
      </c>
      <c r="D1700" s="23" t="s">
        <v>2090</v>
      </c>
      <c r="E1700" s="23">
        <v>595.6</v>
      </c>
      <c r="F1700" s="23">
        <v>40</v>
      </c>
      <c r="G1700" s="23">
        <v>40</v>
      </c>
      <c r="H1700" s="23">
        <v>0</v>
      </c>
      <c r="I1700" s="23" t="s">
        <v>5</v>
      </c>
      <c r="J1700" s="23" t="s">
        <v>327</v>
      </c>
    </row>
    <row r="1701" spans="1:10" s="20" customFormat="1" ht="12" x14ac:dyDescent="0.25">
      <c r="A1701" s="22">
        <v>1000095918</v>
      </c>
      <c r="B1701" s="23" t="s">
        <v>3379</v>
      </c>
      <c r="C1701" s="24" t="s">
        <v>4</v>
      </c>
      <c r="D1701" s="23" t="s">
        <v>2056</v>
      </c>
      <c r="E1701" s="23">
        <v>593.80236027319995</v>
      </c>
      <c r="F1701" s="23">
        <v>30</v>
      </c>
      <c r="G1701" s="23">
        <v>30</v>
      </c>
      <c r="H1701" s="23">
        <v>0</v>
      </c>
      <c r="I1701" s="23" t="s">
        <v>5</v>
      </c>
      <c r="J1701" s="23" t="s">
        <v>1844</v>
      </c>
    </row>
    <row r="1702" spans="1:10" s="20" customFormat="1" ht="12" x14ac:dyDescent="0.25">
      <c r="A1702" s="22">
        <v>1000020617</v>
      </c>
      <c r="B1702" s="23" t="s">
        <v>833</v>
      </c>
      <c r="C1702" s="24" t="s">
        <v>4</v>
      </c>
      <c r="D1702" s="23" t="s">
        <v>2090</v>
      </c>
      <c r="E1702" s="23">
        <v>593.34</v>
      </c>
      <c r="F1702" s="23">
        <v>62</v>
      </c>
      <c r="G1702" s="23">
        <v>62</v>
      </c>
      <c r="H1702" s="23">
        <v>0</v>
      </c>
      <c r="I1702" s="23" t="s">
        <v>5</v>
      </c>
      <c r="J1702" s="23" t="s">
        <v>327</v>
      </c>
    </row>
    <row r="1703" spans="1:10" s="20" customFormat="1" ht="12" x14ac:dyDescent="0.25">
      <c r="A1703" s="22">
        <v>1000020555</v>
      </c>
      <c r="B1703" s="23" t="s">
        <v>773</v>
      </c>
      <c r="C1703" s="24" t="s">
        <v>4</v>
      </c>
      <c r="D1703" s="23" t="s">
        <v>2090</v>
      </c>
      <c r="E1703" s="23">
        <v>593</v>
      </c>
      <c r="F1703" s="23">
        <v>25</v>
      </c>
      <c r="G1703" s="23">
        <v>25</v>
      </c>
      <c r="H1703" s="23">
        <v>0</v>
      </c>
      <c r="I1703" s="23" t="s">
        <v>5</v>
      </c>
      <c r="J1703" s="23" t="s">
        <v>327</v>
      </c>
    </row>
    <row r="1704" spans="1:10" s="20" customFormat="1" ht="12" x14ac:dyDescent="0.25">
      <c r="A1704" s="22">
        <v>1000020212</v>
      </c>
      <c r="B1704" s="23" t="s">
        <v>452</v>
      </c>
      <c r="C1704" s="24" t="s">
        <v>4</v>
      </c>
      <c r="D1704" s="23" t="s">
        <v>2090</v>
      </c>
      <c r="E1704" s="23">
        <v>591.44000000000005</v>
      </c>
      <c r="F1704" s="23">
        <v>2</v>
      </c>
      <c r="G1704" s="23">
        <v>2</v>
      </c>
      <c r="H1704" s="23">
        <v>0</v>
      </c>
      <c r="I1704" s="23" t="s">
        <v>5</v>
      </c>
      <c r="J1704" s="23" t="s">
        <v>327</v>
      </c>
    </row>
    <row r="1705" spans="1:10" s="20" customFormat="1" ht="12" x14ac:dyDescent="0.25">
      <c r="A1705" s="22">
        <v>1000103199</v>
      </c>
      <c r="B1705" s="23" t="s">
        <v>1807</v>
      </c>
      <c r="C1705" s="24" t="s">
        <v>4</v>
      </c>
      <c r="D1705" s="23" t="s">
        <v>2090</v>
      </c>
      <c r="E1705" s="23">
        <v>589.16</v>
      </c>
      <c r="F1705" s="23">
        <v>3</v>
      </c>
      <c r="G1705" s="23">
        <v>3</v>
      </c>
      <c r="H1705" s="23">
        <v>0</v>
      </c>
      <c r="I1705" s="23" t="s">
        <v>5</v>
      </c>
      <c r="J1705" s="23" t="s">
        <v>327</v>
      </c>
    </row>
    <row r="1706" spans="1:10" s="20" customFormat="1" ht="12" x14ac:dyDescent="0.25">
      <c r="A1706" s="22">
        <v>1000020665</v>
      </c>
      <c r="B1706" s="23" t="s">
        <v>878</v>
      </c>
      <c r="C1706" s="24" t="s">
        <v>4</v>
      </c>
      <c r="D1706" s="23" t="s">
        <v>2090</v>
      </c>
      <c r="E1706" s="23">
        <v>587.62</v>
      </c>
      <c r="F1706" s="23">
        <v>2</v>
      </c>
      <c r="G1706" s="23">
        <v>2</v>
      </c>
      <c r="H1706" s="23">
        <v>0</v>
      </c>
      <c r="I1706" s="23" t="s">
        <v>5</v>
      </c>
      <c r="J1706" s="23" t="s">
        <v>327</v>
      </c>
    </row>
    <row r="1707" spans="1:10" s="20" customFormat="1" ht="12" x14ac:dyDescent="0.25">
      <c r="A1707" s="22">
        <v>2500008209</v>
      </c>
      <c r="B1707" s="23" t="s">
        <v>3764</v>
      </c>
      <c r="C1707" s="24" t="s">
        <v>1996</v>
      </c>
      <c r="D1707" s="23" t="s">
        <v>2025</v>
      </c>
      <c r="E1707" s="23">
        <v>586.25250015375002</v>
      </c>
      <c r="F1707" s="23">
        <v>2</v>
      </c>
      <c r="G1707" s="23">
        <v>2</v>
      </c>
      <c r="H1707" s="23">
        <v>0</v>
      </c>
      <c r="I1707" s="23" t="s">
        <v>5</v>
      </c>
      <c r="J1707" s="23" t="s">
        <v>1993</v>
      </c>
    </row>
    <row r="1708" spans="1:10" s="20" customFormat="1" ht="12" x14ac:dyDescent="0.25">
      <c r="A1708" s="22">
        <v>1000098457</v>
      </c>
      <c r="B1708" s="23" t="s">
        <v>3765</v>
      </c>
      <c r="C1708" s="24" t="s">
        <v>4</v>
      </c>
      <c r="D1708" s="23" t="s">
        <v>2090</v>
      </c>
      <c r="E1708" s="23">
        <v>585.505</v>
      </c>
      <c r="F1708" s="23">
        <v>1</v>
      </c>
      <c r="G1708" s="23">
        <v>1</v>
      </c>
      <c r="H1708" s="23">
        <v>0</v>
      </c>
      <c r="I1708" s="23" t="s">
        <v>5</v>
      </c>
      <c r="J1708" s="23" t="s">
        <v>327</v>
      </c>
    </row>
    <row r="1709" spans="1:10" s="20" customFormat="1" ht="12" x14ac:dyDescent="0.25">
      <c r="A1709" s="22">
        <v>1000021019</v>
      </c>
      <c r="B1709" s="23" t="s">
        <v>1191</v>
      </c>
      <c r="C1709" s="24" t="s">
        <v>4</v>
      </c>
      <c r="D1709" s="23" t="s">
        <v>2090</v>
      </c>
      <c r="E1709" s="23">
        <v>583.96</v>
      </c>
      <c r="F1709" s="23">
        <v>2</v>
      </c>
      <c r="G1709" s="23">
        <v>2</v>
      </c>
      <c r="H1709" s="23">
        <v>0</v>
      </c>
      <c r="I1709" s="23" t="s">
        <v>5</v>
      </c>
      <c r="J1709" s="23" t="s">
        <v>327</v>
      </c>
    </row>
    <row r="1710" spans="1:10" s="20" customFormat="1" ht="12" x14ac:dyDescent="0.25">
      <c r="A1710" s="22">
        <v>1000021319</v>
      </c>
      <c r="B1710" s="23" t="s">
        <v>1451</v>
      </c>
      <c r="C1710" s="24" t="s">
        <v>4</v>
      </c>
      <c r="D1710" s="23" t="s">
        <v>2090</v>
      </c>
      <c r="E1710" s="23">
        <v>583.86</v>
      </c>
      <c r="F1710" s="23">
        <v>1</v>
      </c>
      <c r="G1710" s="23">
        <v>1</v>
      </c>
      <c r="H1710" s="23">
        <v>0</v>
      </c>
      <c r="I1710" s="23" t="s">
        <v>5</v>
      </c>
      <c r="J1710" s="23" t="s">
        <v>327</v>
      </c>
    </row>
    <row r="1711" spans="1:10" s="20" customFormat="1" ht="12" x14ac:dyDescent="0.25">
      <c r="A1711" s="22">
        <v>1000021405</v>
      </c>
      <c r="B1711" s="23" t="s">
        <v>1475</v>
      </c>
      <c r="C1711" s="24" t="s">
        <v>4</v>
      </c>
      <c r="D1711" s="23" t="s">
        <v>2090</v>
      </c>
      <c r="E1711" s="23">
        <v>582.02</v>
      </c>
      <c r="F1711" s="23">
        <v>2</v>
      </c>
      <c r="G1711" s="23">
        <v>2</v>
      </c>
      <c r="H1711" s="23">
        <v>0</v>
      </c>
      <c r="I1711" s="23" t="s">
        <v>5</v>
      </c>
      <c r="J1711" s="23" t="s">
        <v>327</v>
      </c>
    </row>
    <row r="1712" spans="1:10" s="20" customFormat="1" ht="12" x14ac:dyDescent="0.25">
      <c r="A1712" s="22">
        <v>1000020314</v>
      </c>
      <c r="B1712" s="23" t="s">
        <v>549</v>
      </c>
      <c r="C1712" s="24" t="s">
        <v>4</v>
      </c>
      <c r="D1712" s="23" t="s">
        <v>2090</v>
      </c>
      <c r="E1712" s="23">
        <v>581.91999999999996</v>
      </c>
      <c r="F1712" s="23">
        <v>4</v>
      </c>
      <c r="G1712" s="23">
        <v>4</v>
      </c>
      <c r="H1712" s="23">
        <v>0</v>
      </c>
      <c r="I1712" s="23" t="s">
        <v>5</v>
      </c>
      <c r="J1712" s="23" t="s">
        <v>327</v>
      </c>
    </row>
    <row r="1713" spans="1:10" s="20" customFormat="1" ht="12" x14ac:dyDescent="0.25">
      <c r="A1713" s="22">
        <v>1000020959</v>
      </c>
      <c r="B1713" s="23" t="s">
        <v>1137</v>
      </c>
      <c r="C1713" s="24" t="s">
        <v>4</v>
      </c>
      <c r="D1713" s="23" t="s">
        <v>2090</v>
      </c>
      <c r="E1713" s="23">
        <v>581.64</v>
      </c>
      <c r="F1713" s="23">
        <v>3</v>
      </c>
      <c r="G1713" s="23">
        <v>3</v>
      </c>
      <c r="H1713" s="23">
        <v>0</v>
      </c>
      <c r="I1713" s="23" t="s">
        <v>5</v>
      </c>
      <c r="J1713" s="23" t="s">
        <v>327</v>
      </c>
    </row>
    <row r="1714" spans="1:10" s="20" customFormat="1" ht="12" x14ac:dyDescent="0.25">
      <c r="A1714" s="22">
        <v>1000020634</v>
      </c>
      <c r="B1714" s="23" t="s">
        <v>849</v>
      </c>
      <c r="C1714" s="24" t="s">
        <v>4</v>
      </c>
      <c r="D1714" s="23" t="s">
        <v>2218</v>
      </c>
      <c r="E1714" s="23">
        <v>578.37511363636304</v>
      </c>
      <c r="F1714" s="23">
        <v>38</v>
      </c>
      <c r="G1714" s="23">
        <v>38</v>
      </c>
      <c r="H1714" s="23">
        <v>0</v>
      </c>
      <c r="I1714" s="23" t="s">
        <v>5</v>
      </c>
      <c r="J1714" s="23" t="s">
        <v>327</v>
      </c>
    </row>
    <row r="1715" spans="1:10" s="20" customFormat="1" ht="12" x14ac:dyDescent="0.25">
      <c r="A1715" s="22">
        <v>1000093786</v>
      </c>
      <c r="B1715" s="23" t="s">
        <v>3769</v>
      </c>
      <c r="C1715" s="24" t="s">
        <v>4</v>
      </c>
      <c r="D1715" s="23" t="s">
        <v>2090</v>
      </c>
      <c r="E1715" s="23">
        <v>574.38448879755595</v>
      </c>
      <c r="F1715" s="23">
        <v>277</v>
      </c>
      <c r="G1715" s="23">
        <v>277</v>
      </c>
      <c r="H1715" s="23">
        <v>0</v>
      </c>
      <c r="I1715" s="23" t="s">
        <v>5</v>
      </c>
      <c r="J1715" s="23" t="s">
        <v>327</v>
      </c>
    </row>
    <row r="1716" spans="1:10" s="20" customFormat="1" ht="12" x14ac:dyDescent="0.25">
      <c r="A1716" s="22">
        <v>1000020325</v>
      </c>
      <c r="B1716" s="23" t="s">
        <v>559</v>
      </c>
      <c r="C1716" s="24" t="s">
        <v>4</v>
      </c>
      <c r="D1716" s="23" t="s">
        <v>2090</v>
      </c>
      <c r="E1716" s="23">
        <v>573.34</v>
      </c>
      <c r="F1716" s="23">
        <v>2</v>
      </c>
      <c r="G1716" s="23">
        <v>2</v>
      </c>
      <c r="H1716" s="23">
        <v>0</v>
      </c>
      <c r="I1716" s="23" t="s">
        <v>5</v>
      </c>
      <c r="J1716" s="23" t="s">
        <v>327</v>
      </c>
    </row>
    <row r="1717" spans="1:10" s="20" customFormat="1" ht="12" x14ac:dyDescent="0.25">
      <c r="A1717" s="22">
        <v>1000093767</v>
      </c>
      <c r="B1717" s="23" t="s">
        <v>3770</v>
      </c>
      <c r="C1717" s="24" t="s">
        <v>4</v>
      </c>
      <c r="D1717" s="23" t="s">
        <v>2056</v>
      </c>
      <c r="E1717" s="23">
        <v>573.21508333333304</v>
      </c>
      <c r="F1717" s="23">
        <v>347</v>
      </c>
      <c r="G1717" s="23">
        <v>347</v>
      </c>
      <c r="H1717" s="23">
        <v>0</v>
      </c>
      <c r="I1717" s="23" t="s">
        <v>5</v>
      </c>
      <c r="J1717" s="23" t="s">
        <v>1844</v>
      </c>
    </row>
    <row r="1718" spans="1:10" s="20" customFormat="1" ht="12" x14ac:dyDescent="0.25">
      <c r="A1718" s="22">
        <v>1000021083</v>
      </c>
      <c r="B1718" s="23" t="s">
        <v>1245</v>
      </c>
      <c r="C1718" s="24" t="s">
        <v>4</v>
      </c>
      <c r="D1718" s="23" t="s">
        <v>2090</v>
      </c>
      <c r="E1718" s="23">
        <v>570.47172413793101</v>
      </c>
      <c r="F1718" s="23">
        <v>6</v>
      </c>
      <c r="G1718" s="23">
        <v>6</v>
      </c>
      <c r="H1718" s="23">
        <v>0</v>
      </c>
      <c r="I1718" s="23" t="s">
        <v>5</v>
      </c>
      <c r="J1718" s="23" t="s">
        <v>327</v>
      </c>
    </row>
    <row r="1719" spans="1:10" s="20" customFormat="1" ht="12" x14ac:dyDescent="0.25">
      <c r="A1719" s="22">
        <v>1000021077</v>
      </c>
      <c r="B1719" s="23" t="s">
        <v>1239</v>
      </c>
      <c r="C1719" s="24" t="s">
        <v>4</v>
      </c>
      <c r="D1719" s="23" t="s">
        <v>2090</v>
      </c>
      <c r="E1719" s="23">
        <v>569.47</v>
      </c>
      <c r="F1719" s="23">
        <v>1</v>
      </c>
      <c r="G1719" s="23">
        <v>1</v>
      </c>
      <c r="H1719" s="23">
        <v>0</v>
      </c>
      <c r="I1719" s="23" t="s">
        <v>5</v>
      </c>
      <c r="J1719" s="23" t="s">
        <v>327</v>
      </c>
    </row>
    <row r="1720" spans="1:10" s="20" customFormat="1" ht="12" x14ac:dyDescent="0.25">
      <c r="A1720" s="22">
        <v>1000021390</v>
      </c>
      <c r="B1720" s="23" t="s">
        <v>1469</v>
      </c>
      <c r="C1720" s="24" t="s">
        <v>4</v>
      </c>
      <c r="D1720" s="23" t="s">
        <v>2090</v>
      </c>
      <c r="E1720" s="23">
        <v>569.40645554171795</v>
      </c>
      <c r="F1720" s="23">
        <v>145</v>
      </c>
      <c r="G1720" s="23">
        <v>145</v>
      </c>
      <c r="H1720" s="23">
        <v>0</v>
      </c>
      <c r="I1720" s="23" t="s">
        <v>5</v>
      </c>
      <c r="J1720" s="23" t="s">
        <v>327</v>
      </c>
    </row>
    <row r="1721" spans="1:10" s="20" customFormat="1" ht="12" x14ac:dyDescent="0.25">
      <c r="A1721" s="22">
        <v>1000020306</v>
      </c>
      <c r="B1721" s="23" t="s">
        <v>542</v>
      </c>
      <c r="C1721" s="24" t="s">
        <v>4</v>
      </c>
      <c r="D1721" s="23" t="s">
        <v>2090</v>
      </c>
      <c r="E1721" s="23">
        <v>564.12</v>
      </c>
      <c r="F1721" s="23">
        <v>6</v>
      </c>
      <c r="G1721" s="23">
        <v>6</v>
      </c>
      <c r="H1721" s="23">
        <v>0</v>
      </c>
      <c r="I1721" s="23" t="s">
        <v>5</v>
      </c>
      <c r="J1721" s="23" t="s">
        <v>327</v>
      </c>
    </row>
    <row r="1722" spans="1:10" s="20" customFormat="1" ht="12" x14ac:dyDescent="0.25">
      <c r="A1722" s="22">
        <v>1000095433</v>
      </c>
      <c r="B1722" s="23" t="s">
        <v>3774</v>
      </c>
      <c r="C1722" s="24" t="s">
        <v>4</v>
      </c>
      <c r="D1722" s="23" t="s">
        <v>2090</v>
      </c>
      <c r="E1722" s="23">
        <v>562.875</v>
      </c>
      <c r="F1722" s="23">
        <v>10</v>
      </c>
      <c r="G1722" s="23">
        <v>10</v>
      </c>
      <c r="H1722" s="23">
        <v>0</v>
      </c>
      <c r="I1722" s="23" t="s">
        <v>5</v>
      </c>
      <c r="J1722" s="23" t="s">
        <v>327</v>
      </c>
    </row>
    <row r="1723" spans="1:10" s="20" customFormat="1" ht="12" x14ac:dyDescent="0.25">
      <c r="A1723" s="22">
        <v>1000021320</v>
      </c>
      <c r="B1723" s="23" t="s">
        <v>1452</v>
      </c>
      <c r="C1723" s="24" t="s">
        <v>4</v>
      </c>
      <c r="D1723" s="23" t="s">
        <v>2090</v>
      </c>
      <c r="E1723" s="23">
        <v>562.53</v>
      </c>
      <c r="F1723" s="23">
        <v>1</v>
      </c>
      <c r="G1723" s="23">
        <v>1</v>
      </c>
      <c r="H1723" s="23">
        <v>0</v>
      </c>
      <c r="I1723" s="23" t="s">
        <v>5</v>
      </c>
      <c r="J1723" s="23" t="s">
        <v>327</v>
      </c>
    </row>
    <row r="1724" spans="1:10" s="20" customFormat="1" ht="12" x14ac:dyDescent="0.25">
      <c r="A1724" s="22">
        <v>1000021321</v>
      </c>
      <c r="B1724" s="23" t="s">
        <v>1453</v>
      </c>
      <c r="C1724" s="24" t="s">
        <v>4</v>
      </c>
      <c r="D1724" s="23" t="s">
        <v>2090</v>
      </c>
      <c r="E1724" s="23">
        <v>562.53</v>
      </c>
      <c r="F1724" s="23">
        <v>1</v>
      </c>
      <c r="G1724" s="23">
        <v>1</v>
      </c>
      <c r="H1724" s="23">
        <v>0</v>
      </c>
      <c r="I1724" s="23" t="s">
        <v>5</v>
      </c>
      <c r="J1724" s="23" t="s">
        <v>327</v>
      </c>
    </row>
    <row r="1725" spans="1:10" s="20" customFormat="1" ht="12" x14ac:dyDescent="0.25">
      <c r="A1725" s="22">
        <v>1000103194</v>
      </c>
      <c r="B1725" s="23" t="s">
        <v>1802</v>
      </c>
      <c r="C1725" s="24" t="s">
        <v>4</v>
      </c>
      <c r="D1725" s="23" t="s">
        <v>2090</v>
      </c>
      <c r="E1725" s="23">
        <v>561.75</v>
      </c>
      <c r="F1725" s="23">
        <v>5</v>
      </c>
      <c r="G1725" s="23">
        <v>5</v>
      </c>
      <c r="H1725" s="23">
        <v>0</v>
      </c>
      <c r="I1725" s="23" t="s">
        <v>5</v>
      </c>
      <c r="J1725" s="23" t="s">
        <v>327</v>
      </c>
    </row>
    <row r="1726" spans="1:10" s="20" customFormat="1" ht="12" x14ac:dyDescent="0.25">
      <c r="A1726" s="22">
        <v>1000021072</v>
      </c>
      <c r="B1726" s="23" t="s">
        <v>1234</v>
      </c>
      <c r="C1726" s="24" t="s">
        <v>4</v>
      </c>
      <c r="D1726" s="23" t="s">
        <v>2090</v>
      </c>
      <c r="E1726" s="23">
        <v>559.96</v>
      </c>
      <c r="F1726" s="23">
        <v>2</v>
      </c>
      <c r="G1726" s="23">
        <v>2</v>
      </c>
      <c r="H1726" s="23">
        <v>0</v>
      </c>
      <c r="I1726" s="23" t="s">
        <v>5</v>
      </c>
      <c r="J1726" s="23" t="s">
        <v>327</v>
      </c>
    </row>
    <row r="1727" spans="1:10" s="20" customFormat="1" ht="12" x14ac:dyDescent="0.25">
      <c r="A1727" s="22">
        <v>1000021089</v>
      </c>
      <c r="B1727" s="23" t="s">
        <v>1251</v>
      </c>
      <c r="C1727" s="24" t="s">
        <v>4</v>
      </c>
      <c r="D1727" s="23" t="s">
        <v>2090</v>
      </c>
      <c r="E1727" s="23">
        <v>559.54</v>
      </c>
      <c r="F1727" s="23">
        <v>2</v>
      </c>
      <c r="G1727" s="23">
        <v>2</v>
      </c>
      <c r="H1727" s="23">
        <v>0</v>
      </c>
      <c r="I1727" s="23" t="s">
        <v>5</v>
      </c>
      <c r="J1727" s="23" t="s">
        <v>327</v>
      </c>
    </row>
    <row r="1728" spans="1:10" s="20" customFormat="1" ht="12" x14ac:dyDescent="0.25">
      <c r="A1728" s="22">
        <v>1000020868</v>
      </c>
      <c r="B1728" s="23" t="s">
        <v>1055</v>
      </c>
      <c r="C1728" s="24" t="s">
        <v>4</v>
      </c>
      <c r="D1728" s="23" t="s">
        <v>2090</v>
      </c>
      <c r="E1728" s="23">
        <v>558.73</v>
      </c>
      <c r="F1728" s="23">
        <v>1</v>
      </c>
      <c r="G1728" s="23">
        <v>1</v>
      </c>
      <c r="H1728" s="23">
        <v>0</v>
      </c>
      <c r="I1728" s="23" t="s">
        <v>5</v>
      </c>
      <c r="J1728" s="23" t="s">
        <v>327</v>
      </c>
    </row>
    <row r="1729" spans="1:10" s="20" customFormat="1" ht="12" x14ac:dyDescent="0.25">
      <c r="A1729" s="22">
        <v>1000101776</v>
      </c>
      <c r="B1729" s="23" t="s">
        <v>3776</v>
      </c>
      <c r="C1729" s="24" t="s">
        <v>4</v>
      </c>
      <c r="D1729" s="23" t="s">
        <v>2161</v>
      </c>
      <c r="E1729" s="23">
        <v>558.28</v>
      </c>
      <c r="F1729" s="23">
        <v>2</v>
      </c>
      <c r="G1729" s="23">
        <v>2</v>
      </c>
      <c r="H1729" s="23">
        <v>0</v>
      </c>
      <c r="I1729" s="23" t="s">
        <v>5</v>
      </c>
      <c r="J1729" s="23" t="s">
        <v>111</v>
      </c>
    </row>
    <row r="1730" spans="1:10" s="20" customFormat="1" ht="12" x14ac:dyDescent="0.25">
      <c r="A1730" s="22">
        <v>1000020416</v>
      </c>
      <c r="B1730" s="23" t="s">
        <v>645</v>
      </c>
      <c r="C1730" s="24" t="s">
        <v>4</v>
      </c>
      <c r="D1730" s="23" t="s">
        <v>2218</v>
      </c>
      <c r="E1730" s="23">
        <v>557.20945945945903</v>
      </c>
      <c r="F1730" s="23">
        <v>85</v>
      </c>
      <c r="G1730" s="23">
        <v>48</v>
      </c>
      <c r="H1730" s="23">
        <v>37</v>
      </c>
      <c r="I1730" s="23" t="s">
        <v>71</v>
      </c>
      <c r="J1730" s="23" t="s">
        <v>327</v>
      </c>
    </row>
    <row r="1731" spans="1:10" s="20" customFormat="1" ht="12" x14ac:dyDescent="0.25">
      <c r="A1731" s="22">
        <v>1000020197</v>
      </c>
      <c r="B1731" s="23" t="s">
        <v>438</v>
      </c>
      <c r="C1731" s="24" t="s">
        <v>4</v>
      </c>
      <c r="D1731" s="23" t="s">
        <v>2090</v>
      </c>
      <c r="E1731" s="23">
        <v>556.62</v>
      </c>
      <c r="F1731" s="23">
        <v>3</v>
      </c>
      <c r="G1731" s="23">
        <v>3</v>
      </c>
      <c r="H1731" s="23">
        <v>0</v>
      </c>
      <c r="I1731" s="23" t="s">
        <v>5</v>
      </c>
      <c r="J1731" s="23" t="s">
        <v>327</v>
      </c>
    </row>
    <row r="1732" spans="1:10" s="20" customFormat="1" ht="12" x14ac:dyDescent="0.25">
      <c r="A1732" s="22">
        <v>1000106808</v>
      </c>
      <c r="B1732" s="23" t="s">
        <v>3777</v>
      </c>
      <c r="C1732" s="24" t="s">
        <v>4</v>
      </c>
      <c r="D1732" s="23" t="s">
        <v>2880</v>
      </c>
      <c r="E1732" s="23">
        <v>555.47439999999995</v>
      </c>
      <c r="F1732" s="23">
        <v>2</v>
      </c>
      <c r="G1732" s="23">
        <v>2</v>
      </c>
      <c r="H1732" s="23">
        <v>0</v>
      </c>
      <c r="I1732" s="23" t="s">
        <v>5</v>
      </c>
      <c r="J1732" s="23" t="s">
        <v>111</v>
      </c>
    </row>
    <row r="1733" spans="1:10" s="20" customFormat="1" ht="12" x14ac:dyDescent="0.25">
      <c r="A1733" s="22">
        <v>1000021088</v>
      </c>
      <c r="B1733" s="23" t="s">
        <v>1250</v>
      </c>
      <c r="C1733" s="24" t="s">
        <v>4</v>
      </c>
      <c r="D1733" s="23" t="s">
        <v>2090</v>
      </c>
      <c r="E1733" s="23">
        <v>549.45000000000005</v>
      </c>
      <c r="F1733" s="23">
        <v>5</v>
      </c>
      <c r="G1733" s="23">
        <v>5</v>
      </c>
      <c r="H1733" s="23">
        <v>0</v>
      </c>
      <c r="I1733" s="23" t="s">
        <v>5</v>
      </c>
      <c r="J1733" s="23" t="s">
        <v>327</v>
      </c>
    </row>
    <row r="1734" spans="1:10" s="20" customFormat="1" ht="12" x14ac:dyDescent="0.25">
      <c r="A1734" s="22">
        <v>1000021236</v>
      </c>
      <c r="B1734" s="23" t="s">
        <v>1381</v>
      </c>
      <c r="C1734" s="24" t="s">
        <v>4</v>
      </c>
      <c r="D1734" s="23" t="s">
        <v>2090</v>
      </c>
      <c r="E1734" s="23">
        <v>548.4</v>
      </c>
      <c r="F1734" s="23">
        <v>4</v>
      </c>
      <c r="G1734" s="23">
        <v>4</v>
      </c>
      <c r="H1734" s="23">
        <v>0</v>
      </c>
      <c r="I1734" s="23" t="s">
        <v>5</v>
      </c>
      <c r="J1734" s="23" t="s">
        <v>327</v>
      </c>
    </row>
    <row r="1735" spans="1:10" s="20" customFormat="1" ht="12" x14ac:dyDescent="0.25">
      <c r="A1735" s="22">
        <v>1000021076</v>
      </c>
      <c r="B1735" s="23" t="s">
        <v>1238</v>
      </c>
      <c r="C1735" s="24" t="s">
        <v>4</v>
      </c>
      <c r="D1735" s="23" t="s">
        <v>2090</v>
      </c>
      <c r="E1735" s="23">
        <v>548.38</v>
      </c>
      <c r="F1735" s="23">
        <v>1</v>
      </c>
      <c r="G1735" s="23">
        <v>1</v>
      </c>
      <c r="H1735" s="23">
        <v>0</v>
      </c>
      <c r="I1735" s="23" t="s">
        <v>5</v>
      </c>
      <c r="J1735" s="23" t="s">
        <v>327</v>
      </c>
    </row>
    <row r="1736" spans="1:10" s="20" customFormat="1" ht="12" x14ac:dyDescent="0.25">
      <c r="A1736" s="22">
        <v>1000103009</v>
      </c>
      <c r="B1736" s="23" t="s">
        <v>3782</v>
      </c>
      <c r="C1736" s="24" t="s">
        <v>4</v>
      </c>
      <c r="D1736" s="23" t="s">
        <v>2090</v>
      </c>
      <c r="E1736" s="23">
        <v>548.10481684981596</v>
      </c>
      <c r="F1736" s="23">
        <v>33</v>
      </c>
      <c r="G1736" s="23">
        <v>33</v>
      </c>
      <c r="H1736" s="23">
        <v>0</v>
      </c>
      <c r="I1736" s="23" t="s">
        <v>5</v>
      </c>
      <c r="J1736" s="23" t="s">
        <v>327</v>
      </c>
    </row>
    <row r="1737" spans="1:10" s="20" customFormat="1" ht="12" x14ac:dyDescent="0.25">
      <c r="A1737" s="22">
        <v>1000021221</v>
      </c>
      <c r="B1737" s="23" t="s">
        <v>1367</v>
      </c>
      <c r="C1737" s="24" t="s">
        <v>4</v>
      </c>
      <c r="D1737" s="23" t="s">
        <v>2090</v>
      </c>
      <c r="E1737" s="23">
        <v>547.75</v>
      </c>
      <c r="F1737" s="23">
        <v>7</v>
      </c>
      <c r="G1737" s="23">
        <v>7</v>
      </c>
      <c r="H1737" s="23">
        <v>0</v>
      </c>
      <c r="I1737" s="23" t="s">
        <v>5</v>
      </c>
      <c r="J1737" s="23" t="s">
        <v>327</v>
      </c>
    </row>
    <row r="1738" spans="1:10" s="20" customFormat="1" ht="12" x14ac:dyDescent="0.25">
      <c r="A1738" s="22">
        <v>1000020342</v>
      </c>
      <c r="B1738" s="23" t="s">
        <v>574</v>
      </c>
      <c r="C1738" s="24" t="s">
        <v>4</v>
      </c>
      <c r="D1738" s="23" t="s">
        <v>2090</v>
      </c>
      <c r="E1738" s="23">
        <v>546</v>
      </c>
      <c r="F1738" s="23">
        <v>100</v>
      </c>
      <c r="G1738" s="23">
        <v>100</v>
      </c>
      <c r="H1738" s="23">
        <v>0</v>
      </c>
      <c r="I1738" s="23" t="s">
        <v>5</v>
      </c>
      <c r="J1738" s="23" t="s">
        <v>327</v>
      </c>
    </row>
    <row r="1739" spans="1:10" s="20" customFormat="1" ht="12" x14ac:dyDescent="0.25">
      <c r="A1739" s="22">
        <v>1000098640</v>
      </c>
      <c r="B1739" s="23" t="s">
        <v>1618</v>
      </c>
      <c r="C1739" s="24" t="s">
        <v>4</v>
      </c>
      <c r="D1739" s="23" t="s">
        <v>2090</v>
      </c>
      <c r="E1739" s="23">
        <v>545.32000000000005</v>
      </c>
      <c r="F1739" s="23">
        <v>10</v>
      </c>
      <c r="G1739" s="23">
        <v>6</v>
      </c>
      <c r="H1739" s="23">
        <v>4</v>
      </c>
      <c r="I1739" s="23" t="s">
        <v>44</v>
      </c>
      <c r="J1739" s="23" t="s">
        <v>327</v>
      </c>
    </row>
    <row r="1740" spans="1:10" s="20" customFormat="1" ht="12" x14ac:dyDescent="0.25">
      <c r="A1740" s="22">
        <v>1000021147</v>
      </c>
      <c r="B1740" s="23" t="s">
        <v>1298</v>
      </c>
      <c r="C1740" s="24" t="s">
        <v>4</v>
      </c>
      <c r="D1740" s="23" t="s">
        <v>2090</v>
      </c>
      <c r="E1740" s="23">
        <v>544.48</v>
      </c>
      <c r="F1740" s="23">
        <v>4</v>
      </c>
      <c r="G1740" s="23">
        <v>4</v>
      </c>
      <c r="H1740" s="23">
        <v>0</v>
      </c>
      <c r="I1740" s="23" t="s">
        <v>5</v>
      </c>
      <c r="J1740" s="23" t="s">
        <v>327</v>
      </c>
    </row>
    <row r="1741" spans="1:10" s="20" customFormat="1" ht="12" x14ac:dyDescent="0.25">
      <c r="A1741" s="22">
        <v>1000020558</v>
      </c>
      <c r="B1741" s="23" t="s">
        <v>776</v>
      </c>
      <c r="C1741" s="24" t="s">
        <v>4</v>
      </c>
      <c r="D1741" s="23" t="s">
        <v>2090</v>
      </c>
      <c r="E1741" s="23">
        <v>544.35</v>
      </c>
      <c r="F1741" s="23">
        <v>19</v>
      </c>
      <c r="G1741" s="23">
        <v>19</v>
      </c>
      <c r="H1741" s="23">
        <v>0</v>
      </c>
      <c r="I1741" s="23" t="s">
        <v>5</v>
      </c>
      <c r="J1741" s="23" t="s">
        <v>327</v>
      </c>
    </row>
    <row r="1742" spans="1:10" s="20" customFormat="1" ht="12" x14ac:dyDescent="0.25">
      <c r="A1742" s="22">
        <v>1000021057</v>
      </c>
      <c r="B1742" s="23" t="s">
        <v>1222</v>
      </c>
      <c r="C1742" s="24" t="s">
        <v>4</v>
      </c>
      <c r="D1742" s="23" t="s">
        <v>2090</v>
      </c>
      <c r="E1742" s="23">
        <v>543.79999999999995</v>
      </c>
      <c r="F1742" s="23">
        <v>1</v>
      </c>
      <c r="G1742" s="23">
        <v>1</v>
      </c>
      <c r="H1742" s="23">
        <v>0</v>
      </c>
      <c r="I1742" s="23" t="s">
        <v>5</v>
      </c>
      <c r="J1742" s="23" t="s">
        <v>327</v>
      </c>
    </row>
    <row r="1743" spans="1:10" s="20" customFormat="1" ht="12" x14ac:dyDescent="0.25">
      <c r="A1743" s="22">
        <v>1000020338</v>
      </c>
      <c r="B1743" s="23" t="s">
        <v>570</v>
      </c>
      <c r="C1743" s="24" t="s">
        <v>4</v>
      </c>
      <c r="D1743" s="23" t="s">
        <v>2090</v>
      </c>
      <c r="E1743" s="23">
        <v>543.75</v>
      </c>
      <c r="F1743" s="23">
        <v>100</v>
      </c>
      <c r="G1743" s="23">
        <v>100</v>
      </c>
      <c r="H1743" s="23">
        <v>0</v>
      </c>
      <c r="I1743" s="23" t="s">
        <v>5</v>
      </c>
      <c r="J1743" s="23" t="s">
        <v>327</v>
      </c>
    </row>
    <row r="1744" spans="1:10" s="20" customFormat="1" ht="12" x14ac:dyDescent="0.25">
      <c r="A1744" s="22">
        <v>1000020190</v>
      </c>
      <c r="B1744" s="23" t="s">
        <v>431</v>
      </c>
      <c r="C1744" s="24" t="s">
        <v>4</v>
      </c>
      <c r="D1744" s="23" t="s">
        <v>2090</v>
      </c>
      <c r="E1744" s="23">
        <v>542.55666666666605</v>
      </c>
      <c r="F1744" s="23">
        <v>1</v>
      </c>
      <c r="G1744" s="23">
        <v>1</v>
      </c>
      <c r="H1744" s="23">
        <v>0</v>
      </c>
      <c r="I1744" s="23" t="s">
        <v>5</v>
      </c>
      <c r="J1744" s="23" t="s">
        <v>327</v>
      </c>
    </row>
    <row r="1745" spans="1:10" s="20" customFormat="1" ht="12" x14ac:dyDescent="0.25">
      <c r="A1745" s="22">
        <v>2500009192</v>
      </c>
      <c r="B1745" s="23" t="s">
        <v>3788</v>
      </c>
      <c r="C1745" s="24" t="s">
        <v>1996</v>
      </c>
      <c r="D1745" s="23" t="s">
        <v>2025</v>
      </c>
      <c r="E1745" s="23">
        <v>541.875</v>
      </c>
      <c r="F1745" s="23">
        <v>2</v>
      </c>
      <c r="G1745" s="23">
        <v>2</v>
      </c>
      <c r="H1745" s="23">
        <v>0</v>
      </c>
      <c r="I1745" s="23" t="s">
        <v>5</v>
      </c>
      <c r="J1745" s="23" t="s">
        <v>1993</v>
      </c>
    </row>
    <row r="1746" spans="1:10" s="20" customFormat="1" ht="12" x14ac:dyDescent="0.25">
      <c r="A1746" s="22">
        <v>1000101282</v>
      </c>
      <c r="B1746" s="23" t="s">
        <v>1851</v>
      </c>
      <c r="C1746" s="24" t="s">
        <v>4</v>
      </c>
      <c r="D1746" s="23" t="s">
        <v>2056</v>
      </c>
      <c r="E1746" s="23">
        <v>541.08000000000004</v>
      </c>
      <c r="F1746" s="23">
        <v>4</v>
      </c>
      <c r="G1746" s="23">
        <v>4</v>
      </c>
      <c r="H1746" s="23">
        <v>0</v>
      </c>
      <c r="I1746" s="23" t="s">
        <v>5</v>
      </c>
      <c r="J1746" s="23" t="s">
        <v>1844</v>
      </c>
    </row>
    <row r="1747" spans="1:10" s="20" customFormat="1" ht="12" x14ac:dyDescent="0.25">
      <c r="A1747" s="22">
        <v>1000098687</v>
      </c>
      <c r="B1747" s="23" t="s">
        <v>1640</v>
      </c>
      <c r="C1747" s="24" t="s">
        <v>4</v>
      </c>
      <c r="D1747" s="23" t="s">
        <v>2090</v>
      </c>
      <c r="E1747" s="23">
        <v>540.45000000000005</v>
      </c>
      <c r="F1747" s="23">
        <v>2</v>
      </c>
      <c r="G1747" s="23">
        <v>2</v>
      </c>
      <c r="H1747" s="23">
        <v>0</v>
      </c>
      <c r="I1747" s="23" t="s">
        <v>5</v>
      </c>
      <c r="J1747" s="23" t="s">
        <v>327</v>
      </c>
    </row>
    <row r="1748" spans="1:10" s="20" customFormat="1" ht="12" x14ac:dyDescent="0.25">
      <c r="A1748" s="22">
        <v>1000093393</v>
      </c>
      <c r="B1748" s="23" t="s">
        <v>3789</v>
      </c>
      <c r="C1748" s="24" t="s">
        <v>4</v>
      </c>
      <c r="D1748" s="23" t="s">
        <v>2090</v>
      </c>
      <c r="E1748" s="23">
        <v>540.22400000000005</v>
      </c>
      <c r="F1748" s="23">
        <v>4</v>
      </c>
      <c r="G1748" s="23">
        <v>4</v>
      </c>
      <c r="H1748" s="23">
        <v>0</v>
      </c>
      <c r="I1748" s="23" t="s">
        <v>5</v>
      </c>
      <c r="J1748" s="23" t="s">
        <v>327</v>
      </c>
    </row>
    <row r="1749" spans="1:10" s="20" customFormat="1" ht="12" x14ac:dyDescent="0.25">
      <c r="A1749" s="22">
        <v>1000020937</v>
      </c>
      <c r="B1749" s="23" t="s">
        <v>1116</v>
      </c>
      <c r="C1749" s="24" t="s">
        <v>4</v>
      </c>
      <c r="D1749" s="23" t="s">
        <v>2090</v>
      </c>
      <c r="E1749" s="23">
        <v>540.13333333333298</v>
      </c>
      <c r="F1749" s="23">
        <v>2</v>
      </c>
      <c r="G1749" s="23">
        <v>2</v>
      </c>
      <c r="H1749" s="23">
        <v>0</v>
      </c>
      <c r="I1749" s="23" t="s">
        <v>5</v>
      </c>
      <c r="J1749" s="23" t="s">
        <v>327</v>
      </c>
    </row>
    <row r="1750" spans="1:10" s="20" customFormat="1" ht="12" x14ac:dyDescent="0.25">
      <c r="A1750" s="22">
        <v>2500009421</v>
      </c>
      <c r="B1750" s="23" t="s">
        <v>3790</v>
      </c>
      <c r="C1750" s="24" t="s">
        <v>1996</v>
      </c>
      <c r="D1750" s="23" t="s">
        <v>2289</v>
      </c>
      <c r="E1750" s="23">
        <v>540</v>
      </c>
      <c r="F1750" s="23">
        <v>1</v>
      </c>
      <c r="G1750" s="23">
        <v>1</v>
      </c>
      <c r="H1750" s="23">
        <v>0</v>
      </c>
      <c r="I1750" s="23" t="s">
        <v>5</v>
      </c>
      <c r="J1750" s="23" t="s">
        <v>1993</v>
      </c>
    </row>
    <row r="1751" spans="1:10" s="20" customFormat="1" ht="12" x14ac:dyDescent="0.25">
      <c r="A1751" s="22">
        <v>2500009293</v>
      </c>
      <c r="B1751" s="23" t="s">
        <v>3791</v>
      </c>
      <c r="C1751" s="24" t="s">
        <v>1996</v>
      </c>
      <c r="D1751" s="23" t="s">
        <v>2117</v>
      </c>
      <c r="E1751" s="23">
        <v>540</v>
      </c>
      <c r="F1751" s="23">
        <v>1</v>
      </c>
      <c r="G1751" s="23">
        <v>1</v>
      </c>
      <c r="H1751" s="23">
        <v>0</v>
      </c>
      <c r="I1751" s="23" t="s">
        <v>5</v>
      </c>
      <c r="J1751" s="23" t="s">
        <v>1993</v>
      </c>
    </row>
    <row r="1752" spans="1:10" s="20" customFormat="1" ht="12" x14ac:dyDescent="0.25">
      <c r="A1752" s="22">
        <v>1000097683</v>
      </c>
      <c r="B1752" s="23" t="s">
        <v>3793</v>
      </c>
      <c r="C1752" s="24" t="s">
        <v>4</v>
      </c>
      <c r="D1752" s="23" t="s">
        <v>2056</v>
      </c>
      <c r="E1752" s="23">
        <v>536.93682965881601</v>
      </c>
      <c r="F1752" s="23">
        <v>147</v>
      </c>
      <c r="G1752" s="23">
        <v>147</v>
      </c>
      <c r="H1752" s="23">
        <v>0</v>
      </c>
      <c r="I1752" s="23" t="s">
        <v>5</v>
      </c>
      <c r="J1752" s="23" t="s">
        <v>1844</v>
      </c>
    </row>
    <row r="1753" spans="1:10" s="20" customFormat="1" ht="12" x14ac:dyDescent="0.25">
      <c r="A1753" s="22">
        <v>1000097919</v>
      </c>
      <c r="B1753" s="23" t="s">
        <v>3794</v>
      </c>
      <c r="C1753" s="24" t="s">
        <v>4</v>
      </c>
      <c r="D1753" s="23" t="s">
        <v>2090</v>
      </c>
      <c r="E1753" s="23">
        <v>536.17999999999995</v>
      </c>
      <c r="F1753" s="23">
        <v>2</v>
      </c>
      <c r="G1753" s="23">
        <v>2</v>
      </c>
      <c r="H1753" s="23">
        <v>0</v>
      </c>
      <c r="I1753" s="23" t="s">
        <v>5</v>
      </c>
      <c r="J1753" s="23" t="s">
        <v>327</v>
      </c>
    </row>
    <row r="1754" spans="1:10" s="20" customFormat="1" ht="12" x14ac:dyDescent="0.25">
      <c r="A1754" s="22">
        <v>1000020721</v>
      </c>
      <c r="B1754" s="23" t="s">
        <v>929</v>
      </c>
      <c r="C1754" s="24" t="s">
        <v>4</v>
      </c>
      <c r="D1754" s="23" t="s">
        <v>2090</v>
      </c>
      <c r="E1754" s="23">
        <v>536.1</v>
      </c>
      <c r="F1754" s="23">
        <v>2</v>
      </c>
      <c r="G1754" s="23">
        <v>2</v>
      </c>
      <c r="H1754" s="23">
        <v>0</v>
      </c>
      <c r="I1754" s="23" t="s">
        <v>5</v>
      </c>
      <c r="J1754" s="23" t="s">
        <v>327</v>
      </c>
    </row>
    <row r="1755" spans="1:10" s="20" customFormat="1" ht="12" x14ac:dyDescent="0.25">
      <c r="A1755" s="22">
        <v>1000094031</v>
      </c>
      <c r="B1755" s="23" t="s">
        <v>3795</v>
      </c>
      <c r="C1755" s="24" t="s">
        <v>4</v>
      </c>
      <c r="D1755" s="23" t="s">
        <v>2090</v>
      </c>
      <c r="E1755" s="23">
        <v>535.84</v>
      </c>
      <c r="F1755" s="23">
        <v>1</v>
      </c>
      <c r="G1755" s="23">
        <v>1</v>
      </c>
      <c r="H1755" s="23">
        <v>0</v>
      </c>
      <c r="I1755" s="23" t="s">
        <v>5</v>
      </c>
      <c r="J1755" s="23" t="s">
        <v>327</v>
      </c>
    </row>
    <row r="1756" spans="1:10" s="20" customFormat="1" ht="12" x14ac:dyDescent="0.25">
      <c r="A1756" s="22">
        <v>1000020337</v>
      </c>
      <c r="B1756" s="23" t="s">
        <v>569</v>
      </c>
      <c r="C1756" s="24" t="s">
        <v>4</v>
      </c>
      <c r="D1756" s="23" t="s">
        <v>2090</v>
      </c>
      <c r="E1756" s="23">
        <v>535</v>
      </c>
      <c r="F1756" s="23">
        <v>100</v>
      </c>
      <c r="G1756" s="23">
        <v>100</v>
      </c>
      <c r="H1756" s="23">
        <v>0</v>
      </c>
      <c r="I1756" s="23" t="s">
        <v>5</v>
      </c>
      <c r="J1756" s="23" t="s">
        <v>327</v>
      </c>
    </row>
    <row r="1757" spans="1:10" s="20" customFormat="1" ht="12" x14ac:dyDescent="0.25">
      <c r="A1757" s="22">
        <v>1000106055</v>
      </c>
      <c r="B1757" s="23" t="s">
        <v>3796</v>
      </c>
      <c r="C1757" s="24" t="s">
        <v>4</v>
      </c>
      <c r="D1757" s="23" t="s">
        <v>2161</v>
      </c>
      <c r="E1757" s="23">
        <v>534.6</v>
      </c>
      <c r="F1757" s="23">
        <v>2</v>
      </c>
      <c r="G1757" s="23">
        <v>2</v>
      </c>
      <c r="H1757" s="23">
        <v>0</v>
      </c>
      <c r="I1757" s="23" t="s">
        <v>5</v>
      </c>
      <c r="J1757" s="23" t="s">
        <v>111</v>
      </c>
    </row>
    <row r="1758" spans="1:10" s="20" customFormat="1" ht="12" x14ac:dyDescent="0.25">
      <c r="A1758" s="22">
        <v>1000021274</v>
      </c>
      <c r="B1758" s="23" t="s">
        <v>1413</v>
      </c>
      <c r="C1758" s="24" t="s">
        <v>4</v>
      </c>
      <c r="D1758" s="23" t="s">
        <v>2090</v>
      </c>
      <c r="E1758" s="23">
        <v>532.44000000000005</v>
      </c>
      <c r="F1758" s="23">
        <v>2</v>
      </c>
      <c r="G1758" s="23">
        <v>2</v>
      </c>
      <c r="H1758" s="23">
        <v>0</v>
      </c>
      <c r="I1758" s="23" t="s">
        <v>5</v>
      </c>
      <c r="J1758" s="23" t="s">
        <v>327</v>
      </c>
    </row>
    <row r="1759" spans="1:10" s="20" customFormat="1" ht="12" x14ac:dyDescent="0.25">
      <c r="A1759" s="22">
        <v>1000099648</v>
      </c>
      <c r="B1759" s="23" t="s">
        <v>3797</v>
      </c>
      <c r="C1759" s="24" t="s">
        <v>4</v>
      </c>
      <c r="D1759" s="23" t="s">
        <v>2056</v>
      </c>
      <c r="E1759" s="23">
        <v>532.03</v>
      </c>
      <c r="F1759" s="23">
        <v>19</v>
      </c>
      <c r="G1759" s="23">
        <v>19</v>
      </c>
      <c r="H1759" s="23">
        <v>0</v>
      </c>
      <c r="I1759" s="23" t="s">
        <v>5</v>
      </c>
      <c r="J1759" s="23" t="s">
        <v>1844</v>
      </c>
    </row>
    <row r="1760" spans="1:10" s="20" customFormat="1" ht="12" x14ac:dyDescent="0.25">
      <c r="A1760" s="22">
        <v>1000096642</v>
      </c>
      <c r="B1760" s="23" t="s">
        <v>3800</v>
      </c>
      <c r="C1760" s="24" t="s">
        <v>4</v>
      </c>
      <c r="D1760" s="23" t="s">
        <v>2090</v>
      </c>
      <c r="E1760" s="23">
        <v>530.34</v>
      </c>
      <c r="F1760" s="23">
        <v>6</v>
      </c>
      <c r="G1760" s="23">
        <v>6</v>
      </c>
      <c r="H1760" s="23">
        <v>0</v>
      </c>
      <c r="I1760" s="23" t="s">
        <v>5</v>
      </c>
      <c r="J1760" s="23" t="s">
        <v>327</v>
      </c>
    </row>
    <row r="1761" spans="1:10" s="20" customFormat="1" ht="12" x14ac:dyDescent="0.25">
      <c r="A1761" s="22">
        <v>1000103974</v>
      </c>
      <c r="B1761" s="23" t="s">
        <v>3801</v>
      </c>
      <c r="C1761" s="24" t="s">
        <v>4</v>
      </c>
      <c r="D1761" s="23" t="s">
        <v>2056</v>
      </c>
      <c r="E1761" s="23">
        <v>530.19000000000005</v>
      </c>
      <c r="F1761" s="23">
        <v>1</v>
      </c>
      <c r="G1761" s="23">
        <v>1</v>
      </c>
      <c r="H1761" s="23">
        <v>0</v>
      </c>
      <c r="I1761" s="23" t="s">
        <v>5</v>
      </c>
      <c r="J1761" s="23" t="s">
        <v>1844</v>
      </c>
    </row>
    <row r="1762" spans="1:10" s="20" customFormat="1" ht="12" x14ac:dyDescent="0.25">
      <c r="A1762" s="22">
        <v>1000020601</v>
      </c>
      <c r="B1762" s="23" t="s">
        <v>817</v>
      </c>
      <c r="C1762" s="24" t="s">
        <v>4</v>
      </c>
      <c r="D1762" s="23" t="s">
        <v>2090</v>
      </c>
      <c r="E1762" s="23">
        <v>529.75</v>
      </c>
      <c r="F1762" s="23">
        <v>25</v>
      </c>
      <c r="G1762" s="23">
        <v>25</v>
      </c>
      <c r="H1762" s="23">
        <v>0</v>
      </c>
      <c r="I1762" s="23" t="s">
        <v>5</v>
      </c>
      <c r="J1762" s="23" t="s">
        <v>327</v>
      </c>
    </row>
    <row r="1763" spans="1:10" s="20" customFormat="1" ht="12" x14ac:dyDescent="0.25">
      <c r="A1763" s="22">
        <v>2500009320</v>
      </c>
      <c r="B1763" s="23" t="s">
        <v>3802</v>
      </c>
      <c r="C1763" s="24" t="s">
        <v>1996</v>
      </c>
      <c r="D1763" s="23" t="s">
        <v>2289</v>
      </c>
      <c r="E1763" s="23">
        <v>528.75</v>
      </c>
      <c r="F1763" s="23">
        <v>1</v>
      </c>
      <c r="G1763" s="23">
        <v>1</v>
      </c>
      <c r="H1763" s="23">
        <v>0</v>
      </c>
      <c r="I1763" s="23" t="s">
        <v>5</v>
      </c>
      <c r="J1763" s="23" t="s">
        <v>1993</v>
      </c>
    </row>
    <row r="1764" spans="1:10" s="20" customFormat="1" ht="12" x14ac:dyDescent="0.25">
      <c r="A1764" s="22">
        <v>2500006908</v>
      </c>
      <c r="B1764" s="23" t="s">
        <v>3803</v>
      </c>
      <c r="C1764" s="24" t="s">
        <v>1996</v>
      </c>
      <c r="D1764" s="23" t="s">
        <v>2025</v>
      </c>
      <c r="E1764" s="23">
        <v>528.66</v>
      </c>
      <c r="F1764" s="23">
        <v>2</v>
      </c>
      <c r="G1764" s="23">
        <v>2</v>
      </c>
      <c r="H1764" s="23">
        <v>0</v>
      </c>
      <c r="I1764" s="23" t="s">
        <v>5</v>
      </c>
      <c r="J1764" s="23" t="s">
        <v>1993</v>
      </c>
    </row>
    <row r="1765" spans="1:10" s="20" customFormat="1" ht="12" x14ac:dyDescent="0.25">
      <c r="A1765" s="22">
        <v>1000100381</v>
      </c>
      <c r="B1765" s="23" t="s">
        <v>1711</v>
      </c>
      <c r="C1765" s="24" t="s">
        <v>4</v>
      </c>
      <c r="D1765" s="23" t="s">
        <v>2090</v>
      </c>
      <c r="E1765" s="23">
        <v>528.37</v>
      </c>
      <c r="F1765" s="23">
        <v>10</v>
      </c>
      <c r="G1765" s="23">
        <v>10</v>
      </c>
      <c r="H1765" s="23">
        <v>0</v>
      </c>
      <c r="I1765" s="23" t="s">
        <v>5</v>
      </c>
      <c r="J1765" s="23" t="s">
        <v>327</v>
      </c>
    </row>
    <row r="1766" spans="1:10" s="20" customFormat="1" ht="12" x14ac:dyDescent="0.25">
      <c r="A1766" s="22">
        <v>1000104817</v>
      </c>
      <c r="B1766" s="23" t="s">
        <v>3805</v>
      </c>
      <c r="C1766" s="24" t="s">
        <v>4</v>
      </c>
      <c r="D1766" s="23" t="s">
        <v>2056</v>
      </c>
      <c r="E1766" s="23">
        <v>526.03</v>
      </c>
      <c r="F1766" s="23">
        <v>10</v>
      </c>
      <c r="G1766" s="23">
        <v>10</v>
      </c>
      <c r="H1766" s="23">
        <v>0</v>
      </c>
      <c r="I1766" s="23" t="s">
        <v>5</v>
      </c>
      <c r="J1766" s="23" t="s">
        <v>1844</v>
      </c>
    </row>
    <row r="1767" spans="1:10" s="20" customFormat="1" ht="12" x14ac:dyDescent="0.25">
      <c r="A1767" s="22">
        <v>2500006867</v>
      </c>
      <c r="B1767" s="23" t="s">
        <v>2633</v>
      </c>
      <c r="C1767" s="24" t="s">
        <v>2165</v>
      </c>
      <c r="D1767" s="23" t="s">
        <v>2440</v>
      </c>
      <c r="E1767" s="23">
        <v>525.40604522792</v>
      </c>
      <c r="F1767" s="23">
        <v>1</v>
      </c>
      <c r="G1767" s="23">
        <v>1</v>
      </c>
      <c r="H1767" s="23">
        <v>0</v>
      </c>
      <c r="I1767" s="23" t="s">
        <v>5</v>
      </c>
      <c r="J1767" s="23" t="s">
        <v>1993</v>
      </c>
    </row>
    <row r="1768" spans="1:10" s="20" customFormat="1" ht="12" x14ac:dyDescent="0.25">
      <c r="A1768" s="22">
        <v>1000020919</v>
      </c>
      <c r="B1768" s="23" t="s">
        <v>1099</v>
      </c>
      <c r="C1768" s="24" t="s">
        <v>4</v>
      </c>
      <c r="D1768" s="23" t="s">
        <v>2090</v>
      </c>
      <c r="E1768" s="23">
        <v>524.94000000000005</v>
      </c>
      <c r="F1768" s="23">
        <v>3</v>
      </c>
      <c r="G1768" s="23">
        <v>3</v>
      </c>
      <c r="H1768" s="23">
        <v>0</v>
      </c>
      <c r="I1768" s="23" t="s">
        <v>5</v>
      </c>
      <c r="J1768" s="23" t="s">
        <v>327</v>
      </c>
    </row>
    <row r="1769" spans="1:10" s="20" customFormat="1" ht="12" x14ac:dyDescent="0.25">
      <c r="A1769" s="22">
        <v>1000020592</v>
      </c>
      <c r="B1769" s="23" t="s">
        <v>808</v>
      </c>
      <c r="C1769" s="24" t="s">
        <v>4</v>
      </c>
      <c r="D1769" s="23" t="s">
        <v>2090</v>
      </c>
      <c r="E1769" s="23">
        <v>524</v>
      </c>
      <c r="F1769" s="23">
        <v>100</v>
      </c>
      <c r="G1769" s="23">
        <v>100</v>
      </c>
      <c r="H1769" s="23">
        <v>0</v>
      </c>
      <c r="I1769" s="23" t="s">
        <v>5</v>
      </c>
      <c r="J1769" s="23" t="s">
        <v>327</v>
      </c>
    </row>
    <row r="1770" spans="1:10" s="20" customFormat="1" ht="12" x14ac:dyDescent="0.25">
      <c r="A1770" s="22">
        <v>1000021030</v>
      </c>
      <c r="B1770" s="23" t="s">
        <v>1201</v>
      </c>
      <c r="C1770" s="24" t="s">
        <v>4</v>
      </c>
      <c r="D1770" s="23" t="s">
        <v>2090</v>
      </c>
      <c r="E1770" s="23">
        <v>523.54</v>
      </c>
      <c r="F1770" s="23">
        <v>1</v>
      </c>
      <c r="G1770" s="23">
        <v>1</v>
      </c>
      <c r="H1770" s="23">
        <v>0</v>
      </c>
      <c r="I1770" s="23" t="s">
        <v>5</v>
      </c>
      <c r="J1770" s="23" t="s">
        <v>327</v>
      </c>
    </row>
    <row r="1771" spans="1:10" s="20" customFormat="1" ht="12" x14ac:dyDescent="0.25">
      <c r="A1771" s="22">
        <v>1000094939</v>
      </c>
      <c r="B1771" s="23" t="s">
        <v>3809</v>
      </c>
      <c r="C1771" s="24" t="s">
        <v>4</v>
      </c>
      <c r="D1771" s="23" t="s">
        <v>2090</v>
      </c>
      <c r="E1771" s="23">
        <v>522.77</v>
      </c>
      <c r="F1771" s="23">
        <v>2</v>
      </c>
      <c r="G1771" s="23">
        <v>2</v>
      </c>
      <c r="H1771" s="23">
        <v>0</v>
      </c>
      <c r="I1771" s="23" t="s">
        <v>5</v>
      </c>
      <c r="J1771" s="23" t="s">
        <v>327</v>
      </c>
    </row>
    <row r="1772" spans="1:10" s="20" customFormat="1" ht="12" x14ac:dyDescent="0.25">
      <c r="A1772" s="22">
        <v>1000021177</v>
      </c>
      <c r="B1772" s="23" t="s">
        <v>1324</v>
      </c>
      <c r="C1772" s="24" t="s">
        <v>4</v>
      </c>
      <c r="D1772" s="23" t="s">
        <v>2090</v>
      </c>
      <c r="E1772" s="23">
        <v>521.52</v>
      </c>
      <c r="F1772" s="23">
        <v>8</v>
      </c>
      <c r="G1772" s="23">
        <v>8</v>
      </c>
      <c r="H1772" s="23">
        <v>0</v>
      </c>
      <c r="I1772" s="23" t="s">
        <v>5</v>
      </c>
      <c r="J1772" s="23" t="s">
        <v>327</v>
      </c>
    </row>
    <row r="1773" spans="1:10" s="20" customFormat="1" ht="12" x14ac:dyDescent="0.25">
      <c r="A1773" s="22">
        <v>2100000721</v>
      </c>
      <c r="B1773" s="23" t="s">
        <v>3814</v>
      </c>
      <c r="C1773" s="24" t="s">
        <v>2030</v>
      </c>
      <c r="D1773" s="23" t="s">
        <v>2472</v>
      </c>
      <c r="E1773" s="23">
        <v>519</v>
      </c>
      <c r="F1773" s="23">
        <v>3</v>
      </c>
      <c r="G1773" s="23">
        <v>3</v>
      </c>
      <c r="H1773" s="23">
        <v>0</v>
      </c>
      <c r="I1773" s="23" t="s">
        <v>5</v>
      </c>
      <c r="J1773" s="23" t="s">
        <v>146</v>
      </c>
    </row>
    <row r="1774" spans="1:10" s="20" customFormat="1" ht="12" x14ac:dyDescent="0.25">
      <c r="A1774" s="22">
        <v>1000021062</v>
      </c>
      <c r="B1774" s="23" t="s">
        <v>1227</v>
      </c>
      <c r="C1774" s="24" t="s">
        <v>4</v>
      </c>
      <c r="D1774" s="23" t="s">
        <v>2090</v>
      </c>
      <c r="E1774" s="23">
        <v>518.85</v>
      </c>
      <c r="F1774" s="23">
        <v>5</v>
      </c>
      <c r="G1774" s="23">
        <v>5</v>
      </c>
      <c r="H1774" s="23">
        <v>0</v>
      </c>
      <c r="I1774" s="23" t="s">
        <v>5</v>
      </c>
      <c r="J1774" s="23" t="s">
        <v>327</v>
      </c>
    </row>
    <row r="1775" spans="1:10" s="20" customFormat="1" ht="12" x14ac:dyDescent="0.25">
      <c r="A1775" s="22">
        <v>1000098905</v>
      </c>
      <c r="B1775" s="23" t="s">
        <v>3817</v>
      </c>
      <c r="C1775" s="24" t="s">
        <v>4</v>
      </c>
      <c r="D1775" s="23" t="s">
        <v>2161</v>
      </c>
      <c r="E1775" s="23">
        <v>517.14</v>
      </c>
      <c r="F1775" s="23">
        <v>5</v>
      </c>
      <c r="G1775" s="23">
        <v>5</v>
      </c>
      <c r="H1775" s="23">
        <v>0</v>
      </c>
      <c r="I1775" s="23" t="s">
        <v>5</v>
      </c>
      <c r="J1775" s="23" t="s">
        <v>111</v>
      </c>
    </row>
    <row r="1776" spans="1:10" s="20" customFormat="1" ht="12" x14ac:dyDescent="0.25">
      <c r="A1776" s="22">
        <v>2500008171</v>
      </c>
      <c r="B1776" s="23" t="s">
        <v>3818</v>
      </c>
      <c r="C1776" s="24" t="s">
        <v>1996</v>
      </c>
      <c r="D1776" s="23" t="s">
        <v>2025</v>
      </c>
      <c r="E1776" s="23">
        <v>516.375</v>
      </c>
      <c r="F1776" s="23">
        <v>3</v>
      </c>
      <c r="G1776" s="23">
        <v>3</v>
      </c>
      <c r="H1776" s="23">
        <v>0</v>
      </c>
      <c r="I1776" s="23" t="s">
        <v>5</v>
      </c>
      <c r="J1776" s="23" t="s">
        <v>1993</v>
      </c>
    </row>
    <row r="1777" spans="1:10" s="20" customFormat="1" ht="12" x14ac:dyDescent="0.25">
      <c r="A1777" s="22">
        <v>1000020171</v>
      </c>
      <c r="B1777" s="23" t="s">
        <v>415</v>
      </c>
      <c r="C1777" s="24" t="s">
        <v>4</v>
      </c>
      <c r="D1777" s="23" t="s">
        <v>2090</v>
      </c>
      <c r="E1777" s="23">
        <v>514.6</v>
      </c>
      <c r="F1777" s="23">
        <v>10</v>
      </c>
      <c r="G1777" s="23">
        <v>10</v>
      </c>
      <c r="H1777" s="23">
        <v>0</v>
      </c>
      <c r="I1777" s="23" t="s">
        <v>5</v>
      </c>
      <c r="J1777" s="23" t="s">
        <v>327</v>
      </c>
    </row>
    <row r="1778" spans="1:10" s="20" customFormat="1" ht="12" x14ac:dyDescent="0.25">
      <c r="A1778" s="22">
        <v>1000020998</v>
      </c>
      <c r="B1778" s="23" t="s">
        <v>1171</v>
      </c>
      <c r="C1778" s="24" t="s">
        <v>4</v>
      </c>
      <c r="D1778" s="23" t="s">
        <v>2090</v>
      </c>
      <c r="E1778" s="23">
        <v>513.75</v>
      </c>
      <c r="F1778" s="23">
        <v>5</v>
      </c>
      <c r="G1778" s="23">
        <v>5</v>
      </c>
      <c r="H1778" s="23">
        <v>0</v>
      </c>
      <c r="I1778" s="23" t="s">
        <v>5</v>
      </c>
      <c r="J1778" s="23" t="s">
        <v>327</v>
      </c>
    </row>
    <row r="1779" spans="1:10" s="20" customFormat="1" ht="12" x14ac:dyDescent="0.25">
      <c r="A1779" s="22">
        <v>1000108574</v>
      </c>
      <c r="B1779" s="23" t="s">
        <v>108</v>
      </c>
      <c r="C1779" s="24" t="s">
        <v>4</v>
      </c>
      <c r="D1779" s="23" t="s">
        <v>2043</v>
      </c>
      <c r="E1779" s="23">
        <v>511.3</v>
      </c>
      <c r="F1779" s="23">
        <v>2</v>
      </c>
      <c r="G1779" s="23">
        <v>0</v>
      </c>
      <c r="H1779" s="23">
        <v>2</v>
      </c>
      <c r="I1779" s="23" t="s">
        <v>71</v>
      </c>
      <c r="J1779" s="23" t="s">
        <v>33</v>
      </c>
    </row>
    <row r="1780" spans="1:10" s="20" customFormat="1" ht="12" x14ac:dyDescent="0.25">
      <c r="A1780" s="22">
        <v>1000021085</v>
      </c>
      <c r="B1780" s="23" t="s">
        <v>1247</v>
      </c>
      <c r="C1780" s="24" t="s">
        <v>4</v>
      </c>
      <c r="D1780" s="23" t="s">
        <v>2090</v>
      </c>
      <c r="E1780" s="23">
        <v>510.76</v>
      </c>
      <c r="F1780" s="23">
        <v>2</v>
      </c>
      <c r="G1780" s="23">
        <v>2</v>
      </c>
      <c r="H1780" s="23">
        <v>0</v>
      </c>
      <c r="I1780" s="23" t="s">
        <v>5</v>
      </c>
      <c r="J1780" s="23" t="s">
        <v>327</v>
      </c>
    </row>
    <row r="1781" spans="1:10" s="20" customFormat="1" ht="12" x14ac:dyDescent="0.25">
      <c r="A1781" s="22">
        <v>1000002758</v>
      </c>
      <c r="B1781" s="23" t="s">
        <v>11</v>
      </c>
      <c r="C1781" s="24" t="s">
        <v>2109</v>
      </c>
      <c r="D1781" s="23" t="s">
        <v>2070</v>
      </c>
      <c r="E1781" s="23">
        <v>510</v>
      </c>
      <c r="F1781" s="23">
        <v>1</v>
      </c>
      <c r="G1781" s="23">
        <v>1</v>
      </c>
      <c r="H1781" s="23">
        <v>0</v>
      </c>
      <c r="I1781" s="23" t="s">
        <v>5</v>
      </c>
      <c r="J1781" s="23" t="s">
        <v>6</v>
      </c>
    </row>
    <row r="1782" spans="1:10" s="20" customFormat="1" ht="12" x14ac:dyDescent="0.25">
      <c r="A1782" s="22">
        <v>1000106182</v>
      </c>
      <c r="B1782" s="23" t="s">
        <v>3821</v>
      </c>
      <c r="C1782" s="24" t="s">
        <v>4</v>
      </c>
      <c r="D1782" s="23" t="s">
        <v>2161</v>
      </c>
      <c r="E1782" s="23">
        <v>509.64</v>
      </c>
      <c r="F1782" s="23">
        <v>2</v>
      </c>
      <c r="G1782" s="23">
        <v>2</v>
      </c>
      <c r="H1782" s="23">
        <v>0</v>
      </c>
      <c r="I1782" s="23" t="s">
        <v>5</v>
      </c>
      <c r="J1782" s="23" t="s">
        <v>111</v>
      </c>
    </row>
    <row r="1783" spans="1:10" s="20" customFormat="1" ht="12" x14ac:dyDescent="0.25">
      <c r="A1783" s="22">
        <v>1000010222</v>
      </c>
      <c r="B1783" s="23" t="s">
        <v>3822</v>
      </c>
      <c r="C1783" s="24" t="s">
        <v>4</v>
      </c>
      <c r="D1783" s="23" t="s">
        <v>2161</v>
      </c>
      <c r="E1783" s="23">
        <v>508.2</v>
      </c>
      <c r="F1783" s="23">
        <v>2</v>
      </c>
      <c r="G1783" s="23">
        <v>2</v>
      </c>
      <c r="H1783" s="23">
        <v>0</v>
      </c>
      <c r="I1783" s="23" t="s">
        <v>5</v>
      </c>
      <c r="J1783" s="23" t="s">
        <v>111</v>
      </c>
    </row>
    <row r="1784" spans="1:10" s="20" customFormat="1" ht="12" x14ac:dyDescent="0.25">
      <c r="A1784" s="22">
        <v>1000021119</v>
      </c>
      <c r="B1784" s="23" t="s">
        <v>1278</v>
      </c>
      <c r="C1784" s="24" t="s">
        <v>4</v>
      </c>
      <c r="D1784" s="23" t="s">
        <v>2090</v>
      </c>
      <c r="E1784" s="23">
        <v>507.69</v>
      </c>
      <c r="F1784" s="23">
        <v>1</v>
      </c>
      <c r="G1784" s="23">
        <v>1</v>
      </c>
      <c r="H1784" s="23">
        <v>0</v>
      </c>
      <c r="I1784" s="23" t="s">
        <v>5</v>
      </c>
      <c r="J1784" s="23" t="s">
        <v>327</v>
      </c>
    </row>
    <row r="1785" spans="1:10" s="20" customFormat="1" ht="12" x14ac:dyDescent="0.25">
      <c r="A1785" s="22">
        <v>1000102921</v>
      </c>
      <c r="B1785" s="23" t="s">
        <v>3823</v>
      </c>
      <c r="C1785" s="24" t="s">
        <v>4</v>
      </c>
      <c r="D1785" s="23" t="s">
        <v>2161</v>
      </c>
      <c r="E1785" s="23">
        <v>507.43740000000003</v>
      </c>
      <c r="F1785" s="23">
        <v>3</v>
      </c>
      <c r="G1785" s="23">
        <v>3</v>
      </c>
      <c r="H1785" s="23">
        <v>0</v>
      </c>
      <c r="I1785" s="23" t="s">
        <v>5</v>
      </c>
      <c r="J1785" s="23" t="s">
        <v>111</v>
      </c>
    </row>
    <row r="1786" spans="1:10" s="20" customFormat="1" ht="12" x14ac:dyDescent="0.25">
      <c r="A1786" s="22">
        <v>1000020275</v>
      </c>
      <c r="B1786" s="23" t="s">
        <v>512</v>
      </c>
      <c r="C1786" s="24" t="s">
        <v>4</v>
      </c>
      <c r="D1786" s="23" t="s">
        <v>2090</v>
      </c>
      <c r="E1786" s="23">
        <v>506.8</v>
      </c>
      <c r="F1786" s="23">
        <v>20</v>
      </c>
      <c r="G1786" s="23">
        <v>20</v>
      </c>
      <c r="H1786" s="23">
        <v>0</v>
      </c>
      <c r="I1786" s="23" t="s">
        <v>5</v>
      </c>
      <c r="J1786" s="23" t="s">
        <v>327</v>
      </c>
    </row>
    <row r="1787" spans="1:10" s="20" customFormat="1" ht="12" x14ac:dyDescent="0.25">
      <c r="A1787" s="22">
        <v>1000020942</v>
      </c>
      <c r="B1787" s="23" t="s">
        <v>1121</v>
      </c>
      <c r="C1787" s="24" t="s">
        <v>4</v>
      </c>
      <c r="D1787" s="23" t="s">
        <v>2090</v>
      </c>
      <c r="E1787" s="23">
        <v>505.05</v>
      </c>
      <c r="F1787" s="23">
        <v>1</v>
      </c>
      <c r="G1787" s="23">
        <v>1</v>
      </c>
      <c r="H1787" s="23">
        <v>0</v>
      </c>
      <c r="I1787" s="23" t="s">
        <v>5</v>
      </c>
      <c r="J1787" s="23" t="s">
        <v>327</v>
      </c>
    </row>
    <row r="1788" spans="1:10" s="20" customFormat="1" ht="12" x14ac:dyDescent="0.25">
      <c r="A1788" s="22">
        <v>2500008859</v>
      </c>
      <c r="B1788" s="23" t="s">
        <v>3825</v>
      </c>
      <c r="C1788" s="24" t="s">
        <v>1996</v>
      </c>
      <c r="D1788" s="23" t="s">
        <v>2875</v>
      </c>
      <c r="E1788" s="23">
        <v>504.9</v>
      </c>
      <c r="F1788" s="23">
        <v>3</v>
      </c>
      <c r="G1788" s="23">
        <v>3</v>
      </c>
      <c r="H1788" s="23">
        <v>0</v>
      </c>
      <c r="I1788" s="23" t="s">
        <v>5</v>
      </c>
      <c r="J1788" s="23" t="s">
        <v>1993</v>
      </c>
    </row>
    <row r="1789" spans="1:10" s="20" customFormat="1" ht="12" x14ac:dyDescent="0.25">
      <c r="A1789" s="22">
        <v>1000097541</v>
      </c>
      <c r="B1789" s="23" t="s">
        <v>3827</v>
      </c>
      <c r="C1789" s="24" t="s">
        <v>2109</v>
      </c>
      <c r="D1789" s="23" t="s">
        <v>2070</v>
      </c>
      <c r="E1789" s="23">
        <v>504</v>
      </c>
      <c r="F1789" s="23">
        <v>2</v>
      </c>
      <c r="G1789" s="23">
        <v>2</v>
      </c>
      <c r="H1789" s="23">
        <v>0</v>
      </c>
      <c r="I1789" s="23" t="s">
        <v>5</v>
      </c>
      <c r="J1789" s="23" t="s">
        <v>6</v>
      </c>
    </row>
    <row r="1790" spans="1:10" s="20" customFormat="1" ht="12" x14ac:dyDescent="0.25">
      <c r="A1790" s="22">
        <v>2500003653</v>
      </c>
      <c r="B1790" s="23" t="s">
        <v>3829</v>
      </c>
      <c r="C1790" s="24" t="s">
        <v>1996</v>
      </c>
      <c r="D1790" s="23" t="s">
        <v>2025</v>
      </c>
      <c r="E1790" s="23">
        <v>503.97481273066597</v>
      </c>
      <c r="F1790" s="23">
        <v>5</v>
      </c>
      <c r="G1790" s="23">
        <v>5</v>
      </c>
      <c r="H1790" s="23">
        <v>0</v>
      </c>
      <c r="I1790" s="23" t="s">
        <v>5</v>
      </c>
      <c r="J1790" s="23" t="s">
        <v>1993</v>
      </c>
    </row>
    <row r="1791" spans="1:10" s="20" customFormat="1" ht="12" x14ac:dyDescent="0.25">
      <c r="A1791" s="22">
        <v>1000100332</v>
      </c>
      <c r="B1791" s="23" t="s">
        <v>3830</v>
      </c>
      <c r="C1791" s="24" t="s">
        <v>4</v>
      </c>
      <c r="D1791" s="23" t="s">
        <v>2090</v>
      </c>
      <c r="E1791" s="23">
        <v>503.21499999999997</v>
      </c>
      <c r="F1791" s="23">
        <v>3</v>
      </c>
      <c r="G1791" s="23">
        <v>3</v>
      </c>
      <c r="H1791" s="23">
        <v>0</v>
      </c>
      <c r="I1791" s="23" t="s">
        <v>5</v>
      </c>
      <c r="J1791" s="23" t="s">
        <v>327</v>
      </c>
    </row>
    <row r="1792" spans="1:10" s="20" customFormat="1" ht="12" x14ac:dyDescent="0.25">
      <c r="A1792" s="22">
        <v>1000102702</v>
      </c>
      <c r="B1792" s="23" t="s">
        <v>3831</v>
      </c>
      <c r="C1792" s="24" t="s">
        <v>4</v>
      </c>
      <c r="D1792" s="23" t="s">
        <v>2090</v>
      </c>
      <c r="E1792" s="23">
        <v>502.95</v>
      </c>
      <c r="F1792" s="23">
        <v>28</v>
      </c>
      <c r="G1792" s="23">
        <v>28</v>
      </c>
      <c r="H1792" s="23">
        <v>0</v>
      </c>
      <c r="I1792" s="23" t="s">
        <v>5</v>
      </c>
      <c r="J1792" s="23" t="s">
        <v>327</v>
      </c>
    </row>
    <row r="1793" spans="1:10" s="20" customFormat="1" ht="12" x14ac:dyDescent="0.25">
      <c r="A1793" s="22">
        <v>1000098650</v>
      </c>
      <c r="B1793" s="23" t="s">
        <v>1627</v>
      </c>
      <c r="C1793" s="24" t="s">
        <v>4</v>
      </c>
      <c r="D1793" s="23" t="s">
        <v>2090</v>
      </c>
      <c r="E1793" s="23">
        <v>501.75</v>
      </c>
      <c r="F1793" s="23">
        <v>15</v>
      </c>
      <c r="G1793" s="23">
        <v>15</v>
      </c>
      <c r="H1793" s="23">
        <v>0</v>
      </c>
      <c r="I1793" s="23" t="s">
        <v>5</v>
      </c>
      <c r="J1793" s="23" t="s">
        <v>327</v>
      </c>
    </row>
    <row r="1794" spans="1:10" s="20" customFormat="1" ht="12" x14ac:dyDescent="0.25">
      <c r="A1794" s="22">
        <v>1000102899</v>
      </c>
      <c r="B1794" s="23" t="s">
        <v>3832</v>
      </c>
      <c r="C1794" s="24" t="s">
        <v>4</v>
      </c>
      <c r="D1794" s="23" t="s">
        <v>2090</v>
      </c>
      <c r="E1794" s="23">
        <v>501.56</v>
      </c>
      <c r="F1794" s="23">
        <v>5</v>
      </c>
      <c r="G1794" s="23">
        <v>5</v>
      </c>
      <c r="H1794" s="23">
        <v>0</v>
      </c>
      <c r="I1794" s="23" t="s">
        <v>5</v>
      </c>
      <c r="J1794" s="23" t="s">
        <v>327</v>
      </c>
    </row>
    <row r="1795" spans="1:10" s="20" customFormat="1" ht="12" x14ac:dyDescent="0.25">
      <c r="A1795" s="22">
        <v>1000020045</v>
      </c>
      <c r="B1795" s="23" t="s">
        <v>3833</v>
      </c>
      <c r="C1795" s="24" t="s">
        <v>4</v>
      </c>
      <c r="D1795" s="23" t="s">
        <v>2090</v>
      </c>
      <c r="E1795" s="23">
        <v>501.53</v>
      </c>
      <c r="F1795" s="23">
        <v>5</v>
      </c>
      <c r="G1795" s="23">
        <v>5</v>
      </c>
      <c r="H1795" s="23">
        <v>0</v>
      </c>
      <c r="I1795" s="23" t="s">
        <v>5</v>
      </c>
      <c r="J1795" s="23" t="s">
        <v>327</v>
      </c>
    </row>
    <row r="1796" spans="1:10" s="20" customFormat="1" ht="12" x14ac:dyDescent="0.25">
      <c r="A1796" s="22">
        <v>2500009235</v>
      </c>
      <c r="B1796" s="23" t="s">
        <v>1987</v>
      </c>
      <c r="C1796" s="24" t="s">
        <v>1996</v>
      </c>
      <c r="D1796" s="23" t="s">
        <v>3603</v>
      </c>
      <c r="E1796" s="23">
        <v>501.5</v>
      </c>
      <c r="F1796" s="23">
        <v>1</v>
      </c>
      <c r="G1796" s="23">
        <v>1</v>
      </c>
      <c r="H1796" s="23">
        <v>0</v>
      </c>
      <c r="I1796" s="23" t="s">
        <v>5</v>
      </c>
      <c r="J1796" s="23" t="s">
        <v>1993</v>
      </c>
    </row>
    <row r="1797" spans="1:10" s="20" customFormat="1" ht="12" x14ac:dyDescent="0.25">
      <c r="A1797" s="22">
        <v>1000109368</v>
      </c>
      <c r="B1797" s="23" t="s">
        <v>3834</v>
      </c>
      <c r="C1797" s="24" t="s">
        <v>4</v>
      </c>
      <c r="D1797" s="23" t="s">
        <v>2043</v>
      </c>
      <c r="E1797" s="23">
        <v>499.8</v>
      </c>
      <c r="F1797" s="23">
        <v>3</v>
      </c>
      <c r="G1797" s="23">
        <v>0</v>
      </c>
      <c r="H1797" s="23">
        <v>3</v>
      </c>
      <c r="I1797" s="23" t="s">
        <v>71</v>
      </c>
      <c r="J1797" s="23" t="s">
        <v>33</v>
      </c>
    </row>
    <row r="1798" spans="1:10" s="20" customFormat="1" ht="12" x14ac:dyDescent="0.25">
      <c r="A1798" s="22">
        <v>1000020287</v>
      </c>
      <c r="B1798" s="23" t="s">
        <v>523</v>
      </c>
      <c r="C1798" s="24" t="s">
        <v>4</v>
      </c>
      <c r="D1798" s="23" t="s">
        <v>2090</v>
      </c>
      <c r="E1798" s="23">
        <v>497.14125000000001</v>
      </c>
      <c r="F1798" s="23">
        <v>12</v>
      </c>
      <c r="G1798" s="23">
        <v>12</v>
      </c>
      <c r="H1798" s="23">
        <v>0</v>
      </c>
      <c r="I1798" s="23" t="s">
        <v>5</v>
      </c>
      <c r="J1798" s="23" t="s">
        <v>327</v>
      </c>
    </row>
    <row r="1799" spans="1:10" s="20" customFormat="1" ht="12" x14ac:dyDescent="0.25">
      <c r="A1799" s="22">
        <v>1000020419</v>
      </c>
      <c r="B1799" s="23" t="s">
        <v>648</v>
      </c>
      <c r="C1799" s="24" t="s">
        <v>4</v>
      </c>
      <c r="D1799" s="23" t="s">
        <v>2090</v>
      </c>
      <c r="E1799" s="23">
        <v>496.43650246305401</v>
      </c>
      <c r="F1799" s="23">
        <v>73</v>
      </c>
      <c r="G1799" s="23">
        <v>73</v>
      </c>
      <c r="H1799" s="23">
        <v>0</v>
      </c>
      <c r="I1799" s="23" t="s">
        <v>5</v>
      </c>
      <c r="J1799" s="23" t="s">
        <v>327</v>
      </c>
    </row>
    <row r="1800" spans="1:10" s="20" customFormat="1" ht="12" x14ac:dyDescent="0.25">
      <c r="A1800" s="22">
        <v>1000108753</v>
      </c>
      <c r="B1800" s="23" t="s">
        <v>2904</v>
      </c>
      <c r="C1800" s="24" t="s">
        <v>2027</v>
      </c>
      <c r="D1800" s="23" t="s">
        <v>2905</v>
      </c>
      <c r="E1800" s="23">
        <v>495</v>
      </c>
      <c r="F1800" s="23">
        <v>3</v>
      </c>
      <c r="G1800" s="23">
        <v>3</v>
      </c>
      <c r="H1800" s="23">
        <v>0</v>
      </c>
      <c r="I1800" s="23" t="s">
        <v>5</v>
      </c>
      <c r="J1800" s="23" t="s">
        <v>6</v>
      </c>
    </row>
    <row r="1801" spans="1:10" s="20" customFormat="1" ht="12" x14ac:dyDescent="0.25">
      <c r="A1801" s="22">
        <v>1000098651</v>
      </c>
      <c r="B1801" s="23" t="s">
        <v>1628</v>
      </c>
      <c r="C1801" s="24" t="s">
        <v>4</v>
      </c>
      <c r="D1801" s="23" t="s">
        <v>2090</v>
      </c>
      <c r="E1801" s="23">
        <v>494.67149999999998</v>
      </c>
      <c r="F1801" s="23">
        <v>8</v>
      </c>
      <c r="G1801" s="23">
        <v>8</v>
      </c>
      <c r="H1801" s="23">
        <v>0</v>
      </c>
      <c r="I1801" s="23" t="s">
        <v>5</v>
      </c>
      <c r="J1801" s="23" t="s">
        <v>327</v>
      </c>
    </row>
    <row r="1802" spans="1:10" s="20" customFormat="1" ht="12" x14ac:dyDescent="0.25">
      <c r="A1802" s="22">
        <v>1000021146</v>
      </c>
      <c r="B1802" s="23" t="s">
        <v>1297</v>
      </c>
      <c r="C1802" s="24" t="s">
        <v>4</v>
      </c>
      <c r="D1802" s="23" t="s">
        <v>2090</v>
      </c>
      <c r="E1802" s="23">
        <v>494.08</v>
      </c>
      <c r="F1802" s="23">
        <v>4</v>
      </c>
      <c r="G1802" s="23">
        <v>4</v>
      </c>
      <c r="H1802" s="23">
        <v>0</v>
      </c>
      <c r="I1802" s="23" t="s">
        <v>5</v>
      </c>
      <c r="J1802" s="23" t="s">
        <v>327</v>
      </c>
    </row>
    <row r="1803" spans="1:10" s="20" customFormat="1" ht="12" x14ac:dyDescent="0.25">
      <c r="A1803" s="22">
        <v>1000097477</v>
      </c>
      <c r="B1803" s="23" t="s">
        <v>3841</v>
      </c>
      <c r="C1803" s="24" t="s">
        <v>4</v>
      </c>
      <c r="D1803" s="23" t="s">
        <v>2161</v>
      </c>
      <c r="E1803" s="23">
        <v>493.2</v>
      </c>
      <c r="F1803" s="23">
        <v>3</v>
      </c>
      <c r="G1803" s="23">
        <v>3</v>
      </c>
      <c r="H1803" s="23">
        <v>0</v>
      </c>
      <c r="I1803" s="23" t="s">
        <v>5</v>
      </c>
      <c r="J1803" s="23" t="s">
        <v>111</v>
      </c>
    </row>
    <row r="1804" spans="1:10" s="20" customFormat="1" ht="12" x14ac:dyDescent="0.25">
      <c r="A1804" s="22">
        <v>1000103739</v>
      </c>
      <c r="B1804" s="23" t="s">
        <v>1879</v>
      </c>
      <c r="C1804" s="24" t="s">
        <v>4</v>
      </c>
      <c r="D1804" s="23" t="s">
        <v>2056</v>
      </c>
      <c r="E1804" s="23">
        <v>493.2</v>
      </c>
      <c r="F1804" s="23">
        <v>50</v>
      </c>
      <c r="G1804" s="23">
        <v>50</v>
      </c>
      <c r="H1804" s="23">
        <v>0</v>
      </c>
      <c r="I1804" s="23" t="s">
        <v>5</v>
      </c>
      <c r="J1804" s="23" t="s">
        <v>1844</v>
      </c>
    </row>
    <row r="1805" spans="1:10" s="20" customFormat="1" ht="12" x14ac:dyDescent="0.25">
      <c r="A1805" s="22">
        <v>1000020092</v>
      </c>
      <c r="B1805" s="23" t="s">
        <v>351</v>
      </c>
      <c r="C1805" s="24" t="s">
        <v>4</v>
      </c>
      <c r="D1805" s="23" t="s">
        <v>2090</v>
      </c>
      <c r="E1805" s="23">
        <v>492.63749999999999</v>
      </c>
      <c r="F1805" s="23">
        <v>5</v>
      </c>
      <c r="G1805" s="23">
        <v>5</v>
      </c>
      <c r="H1805" s="23">
        <v>0</v>
      </c>
      <c r="I1805" s="23" t="s">
        <v>5</v>
      </c>
      <c r="J1805" s="23" t="s">
        <v>327</v>
      </c>
    </row>
    <row r="1806" spans="1:10" s="20" customFormat="1" ht="12" x14ac:dyDescent="0.25">
      <c r="A1806" s="22">
        <v>1000020896</v>
      </c>
      <c r="B1806" s="23" t="s">
        <v>1078</v>
      </c>
      <c r="C1806" s="24" t="s">
        <v>4</v>
      </c>
      <c r="D1806" s="23" t="s">
        <v>2090</v>
      </c>
      <c r="E1806" s="23">
        <v>491.37</v>
      </c>
      <c r="F1806" s="23">
        <v>3</v>
      </c>
      <c r="G1806" s="23">
        <v>3</v>
      </c>
      <c r="H1806" s="23">
        <v>0</v>
      </c>
      <c r="I1806" s="23" t="s">
        <v>5</v>
      </c>
      <c r="J1806" s="23" t="s">
        <v>327</v>
      </c>
    </row>
    <row r="1807" spans="1:10" s="20" customFormat="1" ht="12" x14ac:dyDescent="0.25">
      <c r="A1807" s="22">
        <v>2500008149</v>
      </c>
      <c r="B1807" s="23" t="s">
        <v>3842</v>
      </c>
      <c r="C1807" s="24" t="s">
        <v>1996</v>
      </c>
      <c r="D1807" s="23" t="s">
        <v>2025</v>
      </c>
      <c r="E1807" s="23">
        <v>491.30815476190401</v>
      </c>
      <c r="F1807" s="23">
        <v>3</v>
      </c>
      <c r="G1807" s="23">
        <v>3</v>
      </c>
      <c r="H1807" s="23">
        <v>0</v>
      </c>
      <c r="I1807" s="23" t="s">
        <v>5</v>
      </c>
      <c r="J1807" s="23" t="s">
        <v>1993</v>
      </c>
    </row>
    <row r="1808" spans="1:10" s="20" customFormat="1" ht="12" x14ac:dyDescent="0.25">
      <c r="A1808" s="22">
        <v>2500002205</v>
      </c>
      <c r="B1808" s="23" t="s">
        <v>3843</v>
      </c>
      <c r="C1808" s="24" t="s">
        <v>1996</v>
      </c>
      <c r="D1808" s="23" t="s">
        <v>2025</v>
      </c>
      <c r="E1808" s="23">
        <v>490.58225965742901</v>
      </c>
      <c r="F1808" s="23">
        <v>35</v>
      </c>
      <c r="G1808" s="23">
        <v>35</v>
      </c>
      <c r="H1808" s="23">
        <v>0</v>
      </c>
      <c r="I1808" s="23" t="s">
        <v>5</v>
      </c>
      <c r="J1808" s="23" t="s">
        <v>1993</v>
      </c>
    </row>
    <row r="1809" spans="1:10" s="20" customFormat="1" ht="12" x14ac:dyDescent="0.25">
      <c r="A1809" s="22">
        <v>1000105246</v>
      </c>
      <c r="B1809" s="23" t="s">
        <v>3844</v>
      </c>
      <c r="C1809" s="24" t="s">
        <v>4</v>
      </c>
      <c r="D1809" s="23" t="s">
        <v>2161</v>
      </c>
      <c r="E1809" s="23">
        <v>489.60333333333301</v>
      </c>
      <c r="F1809" s="23">
        <v>7</v>
      </c>
      <c r="G1809" s="23">
        <v>7</v>
      </c>
      <c r="H1809" s="23">
        <v>0</v>
      </c>
      <c r="I1809" s="23" t="s">
        <v>5</v>
      </c>
      <c r="J1809" s="23" t="s">
        <v>111</v>
      </c>
    </row>
    <row r="1810" spans="1:10" s="20" customFormat="1" ht="12" x14ac:dyDescent="0.25">
      <c r="A1810" s="22">
        <v>1000095639</v>
      </c>
      <c r="B1810" s="23" t="s">
        <v>3845</v>
      </c>
      <c r="C1810" s="24" t="s">
        <v>4</v>
      </c>
      <c r="D1810" s="23" t="s">
        <v>2056</v>
      </c>
      <c r="E1810" s="23">
        <v>489.52800000000002</v>
      </c>
      <c r="F1810" s="23">
        <v>2</v>
      </c>
      <c r="G1810" s="23">
        <v>2</v>
      </c>
      <c r="H1810" s="23">
        <v>0</v>
      </c>
      <c r="I1810" s="23" t="s">
        <v>5</v>
      </c>
      <c r="J1810" s="23" t="s">
        <v>1844</v>
      </c>
    </row>
    <row r="1811" spans="1:10" s="20" customFormat="1" ht="12" x14ac:dyDescent="0.25">
      <c r="A1811" s="22">
        <v>1000020741</v>
      </c>
      <c r="B1811" s="23" t="s">
        <v>949</v>
      </c>
      <c r="C1811" s="24" t="s">
        <v>4</v>
      </c>
      <c r="D1811" s="23" t="s">
        <v>2090</v>
      </c>
      <c r="E1811" s="23">
        <v>489.35</v>
      </c>
      <c r="F1811" s="23">
        <v>1</v>
      </c>
      <c r="G1811" s="23">
        <v>1</v>
      </c>
      <c r="H1811" s="23">
        <v>0</v>
      </c>
      <c r="I1811" s="23" t="s">
        <v>5</v>
      </c>
      <c r="J1811" s="23" t="s">
        <v>327</v>
      </c>
    </row>
    <row r="1812" spans="1:10" s="20" customFormat="1" ht="12" x14ac:dyDescent="0.25">
      <c r="A1812" s="22">
        <v>1000020331</v>
      </c>
      <c r="B1812" s="23" t="s">
        <v>564</v>
      </c>
      <c r="C1812" s="24" t="s">
        <v>4</v>
      </c>
      <c r="D1812" s="23" t="s">
        <v>2090</v>
      </c>
      <c r="E1812" s="23">
        <v>489.2</v>
      </c>
      <c r="F1812" s="23">
        <v>2</v>
      </c>
      <c r="G1812" s="23">
        <v>2</v>
      </c>
      <c r="H1812" s="23">
        <v>0</v>
      </c>
      <c r="I1812" s="23" t="s">
        <v>5</v>
      </c>
      <c r="J1812" s="23" t="s">
        <v>327</v>
      </c>
    </row>
    <row r="1813" spans="1:10" s="20" customFormat="1" ht="12" x14ac:dyDescent="0.25">
      <c r="A1813" s="22">
        <v>1000020308</v>
      </c>
      <c r="B1813" s="23" t="s">
        <v>544</v>
      </c>
      <c r="C1813" s="24" t="s">
        <v>4</v>
      </c>
      <c r="D1813" s="23" t="s">
        <v>2090</v>
      </c>
      <c r="E1813" s="23">
        <v>489</v>
      </c>
      <c r="F1813" s="23">
        <v>4</v>
      </c>
      <c r="G1813" s="23">
        <v>4</v>
      </c>
      <c r="H1813" s="23">
        <v>0</v>
      </c>
      <c r="I1813" s="23" t="s">
        <v>5</v>
      </c>
      <c r="J1813" s="23" t="s">
        <v>327</v>
      </c>
    </row>
    <row r="1814" spans="1:10" s="20" customFormat="1" ht="12" x14ac:dyDescent="0.25">
      <c r="A1814" s="22">
        <v>1000020080</v>
      </c>
      <c r="B1814" s="23" t="s">
        <v>340</v>
      </c>
      <c r="C1814" s="24" t="s">
        <v>4</v>
      </c>
      <c r="D1814" s="23" t="s">
        <v>2090</v>
      </c>
      <c r="E1814" s="23">
        <v>488.72</v>
      </c>
      <c r="F1814" s="23">
        <v>4</v>
      </c>
      <c r="G1814" s="23">
        <v>4</v>
      </c>
      <c r="H1814" s="23">
        <v>0</v>
      </c>
      <c r="I1814" s="23" t="s">
        <v>5</v>
      </c>
      <c r="J1814" s="23" t="s">
        <v>327</v>
      </c>
    </row>
    <row r="1815" spans="1:10" s="20" customFormat="1" ht="12" x14ac:dyDescent="0.25">
      <c r="A1815" s="22">
        <v>1000020549</v>
      </c>
      <c r="B1815" s="23" t="s">
        <v>767</v>
      </c>
      <c r="C1815" s="24" t="s">
        <v>4</v>
      </c>
      <c r="D1815" s="23" t="s">
        <v>2090</v>
      </c>
      <c r="E1815" s="23">
        <v>488.5</v>
      </c>
      <c r="F1815" s="23">
        <v>25</v>
      </c>
      <c r="G1815" s="23">
        <v>25</v>
      </c>
      <c r="H1815" s="23">
        <v>0</v>
      </c>
      <c r="I1815" s="23" t="s">
        <v>5</v>
      </c>
      <c r="J1815" s="23" t="s">
        <v>327</v>
      </c>
    </row>
    <row r="1816" spans="1:10" s="20" customFormat="1" ht="12" x14ac:dyDescent="0.25">
      <c r="A1816" s="22">
        <v>1000098693</v>
      </c>
      <c r="B1816" s="23" t="s">
        <v>1645</v>
      </c>
      <c r="C1816" s="24" t="s">
        <v>4</v>
      </c>
      <c r="D1816" s="23" t="s">
        <v>2090</v>
      </c>
      <c r="E1816" s="23">
        <v>485.02</v>
      </c>
      <c r="F1816" s="23">
        <v>2</v>
      </c>
      <c r="G1816" s="23">
        <v>2</v>
      </c>
      <c r="H1816" s="23">
        <v>0</v>
      </c>
      <c r="I1816" s="23" t="s">
        <v>5</v>
      </c>
      <c r="J1816" s="23" t="s">
        <v>327</v>
      </c>
    </row>
    <row r="1817" spans="1:10" s="20" customFormat="1" ht="12" x14ac:dyDescent="0.25">
      <c r="A1817" s="22">
        <v>1000100421</v>
      </c>
      <c r="B1817" s="23" t="s">
        <v>1733</v>
      </c>
      <c r="C1817" s="24" t="s">
        <v>4</v>
      </c>
      <c r="D1817" s="23" t="s">
        <v>2090</v>
      </c>
      <c r="E1817" s="23">
        <v>484.54</v>
      </c>
      <c r="F1817" s="23">
        <v>1</v>
      </c>
      <c r="G1817" s="23">
        <v>1</v>
      </c>
      <c r="H1817" s="23">
        <v>0</v>
      </c>
      <c r="I1817" s="23" t="s">
        <v>5</v>
      </c>
      <c r="J1817" s="23" t="s">
        <v>327</v>
      </c>
    </row>
    <row r="1818" spans="1:10" s="20" customFormat="1" ht="12" x14ac:dyDescent="0.25">
      <c r="A1818" s="22">
        <v>1000102436</v>
      </c>
      <c r="B1818" s="23" t="s">
        <v>3852</v>
      </c>
      <c r="C1818" s="24" t="s">
        <v>4</v>
      </c>
      <c r="D1818" s="23" t="s">
        <v>2090</v>
      </c>
      <c r="E1818" s="23">
        <v>484.24363636363603</v>
      </c>
      <c r="F1818" s="23">
        <v>12</v>
      </c>
      <c r="G1818" s="23">
        <v>12</v>
      </c>
      <c r="H1818" s="23">
        <v>0</v>
      </c>
      <c r="I1818" s="23" t="s">
        <v>5</v>
      </c>
      <c r="J1818" s="23" t="s">
        <v>327</v>
      </c>
    </row>
    <row r="1819" spans="1:10" s="20" customFormat="1" ht="12" x14ac:dyDescent="0.25">
      <c r="A1819" s="22">
        <v>1000021035</v>
      </c>
      <c r="B1819" s="23" t="s">
        <v>1206</v>
      </c>
      <c r="C1819" s="24" t="s">
        <v>4</v>
      </c>
      <c r="D1819" s="23" t="s">
        <v>2090</v>
      </c>
      <c r="E1819" s="23">
        <v>483.96</v>
      </c>
      <c r="F1819" s="23">
        <v>3</v>
      </c>
      <c r="G1819" s="23">
        <v>3</v>
      </c>
      <c r="H1819" s="23">
        <v>0</v>
      </c>
      <c r="I1819" s="23" t="s">
        <v>5</v>
      </c>
      <c r="J1819" s="23" t="s">
        <v>327</v>
      </c>
    </row>
    <row r="1820" spans="1:10" s="20" customFormat="1" ht="12" x14ac:dyDescent="0.25">
      <c r="A1820" s="22">
        <v>1000021211</v>
      </c>
      <c r="B1820" s="23" t="s">
        <v>1357</v>
      </c>
      <c r="C1820" s="24" t="s">
        <v>4</v>
      </c>
      <c r="D1820" s="23" t="s">
        <v>2090</v>
      </c>
      <c r="E1820" s="23">
        <v>482.90138237389499</v>
      </c>
      <c r="F1820" s="23">
        <v>3</v>
      </c>
      <c r="G1820" s="23">
        <v>3</v>
      </c>
      <c r="H1820" s="23">
        <v>0</v>
      </c>
      <c r="I1820" s="23" t="s">
        <v>5</v>
      </c>
      <c r="J1820" s="23" t="s">
        <v>327</v>
      </c>
    </row>
    <row r="1821" spans="1:10" s="20" customFormat="1" ht="12" x14ac:dyDescent="0.25">
      <c r="A1821" s="22">
        <v>1000021159</v>
      </c>
      <c r="B1821" s="23" t="s">
        <v>1308</v>
      </c>
      <c r="C1821" s="24" t="s">
        <v>4</v>
      </c>
      <c r="D1821" s="23" t="s">
        <v>2090</v>
      </c>
      <c r="E1821" s="23">
        <v>482.49</v>
      </c>
      <c r="F1821" s="23">
        <v>1</v>
      </c>
      <c r="G1821" s="23">
        <v>1</v>
      </c>
      <c r="H1821" s="23">
        <v>0</v>
      </c>
      <c r="I1821" s="23" t="s">
        <v>5</v>
      </c>
      <c r="J1821" s="23" t="s">
        <v>327</v>
      </c>
    </row>
    <row r="1822" spans="1:10" s="20" customFormat="1" ht="12" x14ac:dyDescent="0.25">
      <c r="A1822" s="22">
        <v>1000021097</v>
      </c>
      <c r="B1822" s="23" t="s">
        <v>1259</v>
      </c>
      <c r="C1822" s="24" t="s">
        <v>4</v>
      </c>
      <c r="D1822" s="23" t="s">
        <v>2090</v>
      </c>
      <c r="E1822" s="23">
        <v>482.28</v>
      </c>
      <c r="F1822" s="23">
        <v>3</v>
      </c>
      <c r="G1822" s="23">
        <v>3</v>
      </c>
      <c r="H1822" s="23">
        <v>0</v>
      </c>
      <c r="I1822" s="23" t="s">
        <v>5</v>
      </c>
      <c r="J1822" s="23" t="s">
        <v>327</v>
      </c>
    </row>
    <row r="1823" spans="1:10" s="20" customFormat="1" ht="12" x14ac:dyDescent="0.25">
      <c r="A1823" s="22">
        <v>1000021196</v>
      </c>
      <c r="B1823" s="23" t="s">
        <v>1343</v>
      </c>
      <c r="C1823" s="24" t="s">
        <v>4</v>
      </c>
      <c r="D1823" s="23" t="s">
        <v>2090</v>
      </c>
      <c r="E1823" s="23">
        <v>479.14</v>
      </c>
      <c r="F1823" s="23">
        <v>5</v>
      </c>
      <c r="G1823" s="23">
        <v>5</v>
      </c>
      <c r="H1823" s="23">
        <v>0</v>
      </c>
      <c r="I1823" s="23" t="s">
        <v>5</v>
      </c>
      <c r="J1823" s="23" t="s">
        <v>327</v>
      </c>
    </row>
    <row r="1824" spans="1:10" s="20" customFormat="1" ht="12" x14ac:dyDescent="0.25">
      <c r="A1824" s="22">
        <v>1000020677</v>
      </c>
      <c r="B1824" s="23" t="s">
        <v>890</v>
      </c>
      <c r="C1824" s="24" t="s">
        <v>4</v>
      </c>
      <c r="D1824" s="23" t="s">
        <v>2090</v>
      </c>
      <c r="E1824" s="23">
        <v>479.07279999999997</v>
      </c>
      <c r="F1824" s="23">
        <v>8</v>
      </c>
      <c r="G1824" s="23">
        <v>8</v>
      </c>
      <c r="H1824" s="23">
        <v>0</v>
      </c>
      <c r="I1824" s="23" t="s">
        <v>5</v>
      </c>
      <c r="J1824" s="23" t="s">
        <v>327</v>
      </c>
    </row>
    <row r="1825" spans="1:10" s="20" customFormat="1" ht="12" x14ac:dyDescent="0.25">
      <c r="A1825" s="22">
        <v>1000020253</v>
      </c>
      <c r="B1825" s="23" t="s">
        <v>492</v>
      </c>
      <c r="C1825" s="24" t="s">
        <v>4</v>
      </c>
      <c r="D1825" s="23" t="s">
        <v>2090</v>
      </c>
      <c r="E1825" s="23">
        <v>478.61439999999999</v>
      </c>
      <c r="F1825" s="23">
        <v>44</v>
      </c>
      <c r="G1825" s="23">
        <v>44</v>
      </c>
      <c r="H1825" s="23">
        <v>0</v>
      </c>
      <c r="I1825" s="23" t="s">
        <v>5</v>
      </c>
      <c r="J1825" s="23" t="s">
        <v>327</v>
      </c>
    </row>
    <row r="1826" spans="1:10" s="20" customFormat="1" ht="12" x14ac:dyDescent="0.25">
      <c r="A1826" s="22">
        <v>1000020232</v>
      </c>
      <c r="B1826" s="23" t="s">
        <v>472</v>
      </c>
      <c r="C1826" s="24" t="s">
        <v>4</v>
      </c>
      <c r="D1826" s="23" t="s">
        <v>2090</v>
      </c>
      <c r="E1826" s="23">
        <v>478.4</v>
      </c>
      <c r="F1826" s="23">
        <v>80</v>
      </c>
      <c r="G1826" s="23">
        <v>80</v>
      </c>
      <c r="H1826" s="23">
        <v>0</v>
      </c>
      <c r="I1826" s="23" t="s">
        <v>5</v>
      </c>
      <c r="J1826" s="23" t="s">
        <v>327</v>
      </c>
    </row>
    <row r="1827" spans="1:10" s="20" customFormat="1" ht="12" x14ac:dyDescent="0.25">
      <c r="A1827" s="22">
        <v>1000020724</v>
      </c>
      <c r="B1827" s="23" t="s">
        <v>932</v>
      </c>
      <c r="C1827" s="24" t="s">
        <v>4</v>
      </c>
      <c r="D1827" s="23" t="s">
        <v>2090</v>
      </c>
      <c r="E1827" s="23">
        <v>477.6</v>
      </c>
      <c r="F1827" s="23">
        <v>2</v>
      </c>
      <c r="G1827" s="23">
        <v>2</v>
      </c>
      <c r="H1827" s="23">
        <v>0</v>
      </c>
      <c r="I1827" s="23" t="s">
        <v>5</v>
      </c>
      <c r="J1827" s="23" t="s">
        <v>327</v>
      </c>
    </row>
    <row r="1828" spans="1:10" s="20" customFormat="1" ht="12" x14ac:dyDescent="0.25">
      <c r="A1828" s="22">
        <v>1000021140</v>
      </c>
      <c r="B1828" s="23" t="s">
        <v>1291</v>
      </c>
      <c r="C1828" s="24" t="s">
        <v>4</v>
      </c>
      <c r="D1828" s="23" t="s">
        <v>2090</v>
      </c>
      <c r="E1828" s="23">
        <v>477.17</v>
      </c>
      <c r="F1828" s="23">
        <v>1</v>
      </c>
      <c r="G1828" s="23">
        <v>1</v>
      </c>
      <c r="H1828" s="23">
        <v>0</v>
      </c>
      <c r="I1828" s="23" t="s">
        <v>5</v>
      </c>
      <c r="J1828" s="23" t="s">
        <v>327</v>
      </c>
    </row>
    <row r="1829" spans="1:10" s="20" customFormat="1" ht="12" x14ac:dyDescent="0.25">
      <c r="A1829" s="22">
        <v>1000020422</v>
      </c>
      <c r="B1829" s="23" t="s">
        <v>650</v>
      </c>
      <c r="C1829" s="24" t="s">
        <v>4</v>
      </c>
      <c r="D1829" s="23" t="s">
        <v>2090</v>
      </c>
      <c r="E1829" s="23">
        <v>477.12</v>
      </c>
      <c r="F1829" s="23">
        <v>56</v>
      </c>
      <c r="G1829" s="23">
        <v>56</v>
      </c>
      <c r="H1829" s="23">
        <v>0</v>
      </c>
      <c r="I1829" s="23" t="s">
        <v>5</v>
      </c>
      <c r="J1829" s="23" t="s">
        <v>327</v>
      </c>
    </row>
    <row r="1830" spans="1:10" s="20" customFormat="1" ht="12" x14ac:dyDescent="0.25">
      <c r="A1830" s="22">
        <v>1000021105</v>
      </c>
      <c r="B1830" s="23" t="s">
        <v>1266</v>
      </c>
      <c r="C1830" s="24" t="s">
        <v>4</v>
      </c>
      <c r="D1830" s="23" t="s">
        <v>2090</v>
      </c>
      <c r="E1830" s="23">
        <v>476.16</v>
      </c>
      <c r="F1830" s="23">
        <v>3</v>
      </c>
      <c r="G1830" s="23">
        <v>3</v>
      </c>
      <c r="H1830" s="23">
        <v>0</v>
      </c>
      <c r="I1830" s="23" t="s">
        <v>5</v>
      </c>
      <c r="J1830" s="23" t="s">
        <v>327</v>
      </c>
    </row>
    <row r="1831" spans="1:10" s="20" customFormat="1" ht="12" x14ac:dyDescent="0.25">
      <c r="A1831" s="22">
        <v>2500009355</v>
      </c>
      <c r="B1831" s="23" t="s">
        <v>3856</v>
      </c>
      <c r="C1831" s="24" t="s">
        <v>1996</v>
      </c>
      <c r="D1831" s="23" t="s">
        <v>2025</v>
      </c>
      <c r="E1831" s="23">
        <v>475.88</v>
      </c>
      <c r="F1831" s="23">
        <v>3</v>
      </c>
      <c r="G1831" s="23">
        <v>3</v>
      </c>
      <c r="H1831" s="23">
        <v>0</v>
      </c>
      <c r="I1831" s="23" t="s">
        <v>5</v>
      </c>
      <c r="J1831" s="23" t="s">
        <v>1993</v>
      </c>
    </row>
    <row r="1832" spans="1:10" s="20" customFormat="1" ht="12" x14ac:dyDescent="0.25">
      <c r="A1832" s="22">
        <v>1000096051</v>
      </c>
      <c r="B1832" s="23" t="s">
        <v>3857</v>
      </c>
      <c r="C1832" s="24" t="s">
        <v>4</v>
      </c>
      <c r="D1832" s="23" t="s">
        <v>2056</v>
      </c>
      <c r="E1832" s="23">
        <v>475.15</v>
      </c>
      <c r="F1832" s="23">
        <v>500</v>
      </c>
      <c r="G1832" s="23">
        <v>500</v>
      </c>
      <c r="H1832" s="23">
        <v>0</v>
      </c>
      <c r="I1832" s="23" t="s">
        <v>5</v>
      </c>
      <c r="J1832" s="23" t="s">
        <v>1844</v>
      </c>
    </row>
    <row r="1833" spans="1:10" s="20" customFormat="1" ht="12" x14ac:dyDescent="0.25">
      <c r="A1833" s="22">
        <v>1000103748</v>
      </c>
      <c r="B1833" s="23" t="s">
        <v>1886</v>
      </c>
      <c r="C1833" s="24" t="s">
        <v>4</v>
      </c>
      <c r="D1833" s="23" t="s">
        <v>2056</v>
      </c>
      <c r="E1833" s="23">
        <v>474.37619999999998</v>
      </c>
      <c r="F1833" s="23">
        <v>58</v>
      </c>
      <c r="G1833" s="23">
        <v>58</v>
      </c>
      <c r="H1833" s="23">
        <v>0</v>
      </c>
      <c r="I1833" s="23" t="s">
        <v>5</v>
      </c>
      <c r="J1833" s="23" t="s">
        <v>1844</v>
      </c>
    </row>
    <row r="1834" spans="1:10" s="20" customFormat="1" ht="12" x14ac:dyDescent="0.25">
      <c r="A1834" s="22">
        <v>1000098525</v>
      </c>
      <c r="B1834" s="23" t="s">
        <v>1559</v>
      </c>
      <c r="C1834" s="24" t="s">
        <v>4</v>
      </c>
      <c r="D1834" s="23" t="s">
        <v>2090</v>
      </c>
      <c r="E1834" s="23">
        <v>474.07499999999999</v>
      </c>
      <c r="F1834" s="23">
        <v>3</v>
      </c>
      <c r="G1834" s="23">
        <v>3</v>
      </c>
      <c r="H1834" s="23">
        <v>0</v>
      </c>
      <c r="I1834" s="23" t="s">
        <v>5</v>
      </c>
      <c r="J1834" s="23" t="s">
        <v>327</v>
      </c>
    </row>
    <row r="1835" spans="1:10" s="20" customFormat="1" ht="12" x14ac:dyDescent="0.25">
      <c r="A1835" s="22">
        <v>1000093982</v>
      </c>
      <c r="B1835" s="23" t="s">
        <v>3858</v>
      </c>
      <c r="C1835" s="24" t="s">
        <v>4</v>
      </c>
      <c r="D1835" s="23" t="s">
        <v>2090</v>
      </c>
      <c r="E1835" s="23">
        <v>472.96</v>
      </c>
      <c r="F1835" s="23">
        <v>2</v>
      </c>
      <c r="G1835" s="23">
        <v>2</v>
      </c>
      <c r="H1835" s="23">
        <v>0</v>
      </c>
      <c r="I1835" s="23" t="s">
        <v>5</v>
      </c>
      <c r="J1835" s="23" t="s">
        <v>327</v>
      </c>
    </row>
    <row r="1836" spans="1:10" s="20" customFormat="1" ht="12" x14ac:dyDescent="0.25">
      <c r="A1836" s="22">
        <v>1000020954</v>
      </c>
      <c r="B1836" s="23" t="s">
        <v>1132</v>
      </c>
      <c r="C1836" s="24" t="s">
        <v>4</v>
      </c>
      <c r="D1836" s="23" t="s">
        <v>2090</v>
      </c>
      <c r="E1836" s="23">
        <v>472.12</v>
      </c>
      <c r="F1836" s="23">
        <v>4</v>
      </c>
      <c r="G1836" s="23">
        <v>4</v>
      </c>
      <c r="H1836" s="23">
        <v>0</v>
      </c>
      <c r="I1836" s="23" t="s">
        <v>5</v>
      </c>
      <c r="J1836" s="23" t="s">
        <v>327</v>
      </c>
    </row>
    <row r="1837" spans="1:10" s="20" customFormat="1" ht="12" x14ac:dyDescent="0.25">
      <c r="A1837" s="22">
        <v>1000020590</v>
      </c>
      <c r="B1837" s="23" t="s">
        <v>806</v>
      </c>
      <c r="C1837" s="24" t="s">
        <v>4</v>
      </c>
      <c r="D1837" s="23" t="s">
        <v>2090</v>
      </c>
      <c r="E1837" s="23">
        <v>472</v>
      </c>
      <c r="F1837" s="23">
        <v>100</v>
      </c>
      <c r="G1837" s="23">
        <v>100</v>
      </c>
      <c r="H1837" s="23">
        <v>0</v>
      </c>
      <c r="I1837" s="23" t="s">
        <v>5</v>
      </c>
      <c r="J1837" s="23" t="s">
        <v>327</v>
      </c>
    </row>
    <row r="1838" spans="1:10" s="20" customFormat="1" ht="12" x14ac:dyDescent="0.25">
      <c r="A1838" s="22">
        <v>1000098528</v>
      </c>
      <c r="B1838" s="23" t="s">
        <v>1562</v>
      </c>
      <c r="C1838" s="24" t="s">
        <v>4</v>
      </c>
      <c r="D1838" s="23" t="s">
        <v>2090</v>
      </c>
      <c r="E1838" s="23">
        <v>471.61</v>
      </c>
      <c r="F1838" s="23">
        <v>2</v>
      </c>
      <c r="G1838" s="23">
        <v>2</v>
      </c>
      <c r="H1838" s="23">
        <v>0</v>
      </c>
      <c r="I1838" s="23" t="s">
        <v>5</v>
      </c>
      <c r="J1838" s="23" t="s">
        <v>327</v>
      </c>
    </row>
    <row r="1839" spans="1:10" s="20" customFormat="1" ht="12" x14ac:dyDescent="0.25">
      <c r="A1839" s="22">
        <v>1000021241</v>
      </c>
      <c r="B1839" s="23" t="s">
        <v>1386</v>
      </c>
      <c r="C1839" s="24" t="s">
        <v>4</v>
      </c>
      <c r="D1839" s="23" t="s">
        <v>2090</v>
      </c>
      <c r="E1839" s="23">
        <v>471.48130952380899</v>
      </c>
      <c r="F1839" s="23">
        <v>1</v>
      </c>
      <c r="G1839" s="23">
        <v>1</v>
      </c>
      <c r="H1839" s="23">
        <v>0</v>
      </c>
      <c r="I1839" s="23" t="s">
        <v>5</v>
      </c>
      <c r="J1839" s="23" t="s">
        <v>327</v>
      </c>
    </row>
    <row r="1840" spans="1:10" s="20" customFormat="1" ht="12" x14ac:dyDescent="0.25">
      <c r="A1840" s="22">
        <v>2500008218</v>
      </c>
      <c r="B1840" s="23" t="s">
        <v>3859</v>
      </c>
      <c r="C1840" s="24" t="s">
        <v>1996</v>
      </c>
      <c r="D1840" s="23" t="s">
        <v>2025</v>
      </c>
      <c r="E1840" s="23">
        <v>470.25200000000001</v>
      </c>
      <c r="F1840" s="23">
        <v>2</v>
      </c>
      <c r="G1840" s="23">
        <v>2</v>
      </c>
      <c r="H1840" s="23">
        <v>0</v>
      </c>
      <c r="I1840" s="23" t="s">
        <v>5</v>
      </c>
      <c r="J1840" s="23" t="s">
        <v>1993</v>
      </c>
    </row>
    <row r="1841" spans="1:10" s="20" customFormat="1" ht="12" x14ac:dyDescent="0.25">
      <c r="A1841" s="22">
        <v>1000100391</v>
      </c>
      <c r="B1841" s="23" t="s">
        <v>1720</v>
      </c>
      <c r="C1841" s="24" t="s">
        <v>4</v>
      </c>
      <c r="D1841" s="23" t="s">
        <v>2090</v>
      </c>
      <c r="E1841" s="23">
        <v>470.25</v>
      </c>
      <c r="F1841" s="23">
        <v>2</v>
      </c>
      <c r="G1841" s="23">
        <v>2</v>
      </c>
      <c r="H1841" s="23">
        <v>0</v>
      </c>
      <c r="I1841" s="23" t="s">
        <v>5</v>
      </c>
      <c r="J1841" s="23" t="s">
        <v>327</v>
      </c>
    </row>
    <row r="1842" spans="1:10" s="20" customFormat="1" ht="12" x14ac:dyDescent="0.25">
      <c r="A1842" s="22">
        <v>1000020770</v>
      </c>
      <c r="B1842" s="23" t="s">
        <v>974</v>
      </c>
      <c r="C1842" s="24" t="s">
        <v>4</v>
      </c>
      <c r="D1842" s="23" t="s">
        <v>2090</v>
      </c>
      <c r="E1842" s="23">
        <v>470.14</v>
      </c>
      <c r="F1842" s="23">
        <v>2</v>
      </c>
      <c r="G1842" s="23">
        <v>2</v>
      </c>
      <c r="H1842" s="23">
        <v>0</v>
      </c>
      <c r="I1842" s="23" t="s">
        <v>5</v>
      </c>
      <c r="J1842" s="23" t="s">
        <v>327</v>
      </c>
    </row>
    <row r="1843" spans="1:10" s="20" customFormat="1" ht="12" x14ac:dyDescent="0.25">
      <c r="A1843" s="22">
        <v>1000020408</v>
      </c>
      <c r="B1843" s="23" t="s">
        <v>638</v>
      </c>
      <c r="C1843" s="24" t="s">
        <v>4</v>
      </c>
      <c r="D1843" s="23" t="s">
        <v>2090</v>
      </c>
      <c r="E1843" s="23">
        <v>470.12</v>
      </c>
      <c r="F1843" s="23">
        <v>73</v>
      </c>
      <c r="G1843" s="23">
        <v>73</v>
      </c>
      <c r="H1843" s="23">
        <v>0</v>
      </c>
      <c r="I1843" s="23" t="s">
        <v>5</v>
      </c>
      <c r="J1843" s="23" t="s">
        <v>327</v>
      </c>
    </row>
    <row r="1844" spans="1:10" s="20" customFormat="1" ht="12" x14ac:dyDescent="0.25">
      <c r="A1844" s="22">
        <v>1000098699</v>
      </c>
      <c r="B1844" s="23" t="s">
        <v>1650</v>
      </c>
      <c r="C1844" s="24" t="s">
        <v>4</v>
      </c>
      <c r="D1844" s="23" t="s">
        <v>2090</v>
      </c>
      <c r="E1844" s="23">
        <v>470.11</v>
      </c>
      <c r="F1844" s="23">
        <v>3</v>
      </c>
      <c r="G1844" s="23">
        <v>3</v>
      </c>
      <c r="H1844" s="23">
        <v>0</v>
      </c>
      <c r="I1844" s="23" t="s">
        <v>5</v>
      </c>
      <c r="J1844" s="23" t="s">
        <v>327</v>
      </c>
    </row>
    <row r="1845" spans="1:10" s="20" customFormat="1" ht="12" x14ac:dyDescent="0.25">
      <c r="A1845" s="22">
        <v>1000020535</v>
      </c>
      <c r="B1845" s="23" t="s">
        <v>756</v>
      </c>
      <c r="C1845" s="24" t="s">
        <v>4</v>
      </c>
      <c r="D1845" s="23" t="s">
        <v>2090</v>
      </c>
      <c r="E1845" s="23">
        <v>469.78</v>
      </c>
      <c r="F1845" s="23">
        <v>2</v>
      </c>
      <c r="G1845" s="23">
        <v>2</v>
      </c>
      <c r="H1845" s="23">
        <v>0</v>
      </c>
      <c r="I1845" s="23" t="s">
        <v>5</v>
      </c>
      <c r="J1845" s="23" t="s">
        <v>327</v>
      </c>
    </row>
    <row r="1846" spans="1:10" s="20" customFormat="1" ht="12" x14ac:dyDescent="0.25">
      <c r="A1846" s="22">
        <v>2100004824</v>
      </c>
      <c r="B1846" s="23" t="s">
        <v>3861</v>
      </c>
      <c r="C1846" s="24" t="s">
        <v>2037</v>
      </c>
      <c r="D1846" s="23" t="s">
        <v>2031</v>
      </c>
      <c r="E1846" s="23">
        <v>466.57866666666598</v>
      </c>
      <c r="F1846" s="23">
        <v>26</v>
      </c>
      <c r="G1846" s="23">
        <v>26</v>
      </c>
      <c r="H1846" s="23">
        <v>0</v>
      </c>
      <c r="I1846" s="23" t="s">
        <v>5</v>
      </c>
      <c r="J1846" s="23" t="s">
        <v>138</v>
      </c>
    </row>
    <row r="1847" spans="1:10" s="20" customFormat="1" ht="12" x14ac:dyDescent="0.25">
      <c r="A1847" s="22">
        <v>1000020206</v>
      </c>
      <c r="B1847" s="23" t="s">
        <v>446</v>
      </c>
      <c r="C1847" s="24" t="s">
        <v>4</v>
      </c>
      <c r="D1847" s="23" t="s">
        <v>2090</v>
      </c>
      <c r="E1847" s="23">
        <v>466.56</v>
      </c>
      <c r="F1847" s="23">
        <v>6</v>
      </c>
      <c r="G1847" s="23">
        <v>6</v>
      </c>
      <c r="H1847" s="23">
        <v>0</v>
      </c>
      <c r="I1847" s="23" t="s">
        <v>5</v>
      </c>
      <c r="J1847" s="23" t="s">
        <v>327</v>
      </c>
    </row>
    <row r="1848" spans="1:10" s="20" customFormat="1" ht="12" x14ac:dyDescent="0.25">
      <c r="A1848" s="22">
        <v>1000020765</v>
      </c>
      <c r="B1848" s="23" t="s">
        <v>969</v>
      </c>
      <c r="C1848" s="24" t="s">
        <v>4</v>
      </c>
      <c r="D1848" s="23" t="s">
        <v>2090</v>
      </c>
      <c r="E1848" s="23">
        <v>465.17</v>
      </c>
      <c r="F1848" s="23">
        <v>5</v>
      </c>
      <c r="G1848" s="23">
        <v>5</v>
      </c>
      <c r="H1848" s="23">
        <v>0</v>
      </c>
      <c r="I1848" s="23" t="s">
        <v>5</v>
      </c>
      <c r="J1848" s="23" t="s">
        <v>327</v>
      </c>
    </row>
    <row r="1849" spans="1:10" s="20" customFormat="1" ht="12" x14ac:dyDescent="0.25">
      <c r="A1849" s="22">
        <v>1000021417</v>
      </c>
      <c r="B1849" s="23" t="s">
        <v>1478</v>
      </c>
      <c r="C1849" s="24" t="s">
        <v>4</v>
      </c>
      <c r="D1849" s="23" t="s">
        <v>2090</v>
      </c>
      <c r="E1849" s="23">
        <v>465.00749999999999</v>
      </c>
      <c r="F1849" s="23">
        <v>15</v>
      </c>
      <c r="G1849" s="23">
        <v>15</v>
      </c>
      <c r="H1849" s="23">
        <v>0</v>
      </c>
      <c r="I1849" s="23" t="s">
        <v>5</v>
      </c>
      <c r="J1849" s="23" t="s">
        <v>327</v>
      </c>
    </row>
    <row r="1850" spans="1:10" s="20" customFormat="1" ht="12" x14ac:dyDescent="0.25">
      <c r="A1850" s="22">
        <v>2500009326</v>
      </c>
      <c r="B1850" s="23" t="s">
        <v>3862</v>
      </c>
      <c r="C1850" s="24" t="s">
        <v>1996</v>
      </c>
      <c r="D1850" s="23" t="s">
        <v>2289</v>
      </c>
      <c r="E1850" s="23">
        <v>465</v>
      </c>
      <c r="F1850" s="23">
        <v>2</v>
      </c>
      <c r="G1850" s="23">
        <v>2</v>
      </c>
      <c r="H1850" s="23">
        <v>0</v>
      </c>
      <c r="I1850" s="23" t="s">
        <v>5</v>
      </c>
      <c r="J1850" s="23" t="s">
        <v>1993</v>
      </c>
    </row>
    <row r="1851" spans="1:10" s="20" customFormat="1" ht="12" x14ac:dyDescent="0.25">
      <c r="A1851" s="22">
        <v>1000100348</v>
      </c>
      <c r="B1851" s="23" t="s">
        <v>3864</v>
      </c>
      <c r="C1851" s="24" t="s">
        <v>4</v>
      </c>
      <c r="D1851" s="23" t="s">
        <v>2090</v>
      </c>
      <c r="E1851" s="23">
        <v>463.53555555555499</v>
      </c>
      <c r="F1851" s="23">
        <v>4</v>
      </c>
      <c r="G1851" s="23">
        <v>4</v>
      </c>
      <c r="H1851" s="23">
        <v>0</v>
      </c>
      <c r="I1851" s="23" t="s">
        <v>5</v>
      </c>
      <c r="J1851" s="23" t="s">
        <v>327</v>
      </c>
    </row>
    <row r="1852" spans="1:10" s="20" customFormat="1" ht="12" x14ac:dyDescent="0.25">
      <c r="A1852" s="22">
        <v>1000103153</v>
      </c>
      <c r="B1852" s="23" t="s">
        <v>3866</v>
      </c>
      <c r="C1852" s="24" t="s">
        <v>4</v>
      </c>
      <c r="D1852" s="23" t="s">
        <v>2090</v>
      </c>
      <c r="E1852" s="23">
        <v>461.69</v>
      </c>
      <c r="F1852" s="23">
        <v>12</v>
      </c>
      <c r="G1852" s="23">
        <v>12</v>
      </c>
      <c r="H1852" s="23">
        <v>0</v>
      </c>
      <c r="I1852" s="23" t="s">
        <v>5</v>
      </c>
      <c r="J1852" s="23" t="s">
        <v>327</v>
      </c>
    </row>
    <row r="1853" spans="1:10" s="20" customFormat="1" ht="12" x14ac:dyDescent="0.25">
      <c r="A1853" s="22">
        <v>1000020103</v>
      </c>
      <c r="B1853" s="23" t="s">
        <v>359</v>
      </c>
      <c r="C1853" s="24" t="s">
        <v>4</v>
      </c>
      <c r="D1853" s="23" t="s">
        <v>2090</v>
      </c>
      <c r="E1853" s="23">
        <v>461.12</v>
      </c>
      <c r="F1853" s="23">
        <v>2</v>
      </c>
      <c r="G1853" s="23">
        <v>2</v>
      </c>
      <c r="H1853" s="23">
        <v>0</v>
      </c>
      <c r="I1853" s="23" t="s">
        <v>5</v>
      </c>
      <c r="J1853" s="23" t="s">
        <v>327</v>
      </c>
    </row>
    <row r="1854" spans="1:10" s="20" customFormat="1" ht="12" x14ac:dyDescent="0.25">
      <c r="A1854" s="22">
        <v>1000020593</v>
      </c>
      <c r="B1854" s="23" t="s">
        <v>809</v>
      </c>
      <c r="C1854" s="24" t="s">
        <v>4</v>
      </c>
      <c r="D1854" s="23" t="s">
        <v>2090</v>
      </c>
      <c r="E1854" s="23">
        <v>461</v>
      </c>
      <c r="F1854" s="23">
        <v>100</v>
      </c>
      <c r="G1854" s="23">
        <v>100</v>
      </c>
      <c r="H1854" s="23">
        <v>0</v>
      </c>
      <c r="I1854" s="23" t="s">
        <v>5</v>
      </c>
      <c r="J1854" s="23" t="s">
        <v>327</v>
      </c>
    </row>
    <row r="1855" spans="1:10" s="20" customFormat="1" ht="12" x14ac:dyDescent="0.25">
      <c r="A1855" s="22">
        <v>1000021181</v>
      </c>
      <c r="B1855" s="23" t="s">
        <v>1328</v>
      </c>
      <c r="C1855" s="24" t="s">
        <v>4</v>
      </c>
      <c r="D1855" s="23" t="s">
        <v>2090</v>
      </c>
      <c r="E1855" s="23">
        <v>460.64</v>
      </c>
      <c r="F1855" s="23">
        <v>16</v>
      </c>
      <c r="G1855" s="23">
        <v>16</v>
      </c>
      <c r="H1855" s="23">
        <v>0</v>
      </c>
      <c r="I1855" s="23" t="s">
        <v>5</v>
      </c>
      <c r="J1855" s="23" t="s">
        <v>327</v>
      </c>
    </row>
    <row r="1856" spans="1:10" s="20" customFormat="1" ht="12" x14ac:dyDescent="0.25">
      <c r="A1856" s="22">
        <v>1000020291</v>
      </c>
      <c r="B1856" s="23" t="s">
        <v>527</v>
      </c>
      <c r="C1856" s="24" t="s">
        <v>4</v>
      </c>
      <c r="D1856" s="23" t="s">
        <v>2090</v>
      </c>
      <c r="E1856" s="23">
        <v>458</v>
      </c>
      <c r="F1856" s="23">
        <v>10</v>
      </c>
      <c r="G1856" s="23">
        <v>10</v>
      </c>
      <c r="H1856" s="23">
        <v>0</v>
      </c>
      <c r="I1856" s="23" t="s">
        <v>5</v>
      </c>
      <c r="J1856" s="23" t="s">
        <v>327</v>
      </c>
    </row>
    <row r="1857" spans="1:10" s="20" customFormat="1" ht="12" x14ac:dyDescent="0.25">
      <c r="A1857" s="22">
        <v>1000020529</v>
      </c>
      <c r="B1857" s="23" t="s">
        <v>750</v>
      </c>
      <c r="C1857" s="24" t="s">
        <v>4</v>
      </c>
      <c r="D1857" s="23" t="s">
        <v>2090</v>
      </c>
      <c r="E1857" s="23">
        <v>457.169357142857</v>
      </c>
      <c r="F1857" s="23">
        <v>3</v>
      </c>
      <c r="G1857" s="23">
        <v>3</v>
      </c>
      <c r="H1857" s="23">
        <v>0</v>
      </c>
      <c r="I1857" s="23" t="s">
        <v>5</v>
      </c>
      <c r="J1857" s="23" t="s">
        <v>327</v>
      </c>
    </row>
    <row r="1858" spans="1:10" s="20" customFormat="1" ht="12" x14ac:dyDescent="0.25">
      <c r="A1858" s="22">
        <v>1000098460</v>
      </c>
      <c r="B1858" s="23" t="s">
        <v>1535</v>
      </c>
      <c r="C1858" s="24" t="s">
        <v>4</v>
      </c>
      <c r="D1858" s="23" t="s">
        <v>2090</v>
      </c>
      <c r="E1858" s="23">
        <v>456.666</v>
      </c>
      <c r="F1858" s="23">
        <v>1</v>
      </c>
      <c r="G1858" s="23">
        <v>1</v>
      </c>
      <c r="H1858" s="23">
        <v>0</v>
      </c>
      <c r="I1858" s="23" t="s">
        <v>5</v>
      </c>
      <c r="J1858" s="23" t="s">
        <v>327</v>
      </c>
    </row>
    <row r="1859" spans="1:10" s="20" customFormat="1" ht="12" x14ac:dyDescent="0.25">
      <c r="A1859" s="22">
        <v>1000102121</v>
      </c>
      <c r="B1859" s="23" t="s">
        <v>3870</v>
      </c>
      <c r="C1859" s="24" t="s">
        <v>4</v>
      </c>
      <c r="D1859" s="23" t="s">
        <v>2056</v>
      </c>
      <c r="E1859" s="23">
        <v>455.84206710792</v>
      </c>
      <c r="F1859" s="23">
        <v>2</v>
      </c>
      <c r="G1859" s="23">
        <v>2</v>
      </c>
      <c r="H1859" s="23">
        <v>0</v>
      </c>
      <c r="I1859" s="23" t="s">
        <v>5</v>
      </c>
      <c r="J1859" s="23" t="s">
        <v>1844</v>
      </c>
    </row>
    <row r="1860" spans="1:10" s="20" customFormat="1" ht="12" x14ac:dyDescent="0.25">
      <c r="A1860" s="22">
        <v>1000093675</v>
      </c>
      <c r="B1860" s="23" t="s">
        <v>3871</v>
      </c>
      <c r="C1860" s="24" t="s">
        <v>4</v>
      </c>
      <c r="D1860" s="23" t="s">
        <v>2056</v>
      </c>
      <c r="E1860" s="23">
        <v>455.8</v>
      </c>
      <c r="F1860" s="23">
        <v>2</v>
      </c>
      <c r="G1860" s="23">
        <v>2</v>
      </c>
      <c r="H1860" s="23">
        <v>0</v>
      </c>
      <c r="I1860" s="23" t="s">
        <v>5</v>
      </c>
      <c r="J1860" s="23" t="s">
        <v>1844</v>
      </c>
    </row>
    <row r="1861" spans="1:10" s="20" customFormat="1" ht="12" x14ac:dyDescent="0.25">
      <c r="A1861" s="22">
        <v>1000105113</v>
      </c>
      <c r="B1861" s="23" t="s">
        <v>3872</v>
      </c>
      <c r="C1861" s="24" t="s">
        <v>4</v>
      </c>
      <c r="D1861" s="23" t="s">
        <v>2056</v>
      </c>
      <c r="E1861" s="23">
        <v>454.98</v>
      </c>
      <c r="F1861" s="23">
        <v>9</v>
      </c>
      <c r="G1861" s="23">
        <v>9</v>
      </c>
      <c r="H1861" s="23">
        <v>0</v>
      </c>
      <c r="I1861" s="23" t="s">
        <v>5</v>
      </c>
      <c r="J1861" s="23" t="s">
        <v>1844</v>
      </c>
    </row>
    <row r="1862" spans="1:10" s="20" customFormat="1" ht="12" x14ac:dyDescent="0.25">
      <c r="A1862" s="22">
        <v>1000096039</v>
      </c>
      <c r="B1862" s="23" t="s">
        <v>3873</v>
      </c>
      <c r="C1862" s="24" t="s">
        <v>4</v>
      </c>
      <c r="D1862" s="23" t="s">
        <v>2056</v>
      </c>
      <c r="E1862" s="23">
        <v>454.61</v>
      </c>
      <c r="F1862" s="23">
        <v>7</v>
      </c>
      <c r="G1862" s="23">
        <v>7</v>
      </c>
      <c r="H1862" s="23">
        <v>0</v>
      </c>
      <c r="I1862" s="23" t="s">
        <v>5</v>
      </c>
      <c r="J1862" s="23" t="s">
        <v>1844</v>
      </c>
    </row>
    <row r="1863" spans="1:10" s="20" customFormat="1" ht="12" x14ac:dyDescent="0.25">
      <c r="A1863" s="22">
        <v>1000102236</v>
      </c>
      <c r="B1863" s="23" t="s">
        <v>1788</v>
      </c>
      <c r="C1863" s="24" t="s">
        <v>4</v>
      </c>
      <c r="D1863" s="23" t="s">
        <v>2090</v>
      </c>
      <c r="E1863" s="23">
        <v>452.7</v>
      </c>
      <c r="F1863" s="23">
        <v>6</v>
      </c>
      <c r="G1863" s="23">
        <v>6</v>
      </c>
      <c r="H1863" s="23">
        <v>0</v>
      </c>
      <c r="I1863" s="23" t="s">
        <v>5</v>
      </c>
      <c r="J1863" s="23" t="s">
        <v>327</v>
      </c>
    </row>
    <row r="1864" spans="1:10" s="20" customFormat="1" ht="12" x14ac:dyDescent="0.25">
      <c r="A1864" s="22">
        <v>1000020247</v>
      </c>
      <c r="B1864" s="23" t="s">
        <v>486</v>
      </c>
      <c r="C1864" s="24" t="s">
        <v>4</v>
      </c>
      <c r="D1864" s="23" t="s">
        <v>2090</v>
      </c>
      <c r="E1864" s="23">
        <v>452.5</v>
      </c>
      <c r="F1864" s="23">
        <v>50</v>
      </c>
      <c r="G1864" s="23">
        <v>50</v>
      </c>
      <c r="H1864" s="23">
        <v>0</v>
      </c>
      <c r="I1864" s="23" t="s">
        <v>5</v>
      </c>
      <c r="J1864" s="23" t="s">
        <v>327</v>
      </c>
    </row>
    <row r="1865" spans="1:10" s="20" customFormat="1" ht="12" x14ac:dyDescent="0.25">
      <c r="A1865" s="22">
        <v>1000020926</v>
      </c>
      <c r="B1865" s="23" t="s">
        <v>1106</v>
      </c>
      <c r="C1865" s="24" t="s">
        <v>4</v>
      </c>
      <c r="D1865" s="23" t="s">
        <v>2090</v>
      </c>
      <c r="E1865" s="23">
        <v>452.4</v>
      </c>
      <c r="F1865" s="23">
        <v>4</v>
      </c>
      <c r="G1865" s="23">
        <v>4</v>
      </c>
      <c r="H1865" s="23">
        <v>0</v>
      </c>
      <c r="I1865" s="23" t="s">
        <v>5</v>
      </c>
      <c r="J1865" s="23" t="s">
        <v>327</v>
      </c>
    </row>
    <row r="1866" spans="1:10" s="20" customFormat="1" ht="12" x14ac:dyDescent="0.25">
      <c r="A1866" s="22">
        <v>1000098543</v>
      </c>
      <c r="B1866" s="23" t="s">
        <v>1574</v>
      </c>
      <c r="C1866" s="24" t="s">
        <v>4</v>
      </c>
      <c r="D1866" s="23" t="s">
        <v>2090</v>
      </c>
      <c r="E1866" s="23">
        <v>451.31</v>
      </c>
      <c r="F1866" s="23">
        <v>3</v>
      </c>
      <c r="G1866" s="23">
        <v>3</v>
      </c>
      <c r="H1866" s="23">
        <v>0</v>
      </c>
      <c r="I1866" s="23" t="s">
        <v>5</v>
      </c>
      <c r="J1866" s="23" t="s">
        <v>327</v>
      </c>
    </row>
    <row r="1867" spans="1:10" s="20" customFormat="1" ht="12" x14ac:dyDescent="0.25">
      <c r="A1867" s="22">
        <v>1000020002</v>
      </c>
      <c r="B1867" s="23" t="s">
        <v>3874</v>
      </c>
      <c r="C1867" s="24" t="s">
        <v>4</v>
      </c>
      <c r="D1867" s="23" t="s">
        <v>2090</v>
      </c>
      <c r="E1867" s="23">
        <v>451.09050000000002</v>
      </c>
      <c r="F1867" s="23">
        <v>28</v>
      </c>
      <c r="G1867" s="23">
        <v>28</v>
      </c>
      <c r="H1867" s="23">
        <v>0</v>
      </c>
      <c r="I1867" s="23" t="s">
        <v>5</v>
      </c>
      <c r="J1867" s="23" t="s">
        <v>327</v>
      </c>
    </row>
    <row r="1868" spans="1:10" s="20" customFormat="1" ht="12" x14ac:dyDescent="0.25">
      <c r="A1868" s="22">
        <v>1000095398</v>
      </c>
      <c r="B1868" s="23" t="s">
        <v>3876</v>
      </c>
      <c r="C1868" s="24" t="s">
        <v>4</v>
      </c>
      <c r="D1868" s="23" t="s">
        <v>2090</v>
      </c>
      <c r="E1868" s="23">
        <v>447.57</v>
      </c>
      <c r="F1868" s="23">
        <v>5</v>
      </c>
      <c r="G1868" s="23">
        <v>5</v>
      </c>
      <c r="H1868" s="23">
        <v>0</v>
      </c>
      <c r="I1868" s="23" t="s">
        <v>5</v>
      </c>
      <c r="J1868" s="23" t="s">
        <v>327</v>
      </c>
    </row>
    <row r="1869" spans="1:10" s="20" customFormat="1" ht="12" x14ac:dyDescent="0.25">
      <c r="A1869" s="22">
        <v>1000098647</v>
      </c>
      <c r="B1869" s="23" t="s">
        <v>1624</v>
      </c>
      <c r="C1869" s="24" t="s">
        <v>4</v>
      </c>
      <c r="D1869" s="23" t="s">
        <v>2090</v>
      </c>
      <c r="E1869" s="23">
        <v>446.97</v>
      </c>
      <c r="F1869" s="23">
        <v>2</v>
      </c>
      <c r="G1869" s="23">
        <v>2</v>
      </c>
      <c r="H1869" s="23">
        <v>0</v>
      </c>
      <c r="I1869" s="23" t="s">
        <v>5</v>
      </c>
      <c r="J1869" s="23" t="s">
        <v>327</v>
      </c>
    </row>
    <row r="1870" spans="1:10" s="20" customFormat="1" ht="12" x14ac:dyDescent="0.25">
      <c r="A1870" s="22">
        <v>1000010242</v>
      </c>
      <c r="B1870" s="23" t="s">
        <v>3877</v>
      </c>
      <c r="C1870" s="24" t="s">
        <v>4</v>
      </c>
      <c r="D1870" s="23" t="s">
        <v>2161</v>
      </c>
      <c r="E1870" s="23">
        <v>445.60124999999999</v>
      </c>
      <c r="F1870" s="23">
        <v>3</v>
      </c>
      <c r="G1870" s="23">
        <v>3</v>
      </c>
      <c r="H1870" s="23">
        <v>0</v>
      </c>
      <c r="I1870" s="23" t="s">
        <v>5</v>
      </c>
      <c r="J1870" s="23" t="s">
        <v>111</v>
      </c>
    </row>
    <row r="1871" spans="1:10" s="20" customFormat="1" ht="12" x14ac:dyDescent="0.25">
      <c r="A1871" s="22">
        <v>2500008148</v>
      </c>
      <c r="B1871" s="23" t="s">
        <v>3878</v>
      </c>
      <c r="C1871" s="24" t="s">
        <v>1996</v>
      </c>
      <c r="D1871" s="23" t="s">
        <v>2811</v>
      </c>
      <c r="E1871" s="23">
        <v>445.15</v>
      </c>
      <c r="F1871" s="23">
        <v>3</v>
      </c>
      <c r="G1871" s="23">
        <v>3</v>
      </c>
      <c r="H1871" s="23">
        <v>0</v>
      </c>
      <c r="I1871" s="23" t="s">
        <v>5</v>
      </c>
      <c r="J1871" s="23" t="s">
        <v>1993</v>
      </c>
    </row>
    <row r="1872" spans="1:10" s="20" customFormat="1" ht="12" x14ac:dyDescent="0.25">
      <c r="A1872" s="22">
        <v>1000098468</v>
      </c>
      <c r="B1872" s="23" t="s">
        <v>1543</v>
      </c>
      <c r="C1872" s="24" t="s">
        <v>4</v>
      </c>
      <c r="D1872" s="23" t="s">
        <v>2090</v>
      </c>
      <c r="E1872" s="23">
        <v>444.00700000000001</v>
      </c>
      <c r="F1872" s="23">
        <v>1</v>
      </c>
      <c r="G1872" s="23">
        <v>1</v>
      </c>
      <c r="H1872" s="23">
        <v>0</v>
      </c>
      <c r="I1872" s="23" t="s">
        <v>5</v>
      </c>
      <c r="J1872" s="23" t="s">
        <v>327</v>
      </c>
    </row>
    <row r="1873" spans="1:10" s="20" customFormat="1" ht="12" x14ac:dyDescent="0.25">
      <c r="A1873" s="22">
        <v>1000092377</v>
      </c>
      <c r="B1873" s="23" t="s">
        <v>3880</v>
      </c>
      <c r="C1873" s="24" t="s">
        <v>4</v>
      </c>
      <c r="D1873" s="23" t="s">
        <v>2090</v>
      </c>
      <c r="E1873" s="23">
        <v>443.93</v>
      </c>
      <c r="F1873" s="23">
        <v>2</v>
      </c>
      <c r="G1873" s="23">
        <v>2</v>
      </c>
      <c r="H1873" s="23">
        <v>0</v>
      </c>
      <c r="I1873" s="23" t="s">
        <v>5</v>
      </c>
      <c r="J1873" s="23" t="s">
        <v>327</v>
      </c>
    </row>
    <row r="1874" spans="1:10" s="20" customFormat="1" ht="12" x14ac:dyDescent="0.25">
      <c r="A1874" s="22">
        <v>1000107067</v>
      </c>
      <c r="B1874" s="23" t="s">
        <v>1891</v>
      </c>
      <c r="C1874" s="24" t="s">
        <v>4</v>
      </c>
      <c r="D1874" s="23" t="s">
        <v>2056</v>
      </c>
      <c r="E1874" s="23">
        <v>442.39</v>
      </c>
      <c r="F1874" s="23">
        <v>23</v>
      </c>
      <c r="G1874" s="23">
        <v>23</v>
      </c>
      <c r="H1874" s="23">
        <v>0</v>
      </c>
      <c r="I1874" s="23" t="s">
        <v>5</v>
      </c>
      <c r="J1874" s="23" t="s">
        <v>1844</v>
      </c>
    </row>
    <row r="1875" spans="1:10" s="20" customFormat="1" ht="12" x14ac:dyDescent="0.25">
      <c r="A1875" s="22">
        <v>1000102337</v>
      </c>
      <c r="B1875" s="23" t="s">
        <v>1793</v>
      </c>
      <c r="C1875" s="24" t="s">
        <v>4</v>
      </c>
      <c r="D1875" s="23" t="s">
        <v>2090</v>
      </c>
      <c r="E1875" s="23">
        <v>441.70400000000001</v>
      </c>
      <c r="F1875" s="23">
        <v>2</v>
      </c>
      <c r="G1875" s="23">
        <v>2</v>
      </c>
      <c r="H1875" s="23">
        <v>0</v>
      </c>
      <c r="I1875" s="23" t="s">
        <v>5</v>
      </c>
      <c r="J1875" s="23" t="s">
        <v>327</v>
      </c>
    </row>
    <row r="1876" spans="1:10" s="20" customFormat="1" ht="12" x14ac:dyDescent="0.25">
      <c r="A1876" s="22">
        <v>1000097856</v>
      </c>
      <c r="B1876" s="23" t="s">
        <v>3881</v>
      </c>
      <c r="C1876" s="24" t="s">
        <v>4</v>
      </c>
      <c r="D1876" s="23" t="s">
        <v>2090</v>
      </c>
      <c r="E1876" s="23">
        <v>440.11200000000002</v>
      </c>
      <c r="F1876" s="23">
        <v>3</v>
      </c>
      <c r="G1876" s="23">
        <v>3</v>
      </c>
      <c r="H1876" s="23">
        <v>0</v>
      </c>
      <c r="I1876" s="23" t="s">
        <v>5</v>
      </c>
      <c r="J1876" s="23" t="s">
        <v>327</v>
      </c>
    </row>
    <row r="1877" spans="1:10" s="20" customFormat="1" ht="12" x14ac:dyDescent="0.25">
      <c r="A1877" s="22">
        <v>1000101490</v>
      </c>
      <c r="B1877" s="23" t="s">
        <v>1855</v>
      </c>
      <c r="C1877" s="24" t="s">
        <v>4</v>
      </c>
      <c r="D1877" s="23" t="s">
        <v>2056</v>
      </c>
      <c r="E1877" s="23">
        <v>440</v>
      </c>
      <c r="F1877" s="23">
        <v>100</v>
      </c>
      <c r="G1877" s="23">
        <v>100</v>
      </c>
      <c r="H1877" s="23">
        <v>0</v>
      </c>
      <c r="I1877" s="23" t="s">
        <v>5</v>
      </c>
      <c r="J1877" s="23" t="s">
        <v>1844</v>
      </c>
    </row>
    <row r="1878" spans="1:10" s="20" customFormat="1" ht="12" x14ac:dyDescent="0.25">
      <c r="A1878" s="22">
        <v>1000020519</v>
      </c>
      <c r="B1878" s="23" t="s">
        <v>741</v>
      </c>
      <c r="C1878" s="24" t="s">
        <v>4</v>
      </c>
      <c r="D1878" s="23" t="s">
        <v>2090</v>
      </c>
      <c r="E1878" s="23">
        <v>438.70173868312702</v>
      </c>
      <c r="F1878" s="23">
        <v>4</v>
      </c>
      <c r="G1878" s="23">
        <v>4</v>
      </c>
      <c r="H1878" s="23">
        <v>0</v>
      </c>
      <c r="I1878" s="23" t="s">
        <v>5</v>
      </c>
      <c r="J1878" s="23" t="s">
        <v>327</v>
      </c>
    </row>
    <row r="1879" spans="1:10" s="20" customFormat="1" ht="12" x14ac:dyDescent="0.25">
      <c r="A1879" s="22">
        <v>1000098592</v>
      </c>
      <c r="B1879" s="23" t="s">
        <v>1598</v>
      </c>
      <c r="C1879" s="24" t="s">
        <v>4</v>
      </c>
      <c r="D1879" s="23" t="s">
        <v>2090</v>
      </c>
      <c r="E1879" s="23">
        <v>438.58</v>
      </c>
      <c r="F1879" s="23">
        <v>2</v>
      </c>
      <c r="G1879" s="23">
        <v>2</v>
      </c>
      <c r="H1879" s="23">
        <v>0</v>
      </c>
      <c r="I1879" s="23" t="s">
        <v>5</v>
      </c>
      <c r="J1879" s="23" t="s">
        <v>327</v>
      </c>
    </row>
    <row r="1880" spans="1:10" s="20" customFormat="1" ht="12" x14ac:dyDescent="0.25">
      <c r="A1880" s="22">
        <v>1000020537</v>
      </c>
      <c r="B1880" s="23" t="s">
        <v>758</v>
      </c>
      <c r="C1880" s="24" t="s">
        <v>4</v>
      </c>
      <c r="D1880" s="23" t="s">
        <v>2090</v>
      </c>
      <c r="E1880" s="23">
        <v>437.68</v>
      </c>
      <c r="F1880" s="23">
        <v>2</v>
      </c>
      <c r="G1880" s="23">
        <v>2</v>
      </c>
      <c r="H1880" s="23">
        <v>0</v>
      </c>
      <c r="I1880" s="23" t="s">
        <v>5</v>
      </c>
      <c r="J1880" s="23" t="s">
        <v>327</v>
      </c>
    </row>
    <row r="1881" spans="1:10" s="20" customFormat="1" ht="12" x14ac:dyDescent="0.25">
      <c r="A1881" s="22">
        <v>1000020568</v>
      </c>
      <c r="B1881" s="23" t="s">
        <v>785</v>
      </c>
      <c r="C1881" s="24" t="s">
        <v>4</v>
      </c>
      <c r="D1881" s="23" t="s">
        <v>2090</v>
      </c>
      <c r="E1881" s="23">
        <v>437.55</v>
      </c>
      <c r="F1881" s="23">
        <v>5</v>
      </c>
      <c r="G1881" s="23">
        <v>5</v>
      </c>
      <c r="H1881" s="23">
        <v>0</v>
      </c>
      <c r="I1881" s="23" t="s">
        <v>5</v>
      </c>
      <c r="J1881" s="23" t="s">
        <v>327</v>
      </c>
    </row>
    <row r="1882" spans="1:10" s="20" customFormat="1" ht="12" x14ac:dyDescent="0.25">
      <c r="A1882" s="22">
        <v>1000020175</v>
      </c>
      <c r="B1882" s="23" t="s">
        <v>419</v>
      </c>
      <c r="C1882" s="24" t="s">
        <v>4</v>
      </c>
      <c r="D1882" s="23" t="s">
        <v>2090</v>
      </c>
      <c r="E1882" s="23">
        <v>437.48</v>
      </c>
      <c r="F1882" s="23">
        <v>4</v>
      </c>
      <c r="G1882" s="23">
        <v>4</v>
      </c>
      <c r="H1882" s="23">
        <v>0</v>
      </c>
      <c r="I1882" s="23" t="s">
        <v>5</v>
      </c>
      <c r="J1882" s="23" t="s">
        <v>327</v>
      </c>
    </row>
    <row r="1883" spans="1:10" s="20" customFormat="1" ht="12" x14ac:dyDescent="0.25">
      <c r="A1883" s="22">
        <v>1000021018</v>
      </c>
      <c r="B1883" s="23" t="s">
        <v>1190</v>
      </c>
      <c r="C1883" s="24" t="s">
        <v>4</v>
      </c>
      <c r="D1883" s="23" t="s">
        <v>2090</v>
      </c>
      <c r="E1883" s="23">
        <v>437.46</v>
      </c>
      <c r="F1883" s="23">
        <v>2</v>
      </c>
      <c r="G1883" s="23">
        <v>2</v>
      </c>
      <c r="H1883" s="23">
        <v>0</v>
      </c>
      <c r="I1883" s="23" t="s">
        <v>5</v>
      </c>
      <c r="J1883" s="23" t="s">
        <v>327</v>
      </c>
    </row>
    <row r="1884" spans="1:10" s="20" customFormat="1" ht="12" x14ac:dyDescent="0.25">
      <c r="A1884" s="22">
        <v>2500008284</v>
      </c>
      <c r="B1884" s="23" t="s">
        <v>3886</v>
      </c>
      <c r="C1884" s="24" t="s">
        <v>1996</v>
      </c>
      <c r="D1884" s="23" t="s">
        <v>2025</v>
      </c>
      <c r="E1884" s="23">
        <v>437.40444444444398</v>
      </c>
      <c r="F1884" s="23">
        <v>8</v>
      </c>
      <c r="G1884" s="23">
        <v>8</v>
      </c>
      <c r="H1884" s="23">
        <v>0</v>
      </c>
      <c r="I1884" s="23" t="s">
        <v>5</v>
      </c>
      <c r="J1884" s="23" t="s">
        <v>1993</v>
      </c>
    </row>
    <row r="1885" spans="1:10" s="20" customFormat="1" ht="12" x14ac:dyDescent="0.25">
      <c r="A1885" s="22">
        <v>1000020271</v>
      </c>
      <c r="B1885" s="23" t="s">
        <v>509</v>
      </c>
      <c r="C1885" s="24" t="s">
        <v>4</v>
      </c>
      <c r="D1885" s="23" t="s">
        <v>2090</v>
      </c>
      <c r="E1885" s="23">
        <v>437.2</v>
      </c>
      <c r="F1885" s="23">
        <v>20</v>
      </c>
      <c r="G1885" s="23">
        <v>20</v>
      </c>
      <c r="H1885" s="23">
        <v>0</v>
      </c>
      <c r="I1885" s="23" t="s">
        <v>5</v>
      </c>
      <c r="J1885" s="23" t="s">
        <v>327</v>
      </c>
    </row>
    <row r="1886" spans="1:10" s="20" customFormat="1" ht="12" x14ac:dyDescent="0.25">
      <c r="A1886" s="22">
        <v>1000103204</v>
      </c>
      <c r="B1886" s="23" t="s">
        <v>1811</v>
      </c>
      <c r="C1886" s="24" t="s">
        <v>4</v>
      </c>
      <c r="D1886" s="23" t="s">
        <v>2090</v>
      </c>
      <c r="E1886" s="23">
        <v>436.78450348899599</v>
      </c>
      <c r="F1886" s="23">
        <v>19</v>
      </c>
      <c r="G1886" s="23">
        <v>19</v>
      </c>
      <c r="H1886" s="23">
        <v>0</v>
      </c>
      <c r="I1886" s="23" t="s">
        <v>5</v>
      </c>
      <c r="J1886" s="23" t="s">
        <v>327</v>
      </c>
    </row>
    <row r="1887" spans="1:10" s="20" customFormat="1" ht="12" x14ac:dyDescent="0.25">
      <c r="A1887" s="22">
        <v>1000020157</v>
      </c>
      <c r="B1887" s="23" t="s">
        <v>407</v>
      </c>
      <c r="C1887" s="24" t="s">
        <v>4</v>
      </c>
      <c r="D1887" s="23" t="s">
        <v>2090</v>
      </c>
      <c r="E1887" s="23">
        <v>436.76</v>
      </c>
      <c r="F1887" s="23">
        <v>1</v>
      </c>
      <c r="G1887" s="23">
        <v>1</v>
      </c>
      <c r="H1887" s="23">
        <v>0</v>
      </c>
      <c r="I1887" s="23" t="s">
        <v>5</v>
      </c>
      <c r="J1887" s="23" t="s">
        <v>327</v>
      </c>
    </row>
    <row r="1888" spans="1:10" s="20" customFormat="1" ht="12" x14ac:dyDescent="0.25">
      <c r="A1888" s="22">
        <v>1000103154</v>
      </c>
      <c r="B1888" s="23" t="s">
        <v>3887</v>
      </c>
      <c r="C1888" s="24" t="s">
        <v>4</v>
      </c>
      <c r="D1888" s="23" t="s">
        <v>2090</v>
      </c>
      <c r="E1888" s="23">
        <v>435.74</v>
      </c>
      <c r="F1888" s="23">
        <v>7</v>
      </c>
      <c r="G1888" s="23">
        <v>7</v>
      </c>
      <c r="H1888" s="23">
        <v>0</v>
      </c>
      <c r="I1888" s="23" t="s">
        <v>5</v>
      </c>
      <c r="J1888" s="23" t="s">
        <v>327</v>
      </c>
    </row>
    <row r="1889" spans="1:10" s="20" customFormat="1" ht="12" x14ac:dyDescent="0.25">
      <c r="A1889" s="22">
        <v>1000020936</v>
      </c>
      <c r="B1889" s="23" t="s">
        <v>1115</v>
      </c>
      <c r="C1889" s="24" t="s">
        <v>4</v>
      </c>
      <c r="D1889" s="23" t="s">
        <v>2090</v>
      </c>
      <c r="E1889" s="23">
        <v>434.94</v>
      </c>
      <c r="F1889" s="23">
        <v>2</v>
      </c>
      <c r="G1889" s="23">
        <v>2</v>
      </c>
      <c r="H1889" s="23">
        <v>0</v>
      </c>
      <c r="I1889" s="23" t="s">
        <v>5</v>
      </c>
      <c r="J1889" s="23" t="s">
        <v>327</v>
      </c>
    </row>
    <row r="1890" spans="1:10" s="20" customFormat="1" ht="12" x14ac:dyDescent="0.25">
      <c r="A1890" s="22">
        <v>1000020935</v>
      </c>
      <c r="B1890" s="23" t="s">
        <v>1114</v>
      </c>
      <c r="C1890" s="24" t="s">
        <v>4</v>
      </c>
      <c r="D1890" s="23" t="s">
        <v>2090</v>
      </c>
      <c r="E1890" s="23">
        <v>434.94</v>
      </c>
      <c r="F1890" s="23">
        <v>2</v>
      </c>
      <c r="G1890" s="23">
        <v>2</v>
      </c>
      <c r="H1890" s="23">
        <v>0</v>
      </c>
      <c r="I1890" s="23" t="s">
        <v>5</v>
      </c>
      <c r="J1890" s="23" t="s">
        <v>327</v>
      </c>
    </row>
    <row r="1891" spans="1:10" s="20" customFormat="1" ht="12" x14ac:dyDescent="0.25">
      <c r="A1891" s="22">
        <v>1000097684</v>
      </c>
      <c r="B1891" s="23" t="s">
        <v>3888</v>
      </c>
      <c r="C1891" s="24" t="s">
        <v>4</v>
      </c>
      <c r="D1891" s="23" t="s">
        <v>2056</v>
      </c>
      <c r="E1891" s="23">
        <v>434.26</v>
      </c>
      <c r="F1891" s="23">
        <v>95</v>
      </c>
      <c r="G1891" s="23">
        <v>95</v>
      </c>
      <c r="H1891" s="23">
        <v>0</v>
      </c>
      <c r="I1891" s="23" t="s">
        <v>5</v>
      </c>
      <c r="J1891" s="23" t="s">
        <v>1844</v>
      </c>
    </row>
    <row r="1892" spans="1:10" s="20" customFormat="1" ht="12" x14ac:dyDescent="0.25">
      <c r="A1892" s="22">
        <v>1000020108</v>
      </c>
      <c r="B1892" s="23" t="s">
        <v>364</v>
      </c>
      <c r="C1892" s="24" t="s">
        <v>4</v>
      </c>
      <c r="D1892" s="23" t="s">
        <v>2090</v>
      </c>
      <c r="E1892" s="23">
        <v>434.16</v>
      </c>
      <c r="F1892" s="23">
        <v>2</v>
      </c>
      <c r="G1892" s="23">
        <v>2</v>
      </c>
      <c r="H1892" s="23">
        <v>0</v>
      </c>
      <c r="I1892" s="23" t="s">
        <v>5</v>
      </c>
      <c r="J1892" s="23" t="s">
        <v>327</v>
      </c>
    </row>
    <row r="1893" spans="1:10" s="20" customFormat="1" ht="12" x14ac:dyDescent="0.25">
      <c r="A1893" s="22">
        <v>1000020109</v>
      </c>
      <c r="B1893" s="23" t="s">
        <v>365</v>
      </c>
      <c r="C1893" s="24" t="s">
        <v>4</v>
      </c>
      <c r="D1893" s="23" t="s">
        <v>2090</v>
      </c>
      <c r="E1893" s="23">
        <v>434.16</v>
      </c>
      <c r="F1893" s="23">
        <v>2</v>
      </c>
      <c r="G1893" s="23">
        <v>2</v>
      </c>
      <c r="H1893" s="23">
        <v>0</v>
      </c>
      <c r="I1893" s="23" t="s">
        <v>5</v>
      </c>
      <c r="J1893" s="23" t="s">
        <v>327</v>
      </c>
    </row>
    <row r="1894" spans="1:10" s="20" customFormat="1" ht="12" x14ac:dyDescent="0.25">
      <c r="A1894" s="22">
        <v>1000020769</v>
      </c>
      <c r="B1894" s="23" t="s">
        <v>973</v>
      </c>
      <c r="C1894" s="24" t="s">
        <v>4</v>
      </c>
      <c r="D1894" s="23" t="s">
        <v>2090</v>
      </c>
      <c r="E1894" s="23">
        <v>433.60918367346898</v>
      </c>
      <c r="F1894" s="23">
        <v>2</v>
      </c>
      <c r="G1894" s="23">
        <v>2</v>
      </c>
      <c r="H1894" s="23">
        <v>0</v>
      </c>
      <c r="I1894" s="23" t="s">
        <v>5</v>
      </c>
      <c r="J1894" s="23" t="s">
        <v>327</v>
      </c>
    </row>
    <row r="1895" spans="1:10" s="20" customFormat="1" ht="12" x14ac:dyDescent="0.25">
      <c r="A1895" s="22">
        <v>1000020955</v>
      </c>
      <c r="B1895" s="23" t="s">
        <v>1133</v>
      </c>
      <c r="C1895" s="24" t="s">
        <v>4</v>
      </c>
      <c r="D1895" s="23" t="s">
        <v>2090</v>
      </c>
      <c r="E1895" s="23">
        <v>432.22500000000002</v>
      </c>
      <c r="F1895" s="23">
        <v>3</v>
      </c>
      <c r="G1895" s="23">
        <v>3</v>
      </c>
      <c r="H1895" s="23">
        <v>0</v>
      </c>
      <c r="I1895" s="23" t="s">
        <v>5</v>
      </c>
      <c r="J1895" s="23" t="s">
        <v>327</v>
      </c>
    </row>
    <row r="1896" spans="1:10" s="20" customFormat="1" ht="12" x14ac:dyDescent="0.25">
      <c r="A1896" s="22">
        <v>1000102178</v>
      </c>
      <c r="B1896" s="23" t="s">
        <v>3890</v>
      </c>
      <c r="C1896" s="24" t="s">
        <v>4</v>
      </c>
      <c r="D1896" s="23" t="s">
        <v>2056</v>
      </c>
      <c r="E1896" s="23">
        <v>432.19274999999999</v>
      </c>
      <c r="F1896" s="23">
        <v>33</v>
      </c>
      <c r="G1896" s="23">
        <v>33</v>
      </c>
      <c r="H1896" s="23">
        <v>0</v>
      </c>
      <c r="I1896" s="23" t="s">
        <v>5</v>
      </c>
      <c r="J1896" s="23" t="s">
        <v>1844</v>
      </c>
    </row>
    <row r="1897" spans="1:10" s="20" customFormat="1" ht="12" x14ac:dyDescent="0.25">
      <c r="A1897" s="22">
        <v>1000101514</v>
      </c>
      <c r="B1897" s="23" t="s">
        <v>3892</v>
      </c>
      <c r="C1897" s="24" t="s">
        <v>4</v>
      </c>
      <c r="D1897" s="23" t="s">
        <v>2056</v>
      </c>
      <c r="E1897" s="23">
        <v>431.51</v>
      </c>
      <c r="F1897" s="23">
        <v>100</v>
      </c>
      <c r="G1897" s="23">
        <v>100</v>
      </c>
      <c r="H1897" s="23">
        <v>0</v>
      </c>
      <c r="I1897" s="23" t="s">
        <v>5</v>
      </c>
      <c r="J1897" s="23" t="s">
        <v>1844</v>
      </c>
    </row>
    <row r="1898" spans="1:10" s="20" customFormat="1" ht="12" x14ac:dyDescent="0.25">
      <c r="A1898" s="22">
        <v>1000098526</v>
      </c>
      <c r="B1898" s="23" t="s">
        <v>1560</v>
      </c>
      <c r="C1898" s="24" t="s">
        <v>4</v>
      </c>
      <c r="D1898" s="23" t="s">
        <v>2090</v>
      </c>
      <c r="E1898" s="23">
        <v>431.31</v>
      </c>
      <c r="F1898" s="23">
        <v>2</v>
      </c>
      <c r="G1898" s="23">
        <v>2</v>
      </c>
      <c r="H1898" s="23">
        <v>0</v>
      </c>
      <c r="I1898" s="23" t="s">
        <v>5</v>
      </c>
      <c r="J1898" s="23" t="s">
        <v>327</v>
      </c>
    </row>
    <row r="1899" spans="1:10" s="20" customFormat="1" ht="12" x14ac:dyDescent="0.25">
      <c r="A1899" s="22">
        <v>1000020736</v>
      </c>
      <c r="B1899" s="23" t="s">
        <v>944</v>
      </c>
      <c r="C1899" s="24" t="s">
        <v>4</v>
      </c>
      <c r="D1899" s="23" t="s">
        <v>2090</v>
      </c>
      <c r="E1899" s="23">
        <v>430.46</v>
      </c>
      <c r="F1899" s="23">
        <v>1</v>
      </c>
      <c r="G1899" s="23">
        <v>1</v>
      </c>
      <c r="H1899" s="23">
        <v>0</v>
      </c>
      <c r="I1899" s="23" t="s">
        <v>5</v>
      </c>
      <c r="J1899" s="23" t="s">
        <v>327</v>
      </c>
    </row>
    <row r="1900" spans="1:10" s="20" customFormat="1" ht="12" x14ac:dyDescent="0.25">
      <c r="A1900" s="22">
        <v>2500008058</v>
      </c>
      <c r="B1900" s="23" t="s">
        <v>1915</v>
      </c>
      <c r="C1900" s="24" t="s">
        <v>1996</v>
      </c>
      <c r="D1900" s="23" t="s">
        <v>2025</v>
      </c>
      <c r="E1900" s="23">
        <v>430.39924999999999</v>
      </c>
      <c r="F1900" s="23">
        <v>1</v>
      </c>
      <c r="G1900" s="23">
        <v>1</v>
      </c>
      <c r="H1900" s="23">
        <v>0</v>
      </c>
      <c r="I1900" s="23" t="s">
        <v>5</v>
      </c>
      <c r="J1900" s="23" t="s">
        <v>1993</v>
      </c>
    </row>
    <row r="1901" spans="1:10" s="20" customFormat="1" ht="12" x14ac:dyDescent="0.25">
      <c r="A1901" s="22">
        <v>2500006045</v>
      </c>
      <c r="B1901" s="23" t="s">
        <v>3896</v>
      </c>
      <c r="C1901" s="24" t="s">
        <v>1996</v>
      </c>
      <c r="D1901" s="23" t="s">
        <v>2025</v>
      </c>
      <c r="E1901" s="23">
        <v>429.53714285714199</v>
      </c>
      <c r="F1901" s="23">
        <v>4</v>
      </c>
      <c r="G1901" s="23">
        <v>3</v>
      </c>
      <c r="H1901" s="23">
        <v>1</v>
      </c>
      <c r="I1901" s="23" t="s">
        <v>71</v>
      </c>
      <c r="J1901" s="23" t="s">
        <v>1993</v>
      </c>
    </row>
    <row r="1902" spans="1:10" s="20" customFormat="1" ht="12" x14ac:dyDescent="0.25">
      <c r="A1902" s="22">
        <v>2500008170</v>
      </c>
      <c r="B1902" s="23" t="s">
        <v>3900</v>
      </c>
      <c r="C1902" s="24" t="s">
        <v>1996</v>
      </c>
      <c r="D1902" s="23" t="s">
        <v>2811</v>
      </c>
      <c r="E1902" s="23">
        <v>428.51139443333301</v>
      </c>
      <c r="F1902" s="23">
        <v>7</v>
      </c>
      <c r="G1902" s="23">
        <v>7</v>
      </c>
      <c r="H1902" s="23">
        <v>0</v>
      </c>
      <c r="I1902" s="23" t="s">
        <v>5</v>
      </c>
      <c r="J1902" s="23" t="s">
        <v>1993</v>
      </c>
    </row>
    <row r="1903" spans="1:10" s="20" customFormat="1" ht="12" x14ac:dyDescent="0.25">
      <c r="A1903" s="22">
        <v>1000102223</v>
      </c>
      <c r="B1903" s="23" t="s">
        <v>1777</v>
      </c>
      <c r="C1903" s="24" t="s">
        <v>4</v>
      </c>
      <c r="D1903" s="23" t="s">
        <v>2090</v>
      </c>
      <c r="E1903" s="23">
        <v>427.6875</v>
      </c>
      <c r="F1903" s="23">
        <v>1</v>
      </c>
      <c r="G1903" s="23">
        <v>1</v>
      </c>
      <c r="H1903" s="23">
        <v>0</v>
      </c>
      <c r="I1903" s="23" t="s">
        <v>5</v>
      </c>
      <c r="J1903" s="23" t="s">
        <v>327</v>
      </c>
    </row>
    <row r="1904" spans="1:10" s="20" customFormat="1" ht="12" x14ac:dyDescent="0.25">
      <c r="A1904" s="22">
        <v>1000020340</v>
      </c>
      <c r="B1904" s="23" t="s">
        <v>572</v>
      </c>
      <c r="C1904" s="24" t="s">
        <v>4</v>
      </c>
      <c r="D1904" s="23" t="s">
        <v>2090</v>
      </c>
      <c r="E1904" s="23">
        <v>427.5</v>
      </c>
      <c r="F1904" s="23">
        <v>90</v>
      </c>
      <c r="G1904" s="23">
        <v>90</v>
      </c>
      <c r="H1904" s="23">
        <v>0</v>
      </c>
      <c r="I1904" s="23" t="s">
        <v>5</v>
      </c>
      <c r="J1904" s="23" t="s">
        <v>327</v>
      </c>
    </row>
    <row r="1905" spans="1:10" s="20" customFormat="1" ht="12" x14ac:dyDescent="0.25">
      <c r="A1905" s="22">
        <v>1000020925</v>
      </c>
      <c r="B1905" s="23" t="s">
        <v>1105</v>
      </c>
      <c r="C1905" s="24" t="s">
        <v>4</v>
      </c>
      <c r="D1905" s="23" t="s">
        <v>2090</v>
      </c>
      <c r="E1905" s="23">
        <v>427.32</v>
      </c>
      <c r="F1905" s="23">
        <v>2</v>
      </c>
      <c r="G1905" s="23">
        <v>2</v>
      </c>
      <c r="H1905" s="23">
        <v>0</v>
      </c>
      <c r="I1905" s="23" t="s">
        <v>5</v>
      </c>
      <c r="J1905" s="23" t="s">
        <v>327</v>
      </c>
    </row>
    <row r="1906" spans="1:10" s="20" customFormat="1" ht="12" x14ac:dyDescent="0.25">
      <c r="A1906" s="22">
        <v>1000020305</v>
      </c>
      <c r="B1906" s="23" t="s">
        <v>541</v>
      </c>
      <c r="C1906" s="24" t="s">
        <v>4</v>
      </c>
      <c r="D1906" s="23" t="s">
        <v>2090</v>
      </c>
      <c r="E1906" s="23">
        <v>425.92</v>
      </c>
      <c r="F1906" s="23">
        <v>4</v>
      </c>
      <c r="G1906" s="23">
        <v>4</v>
      </c>
      <c r="H1906" s="23">
        <v>0</v>
      </c>
      <c r="I1906" s="23" t="s">
        <v>5</v>
      </c>
      <c r="J1906" s="23" t="s">
        <v>327</v>
      </c>
    </row>
    <row r="1907" spans="1:10" s="20" customFormat="1" ht="12" x14ac:dyDescent="0.25">
      <c r="A1907" s="22">
        <v>1000020493</v>
      </c>
      <c r="B1907" s="23" t="s">
        <v>718</v>
      </c>
      <c r="C1907" s="24" t="s">
        <v>4</v>
      </c>
      <c r="D1907" s="23" t="s">
        <v>2090</v>
      </c>
      <c r="E1907" s="23">
        <v>425.16800000000001</v>
      </c>
      <c r="F1907" s="23">
        <v>8</v>
      </c>
      <c r="G1907" s="23">
        <v>8</v>
      </c>
      <c r="H1907" s="23">
        <v>0</v>
      </c>
      <c r="I1907" s="23" t="s">
        <v>5</v>
      </c>
      <c r="J1907" s="23" t="s">
        <v>327</v>
      </c>
    </row>
    <row r="1908" spans="1:10" s="20" customFormat="1" ht="12" x14ac:dyDescent="0.25">
      <c r="A1908" s="22">
        <v>2500008203</v>
      </c>
      <c r="B1908" s="23" t="s">
        <v>3903</v>
      </c>
      <c r="C1908" s="24" t="s">
        <v>1996</v>
      </c>
      <c r="D1908" s="23" t="s">
        <v>2025</v>
      </c>
      <c r="E1908" s="23">
        <v>424.12333333333299</v>
      </c>
      <c r="F1908" s="23">
        <v>3</v>
      </c>
      <c r="G1908" s="23">
        <v>3</v>
      </c>
      <c r="H1908" s="23">
        <v>0</v>
      </c>
      <c r="I1908" s="23" t="s">
        <v>5</v>
      </c>
      <c r="J1908" s="23" t="s">
        <v>1993</v>
      </c>
    </row>
    <row r="1909" spans="1:10" s="20" customFormat="1" ht="12" x14ac:dyDescent="0.25">
      <c r="A1909" s="22">
        <v>1000020105</v>
      </c>
      <c r="B1909" s="23" t="s">
        <v>361</v>
      </c>
      <c r="C1909" s="24" t="s">
        <v>4</v>
      </c>
      <c r="D1909" s="23" t="s">
        <v>2090</v>
      </c>
      <c r="E1909" s="23">
        <v>423.18</v>
      </c>
      <c r="F1909" s="23">
        <v>2</v>
      </c>
      <c r="G1909" s="23">
        <v>2</v>
      </c>
      <c r="H1909" s="23">
        <v>0</v>
      </c>
      <c r="I1909" s="23" t="s">
        <v>5</v>
      </c>
      <c r="J1909" s="23" t="s">
        <v>327</v>
      </c>
    </row>
    <row r="1910" spans="1:10" s="20" customFormat="1" ht="12" x14ac:dyDescent="0.25">
      <c r="A1910" s="22">
        <v>1000101491</v>
      </c>
      <c r="B1910" s="23" t="s">
        <v>1856</v>
      </c>
      <c r="C1910" s="24" t="s">
        <v>4</v>
      </c>
      <c r="D1910" s="23" t="s">
        <v>2056</v>
      </c>
      <c r="E1910" s="23">
        <v>422.73439999999999</v>
      </c>
      <c r="F1910" s="23">
        <v>44</v>
      </c>
      <c r="G1910" s="23">
        <v>44</v>
      </c>
      <c r="H1910" s="23">
        <v>0</v>
      </c>
      <c r="I1910" s="23" t="s">
        <v>5</v>
      </c>
      <c r="J1910" s="23" t="s">
        <v>1844</v>
      </c>
    </row>
    <row r="1911" spans="1:10" s="20" customFormat="1" ht="12" x14ac:dyDescent="0.25">
      <c r="A1911" s="22">
        <v>2500008224</v>
      </c>
      <c r="B1911" s="23" t="s">
        <v>3905</v>
      </c>
      <c r="C1911" s="24" t="s">
        <v>1996</v>
      </c>
      <c r="D1911" s="23" t="s">
        <v>2025</v>
      </c>
      <c r="E1911" s="23">
        <v>421.96</v>
      </c>
      <c r="F1911" s="23">
        <v>2</v>
      </c>
      <c r="G1911" s="23">
        <v>2</v>
      </c>
      <c r="H1911" s="23">
        <v>0</v>
      </c>
      <c r="I1911" s="23" t="s">
        <v>5</v>
      </c>
      <c r="J1911" s="23" t="s">
        <v>1993</v>
      </c>
    </row>
    <row r="1912" spans="1:10" s="20" customFormat="1" ht="12" x14ac:dyDescent="0.25">
      <c r="A1912" s="22">
        <v>1000020693</v>
      </c>
      <c r="B1912" s="23" t="s">
        <v>905</v>
      </c>
      <c r="C1912" s="24" t="s">
        <v>4</v>
      </c>
      <c r="D1912" s="23" t="s">
        <v>2090</v>
      </c>
      <c r="E1912" s="23">
        <v>421.52270622710603</v>
      </c>
      <c r="F1912" s="23">
        <v>4</v>
      </c>
      <c r="G1912" s="23">
        <v>0</v>
      </c>
      <c r="H1912" s="23">
        <v>4</v>
      </c>
      <c r="I1912" s="23" t="s">
        <v>44</v>
      </c>
      <c r="J1912" s="23" t="s">
        <v>327</v>
      </c>
    </row>
    <row r="1913" spans="1:10" s="20" customFormat="1" ht="12" x14ac:dyDescent="0.25">
      <c r="A1913" s="22">
        <v>2500008153</v>
      </c>
      <c r="B1913" s="23" t="s">
        <v>3906</v>
      </c>
      <c r="C1913" s="24" t="s">
        <v>1996</v>
      </c>
      <c r="D1913" s="23" t="s">
        <v>2025</v>
      </c>
      <c r="E1913" s="23">
        <v>420.37842002885998</v>
      </c>
      <c r="F1913" s="23">
        <v>1</v>
      </c>
      <c r="G1913" s="23">
        <v>1</v>
      </c>
      <c r="H1913" s="23">
        <v>0</v>
      </c>
      <c r="I1913" s="23" t="s">
        <v>5</v>
      </c>
      <c r="J1913" s="23" t="s">
        <v>1993</v>
      </c>
    </row>
    <row r="1914" spans="1:10" s="20" customFormat="1" ht="12" x14ac:dyDescent="0.25">
      <c r="A1914" s="22">
        <v>2500008153</v>
      </c>
      <c r="B1914" s="23" t="s">
        <v>3906</v>
      </c>
      <c r="C1914" s="24" t="s">
        <v>2165</v>
      </c>
      <c r="D1914" s="23" t="s">
        <v>2811</v>
      </c>
      <c r="E1914" s="23">
        <v>420.37842002885998</v>
      </c>
      <c r="F1914" s="23">
        <v>1</v>
      </c>
      <c r="G1914" s="23">
        <v>1</v>
      </c>
      <c r="H1914" s="23">
        <v>0</v>
      </c>
      <c r="I1914" s="23" t="s">
        <v>5</v>
      </c>
      <c r="J1914" s="23" t="s">
        <v>1993</v>
      </c>
    </row>
    <row r="1915" spans="1:10" s="20" customFormat="1" ht="12" x14ac:dyDescent="0.25">
      <c r="A1915" s="22">
        <v>2500008645</v>
      </c>
      <c r="B1915" s="23" t="s">
        <v>3907</v>
      </c>
      <c r="C1915" s="24" t="s">
        <v>1996</v>
      </c>
      <c r="D1915" s="23" t="s">
        <v>2025</v>
      </c>
      <c r="E1915" s="23">
        <v>420</v>
      </c>
      <c r="F1915" s="23">
        <v>4</v>
      </c>
      <c r="G1915" s="23">
        <v>4</v>
      </c>
      <c r="H1915" s="23">
        <v>0</v>
      </c>
      <c r="I1915" s="23" t="s">
        <v>5</v>
      </c>
      <c r="J1915" s="23" t="s">
        <v>1993</v>
      </c>
    </row>
    <row r="1916" spans="1:10" s="20" customFormat="1" ht="12" x14ac:dyDescent="0.25">
      <c r="A1916" s="22">
        <v>2500009460</v>
      </c>
      <c r="B1916" s="23" t="s">
        <v>3908</v>
      </c>
      <c r="C1916" s="24" t="s">
        <v>1996</v>
      </c>
      <c r="D1916" s="23" t="s">
        <v>2289</v>
      </c>
      <c r="E1916" s="23">
        <v>420</v>
      </c>
      <c r="F1916" s="23">
        <v>2</v>
      </c>
      <c r="G1916" s="23">
        <v>2</v>
      </c>
      <c r="H1916" s="23">
        <v>0</v>
      </c>
      <c r="I1916" s="23" t="s">
        <v>5</v>
      </c>
      <c r="J1916" s="23" t="s">
        <v>1993</v>
      </c>
    </row>
    <row r="1917" spans="1:10" s="20" customFormat="1" ht="12" x14ac:dyDescent="0.25">
      <c r="A1917" s="22">
        <v>1000103026</v>
      </c>
      <c r="B1917" s="23" t="s">
        <v>3910</v>
      </c>
      <c r="C1917" s="24" t="s">
        <v>4</v>
      </c>
      <c r="D1917" s="23" t="s">
        <v>2161</v>
      </c>
      <c r="E1917" s="23">
        <v>419.22</v>
      </c>
      <c r="F1917" s="23">
        <v>2</v>
      </c>
      <c r="G1917" s="23">
        <v>2</v>
      </c>
      <c r="H1917" s="23">
        <v>0</v>
      </c>
      <c r="I1917" s="23" t="s">
        <v>5</v>
      </c>
      <c r="J1917" s="23" t="s">
        <v>111</v>
      </c>
    </row>
    <row r="1918" spans="1:10" s="20" customFormat="1" ht="12" x14ac:dyDescent="0.25">
      <c r="A1918" s="22">
        <v>1000102284</v>
      </c>
      <c r="B1918" s="23" t="s">
        <v>1857</v>
      </c>
      <c r="C1918" s="24" t="s">
        <v>4</v>
      </c>
      <c r="D1918" s="23" t="s">
        <v>2056</v>
      </c>
      <c r="E1918" s="23">
        <v>419.12400000000002</v>
      </c>
      <c r="F1918" s="23">
        <v>30</v>
      </c>
      <c r="G1918" s="23">
        <v>30</v>
      </c>
      <c r="H1918" s="23">
        <v>0</v>
      </c>
      <c r="I1918" s="23" t="s">
        <v>5</v>
      </c>
      <c r="J1918" s="23" t="s">
        <v>1844</v>
      </c>
    </row>
    <row r="1919" spans="1:10" s="20" customFormat="1" ht="12" x14ac:dyDescent="0.25">
      <c r="A1919" s="22">
        <v>2500008425</v>
      </c>
      <c r="B1919" s="23" t="s">
        <v>3911</v>
      </c>
      <c r="C1919" s="24" t="s">
        <v>1996</v>
      </c>
      <c r="D1919" s="23" t="s">
        <v>2025</v>
      </c>
      <c r="E1919" s="23">
        <v>418.5</v>
      </c>
      <c r="F1919" s="23">
        <v>2</v>
      </c>
      <c r="G1919" s="23">
        <v>2</v>
      </c>
      <c r="H1919" s="23">
        <v>0</v>
      </c>
      <c r="I1919" s="23" t="s">
        <v>5</v>
      </c>
      <c r="J1919" s="23" t="s">
        <v>1993</v>
      </c>
    </row>
    <row r="1920" spans="1:10" s="20" customFormat="1" ht="12" x14ac:dyDescent="0.25">
      <c r="A1920" s="22">
        <v>1000021012</v>
      </c>
      <c r="B1920" s="23" t="s">
        <v>1184</v>
      </c>
      <c r="C1920" s="24" t="s">
        <v>4</v>
      </c>
      <c r="D1920" s="23" t="s">
        <v>2090</v>
      </c>
      <c r="E1920" s="23">
        <v>418.39</v>
      </c>
      <c r="F1920" s="23">
        <v>1</v>
      </c>
      <c r="G1920" s="23">
        <v>1</v>
      </c>
      <c r="H1920" s="23">
        <v>0</v>
      </c>
      <c r="I1920" s="23" t="s">
        <v>5</v>
      </c>
      <c r="J1920" s="23" t="s">
        <v>327</v>
      </c>
    </row>
    <row r="1921" spans="1:10" s="20" customFormat="1" ht="12" x14ac:dyDescent="0.25">
      <c r="A1921" s="22">
        <v>1000103206</v>
      </c>
      <c r="B1921" s="23" t="s">
        <v>1813</v>
      </c>
      <c r="C1921" s="24" t="s">
        <v>4</v>
      </c>
      <c r="D1921" s="23" t="s">
        <v>2090</v>
      </c>
      <c r="E1921" s="23">
        <v>418.081812169312</v>
      </c>
      <c r="F1921" s="23">
        <v>20</v>
      </c>
      <c r="G1921" s="23">
        <v>20</v>
      </c>
      <c r="H1921" s="23">
        <v>0</v>
      </c>
      <c r="I1921" s="23" t="s">
        <v>5</v>
      </c>
      <c r="J1921" s="23" t="s">
        <v>327</v>
      </c>
    </row>
    <row r="1922" spans="1:10" s="20" customFormat="1" ht="12" x14ac:dyDescent="0.25">
      <c r="A1922" s="22">
        <v>1000095677</v>
      </c>
      <c r="B1922" s="23" t="s">
        <v>1501</v>
      </c>
      <c r="C1922" s="24" t="s">
        <v>4</v>
      </c>
      <c r="D1922" s="23" t="s">
        <v>2090</v>
      </c>
      <c r="E1922" s="23">
        <v>416.43</v>
      </c>
      <c r="F1922" s="23">
        <v>2</v>
      </c>
      <c r="G1922" s="23">
        <v>2</v>
      </c>
      <c r="H1922" s="23">
        <v>0</v>
      </c>
      <c r="I1922" s="23" t="s">
        <v>5</v>
      </c>
      <c r="J1922" s="23" t="s">
        <v>327</v>
      </c>
    </row>
    <row r="1923" spans="1:10" s="20" customFormat="1" ht="12" x14ac:dyDescent="0.25">
      <c r="A1923" s="22">
        <v>2500001400</v>
      </c>
      <c r="B1923" s="23" t="s">
        <v>3913</v>
      </c>
      <c r="C1923" s="24" t="s">
        <v>1996</v>
      </c>
      <c r="D1923" s="23" t="s">
        <v>2025</v>
      </c>
      <c r="E1923" s="23">
        <v>415.778300575</v>
      </c>
      <c r="F1923" s="23">
        <v>4</v>
      </c>
      <c r="G1923" s="23">
        <v>4</v>
      </c>
      <c r="H1923" s="23">
        <v>0</v>
      </c>
      <c r="I1923" s="23" t="s">
        <v>5</v>
      </c>
      <c r="J1923" s="23" t="s">
        <v>1993</v>
      </c>
    </row>
    <row r="1924" spans="1:10" s="20" customFormat="1" ht="12" x14ac:dyDescent="0.25">
      <c r="A1924" s="22">
        <v>1000098232</v>
      </c>
      <c r="B1924" s="23" t="s">
        <v>3915</v>
      </c>
      <c r="C1924" s="24" t="s">
        <v>4</v>
      </c>
      <c r="D1924" s="23" t="s">
        <v>2056</v>
      </c>
      <c r="E1924" s="23">
        <v>415.15519999999998</v>
      </c>
      <c r="F1924" s="23">
        <v>50</v>
      </c>
      <c r="G1924" s="23">
        <v>50</v>
      </c>
      <c r="H1924" s="23">
        <v>0</v>
      </c>
      <c r="I1924" s="23" t="s">
        <v>5</v>
      </c>
      <c r="J1924" s="23" t="s">
        <v>1844</v>
      </c>
    </row>
    <row r="1925" spans="1:10" s="20" customFormat="1" ht="12" x14ac:dyDescent="0.25">
      <c r="A1925" s="22">
        <v>1000020260</v>
      </c>
      <c r="B1925" s="23" t="s">
        <v>499</v>
      </c>
      <c r="C1925" s="24" t="s">
        <v>4</v>
      </c>
      <c r="D1925" s="23" t="s">
        <v>2090</v>
      </c>
      <c r="E1925" s="23">
        <v>412.8</v>
      </c>
      <c r="F1925" s="23">
        <v>30</v>
      </c>
      <c r="G1925" s="23">
        <v>30</v>
      </c>
      <c r="H1925" s="23">
        <v>0</v>
      </c>
      <c r="I1925" s="23" t="s">
        <v>5</v>
      </c>
      <c r="J1925" s="23" t="s">
        <v>327</v>
      </c>
    </row>
    <row r="1926" spans="1:10" s="20" customFormat="1" ht="12" x14ac:dyDescent="0.25">
      <c r="A1926" s="22">
        <v>2500009294</v>
      </c>
      <c r="B1926" s="23" t="s">
        <v>3916</v>
      </c>
      <c r="C1926" s="24" t="s">
        <v>1996</v>
      </c>
      <c r="D1926" s="23" t="s">
        <v>2117</v>
      </c>
      <c r="E1926" s="23">
        <v>412.5</v>
      </c>
      <c r="F1926" s="23">
        <v>1</v>
      </c>
      <c r="G1926" s="23">
        <v>1</v>
      </c>
      <c r="H1926" s="23">
        <v>0</v>
      </c>
      <c r="I1926" s="23" t="s">
        <v>5</v>
      </c>
      <c r="J1926" s="23" t="s">
        <v>1993</v>
      </c>
    </row>
    <row r="1927" spans="1:10" s="20" customFormat="1" ht="12" x14ac:dyDescent="0.25">
      <c r="A1927" s="22">
        <v>1000100310</v>
      </c>
      <c r="B1927" s="23" t="s">
        <v>3917</v>
      </c>
      <c r="C1927" s="24" t="s">
        <v>4</v>
      </c>
      <c r="D1927" s="23" t="s">
        <v>2090</v>
      </c>
      <c r="E1927" s="23">
        <v>412.125</v>
      </c>
      <c r="F1927" s="23">
        <v>2</v>
      </c>
      <c r="G1927" s="23">
        <v>2</v>
      </c>
      <c r="H1927" s="23">
        <v>0</v>
      </c>
      <c r="I1927" s="23" t="s">
        <v>5</v>
      </c>
      <c r="J1927" s="23" t="s">
        <v>327</v>
      </c>
    </row>
    <row r="1928" spans="1:10" s="20" customFormat="1" ht="12" x14ac:dyDescent="0.25">
      <c r="A1928" s="22">
        <v>1000021066</v>
      </c>
      <c r="B1928" s="23" t="s">
        <v>1231</v>
      </c>
      <c r="C1928" s="24" t="s">
        <v>4</v>
      </c>
      <c r="D1928" s="23" t="s">
        <v>2090</v>
      </c>
      <c r="E1928" s="23">
        <v>412.05</v>
      </c>
      <c r="F1928" s="23">
        <v>3</v>
      </c>
      <c r="G1928" s="23">
        <v>3</v>
      </c>
      <c r="H1928" s="23">
        <v>0</v>
      </c>
      <c r="I1928" s="23" t="s">
        <v>5</v>
      </c>
      <c r="J1928" s="23" t="s">
        <v>327</v>
      </c>
    </row>
    <row r="1929" spans="1:10" s="20" customFormat="1" ht="12" x14ac:dyDescent="0.25">
      <c r="A1929" s="22">
        <v>1000020775</v>
      </c>
      <c r="B1929" s="23" t="s">
        <v>979</v>
      </c>
      <c r="C1929" s="24" t="s">
        <v>4</v>
      </c>
      <c r="D1929" s="23" t="s">
        <v>2090</v>
      </c>
      <c r="E1929" s="23">
        <v>411.452564102564</v>
      </c>
      <c r="F1929" s="23">
        <v>19</v>
      </c>
      <c r="G1929" s="23">
        <v>19</v>
      </c>
      <c r="H1929" s="23">
        <v>0</v>
      </c>
      <c r="I1929" s="23" t="s">
        <v>5</v>
      </c>
      <c r="J1929" s="23" t="s">
        <v>327</v>
      </c>
    </row>
    <row r="1930" spans="1:10" s="20" customFormat="1" ht="12" x14ac:dyDescent="0.25">
      <c r="A1930" s="22">
        <v>1000098893</v>
      </c>
      <c r="B1930" s="23" t="s">
        <v>3919</v>
      </c>
      <c r="C1930" s="24" t="s">
        <v>4</v>
      </c>
      <c r="D1930" s="23" t="s">
        <v>2161</v>
      </c>
      <c r="E1930" s="23">
        <v>410.4</v>
      </c>
      <c r="F1930" s="23">
        <v>3</v>
      </c>
      <c r="G1930" s="23">
        <v>3</v>
      </c>
      <c r="H1930" s="23">
        <v>0</v>
      </c>
      <c r="I1930" s="23" t="s">
        <v>5</v>
      </c>
      <c r="J1930" s="23" t="s">
        <v>111</v>
      </c>
    </row>
    <row r="1931" spans="1:10" s="20" customFormat="1" ht="12" x14ac:dyDescent="0.25">
      <c r="A1931" s="22">
        <v>1000021127</v>
      </c>
      <c r="B1931" s="23" t="s">
        <v>1284</v>
      </c>
      <c r="C1931" s="24" t="s">
        <v>4</v>
      </c>
      <c r="D1931" s="23" t="s">
        <v>2090</v>
      </c>
      <c r="E1931" s="23">
        <v>410.01</v>
      </c>
      <c r="F1931" s="23">
        <v>1</v>
      </c>
      <c r="G1931" s="23">
        <v>1</v>
      </c>
      <c r="H1931" s="23">
        <v>0</v>
      </c>
      <c r="I1931" s="23" t="s">
        <v>5</v>
      </c>
      <c r="J1931" s="23" t="s">
        <v>327</v>
      </c>
    </row>
    <row r="1932" spans="1:10" s="20" customFormat="1" ht="12" x14ac:dyDescent="0.25">
      <c r="A1932" s="22">
        <v>2500009357</v>
      </c>
      <c r="B1932" s="23" t="s">
        <v>3921</v>
      </c>
      <c r="C1932" s="24" t="s">
        <v>1996</v>
      </c>
      <c r="D1932" s="23" t="s">
        <v>2025</v>
      </c>
      <c r="E1932" s="23">
        <v>408.9</v>
      </c>
      <c r="F1932" s="23">
        <v>2</v>
      </c>
      <c r="G1932" s="23">
        <v>2</v>
      </c>
      <c r="H1932" s="23">
        <v>0</v>
      </c>
      <c r="I1932" s="23" t="s">
        <v>5</v>
      </c>
      <c r="J1932" s="23" t="s">
        <v>1993</v>
      </c>
    </row>
    <row r="1933" spans="1:10" s="20" customFormat="1" ht="12" x14ac:dyDescent="0.25">
      <c r="A1933" s="22">
        <v>1000010119</v>
      </c>
      <c r="B1933" s="23" t="s">
        <v>3922</v>
      </c>
      <c r="C1933" s="24" t="s">
        <v>4</v>
      </c>
      <c r="D1933" s="23" t="s">
        <v>2161</v>
      </c>
      <c r="E1933" s="23">
        <v>408.81470967741899</v>
      </c>
      <c r="F1933" s="23">
        <v>1</v>
      </c>
      <c r="G1933" s="23">
        <v>1</v>
      </c>
      <c r="H1933" s="23">
        <v>0</v>
      </c>
      <c r="I1933" s="23" t="s">
        <v>5</v>
      </c>
      <c r="J1933" s="23" t="s">
        <v>111</v>
      </c>
    </row>
    <row r="1934" spans="1:10" s="20" customFormat="1" ht="12" x14ac:dyDescent="0.25">
      <c r="A1934" s="22">
        <v>1000020153</v>
      </c>
      <c r="B1934" s="23" t="s">
        <v>404</v>
      </c>
      <c r="C1934" s="24" t="s">
        <v>4</v>
      </c>
      <c r="D1934" s="23" t="s">
        <v>2090</v>
      </c>
      <c r="E1934" s="23">
        <v>405.24</v>
      </c>
      <c r="F1934" s="23">
        <v>4</v>
      </c>
      <c r="G1934" s="23">
        <v>4</v>
      </c>
      <c r="H1934" s="23">
        <v>0</v>
      </c>
      <c r="I1934" s="23" t="s">
        <v>5</v>
      </c>
      <c r="J1934" s="23" t="s">
        <v>327</v>
      </c>
    </row>
    <row r="1935" spans="1:10" s="20" customFormat="1" ht="12" x14ac:dyDescent="0.25">
      <c r="A1935" s="22">
        <v>2500008262</v>
      </c>
      <c r="B1935" s="23" t="s">
        <v>1924</v>
      </c>
      <c r="C1935" s="24" t="s">
        <v>1996</v>
      </c>
      <c r="D1935" s="23" t="s">
        <v>2025</v>
      </c>
      <c r="E1935" s="23">
        <v>405</v>
      </c>
      <c r="F1935" s="23">
        <v>6</v>
      </c>
      <c r="G1935" s="23">
        <v>6</v>
      </c>
      <c r="H1935" s="23">
        <v>0</v>
      </c>
      <c r="I1935" s="23" t="s">
        <v>5</v>
      </c>
      <c r="J1935" s="23" t="s">
        <v>1993</v>
      </c>
    </row>
    <row r="1936" spans="1:10" s="20" customFormat="1" ht="12" x14ac:dyDescent="0.25">
      <c r="A1936" s="22">
        <v>1000102231</v>
      </c>
      <c r="B1936" s="23" t="s">
        <v>1783</v>
      </c>
      <c r="C1936" s="24" t="s">
        <v>4</v>
      </c>
      <c r="D1936" s="23" t="s">
        <v>2090</v>
      </c>
      <c r="E1936" s="23">
        <v>403.53750000000002</v>
      </c>
      <c r="F1936" s="23">
        <v>3</v>
      </c>
      <c r="G1936" s="23">
        <v>3</v>
      </c>
      <c r="H1936" s="23">
        <v>0</v>
      </c>
      <c r="I1936" s="23" t="s">
        <v>5</v>
      </c>
      <c r="J1936" s="23" t="s">
        <v>327</v>
      </c>
    </row>
    <row r="1937" spans="1:10" s="20" customFormat="1" ht="12" x14ac:dyDescent="0.25">
      <c r="A1937" s="22">
        <v>1000099842</v>
      </c>
      <c r="B1937" s="23" t="s">
        <v>3926</v>
      </c>
      <c r="C1937" s="24" t="s">
        <v>4</v>
      </c>
      <c r="D1937" s="23" t="s">
        <v>2090</v>
      </c>
      <c r="E1937" s="23">
        <v>403.15</v>
      </c>
      <c r="F1937" s="23">
        <v>23</v>
      </c>
      <c r="G1937" s="23">
        <v>23</v>
      </c>
      <c r="H1937" s="23">
        <v>0</v>
      </c>
      <c r="I1937" s="23" t="s">
        <v>5</v>
      </c>
      <c r="J1937" s="23" t="s">
        <v>327</v>
      </c>
    </row>
    <row r="1938" spans="1:10" s="20" customFormat="1" ht="12" x14ac:dyDescent="0.25">
      <c r="A1938" s="22">
        <v>1000093596</v>
      </c>
      <c r="B1938" s="23" t="s">
        <v>3927</v>
      </c>
      <c r="C1938" s="24" t="s">
        <v>4</v>
      </c>
      <c r="D1938" s="23" t="s">
        <v>2056</v>
      </c>
      <c r="E1938" s="23">
        <v>401.090105263157</v>
      </c>
      <c r="F1938" s="23">
        <v>4</v>
      </c>
      <c r="G1938" s="23">
        <v>4</v>
      </c>
      <c r="H1938" s="23">
        <v>0</v>
      </c>
      <c r="I1938" s="23" t="s">
        <v>5</v>
      </c>
      <c r="J1938" s="23" t="s">
        <v>1844</v>
      </c>
    </row>
    <row r="1939" spans="1:10" s="20" customFormat="1" ht="12" x14ac:dyDescent="0.25">
      <c r="A1939" s="22">
        <v>1000020532</v>
      </c>
      <c r="B1939" s="23" t="s">
        <v>753</v>
      </c>
      <c r="C1939" s="24" t="s">
        <v>4</v>
      </c>
      <c r="D1939" s="23" t="s">
        <v>2090</v>
      </c>
      <c r="E1939" s="23">
        <v>400.44</v>
      </c>
      <c r="F1939" s="23">
        <v>2</v>
      </c>
      <c r="G1939" s="23">
        <v>2</v>
      </c>
      <c r="H1939" s="23">
        <v>0</v>
      </c>
      <c r="I1939" s="23" t="s">
        <v>5</v>
      </c>
      <c r="J1939" s="23" t="s">
        <v>327</v>
      </c>
    </row>
    <row r="1940" spans="1:10" s="20" customFormat="1" ht="12" x14ac:dyDescent="0.25">
      <c r="A1940" s="22">
        <v>1000020046</v>
      </c>
      <c r="B1940" s="23" t="s">
        <v>3928</v>
      </c>
      <c r="C1940" s="24" t="s">
        <v>4</v>
      </c>
      <c r="D1940" s="23" t="s">
        <v>2090</v>
      </c>
      <c r="E1940" s="23">
        <v>400.27</v>
      </c>
      <c r="F1940" s="23">
        <v>5</v>
      </c>
      <c r="G1940" s="23">
        <v>5</v>
      </c>
      <c r="H1940" s="23">
        <v>0</v>
      </c>
      <c r="I1940" s="23" t="s">
        <v>5</v>
      </c>
      <c r="J1940" s="23" t="s">
        <v>327</v>
      </c>
    </row>
    <row r="1941" spans="1:10" s="20" customFormat="1" ht="12" x14ac:dyDescent="0.25">
      <c r="A1941" s="22">
        <v>1000102120</v>
      </c>
      <c r="B1941" s="23" t="s">
        <v>3929</v>
      </c>
      <c r="C1941" s="24" t="s">
        <v>4</v>
      </c>
      <c r="D1941" s="23" t="s">
        <v>2056</v>
      </c>
      <c r="E1941" s="23">
        <v>399.96677727999997</v>
      </c>
      <c r="F1941" s="23">
        <v>6</v>
      </c>
      <c r="G1941" s="23">
        <v>6</v>
      </c>
      <c r="H1941" s="23">
        <v>0</v>
      </c>
      <c r="I1941" s="23" t="s">
        <v>5</v>
      </c>
      <c r="J1941" s="23" t="s">
        <v>1844</v>
      </c>
    </row>
    <row r="1942" spans="1:10" s="20" customFormat="1" ht="12" x14ac:dyDescent="0.25">
      <c r="A1942" s="22">
        <v>1000100328</v>
      </c>
      <c r="B1942" s="23" t="s">
        <v>3930</v>
      </c>
      <c r="C1942" s="24" t="s">
        <v>4</v>
      </c>
      <c r="D1942" s="23" t="s">
        <v>2090</v>
      </c>
      <c r="E1942" s="23">
        <v>399.95843076923001</v>
      </c>
      <c r="F1942" s="23">
        <v>47</v>
      </c>
      <c r="G1942" s="23">
        <v>47</v>
      </c>
      <c r="H1942" s="23">
        <v>0</v>
      </c>
      <c r="I1942" s="23" t="s">
        <v>5</v>
      </c>
      <c r="J1942" s="23" t="s">
        <v>327</v>
      </c>
    </row>
    <row r="1943" spans="1:10" s="20" customFormat="1" ht="12" x14ac:dyDescent="0.25">
      <c r="A1943" s="22">
        <v>2500005929</v>
      </c>
      <c r="B1943" s="23" t="s">
        <v>1909</v>
      </c>
      <c r="C1943" s="24" t="s">
        <v>1996</v>
      </c>
      <c r="D1943" s="23" t="s">
        <v>2025</v>
      </c>
      <c r="E1943" s="23">
        <v>396.58177913326602</v>
      </c>
      <c r="F1943" s="23">
        <v>1</v>
      </c>
      <c r="G1943" s="23">
        <v>1</v>
      </c>
      <c r="H1943" s="23">
        <v>0</v>
      </c>
      <c r="I1943" s="23" t="s">
        <v>5</v>
      </c>
      <c r="J1943" s="23" t="s">
        <v>1993</v>
      </c>
    </row>
    <row r="1944" spans="1:10" s="20" customFormat="1" ht="12" x14ac:dyDescent="0.25">
      <c r="A1944" s="22">
        <v>1000098718</v>
      </c>
      <c r="B1944" s="23" t="s">
        <v>1665</v>
      </c>
      <c r="C1944" s="24" t="s">
        <v>4</v>
      </c>
      <c r="D1944" s="23" t="s">
        <v>2090</v>
      </c>
      <c r="E1944" s="23">
        <v>396.4</v>
      </c>
      <c r="F1944" s="23">
        <v>2</v>
      </c>
      <c r="G1944" s="23">
        <v>2</v>
      </c>
      <c r="H1944" s="23">
        <v>0</v>
      </c>
      <c r="I1944" s="23" t="s">
        <v>5</v>
      </c>
      <c r="J1944" s="23" t="s">
        <v>327</v>
      </c>
    </row>
    <row r="1945" spans="1:10" s="20" customFormat="1" ht="12" x14ac:dyDescent="0.25">
      <c r="A1945" s="22">
        <v>1000095262</v>
      </c>
      <c r="B1945" s="23" t="s">
        <v>3932</v>
      </c>
      <c r="C1945" s="24" t="s">
        <v>4</v>
      </c>
      <c r="D1945" s="23" t="s">
        <v>2090</v>
      </c>
      <c r="E1945" s="23">
        <v>396.29399999999998</v>
      </c>
      <c r="F1945" s="23">
        <v>3</v>
      </c>
      <c r="G1945" s="23">
        <v>3</v>
      </c>
      <c r="H1945" s="23">
        <v>0</v>
      </c>
      <c r="I1945" s="23" t="s">
        <v>5</v>
      </c>
      <c r="J1945" s="23" t="s">
        <v>327</v>
      </c>
    </row>
    <row r="1946" spans="1:10" s="20" customFormat="1" ht="12" x14ac:dyDescent="0.25">
      <c r="A1946" s="22">
        <v>1000099724</v>
      </c>
      <c r="B1946" s="23" t="s">
        <v>3934</v>
      </c>
      <c r="C1946" s="24" t="s">
        <v>4</v>
      </c>
      <c r="D1946" s="23" t="s">
        <v>2090</v>
      </c>
      <c r="E1946" s="23">
        <v>395.54462222222202</v>
      </c>
      <c r="F1946" s="23">
        <v>5</v>
      </c>
      <c r="G1946" s="23">
        <v>5</v>
      </c>
      <c r="H1946" s="23">
        <v>0</v>
      </c>
      <c r="I1946" s="23" t="s">
        <v>5</v>
      </c>
      <c r="J1946" s="23" t="s">
        <v>327</v>
      </c>
    </row>
    <row r="1947" spans="1:10" s="20" customFormat="1" ht="12" x14ac:dyDescent="0.25">
      <c r="A1947" s="22">
        <v>1000100304</v>
      </c>
      <c r="B1947" s="23" t="s">
        <v>1693</v>
      </c>
      <c r="C1947" s="24" t="s">
        <v>4</v>
      </c>
      <c r="D1947" s="23" t="s">
        <v>2090</v>
      </c>
      <c r="E1947" s="23">
        <v>395.33</v>
      </c>
      <c r="F1947" s="23">
        <v>2</v>
      </c>
      <c r="G1947" s="23">
        <v>2</v>
      </c>
      <c r="H1947" s="23">
        <v>0</v>
      </c>
      <c r="I1947" s="23" t="s">
        <v>5</v>
      </c>
      <c r="J1947" s="23" t="s">
        <v>327</v>
      </c>
    </row>
    <row r="1948" spans="1:10" s="20" customFormat="1" ht="12" x14ac:dyDescent="0.25">
      <c r="A1948" s="22">
        <v>1000100412</v>
      </c>
      <c r="B1948" s="23" t="s">
        <v>1726</v>
      </c>
      <c r="C1948" s="24" t="s">
        <v>4</v>
      </c>
      <c r="D1948" s="23" t="s">
        <v>2090</v>
      </c>
      <c r="E1948" s="23">
        <v>394.43</v>
      </c>
      <c r="F1948" s="23">
        <v>4</v>
      </c>
      <c r="G1948" s="23">
        <v>4</v>
      </c>
      <c r="H1948" s="23">
        <v>0</v>
      </c>
      <c r="I1948" s="23" t="s">
        <v>5</v>
      </c>
      <c r="J1948" s="23" t="s">
        <v>327</v>
      </c>
    </row>
    <row r="1949" spans="1:10" s="20" customFormat="1" ht="12" x14ac:dyDescent="0.25">
      <c r="A1949" s="22">
        <v>1000020288</v>
      </c>
      <c r="B1949" s="23" t="s">
        <v>524</v>
      </c>
      <c r="C1949" s="24" t="s">
        <v>4</v>
      </c>
      <c r="D1949" s="23" t="s">
        <v>2090</v>
      </c>
      <c r="E1949" s="23">
        <v>394.08</v>
      </c>
      <c r="F1949" s="23">
        <v>12</v>
      </c>
      <c r="G1949" s="23">
        <v>12</v>
      </c>
      <c r="H1949" s="23">
        <v>0</v>
      </c>
      <c r="I1949" s="23" t="s">
        <v>5</v>
      </c>
      <c r="J1949" s="23" t="s">
        <v>327</v>
      </c>
    </row>
    <row r="1950" spans="1:10" s="20" customFormat="1" ht="12" x14ac:dyDescent="0.25">
      <c r="A1950" s="22">
        <v>1000101341</v>
      </c>
      <c r="B1950" s="23" t="s">
        <v>3936</v>
      </c>
      <c r="C1950" s="24" t="s">
        <v>4</v>
      </c>
      <c r="D1950" s="23" t="s">
        <v>2056</v>
      </c>
      <c r="E1950" s="23">
        <v>393.46</v>
      </c>
      <c r="F1950" s="23">
        <v>200</v>
      </c>
      <c r="G1950" s="23">
        <v>200</v>
      </c>
      <c r="H1950" s="23">
        <v>0</v>
      </c>
      <c r="I1950" s="23" t="s">
        <v>5</v>
      </c>
      <c r="J1950" s="23" t="s">
        <v>1844</v>
      </c>
    </row>
    <row r="1951" spans="1:10" s="20" customFormat="1" ht="12" x14ac:dyDescent="0.25">
      <c r="A1951" s="22">
        <v>1000020102</v>
      </c>
      <c r="B1951" s="23" t="s">
        <v>358</v>
      </c>
      <c r="C1951" s="24" t="s">
        <v>4</v>
      </c>
      <c r="D1951" s="23" t="s">
        <v>2090</v>
      </c>
      <c r="E1951" s="23">
        <v>392.7</v>
      </c>
      <c r="F1951" s="23">
        <v>2</v>
      </c>
      <c r="G1951" s="23">
        <v>2</v>
      </c>
      <c r="H1951" s="23">
        <v>0</v>
      </c>
      <c r="I1951" s="23" t="s">
        <v>5</v>
      </c>
      <c r="J1951" s="23" t="s">
        <v>327</v>
      </c>
    </row>
    <row r="1952" spans="1:10" s="20" customFormat="1" ht="12" x14ac:dyDescent="0.25">
      <c r="A1952" s="22">
        <v>1000021197</v>
      </c>
      <c r="B1952" s="23" t="s">
        <v>1344</v>
      </c>
      <c r="C1952" s="24" t="s">
        <v>4</v>
      </c>
      <c r="D1952" s="23" t="s">
        <v>2090</v>
      </c>
      <c r="E1952" s="23">
        <v>392.56</v>
      </c>
      <c r="F1952" s="23">
        <v>4</v>
      </c>
      <c r="G1952" s="23">
        <v>4</v>
      </c>
      <c r="H1952" s="23">
        <v>0</v>
      </c>
      <c r="I1952" s="23" t="s">
        <v>5</v>
      </c>
      <c r="J1952" s="23" t="s">
        <v>327</v>
      </c>
    </row>
    <row r="1953" spans="1:10" s="20" customFormat="1" ht="12" x14ac:dyDescent="0.25">
      <c r="A1953" s="22">
        <v>1000020671</v>
      </c>
      <c r="B1953" s="23" t="s">
        <v>884</v>
      </c>
      <c r="C1953" s="24" t="s">
        <v>4</v>
      </c>
      <c r="D1953" s="23" t="s">
        <v>2090</v>
      </c>
      <c r="E1953" s="23">
        <v>392.10535714285697</v>
      </c>
      <c r="F1953" s="23">
        <v>8</v>
      </c>
      <c r="G1953" s="23">
        <v>8</v>
      </c>
      <c r="H1953" s="23">
        <v>0</v>
      </c>
      <c r="I1953" s="23" t="s">
        <v>5</v>
      </c>
      <c r="J1953" s="23" t="s">
        <v>327</v>
      </c>
    </row>
    <row r="1954" spans="1:10" s="20" customFormat="1" ht="12" x14ac:dyDescent="0.25">
      <c r="A1954" s="22">
        <v>1000093683</v>
      </c>
      <c r="B1954" s="23" t="s">
        <v>3938</v>
      </c>
      <c r="C1954" s="24" t="s">
        <v>4</v>
      </c>
      <c r="D1954" s="23" t="s">
        <v>2056</v>
      </c>
      <c r="E1954" s="23">
        <v>391.41719997070902</v>
      </c>
      <c r="F1954" s="23">
        <v>390</v>
      </c>
      <c r="G1954" s="23">
        <v>390</v>
      </c>
      <c r="H1954" s="23">
        <v>0</v>
      </c>
      <c r="I1954" s="23" t="s">
        <v>5</v>
      </c>
      <c r="J1954" s="23" t="s">
        <v>1844</v>
      </c>
    </row>
    <row r="1955" spans="1:10" s="20" customFormat="1" ht="12" x14ac:dyDescent="0.25">
      <c r="A1955" s="22">
        <v>1000020994</v>
      </c>
      <c r="B1955" s="23" t="s">
        <v>1168</v>
      </c>
      <c r="C1955" s="24" t="s">
        <v>4</v>
      </c>
      <c r="D1955" s="23" t="s">
        <v>2090</v>
      </c>
      <c r="E1955" s="23">
        <v>388.76307692307603</v>
      </c>
      <c r="F1955" s="23">
        <v>4</v>
      </c>
      <c r="G1955" s="23">
        <v>4</v>
      </c>
      <c r="H1955" s="23">
        <v>0</v>
      </c>
      <c r="I1955" s="23" t="s">
        <v>5</v>
      </c>
      <c r="J1955" s="23" t="s">
        <v>327</v>
      </c>
    </row>
    <row r="1956" spans="1:10" s="20" customFormat="1" ht="12" x14ac:dyDescent="0.25">
      <c r="A1956" s="22">
        <v>1000102777</v>
      </c>
      <c r="B1956" s="23" t="s">
        <v>3940</v>
      </c>
      <c r="C1956" s="24" t="s">
        <v>4</v>
      </c>
      <c r="D1956" s="23" t="s">
        <v>2056</v>
      </c>
      <c r="E1956" s="23">
        <v>388.37400000000002</v>
      </c>
      <c r="F1956" s="23">
        <v>3</v>
      </c>
      <c r="G1956" s="23">
        <v>3</v>
      </c>
      <c r="H1956" s="23">
        <v>0</v>
      </c>
      <c r="I1956" s="23" t="s">
        <v>5</v>
      </c>
      <c r="J1956" s="23" t="s">
        <v>1844</v>
      </c>
    </row>
    <row r="1957" spans="1:10" s="20" customFormat="1" ht="12" x14ac:dyDescent="0.25">
      <c r="A1957" s="22">
        <v>1000098441</v>
      </c>
      <c r="B1957" s="23" t="s">
        <v>1521</v>
      </c>
      <c r="C1957" s="24" t="s">
        <v>4</v>
      </c>
      <c r="D1957" s="23" t="s">
        <v>2090</v>
      </c>
      <c r="E1957" s="23">
        <v>388.31200000000001</v>
      </c>
      <c r="F1957" s="23">
        <v>16</v>
      </c>
      <c r="G1957" s="23">
        <v>16</v>
      </c>
      <c r="H1957" s="23">
        <v>0</v>
      </c>
      <c r="I1957" s="23" t="s">
        <v>5</v>
      </c>
      <c r="J1957" s="23" t="s">
        <v>327</v>
      </c>
    </row>
    <row r="1958" spans="1:10" s="20" customFormat="1" ht="12" x14ac:dyDescent="0.25">
      <c r="A1958" s="22">
        <v>1000110738</v>
      </c>
      <c r="B1958" s="23" t="s">
        <v>3941</v>
      </c>
      <c r="C1958" s="24" t="s">
        <v>4</v>
      </c>
      <c r="D1958" s="23" t="s">
        <v>2056</v>
      </c>
      <c r="E1958" s="23">
        <v>388.08</v>
      </c>
      <c r="F1958" s="23">
        <v>49</v>
      </c>
      <c r="G1958" s="23">
        <v>49</v>
      </c>
      <c r="H1958" s="23">
        <v>0</v>
      </c>
      <c r="I1958" s="23" t="s">
        <v>5</v>
      </c>
      <c r="J1958" s="23" t="s">
        <v>1844</v>
      </c>
    </row>
    <row r="1959" spans="1:10" s="20" customFormat="1" ht="12" x14ac:dyDescent="0.25">
      <c r="A1959" s="22">
        <v>1000098438</v>
      </c>
      <c r="B1959" s="23" t="s">
        <v>1518</v>
      </c>
      <c r="C1959" s="24" t="s">
        <v>4</v>
      </c>
      <c r="D1959" s="23" t="s">
        <v>2090</v>
      </c>
      <c r="E1959" s="23">
        <v>387.416</v>
      </c>
      <c r="F1959" s="23">
        <v>8</v>
      </c>
      <c r="G1959" s="23">
        <v>8</v>
      </c>
      <c r="H1959" s="23">
        <v>0</v>
      </c>
      <c r="I1959" s="23" t="s">
        <v>5</v>
      </c>
      <c r="J1959" s="23" t="s">
        <v>327</v>
      </c>
    </row>
    <row r="1960" spans="1:10" s="20" customFormat="1" ht="12" x14ac:dyDescent="0.25">
      <c r="A1960" s="22">
        <v>1000020433</v>
      </c>
      <c r="B1960" s="23" t="s">
        <v>660</v>
      </c>
      <c r="C1960" s="24" t="s">
        <v>4</v>
      </c>
      <c r="D1960" s="23" t="s">
        <v>2090</v>
      </c>
      <c r="E1960" s="23">
        <v>387.35978571428501</v>
      </c>
      <c r="F1960" s="23">
        <v>38</v>
      </c>
      <c r="G1960" s="23">
        <v>38</v>
      </c>
      <c r="H1960" s="23">
        <v>0</v>
      </c>
      <c r="I1960" s="23" t="s">
        <v>5</v>
      </c>
      <c r="J1960" s="23" t="s">
        <v>327</v>
      </c>
    </row>
    <row r="1961" spans="1:10" s="20" customFormat="1" ht="12" x14ac:dyDescent="0.25">
      <c r="A1961" s="22">
        <v>1000096883</v>
      </c>
      <c r="B1961" s="23" t="s">
        <v>3942</v>
      </c>
      <c r="C1961" s="24" t="s">
        <v>4</v>
      </c>
      <c r="D1961" s="23" t="s">
        <v>2056</v>
      </c>
      <c r="E1961" s="23">
        <v>386.75</v>
      </c>
      <c r="F1961" s="23">
        <v>2</v>
      </c>
      <c r="G1961" s="23">
        <v>2</v>
      </c>
      <c r="H1961" s="23">
        <v>0</v>
      </c>
      <c r="I1961" s="23" t="s">
        <v>5</v>
      </c>
      <c r="J1961" s="23" t="s">
        <v>1844</v>
      </c>
    </row>
    <row r="1962" spans="1:10" s="20" customFormat="1" ht="12" x14ac:dyDescent="0.25">
      <c r="A1962" s="22">
        <v>1000021068</v>
      </c>
      <c r="B1962" s="23" t="s">
        <v>1232</v>
      </c>
      <c r="C1962" s="24" t="s">
        <v>4</v>
      </c>
      <c r="D1962" s="23" t="s">
        <v>2090</v>
      </c>
      <c r="E1962" s="23">
        <v>386.5</v>
      </c>
      <c r="F1962" s="23">
        <v>1</v>
      </c>
      <c r="G1962" s="23">
        <v>1</v>
      </c>
      <c r="H1962" s="23">
        <v>0</v>
      </c>
      <c r="I1962" s="23" t="s">
        <v>5</v>
      </c>
      <c r="J1962" s="23" t="s">
        <v>327</v>
      </c>
    </row>
    <row r="1963" spans="1:10" s="20" customFormat="1" ht="12" x14ac:dyDescent="0.25">
      <c r="A1963" s="22">
        <v>1000020804</v>
      </c>
      <c r="B1963" s="23" t="s">
        <v>1008</v>
      </c>
      <c r="C1963" s="24" t="s">
        <v>4</v>
      </c>
      <c r="D1963" s="23" t="s">
        <v>2090</v>
      </c>
      <c r="E1963" s="23">
        <v>384.964</v>
      </c>
      <c r="F1963" s="23">
        <v>2</v>
      </c>
      <c r="G1963" s="23">
        <v>2</v>
      </c>
      <c r="H1963" s="23">
        <v>0</v>
      </c>
      <c r="I1963" s="23" t="s">
        <v>5</v>
      </c>
      <c r="J1963" s="23" t="s">
        <v>327</v>
      </c>
    </row>
    <row r="1964" spans="1:10" s="20" customFormat="1" ht="12" x14ac:dyDescent="0.25">
      <c r="A1964" s="22">
        <v>1000098619</v>
      </c>
      <c r="B1964" s="23" t="s">
        <v>3944</v>
      </c>
      <c r="C1964" s="24" t="s">
        <v>4</v>
      </c>
      <c r="D1964" s="23" t="s">
        <v>2056</v>
      </c>
      <c r="E1964" s="23">
        <v>384.40714285714199</v>
      </c>
      <c r="F1964" s="23">
        <v>150</v>
      </c>
      <c r="G1964" s="23">
        <v>150</v>
      </c>
      <c r="H1964" s="23">
        <v>0</v>
      </c>
      <c r="I1964" s="23" t="s">
        <v>5</v>
      </c>
      <c r="J1964" s="23" t="s">
        <v>1844</v>
      </c>
    </row>
    <row r="1965" spans="1:10" s="20" customFormat="1" ht="12" x14ac:dyDescent="0.25">
      <c r="A1965" s="22">
        <v>1000106135</v>
      </c>
      <c r="B1965" s="23" t="s">
        <v>1832</v>
      </c>
      <c r="C1965" s="24" t="s">
        <v>4</v>
      </c>
      <c r="D1965" s="23" t="s">
        <v>2090</v>
      </c>
      <c r="E1965" s="23">
        <v>383.33</v>
      </c>
      <c r="F1965" s="23">
        <v>1</v>
      </c>
      <c r="G1965" s="23">
        <v>1</v>
      </c>
      <c r="H1965" s="23">
        <v>0</v>
      </c>
      <c r="I1965" s="23" t="s">
        <v>5</v>
      </c>
      <c r="J1965" s="23" t="s">
        <v>327</v>
      </c>
    </row>
    <row r="1966" spans="1:10" s="20" customFormat="1" ht="12" x14ac:dyDescent="0.25">
      <c r="A1966" s="22">
        <v>1000020412</v>
      </c>
      <c r="B1966" s="23" t="s">
        <v>642</v>
      </c>
      <c r="C1966" s="24" t="s">
        <v>4</v>
      </c>
      <c r="D1966" s="23" t="s">
        <v>2090</v>
      </c>
      <c r="E1966" s="23">
        <v>382.84</v>
      </c>
      <c r="F1966" s="23">
        <v>68</v>
      </c>
      <c r="G1966" s="23">
        <v>68</v>
      </c>
      <c r="H1966" s="23">
        <v>0</v>
      </c>
      <c r="I1966" s="23" t="s">
        <v>5</v>
      </c>
      <c r="J1966" s="23" t="s">
        <v>327</v>
      </c>
    </row>
    <row r="1967" spans="1:10" s="20" customFormat="1" ht="12" x14ac:dyDescent="0.25">
      <c r="A1967" s="22">
        <v>1000098544</v>
      </c>
      <c r="B1967" s="23" t="s">
        <v>1575</v>
      </c>
      <c r="C1967" s="24" t="s">
        <v>4</v>
      </c>
      <c r="D1967" s="23" t="s">
        <v>2090</v>
      </c>
      <c r="E1967" s="23">
        <v>382.25</v>
      </c>
      <c r="F1967" s="23">
        <v>2</v>
      </c>
      <c r="G1967" s="23">
        <v>2</v>
      </c>
      <c r="H1967" s="23">
        <v>0</v>
      </c>
      <c r="I1967" s="23" t="s">
        <v>5</v>
      </c>
      <c r="J1967" s="23" t="s">
        <v>327</v>
      </c>
    </row>
    <row r="1968" spans="1:10" s="20" customFormat="1" ht="12" x14ac:dyDescent="0.25">
      <c r="A1968" s="22">
        <v>1000101059</v>
      </c>
      <c r="B1968" s="23" t="s">
        <v>3945</v>
      </c>
      <c r="C1968" s="24" t="s">
        <v>4</v>
      </c>
      <c r="D1968" s="23" t="s">
        <v>2056</v>
      </c>
      <c r="E1968" s="23">
        <v>381.96449999999999</v>
      </c>
      <c r="F1968" s="23">
        <v>150</v>
      </c>
      <c r="G1968" s="23">
        <v>150</v>
      </c>
      <c r="H1968" s="23">
        <v>0</v>
      </c>
      <c r="I1968" s="23" t="s">
        <v>5</v>
      </c>
      <c r="J1968" s="23" t="s">
        <v>1844</v>
      </c>
    </row>
    <row r="1969" spans="1:10" s="20" customFormat="1" ht="12" x14ac:dyDescent="0.25">
      <c r="A1969" s="22">
        <v>1000096766</v>
      </c>
      <c r="B1969" s="23" t="s">
        <v>3387</v>
      </c>
      <c r="C1969" s="24" t="s">
        <v>4</v>
      </c>
      <c r="D1969" s="23" t="s">
        <v>2056</v>
      </c>
      <c r="E1969" s="23">
        <v>381.706285714285</v>
      </c>
      <c r="F1969" s="23">
        <v>58</v>
      </c>
      <c r="G1969" s="23">
        <v>58</v>
      </c>
      <c r="H1969" s="23">
        <v>0</v>
      </c>
      <c r="I1969" s="23" t="s">
        <v>5</v>
      </c>
      <c r="J1969" s="23" t="s">
        <v>1844</v>
      </c>
    </row>
    <row r="1970" spans="1:10" s="20" customFormat="1" ht="12" x14ac:dyDescent="0.25">
      <c r="A1970" s="22">
        <v>1000098202</v>
      </c>
      <c r="B1970" s="23" t="s">
        <v>1513</v>
      </c>
      <c r="C1970" s="24" t="s">
        <v>4</v>
      </c>
      <c r="D1970" s="23" t="s">
        <v>2090</v>
      </c>
      <c r="E1970" s="23">
        <v>381.65</v>
      </c>
      <c r="F1970" s="23">
        <v>5</v>
      </c>
      <c r="G1970" s="23">
        <v>5</v>
      </c>
      <c r="H1970" s="23">
        <v>0</v>
      </c>
      <c r="I1970" s="23" t="s">
        <v>5</v>
      </c>
      <c r="J1970" s="23" t="s">
        <v>327</v>
      </c>
    </row>
    <row r="1971" spans="1:10" s="20" customFormat="1" ht="12" x14ac:dyDescent="0.25">
      <c r="A1971" s="22">
        <v>1000020989</v>
      </c>
      <c r="B1971" s="23" t="s">
        <v>1163</v>
      </c>
      <c r="C1971" s="24" t="s">
        <v>4</v>
      </c>
      <c r="D1971" s="23" t="s">
        <v>2090</v>
      </c>
      <c r="E1971" s="23">
        <v>381.55</v>
      </c>
      <c r="F1971" s="23">
        <v>5</v>
      </c>
      <c r="G1971" s="23">
        <v>5</v>
      </c>
      <c r="H1971" s="23">
        <v>0</v>
      </c>
      <c r="I1971" s="23" t="s">
        <v>5</v>
      </c>
      <c r="J1971" s="23" t="s">
        <v>327</v>
      </c>
    </row>
    <row r="1972" spans="1:10" s="20" customFormat="1" ht="12" x14ac:dyDescent="0.25">
      <c r="A1972" s="22">
        <v>1000020951</v>
      </c>
      <c r="B1972" s="23" t="s">
        <v>1129</v>
      </c>
      <c r="C1972" s="24" t="s">
        <v>4</v>
      </c>
      <c r="D1972" s="23" t="s">
        <v>2090</v>
      </c>
      <c r="E1972" s="23">
        <v>381.55</v>
      </c>
      <c r="F1972" s="23">
        <v>5</v>
      </c>
      <c r="G1972" s="23">
        <v>5</v>
      </c>
      <c r="H1972" s="23">
        <v>0</v>
      </c>
      <c r="I1972" s="23" t="s">
        <v>5</v>
      </c>
      <c r="J1972" s="23" t="s">
        <v>327</v>
      </c>
    </row>
    <row r="1973" spans="1:10" s="20" customFormat="1" ht="12" x14ac:dyDescent="0.25">
      <c r="A1973" s="22">
        <v>1000020898</v>
      </c>
      <c r="B1973" s="23" t="s">
        <v>1080</v>
      </c>
      <c r="C1973" s="24" t="s">
        <v>4</v>
      </c>
      <c r="D1973" s="23" t="s">
        <v>2090</v>
      </c>
      <c r="E1973" s="23">
        <v>380.52</v>
      </c>
      <c r="F1973" s="23">
        <v>2</v>
      </c>
      <c r="G1973" s="23">
        <v>2</v>
      </c>
      <c r="H1973" s="23">
        <v>0</v>
      </c>
      <c r="I1973" s="23" t="s">
        <v>5</v>
      </c>
      <c r="J1973" s="23" t="s">
        <v>327</v>
      </c>
    </row>
    <row r="1974" spans="1:10" s="20" customFormat="1" ht="12" x14ac:dyDescent="0.25">
      <c r="A1974" s="22">
        <v>1000098155</v>
      </c>
      <c r="B1974" s="23" t="s">
        <v>3379</v>
      </c>
      <c r="C1974" s="24" t="s">
        <v>4</v>
      </c>
      <c r="D1974" s="23" t="s">
        <v>2056</v>
      </c>
      <c r="E1974" s="23">
        <v>380.481652</v>
      </c>
      <c r="F1974" s="23">
        <v>30</v>
      </c>
      <c r="G1974" s="23">
        <v>30</v>
      </c>
      <c r="H1974" s="23">
        <v>0</v>
      </c>
      <c r="I1974" s="23" t="s">
        <v>5</v>
      </c>
      <c r="J1974" s="23" t="s">
        <v>1844</v>
      </c>
    </row>
    <row r="1975" spans="1:10" s="20" customFormat="1" ht="12" x14ac:dyDescent="0.25">
      <c r="A1975" s="22">
        <v>1000021409</v>
      </c>
      <c r="B1975" s="23" t="s">
        <v>1476</v>
      </c>
      <c r="C1975" s="24" t="s">
        <v>4</v>
      </c>
      <c r="D1975" s="23" t="s">
        <v>2090</v>
      </c>
      <c r="E1975" s="23">
        <v>380.15</v>
      </c>
      <c r="F1975" s="23">
        <v>10</v>
      </c>
      <c r="G1975" s="23">
        <v>10</v>
      </c>
      <c r="H1975" s="23">
        <v>0</v>
      </c>
      <c r="I1975" s="23" t="s">
        <v>5</v>
      </c>
      <c r="J1975" s="23" t="s">
        <v>327</v>
      </c>
    </row>
    <row r="1976" spans="1:10" s="20" customFormat="1" ht="12" x14ac:dyDescent="0.25">
      <c r="A1976" s="22">
        <v>1000020603</v>
      </c>
      <c r="B1976" s="23" t="s">
        <v>819</v>
      </c>
      <c r="C1976" s="24" t="s">
        <v>4</v>
      </c>
      <c r="D1976" s="23" t="s">
        <v>2090</v>
      </c>
      <c r="E1976" s="23">
        <v>380</v>
      </c>
      <c r="F1976" s="23">
        <v>50</v>
      </c>
      <c r="G1976" s="23">
        <v>50</v>
      </c>
      <c r="H1976" s="23">
        <v>0</v>
      </c>
      <c r="I1976" s="23" t="s">
        <v>5</v>
      </c>
      <c r="J1976" s="23" t="s">
        <v>327</v>
      </c>
    </row>
    <row r="1977" spans="1:10" s="20" customFormat="1" ht="12" x14ac:dyDescent="0.25">
      <c r="A1977" s="22">
        <v>1000020300</v>
      </c>
      <c r="B1977" s="23" t="s">
        <v>536</v>
      </c>
      <c r="C1977" s="24" t="s">
        <v>4</v>
      </c>
      <c r="D1977" s="23" t="s">
        <v>2090</v>
      </c>
      <c r="E1977" s="23">
        <v>379.88</v>
      </c>
      <c r="F1977" s="23">
        <v>4</v>
      </c>
      <c r="G1977" s="23">
        <v>4</v>
      </c>
      <c r="H1977" s="23">
        <v>0</v>
      </c>
      <c r="I1977" s="23" t="s">
        <v>5</v>
      </c>
      <c r="J1977" s="23" t="s">
        <v>327</v>
      </c>
    </row>
    <row r="1978" spans="1:10" s="20" customFormat="1" ht="12" x14ac:dyDescent="0.25">
      <c r="A1978" s="22">
        <v>1000020771</v>
      </c>
      <c r="B1978" s="23" t="s">
        <v>975</v>
      </c>
      <c r="C1978" s="24" t="s">
        <v>4</v>
      </c>
      <c r="D1978" s="23" t="s">
        <v>2090</v>
      </c>
      <c r="E1978" s="23">
        <v>379.61439272525701</v>
      </c>
      <c r="F1978" s="23">
        <v>1</v>
      </c>
      <c r="G1978" s="23">
        <v>1</v>
      </c>
      <c r="H1978" s="23">
        <v>0</v>
      </c>
      <c r="I1978" s="23" t="s">
        <v>5</v>
      </c>
      <c r="J1978" s="23" t="s">
        <v>327</v>
      </c>
    </row>
    <row r="1979" spans="1:10" s="20" customFormat="1" ht="12" x14ac:dyDescent="0.25">
      <c r="A1979" s="22">
        <v>1000020934</v>
      </c>
      <c r="B1979" s="23" t="s">
        <v>1113</v>
      </c>
      <c r="C1979" s="24" t="s">
        <v>4</v>
      </c>
      <c r="D1979" s="23" t="s">
        <v>2090</v>
      </c>
      <c r="E1979" s="23">
        <v>378.89</v>
      </c>
      <c r="F1979" s="23">
        <v>1</v>
      </c>
      <c r="G1979" s="23">
        <v>1</v>
      </c>
      <c r="H1979" s="23">
        <v>0</v>
      </c>
      <c r="I1979" s="23" t="s">
        <v>5</v>
      </c>
      <c r="J1979" s="23" t="s">
        <v>327</v>
      </c>
    </row>
    <row r="1980" spans="1:10" s="20" customFormat="1" ht="12" x14ac:dyDescent="0.25">
      <c r="A1980" s="22">
        <v>1000105833</v>
      </c>
      <c r="B1980" s="23" t="s">
        <v>3950</v>
      </c>
      <c r="C1980" s="24" t="s">
        <v>4</v>
      </c>
      <c r="D1980" s="23" t="s">
        <v>2056</v>
      </c>
      <c r="E1980" s="23">
        <v>378.84</v>
      </c>
      <c r="F1980" s="23">
        <v>30</v>
      </c>
      <c r="G1980" s="23">
        <v>30</v>
      </c>
      <c r="H1980" s="23">
        <v>0</v>
      </c>
      <c r="I1980" s="23" t="s">
        <v>5</v>
      </c>
      <c r="J1980" s="23" t="s">
        <v>1844</v>
      </c>
    </row>
    <row r="1981" spans="1:10" s="20" customFormat="1" ht="12" x14ac:dyDescent="0.25">
      <c r="A1981" s="22">
        <v>1000103196</v>
      </c>
      <c r="B1981" s="23" t="s">
        <v>1804</v>
      </c>
      <c r="C1981" s="24" t="s">
        <v>4</v>
      </c>
      <c r="D1981" s="23" t="s">
        <v>2090</v>
      </c>
      <c r="E1981" s="23">
        <v>378</v>
      </c>
      <c r="F1981" s="23">
        <v>2</v>
      </c>
      <c r="G1981" s="23">
        <v>2</v>
      </c>
      <c r="H1981" s="23">
        <v>0</v>
      </c>
      <c r="I1981" s="23" t="s">
        <v>5</v>
      </c>
      <c r="J1981" s="23" t="s">
        <v>327</v>
      </c>
    </row>
    <row r="1982" spans="1:10" s="20" customFormat="1" ht="12" x14ac:dyDescent="0.25">
      <c r="A1982" s="22">
        <v>1000020261</v>
      </c>
      <c r="B1982" s="23" t="s">
        <v>500</v>
      </c>
      <c r="C1982" s="24" t="s">
        <v>4</v>
      </c>
      <c r="D1982" s="23" t="s">
        <v>2090</v>
      </c>
      <c r="E1982" s="23">
        <v>377.58</v>
      </c>
      <c r="F1982" s="23">
        <v>31</v>
      </c>
      <c r="G1982" s="23">
        <v>25</v>
      </c>
      <c r="H1982" s="23">
        <v>6</v>
      </c>
      <c r="I1982" s="23" t="s">
        <v>44</v>
      </c>
      <c r="J1982" s="23" t="s">
        <v>327</v>
      </c>
    </row>
    <row r="1983" spans="1:10" s="20" customFormat="1" ht="12" x14ac:dyDescent="0.25">
      <c r="A1983" s="22">
        <v>1000020207</v>
      </c>
      <c r="B1983" s="23" t="s">
        <v>447</v>
      </c>
      <c r="C1983" s="24" t="s">
        <v>4</v>
      </c>
      <c r="D1983" s="23" t="s">
        <v>2090</v>
      </c>
      <c r="E1983" s="23">
        <v>377.2</v>
      </c>
      <c r="F1983" s="23">
        <v>4</v>
      </c>
      <c r="G1983" s="23">
        <v>4</v>
      </c>
      <c r="H1983" s="23">
        <v>0</v>
      </c>
      <c r="I1983" s="23" t="s">
        <v>5</v>
      </c>
      <c r="J1983" s="23" t="s">
        <v>327</v>
      </c>
    </row>
    <row r="1984" spans="1:10" s="20" customFormat="1" ht="12" x14ac:dyDescent="0.25">
      <c r="A1984" s="22">
        <v>2500008264</v>
      </c>
      <c r="B1984" s="23" t="s">
        <v>1926</v>
      </c>
      <c r="C1984" s="24" t="s">
        <v>1996</v>
      </c>
      <c r="D1984" s="23" t="s">
        <v>2025</v>
      </c>
      <c r="E1984" s="23">
        <v>376.69</v>
      </c>
      <c r="F1984" s="23">
        <v>4</v>
      </c>
      <c r="G1984" s="23">
        <v>4</v>
      </c>
      <c r="H1984" s="23">
        <v>0</v>
      </c>
      <c r="I1984" s="23" t="s">
        <v>5</v>
      </c>
      <c r="J1984" s="23" t="s">
        <v>1993</v>
      </c>
    </row>
    <row r="1985" spans="1:10" s="20" customFormat="1" ht="12" x14ac:dyDescent="0.25">
      <c r="A1985" s="22">
        <v>2200000286</v>
      </c>
      <c r="B1985" s="23" t="s">
        <v>3952</v>
      </c>
      <c r="C1985" s="24" t="s">
        <v>2037</v>
      </c>
      <c r="D1985" s="23" t="s">
        <v>2038</v>
      </c>
      <c r="E1985" s="23">
        <v>375.59</v>
      </c>
      <c r="F1985" s="23">
        <v>1</v>
      </c>
      <c r="G1985" s="23">
        <v>1</v>
      </c>
      <c r="H1985" s="23">
        <v>0</v>
      </c>
      <c r="I1985" s="23" t="s">
        <v>5</v>
      </c>
      <c r="J1985" s="23" t="s">
        <v>146</v>
      </c>
    </row>
    <row r="1986" spans="1:10" s="20" customFormat="1" ht="12" x14ac:dyDescent="0.25">
      <c r="A1986" s="22">
        <v>1000098459</v>
      </c>
      <c r="B1986" s="23" t="s">
        <v>1534</v>
      </c>
      <c r="C1986" s="24" t="s">
        <v>4</v>
      </c>
      <c r="D1986" s="23" t="s">
        <v>2090</v>
      </c>
      <c r="E1986" s="23">
        <v>375.45</v>
      </c>
      <c r="F1986" s="23">
        <v>1</v>
      </c>
      <c r="G1986" s="23">
        <v>1</v>
      </c>
      <c r="H1986" s="23">
        <v>0</v>
      </c>
      <c r="I1986" s="23" t="s">
        <v>5</v>
      </c>
      <c r="J1986" s="23" t="s">
        <v>327</v>
      </c>
    </row>
    <row r="1987" spans="1:10" s="20" customFormat="1" ht="12" x14ac:dyDescent="0.25">
      <c r="A1987" s="22">
        <v>2500008283</v>
      </c>
      <c r="B1987" s="23" t="s">
        <v>3954</v>
      </c>
      <c r="C1987" s="24" t="s">
        <v>1996</v>
      </c>
      <c r="D1987" s="23" t="s">
        <v>2025</v>
      </c>
      <c r="E1987" s="23">
        <v>375</v>
      </c>
      <c r="F1987" s="23">
        <v>1</v>
      </c>
      <c r="G1987" s="23">
        <v>1</v>
      </c>
      <c r="H1987" s="23">
        <v>0</v>
      </c>
      <c r="I1987" s="23" t="s">
        <v>5</v>
      </c>
      <c r="J1987" s="23" t="s">
        <v>1993</v>
      </c>
    </row>
    <row r="1988" spans="1:10" s="20" customFormat="1" ht="12" x14ac:dyDescent="0.25">
      <c r="A1988" s="22">
        <v>1000020819</v>
      </c>
      <c r="B1988" s="23" t="s">
        <v>1021</v>
      </c>
      <c r="C1988" s="24" t="s">
        <v>4</v>
      </c>
      <c r="D1988" s="23" t="s">
        <v>2090</v>
      </c>
      <c r="E1988" s="23">
        <v>373.61</v>
      </c>
      <c r="F1988" s="23">
        <v>1</v>
      </c>
      <c r="G1988" s="23">
        <v>1</v>
      </c>
      <c r="H1988" s="23">
        <v>0</v>
      </c>
      <c r="I1988" s="23" t="s">
        <v>5</v>
      </c>
      <c r="J1988" s="23" t="s">
        <v>327</v>
      </c>
    </row>
    <row r="1989" spans="1:10" s="20" customFormat="1" ht="12" x14ac:dyDescent="0.25">
      <c r="A1989" s="22">
        <v>1000103528</v>
      </c>
      <c r="B1989" s="23" t="s">
        <v>1830</v>
      </c>
      <c r="C1989" s="24" t="s">
        <v>4</v>
      </c>
      <c r="D1989" s="23" t="s">
        <v>2090</v>
      </c>
      <c r="E1989" s="23">
        <v>373.50400000000002</v>
      </c>
      <c r="F1989" s="23">
        <v>4</v>
      </c>
      <c r="G1989" s="23">
        <v>4</v>
      </c>
      <c r="H1989" s="23">
        <v>0</v>
      </c>
      <c r="I1989" s="23" t="s">
        <v>5</v>
      </c>
      <c r="J1989" s="23" t="s">
        <v>327</v>
      </c>
    </row>
    <row r="1990" spans="1:10" s="20" customFormat="1" ht="12" x14ac:dyDescent="0.25">
      <c r="A1990" s="22">
        <v>1000106594</v>
      </c>
      <c r="B1990" s="23" t="s">
        <v>129</v>
      </c>
      <c r="C1990" s="24" t="s">
        <v>4</v>
      </c>
      <c r="D1990" s="23" t="s">
        <v>2161</v>
      </c>
      <c r="E1990" s="23">
        <v>372.19333333333299</v>
      </c>
      <c r="F1990" s="23">
        <v>4</v>
      </c>
      <c r="G1990" s="23">
        <v>4</v>
      </c>
      <c r="H1990" s="23">
        <v>0</v>
      </c>
      <c r="I1990" s="23" t="s">
        <v>5</v>
      </c>
      <c r="J1990" s="23" t="s">
        <v>111</v>
      </c>
    </row>
    <row r="1991" spans="1:10" s="20" customFormat="1" ht="12" x14ac:dyDescent="0.25">
      <c r="A1991" s="22">
        <v>1000020309</v>
      </c>
      <c r="B1991" s="23" t="s">
        <v>545</v>
      </c>
      <c r="C1991" s="24" t="s">
        <v>4</v>
      </c>
      <c r="D1991" s="23" t="s">
        <v>2090</v>
      </c>
      <c r="E1991" s="23">
        <v>372.03</v>
      </c>
      <c r="F1991" s="23">
        <v>3</v>
      </c>
      <c r="G1991" s="23">
        <v>3</v>
      </c>
      <c r="H1991" s="23">
        <v>0</v>
      </c>
      <c r="I1991" s="23" t="s">
        <v>5</v>
      </c>
      <c r="J1991" s="23" t="s">
        <v>327</v>
      </c>
    </row>
    <row r="1992" spans="1:10" s="20" customFormat="1" ht="12" x14ac:dyDescent="0.25">
      <c r="A1992" s="22">
        <v>1000020625</v>
      </c>
      <c r="B1992" s="23" t="s">
        <v>840</v>
      </c>
      <c r="C1992" s="24" t="s">
        <v>4</v>
      </c>
      <c r="D1992" s="23" t="s">
        <v>2090</v>
      </c>
      <c r="E1992" s="23">
        <v>371.73</v>
      </c>
      <c r="F1992" s="23">
        <v>29</v>
      </c>
      <c r="G1992" s="23">
        <v>29</v>
      </c>
      <c r="H1992" s="23">
        <v>0</v>
      </c>
      <c r="I1992" s="23" t="s">
        <v>5</v>
      </c>
      <c r="J1992" s="23" t="s">
        <v>327</v>
      </c>
    </row>
    <row r="1993" spans="1:10" s="20" customFormat="1" ht="12" x14ac:dyDescent="0.25">
      <c r="A1993" s="22">
        <v>1000098524</v>
      </c>
      <c r="B1993" s="23" t="s">
        <v>1558</v>
      </c>
      <c r="C1993" s="24" t="s">
        <v>4</v>
      </c>
      <c r="D1993" s="23" t="s">
        <v>2090</v>
      </c>
      <c r="E1993" s="23">
        <v>370.89600000000002</v>
      </c>
      <c r="F1993" s="23">
        <v>3</v>
      </c>
      <c r="G1993" s="23">
        <v>3</v>
      </c>
      <c r="H1993" s="23">
        <v>0</v>
      </c>
      <c r="I1993" s="23" t="s">
        <v>5</v>
      </c>
      <c r="J1993" s="23" t="s">
        <v>327</v>
      </c>
    </row>
    <row r="1994" spans="1:10" s="20" customFormat="1" ht="12" x14ac:dyDescent="0.25">
      <c r="A1994" s="22">
        <v>1000020286</v>
      </c>
      <c r="B1994" s="23" t="s">
        <v>522</v>
      </c>
      <c r="C1994" s="24" t="s">
        <v>4</v>
      </c>
      <c r="D1994" s="23" t="s">
        <v>2090</v>
      </c>
      <c r="E1994" s="23">
        <v>370.7</v>
      </c>
      <c r="F1994" s="23">
        <v>10</v>
      </c>
      <c r="G1994" s="23">
        <v>10</v>
      </c>
      <c r="H1994" s="23">
        <v>0</v>
      </c>
      <c r="I1994" s="23" t="s">
        <v>5</v>
      </c>
      <c r="J1994" s="23" t="s">
        <v>327</v>
      </c>
    </row>
    <row r="1995" spans="1:10" s="20" customFormat="1" ht="12" x14ac:dyDescent="0.25">
      <c r="A1995" s="22">
        <v>1000020327</v>
      </c>
      <c r="B1995" s="23" t="s">
        <v>561</v>
      </c>
      <c r="C1995" s="24" t="s">
        <v>4</v>
      </c>
      <c r="D1995" s="23" t="s">
        <v>2090</v>
      </c>
      <c r="E1995" s="23">
        <v>370.52</v>
      </c>
      <c r="F1995" s="23">
        <v>2</v>
      </c>
      <c r="G1995" s="23">
        <v>2</v>
      </c>
      <c r="H1995" s="23">
        <v>0</v>
      </c>
      <c r="I1995" s="23" t="s">
        <v>5</v>
      </c>
      <c r="J1995" s="23" t="s">
        <v>327</v>
      </c>
    </row>
    <row r="1996" spans="1:10" s="20" customFormat="1" ht="12" x14ac:dyDescent="0.25">
      <c r="A1996" s="22">
        <v>1000020530</v>
      </c>
      <c r="B1996" s="23" t="s">
        <v>751</v>
      </c>
      <c r="C1996" s="24" t="s">
        <v>4</v>
      </c>
      <c r="D1996" s="23" t="s">
        <v>2090</v>
      </c>
      <c r="E1996" s="23">
        <v>370.48</v>
      </c>
      <c r="F1996" s="23">
        <v>1</v>
      </c>
      <c r="G1996" s="23">
        <v>1</v>
      </c>
      <c r="H1996" s="23">
        <v>0</v>
      </c>
      <c r="I1996" s="23" t="s">
        <v>5</v>
      </c>
      <c r="J1996" s="23" t="s">
        <v>327</v>
      </c>
    </row>
    <row r="1997" spans="1:10" s="20" customFormat="1" ht="12" x14ac:dyDescent="0.25">
      <c r="A1997" s="22">
        <v>1000020694</v>
      </c>
      <c r="B1997" s="23" t="s">
        <v>906</v>
      </c>
      <c r="C1997" s="24" t="s">
        <v>4</v>
      </c>
      <c r="D1997" s="23" t="s">
        <v>2090</v>
      </c>
      <c r="E1997" s="23">
        <v>370.32</v>
      </c>
      <c r="F1997" s="23">
        <v>4</v>
      </c>
      <c r="G1997" s="23">
        <v>4</v>
      </c>
      <c r="H1997" s="23">
        <v>0</v>
      </c>
      <c r="I1997" s="23" t="s">
        <v>5</v>
      </c>
      <c r="J1997" s="23" t="s">
        <v>327</v>
      </c>
    </row>
    <row r="1998" spans="1:10" s="20" customFormat="1" ht="12" x14ac:dyDescent="0.25">
      <c r="A1998" s="22">
        <v>1000106189</v>
      </c>
      <c r="B1998" s="23" t="s">
        <v>3957</v>
      </c>
      <c r="C1998" s="24" t="s">
        <v>4</v>
      </c>
      <c r="D1998" s="23" t="s">
        <v>2056</v>
      </c>
      <c r="E1998" s="23">
        <v>369.53</v>
      </c>
      <c r="F1998" s="23">
        <v>4</v>
      </c>
      <c r="G1998" s="23">
        <v>4</v>
      </c>
      <c r="H1998" s="23">
        <v>0</v>
      </c>
      <c r="I1998" s="23" t="s">
        <v>5</v>
      </c>
      <c r="J1998" s="23" t="s">
        <v>1844</v>
      </c>
    </row>
    <row r="1999" spans="1:10" s="20" customFormat="1" ht="12" x14ac:dyDescent="0.25">
      <c r="A1999" s="22">
        <v>1000021190</v>
      </c>
      <c r="B1999" s="23" t="s">
        <v>1337</v>
      </c>
      <c r="C1999" s="24" t="s">
        <v>4</v>
      </c>
      <c r="D1999" s="23" t="s">
        <v>2218</v>
      </c>
      <c r="E1999" s="23">
        <v>367.65</v>
      </c>
      <c r="F1999" s="23">
        <v>3</v>
      </c>
      <c r="G1999" s="23">
        <v>3</v>
      </c>
      <c r="H1999" s="23">
        <v>0</v>
      </c>
      <c r="I1999" s="23" t="s">
        <v>5</v>
      </c>
      <c r="J1999" s="23" t="s">
        <v>327</v>
      </c>
    </row>
    <row r="2000" spans="1:10" s="20" customFormat="1" ht="12" x14ac:dyDescent="0.25">
      <c r="A2000" s="22">
        <v>1000021194</v>
      </c>
      <c r="B2000" s="23" t="s">
        <v>1341</v>
      </c>
      <c r="C2000" s="24" t="s">
        <v>4</v>
      </c>
      <c r="D2000" s="23" t="s">
        <v>2090</v>
      </c>
      <c r="E2000" s="23">
        <v>366.24</v>
      </c>
      <c r="F2000" s="23">
        <v>4</v>
      </c>
      <c r="G2000" s="23">
        <v>4</v>
      </c>
      <c r="H2000" s="23">
        <v>0</v>
      </c>
      <c r="I2000" s="23" t="s">
        <v>5</v>
      </c>
      <c r="J2000" s="23" t="s">
        <v>327</v>
      </c>
    </row>
    <row r="2001" spans="1:10" s="20" customFormat="1" ht="12" x14ac:dyDescent="0.25">
      <c r="A2001" s="22">
        <v>1000020927</v>
      </c>
      <c r="B2001" s="23" t="s">
        <v>1107</v>
      </c>
      <c r="C2001" s="24" t="s">
        <v>4</v>
      </c>
      <c r="D2001" s="23" t="s">
        <v>2090</v>
      </c>
      <c r="E2001" s="23">
        <v>365.37</v>
      </c>
      <c r="F2001" s="23">
        <v>3</v>
      </c>
      <c r="G2001" s="23">
        <v>3</v>
      </c>
      <c r="H2001" s="23">
        <v>0</v>
      </c>
      <c r="I2001" s="23" t="s">
        <v>5</v>
      </c>
      <c r="J2001" s="23" t="s">
        <v>327</v>
      </c>
    </row>
    <row r="2002" spans="1:10" s="20" customFormat="1" ht="12" x14ac:dyDescent="0.25">
      <c r="A2002" s="22">
        <v>2500008232</v>
      </c>
      <c r="B2002" s="23" t="s">
        <v>3958</v>
      </c>
      <c r="C2002" s="24" t="s">
        <v>1996</v>
      </c>
      <c r="D2002" s="23" t="s">
        <v>2025</v>
      </c>
      <c r="E2002" s="23">
        <v>365.20499999999998</v>
      </c>
      <c r="F2002" s="23">
        <v>7</v>
      </c>
      <c r="G2002" s="23">
        <v>7</v>
      </c>
      <c r="H2002" s="23">
        <v>0</v>
      </c>
      <c r="I2002" s="23" t="s">
        <v>5</v>
      </c>
      <c r="J2002" s="23" t="s">
        <v>1993</v>
      </c>
    </row>
    <row r="2003" spans="1:10" s="20" customFormat="1" ht="12" x14ac:dyDescent="0.25">
      <c r="A2003" s="22">
        <v>1000098703</v>
      </c>
      <c r="B2003" s="23" t="s">
        <v>1653</v>
      </c>
      <c r="C2003" s="24" t="s">
        <v>4</v>
      </c>
      <c r="D2003" s="23" t="s">
        <v>2090</v>
      </c>
      <c r="E2003" s="23">
        <v>364.42</v>
      </c>
      <c r="F2003" s="23">
        <v>2</v>
      </c>
      <c r="G2003" s="23">
        <v>2</v>
      </c>
      <c r="H2003" s="23">
        <v>0</v>
      </c>
      <c r="I2003" s="23" t="s">
        <v>5</v>
      </c>
      <c r="J2003" s="23" t="s">
        <v>327</v>
      </c>
    </row>
    <row r="2004" spans="1:10" s="20" customFormat="1" ht="12" x14ac:dyDescent="0.25">
      <c r="A2004" s="22">
        <v>1000103148</v>
      </c>
      <c r="B2004" s="23" t="s">
        <v>3959</v>
      </c>
      <c r="C2004" s="24" t="s">
        <v>4</v>
      </c>
      <c r="D2004" s="23" t="s">
        <v>2218</v>
      </c>
      <c r="E2004" s="23">
        <v>363.94</v>
      </c>
      <c r="F2004" s="23">
        <v>1</v>
      </c>
      <c r="G2004" s="23">
        <v>1</v>
      </c>
      <c r="H2004" s="23">
        <v>0</v>
      </c>
      <c r="I2004" s="23" t="s">
        <v>5</v>
      </c>
      <c r="J2004" s="23" t="s">
        <v>327</v>
      </c>
    </row>
    <row r="2005" spans="1:10" s="20" customFormat="1" ht="12" x14ac:dyDescent="0.25">
      <c r="A2005" s="22">
        <v>1000021013</v>
      </c>
      <c r="B2005" s="23" t="s">
        <v>1185</v>
      </c>
      <c r="C2005" s="24" t="s">
        <v>4</v>
      </c>
      <c r="D2005" s="23" t="s">
        <v>2090</v>
      </c>
      <c r="E2005" s="23">
        <v>362.2</v>
      </c>
      <c r="F2005" s="23">
        <v>2</v>
      </c>
      <c r="G2005" s="23">
        <v>2</v>
      </c>
      <c r="H2005" s="23">
        <v>0</v>
      </c>
      <c r="I2005" s="23" t="s">
        <v>5</v>
      </c>
      <c r="J2005" s="23" t="s">
        <v>327</v>
      </c>
    </row>
    <row r="2006" spans="1:10" s="20" customFormat="1" ht="12" x14ac:dyDescent="0.25">
      <c r="A2006" s="22">
        <v>1000021014</v>
      </c>
      <c r="B2006" s="23" t="s">
        <v>1186</v>
      </c>
      <c r="C2006" s="24" t="s">
        <v>4</v>
      </c>
      <c r="D2006" s="23" t="s">
        <v>2090</v>
      </c>
      <c r="E2006" s="23">
        <v>362.2</v>
      </c>
      <c r="F2006" s="23">
        <v>2</v>
      </c>
      <c r="G2006" s="23">
        <v>2</v>
      </c>
      <c r="H2006" s="23">
        <v>0</v>
      </c>
      <c r="I2006" s="23" t="s">
        <v>5</v>
      </c>
      <c r="J2006" s="23" t="s">
        <v>327</v>
      </c>
    </row>
    <row r="2007" spans="1:10" s="20" customFormat="1" ht="12" x14ac:dyDescent="0.25">
      <c r="A2007" s="22">
        <v>1000020483</v>
      </c>
      <c r="B2007" s="23" t="s">
        <v>709</v>
      </c>
      <c r="C2007" s="24" t="s">
        <v>4</v>
      </c>
      <c r="D2007" s="23" t="s">
        <v>2090</v>
      </c>
      <c r="E2007" s="23">
        <v>360.98467391304303</v>
      </c>
      <c r="F2007" s="23">
        <v>7</v>
      </c>
      <c r="G2007" s="23">
        <v>7</v>
      </c>
      <c r="H2007" s="23">
        <v>0</v>
      </c>
      <c r="I2007" s="23" t="s">
        <v>5</v>
      </c>
      <c r="J2007" s="23" t="s">
        <v>327</v>
      </c>
    </row>
    <row r="2008" spans="1:10" s="20" customFormat="1" ht="12" x14ac:dyDescent="0.25">
      <c r="A2008" s="22">
        <v>2500008375</v>
      </c>
      <c r="B2008" s="23" t="s">
        <v>3962</v>
      </c>
      <c r="C2008" s="24" t="s">
        <v>1996</v>
      </c>
      <c r="D2008" s="23" t="s">
        <v>2025</v>
      </c>
      <c r="E2008" s="23">
        <v>360</v>
      </c>
      <c r="F2008" s="23">
        <v>1</v>
      </c>
      <c r="G2008" s="23">
        <v>1</v>
      </c>
      <c r="H2008" s="23">
        <v>0</v>
      </c>
      <c r="I2008" s="23" t="s">
        <v>5</v>
      </c>
      <c r="J2008" s="23" t="s">
        <v>1993</v>
      </c>
    </row>
    <row r="2009" spans="1:10" s="20" customFormat="1" ht="12" x14ac:dyDescent="0.25">
      <c r="A2009" s="22">
        <v>1000108371</v>
      </c>
      <c r="B2009" s="23" t="s">
        <v>3965</v>
      </c>
      <c r="C2009" s="24" t="s">
        <v>4</v>
      </c>
      <c r="D2009" s="23" t="s">
        <v>2056</v>
      </c>
      <c r="E2009" s="23">
        <v>358.99</v>
      </c>
      <c r="F2009" s="23">
        <v>8</v>
      </c>
      <c r="G2009" s="23">
        <v>8</v>
      </c>
      <c r="H2009" s="23">
        <v>0</v>
      </c>
      <c r="I2009" s="23" t="s">
        <v>5</v>
      </c>
      <c r="J2009" s="23" t="s">
        <v>1844</v>
      </c>
    </row>
    <row r="2010" spans="1:10" s="20" customFormat="1" ht="12" x14ac:dyDescent="0.25">
      <c r="A2010" s="22">
        <v>1000021071</v>
      </c>
      <c r="B2010" s="23" t="s">
        <v>1233</v>
      </c>
      <c r="C2010" s="24" t="s">
        <v>4</v>
      </c>
      <c r="D2010" s="23" t="s">
        <v>2090</v>
      </c>
      <c r="E2010" s="23">
        <v>357.14</v>
      </c>
      <c r="F2010" s="23">
        <v>2</v>
      </c>
      <c r="G2010" s="23">
        <v>2</v>
      </c>
      <c r="H2010" s="23">
        <v>0</v>
      </c>
      <c r="I2010" s="23" t="s">
        <v>5</v>
      </c>
      <c r="J2010" s="23" t="s">
        <v>327</v>
      </c>
    </row>
    <row r="2011" spans="1:10" s="20" customFormat="1" ht="12" x14ac:dyDescent="0.25">
      <c r="A2011" s="22">
        <v>1000020136</v>
      </c>
      <c r="B2011" s="23" t="s">
        <v>390</v>
      </c>
      <c r="C2011" s="24" t="s">
        <v>4</v>
      </c>
      <c r="D2011" s="23" t="s">
        <v>2090</v>
      </c>
      <c r="E2011" s="23">
        <v>357</v>
      </c>
      <c r="F2011" s="23">
        <v>20</v>
      </c>
      <c r="G2011" s="23">
        <v>20</v>
      </c>
      <c r="H2011" s="23">
        <v>0</v>
      </c>
      <c r="I2011" s="23" t="s">
        <v>5</v>
      </c>
      <c r="J2011" s="23" t="s">
        <v>327</v>
      </c>
    </row>
    <row r="2012" spans="1:10" s="20" customFormat="1" ht="12" x14ac:dyDescent="0.25">
      <c r="A2012" s="22">
        <v>2500008213</v>
      </c>
      <c r="B2012" s="23" t="s">
        <v>3969</v>
      </c>
      <c r="C2012" s="24" t="s">
        <v>1996</v>
      </c>
      <c r="D2012" s="23" t="s">
        <v>2025</v>
      </c>
      <c r="E2012" s="23">
        <v>354.75</v>
      </c>
      <c r="F2012" s="23">
        <v>3</v>
      </c>
      <c r="G2012" s="23">
        <v>3</v>
      </c>
      <c r="H2012" s="23">
        <v>0</v>
      </c>
      <c r="I2012" s="23" t="s">
        <v>5</v>
      </c>
      <c r="J2012" s="23" t="s">
        <v>1993</v>
      </c>
    </row>
    <row r="2013" spans="1:10" s="20" customFormat="1" ht="12" x14ac:dyDescent="0.25">
      <c r="A2013" s="22">
        <v>1000098603</v>
      </c>
      <c r="B2013" s="23" t="s">
        <v>1608</v>
      </c>
      <c r="C2013" s="24" t="s">
        <v>4</v>
      </c>
      <c r="D2013" s="23" t="s">
        <v>2090</v>
      </c>
      <c r="E2013" s="23">
        <v>353.48</v>
      </c>
      <c r="F2013" s="23">
        <v>2</v>
      </c>
      <c r="G2013" s="23">
        <v>2</v>
      </c>
      <c r="H2013" s="23">
        <v>0</v>
      </c>
      <c r="I2013" s="23" t="s">
        <v>5</v>
      </c>
      <c r="J2013" s="23" t="s">
        <v>327</v>
      </c>
    </row>
    <row r="2014" spans="1:10" s="20" customFormat="1" ht="12" x14ac:dyDescent="0.25">
      <c r="A2014" s="22">
        <v>1000098669</v>
      </c>
      <c r="B2014" s="23" t="s">
        <v>1629</v>
      </c>
      <c r="C2014" s="24" t="s">
        <v>4</v>
      </c>
      <c r="D2014" s="23" t="s">
        <v>2090</v>
      </c>
      <c r="E2014" s="23">
        <v>353.33333333333297</v>
      </c>
      <c r="F2014" s="23">
        <v>2</v>
      </c>
      <c r="G2014" s="23">
        <v>2</v>
      </c>
      <c r="H2014" s="23">
        <v>0</v>
      </c>
      <c r="I2014" s="23" t="s">
        <v>5</v>
      </c>
      <c r="J2014" s="23" t="s">
        <v>327</v>
      </c>
    </row>
    <row r="2015" spans="1:10" s="20" customFormat="1" ht="12" x14ac:dyDescent="0.25">
      <c r="A2015" s="22">
        <v>1000096240</v>
      </c>
      <c r="B2015" s="23" t="s">
        <v>3972</v>
      </c>
      <c r="C2015" s="24" t="s">
        <v>4</v>
      </c>
      <c r="D2015" s="23" t="s">
        <v>2090</v>
      </c>
      <c r="E2015" s="23">
        <v>351.14166666666603</v>
      </c>
      <c r="F2015" s="23">
        <v>2</v>
      </c>
      <c r="G2015" s="23">
        <v>2</v>
      </c>
      <c r="H2015" s="23">
        <v>0</v>
      </c>
      <c r="I2015" s="23" t="s">
        <v>5</v>
      </c>
      <c r="J2015" s="23" t="s">
        <v>327</v>
      </c>
    </row>
    <row r="2016" spans="1:10" s="20" customFormat="1" ht="12" x14ac:dyDescent="0.25">
      <c r="A2016" s="22">
        <v>1000020920</v>
      </c>
      <c r="B2016" s="23" t="s">
        <v>1100</v>
      </c>
      <c r="C2016" s="24" t="s">
        <v>4</v>
      </c>
      <c r="D2016" s="23" t="s">
        <v>2090</v>
      </c>
      <c r="E2016" s="23">
        <v>349.96</v>
      </c>
      <c r="F2016" s="23">
        <v>2</v>
      </c>
      <c r="G2016" s="23">
        <v>2</v>
      </c>
      <c r="H2016" s="23">
        <v>0</v>
      </c>
      <c r="I2016" s="23" t="s">
        <v>5</v>
      </c>
      <c r="J2016" s="23" t="s">
        <v>327</v>
      </c>
    </row>
    <row r="2017" spans="1:10" s="20" customFormat="1" ht="12" x14ac:dyDescent="0.25">
      <c r="A2017" s="22">
        <v>1000106052</v>
      </c>
      <c r="B2017" s="23" t="s">
        <v>3973</v>
      </c>
      <c r="C2017" s="24" t="s">
        <v>4</v>
      </c>
      <c r="D2017" s="23" t="s">
        <v>2161</v>
      </c>
      <c r="E2017" s="23">
        <v>349.92</v>
      </c>
      <c r="F2017" s="23">
        <v>2</v>
      </c>
      <c r="G2017" s="23">
        <v>2</v>
      </c>
      <c r="H2017" s="23">
        <v>0</v>
      </c>
      <c r="I2017" s="23" t="s">
        <v>5</v>
      </c>
      <c r="J2017" s="23" t="s">
        <v>111</v>
      </c>
    </row>
    <row r="2018" spans="1:10" s="20" customFormat="1" ht="12" x14ac:dyDescent="0.25">
      <c r="A2018" s="22">
        <v>1000102177</v>
      </c>
      <c r="B2018" s="23" t="s">
        <v>3974</v>
      </c>
      <c r="C2018" s="24" t="s">
        <v>4</v>
      </c>
      <c r="D2018" s="23" t="s">
        <v>2056</v>
      </c>
      <c r="E2018" s="23">
        <v>349.69499999999999</v>
      </c>
      <c r="F2018" s="23">
        <v>5</v>
      </c>
      <c r="G2018" s="23">
        <v>5</v>
      </c>
      <c r="H2018" s="23">
        <v>0</v>
      </c>
      <c r="I2018" s="23" t="s">
        <v>5</v>
      </c>
      <c r="J2018" s="23" t="s">
        <v>1844</v>
      </c>
    </row>
    <row r="2019" spans="1:10" s="20" customFormat="1" ht="12" x14ac:dyDescent="0.25">
      <c r="A2019" s="22">
        <v>1000108976</v>
      </c>
      <c r="B2019" s="23" t="s">
        <v>3975</v>
      </c>
      <c r="C2019" s="24" t="s">
        <v>4</v>
      </c>
      <c r="D2019" s="23" t="s">
        <v>2056</v>
      </c>
      <c r="E2019" s="23">
        <v>349.23</v>
      </c>
      <c r="F2019" s="23">
        <v>9</v>
      </c>
      <c r="G2019" s="23">
        <v>9</v>
      </c>
      <c r="H2019" s="23">
        <v>0</v>
      </c>
      <c r="I2019" s="23" t="s">
        <v>5</v>
      </c>
      <c r="J2019" s="23" t="s">
        <v>1844</v>
      </c>
    </row>
    <row r="2020" spans="1:10" s="20" customFormat="1" ht="12" x14ac:dyDescent="0.25">
      <c r="A2020" s="22">
        <v>1000020096</v>
      </c>
      <c r="B2020" s="23" t="s">
        <v>353</v>
      </c>
      <c r="C2020" s="24" t="s">
        <v>4</v>
      </c>
      <c r="D2020" s="23" t="s">
        <v>2090</v>
      </c>
      <c r="E2020" s="23">
        <v>348.98</v>
      </c>
      <c r="F2020" s="23">
        <v>2</v>
      </c>
      <c r="G2020" s="23">
        <v>2</v>
      </c>
      <c r="H2020" s="23">
        <v>0</v>
      </c>
      <c r="I2020" s="23" t="s">
        <v>5</v>
      </c>
      <c r="J2020" s="23" t="s">
        <v>327</v>
      </c>
    </row>
    <row r="2021" spans="1:10" s="20" customFormat="1" ht="12" x14ac:dyDescent="0.25">
      <c r="A2021" s="22">
        <v>1000020345</v>
      </c>
      <c r="B2021" s="23" t="s">
        <v>577</v>
      </c>
      <c r="C2021" s="24" t="s">
        <v>4</v>
      </c>
      <c r="D2021" s="23" t="s">
        <v>2090</v>
      </c>
      <c r="E2021" s="23">
        <v>348.67190384615299</v>
      </c>
      <c r="F2021" s="23">
        <v>17</v>
      </c>
      <c r="G2021" s="23">
        <v>17</v>
      </c>
      <c r="H2021" s="23">
        <v>0</v>
      </c>
      <c r="I2021" s="23" t="s">
        <v>5</v>
      </c>
      <c r="J2021" s="23" t="s">
        <v>327</v>
      </c>
    </row>
    <row r="2022" spans="1:10" s="20" customFormat="1" ht="12" x14ac:dyDescent="0.25">
      <c r="A2022" s="22">
        <v>1000093664</v>
      </c>
      <c r="B2022" s="23" t="s">
        <v>2181</v>
      </c>
      <c r="C2022" s="24" t="s">
        <v>4</v>
      </c>
      <c r="D2022" s="23" t="s">
        <v>2056</v>
      </c>
      <c r="E2022" s="23">
        <v>347.31679203577602</v>
      </c>
      <c r="F2022" s="23">
        <v>121</v>
      </c>
      <c r="G2022" s="23">
        <v>121</v>
      </c>
      <c r="H2022" s="23">
        <v>0</v>
      </c>
      <c r="I2022" s="23" t="s">
        <v>5</v>
      </c>
      <c r="J2022" s="23" t="s">
        <v>1844</v>
      </c>
    </row>
    <row r="2023" spans="1:10" s="20" customFormat="1" ht="12" x14ac:dyDescent="0.25">
      <c r="A2023" s="22">
        <v>1000021001</v>
      </c>
      <c r="B2023" s="23" t="s">
        <v>1174</v>
      </c>
      <c r="C2023" s="24" t="s">
        <v>4</v>
      </c>
      <c r="D2023" s="23" t="s">
        <v>2090</v>
      </c>
      <c r="E2023" s="23">
        <v>346.54</v>
      </c>
      <c r="F2023" s="23">
        <v>1</v>
      </c>
      <c r="G2023" s="23">
        <v>1</v>
      </c>
      <c r="H2023" s="23">
        <v>0</v>
      </c>
      <c r="I2023" s="23" t="s">
        <v>5</v>
      </c>
      <c r="J2023" s="23" t="s">
        <v>327</v>
      </c>
    </row>
    <row r="2024" spans="1:10" s="20" customFormat="1" ht="12" x14ac:dyDescent="0.25">
      <c r="A2024" s="22">
        <v>1000020315</v>
      </c>
      <c r="B2024" s="23" t="s">
        <v>550</v>
      </c>
      <c r="C2024" s="24" t="s">
        <v>4</v>
      </c>
      <c r="D2024" s="23" t="s">
        <v>2090</v>
      </c>
      <c r="E2024" s="23">
        <v>346.02</v>
      </c>
      <c r="F2024" s="23">
        <v>2</v>
      </c>
      <c r="G2024" s="23">
        <v>2</v>
      </c>
      <c r="H2024" s="23">
        <v>0</v>
      </c>
      <c r="I2024" s="23" t="s">
        <v>5</v>
      </c>
      <c r="J2024" s="23" t="s">
        <v>327</v>
      </c>
    </row>
    <row r="2025" spans="1:10" s="20" customFormat="1" ht="12" x14ac:dyDescent="0.25">
      <c r="A2025" s="22">
        <v>1000021103</v>
      </c>
      <c r="B2025" s="23" t="s">
        <v>1264</v>
      </c>
      <c r="C2025" s="24" t="s">
        <v>4</v>
      </c>
      <c r="D2025" s="23" t="s">
        <v>2090</v>
      </c>
      <c r="E2025" s="23">
        <v>345.91</v>
      </c>
      <c r="F2025" s="23">
        <v>1</v>
      </c>
      <c r="G2025" s="23">
        <v>1</v>
      </c>
      <c r="H2025" s="23">
        <v>0</v>
      </c>
      <c r="I2025" s="23" t="s">
        <v>5</v>
      </c>
      <c r="J2025" s="23" t="s">
        <v>327</v>
      </c>
    </row>
    <row r="2026" spans="1:10" s="20" customFormat="1" ht="12" x14ac:dyDescent="0.25">
      <c r="A2026" s="22">
        <v>1000106070</v>
      </c>
      <c r="B2026" s="23" t="s">
        <v>3976</v>
      </c>
      <c r="C2026" s="24" t="s">
        <v>4</v>
      </c>
      <c r="D2026" s="23" t="s">
        <v>2161</v>
      </c>
      <c r="E2026" s="23">
        <v>345.24</v>
      </c>
      <c r="F2026" s="23">
        <v>2</v>
      </c>
      <c r="G2026" s="23">
        <v>2</v>
      </c>
      <c r="H2026" s="23">
        <v>0</v>
      </c>
      <c r="I2026" s="23" t="s">
        <v>5</v>
      </c>
      <c r="J2026" s="23" t="s">
        <v>111</v>
      </c>
    </row>
    <row r="2027" spans="1:10" s="20" customFormat="1" ht="12" x14ac:dyDescent="0.25">
      <c r="A2027" s="22">
        <v>1000099286</v>
      </c>
      <c r="B2027" s="23" t="s">
        <v>3977</v>
      </c>
      <c r="C2027" s="24" t="s">
        <v>4</v>
      </c>
      <c r="D2027" s="23" t="s">
        <v>2090</v>
      </c>
      <c r="E2027" s="23">
        <v>343.69</v>
      </c>
      <c r="F2027" s="23">
        <v>1</v>
      </c>
      <c r="G2027" s="23">
        <v>1</v>
      </c>
      <c r="H2027" s="23">
        <v>0</v>
      </c>
      <c r="I2027" s="23" t="s">
        <v>5</v>
      </c>
      <c r="J2027" s="23" t="s">
        <v>327</v>
      </c>
    </row>
    <row r="2028" spans="1:10" s="20" customFormat="1" ht="12" x14ac:dyDescent="0.25">
      <c r="A2028" s="22">
        <v>1000099335</v>
      </c>
      <c r="B2028" s="23" t="s">
        <v>3978</v>
      </c>
      <c r="C2028" s="24" t="s">
        <v>4</v>
      </c>
      <c r="D2028" s="23" t="s">
        <v>2161</v>
      </c>
      <c r="E2028" s="23">
        <v>342</v>
      </c>
      <c r="F2028" s="23">
        <v>3</v>
      </c>
      <c r="G2028" s="23">
        <v>3</v>
      </c>
      <c r="H2028" s="23">
        <v>0</v>
      </c>
      <c r="I2028" s="23" t="s">
        <v>5</v>
      </c>
      <c r="J2028" s="23" t="s">
        <v>111</v>
      </c>
    </row>
    <row r="2029" spans="1:10" s="20" customFormat="1" ht="12" x14ac:dyDescent="0.25">
      <c r="A2029" s="22">
        <v>1000020394</v>
      </c>
      <c r="B2029" s="23" t="s">
        <v>624</v>
      </c>
      <c r="C2029" s="24" t="s">
        <v>4</v>
      </c>
      <c r="D2029" s="23" t="s">
        <v>2090</v>
      </c>
      <c r="E2029" s="23">
        <v>341.82</v>
      </c>
      <c r="F2029" s="23">
        <v>3</v>
      </c>
      <c r="G2029" s="23">
        <v>3</v>
      </c>
      <c r="H2029" s="23">
        <v>0</v>
      </c>
      <c r="I2029" s="23" t="s">
        <v>5</v>
      </c>
      <c r="J2029" s="23" t="s">
        <v>327</v>
      </c>
    </row>
    <row r="2030" spans="1:10" s="20" customFormat="1" ht="12" x14ac:dyDescent="0.25">
      <c r="A2030" s="22">
        <v>1000101488</v>
      </c>
      <c r="B2030" s="23" t="s">
        <v>1854</v>
      </c>
      <c r="C2030" s="24" t="s">
        <v>4</v>
      </c>
      <c r="D2030" s="23" t="s">
        <v>2056</v>
      </c>
      <c r="E2030" s="23">
        <v>341.4</v>
      </c>
      <c r="F2030" s="23">
        <v>100</v>
      </c>
      <c r="G2030" s="23">
        <v>100</v>
      </c>
      <c r="H2030" s="23">
        <v>0</v>
      </c>
      <c r="I2030" s="23" t="s">
        <v>5</v>
      </c>
      <c r="J2030" s="23" t="s">
        <v>1844</v>
      </c>
    </row>
    <row r="2031" spans="1:10" s="20" customFormat="1" ht="12" x14ac:dyDescent="0.25">
      <c r="A2031" s="22">
        <v>1000021104</v>
      </c>
      <c r="B2031" s="23" t="s">
        <v>1265</v>
      </c>
      <c r="C2031" s="24" t="s">
        <v>4</v>
      </c>
      <c r="D2031" s="23" t="s">
        <v>2090</v>
      </c>
      <c r="E2031" s="23">
        <v>340.33499999999998</v>
      </c>
      <c r="F2031" s="23">
        <v>1</v>
      </c>
      <c r="G2031" s="23">
        <v>1</v>
      </c>
      <c r="H2031" s="23">
        <v>0</v>
      </c>
      <c r="I2031" s="23" t="s">
        <v>5</v>
      </c>
      <c r="J2031" s="23" t="s">
        <v>327</v>
      </c>
    </row>
    <row r="2032" spans="1:10" s="20" customFormat="1" ht="12" x14ac:dyDescent="0.25">
      <c r="A2032" s="22">
        <v>1000020082</v>
      </c>
      <c r="B2032" s="23" t="s">
        <v>341</v>
      </c>
      <c r="C2032" s="24" t="s">
        <v>4</v>
      </c>
      <c r="D2032" s="23" t="s">
        <v>2090</v>
      </c>
      <c r="E2032" s="23">
        <v>340.23</v>
      </c>
      <c r="F2032" s="23">
        <v>3</v>
      </c>
      <c r="G2032" s="23">
        <v>3</v>
      </c>
      <c r="H2032" s="23">
        <v>0</v>
      </c>
      <c r="I2032" s="23" t="s">
        <v>5</v>
      </c>
      <c r="J2032" s="23" t="s">
        <v>327</v>
      </c>
    </row>
    <row r="2033" spans="1:10" s="20" customFormat="1" ht="12" x14ac:dyDescent="0.25">
      <c r="A2033" s="22">
        <v>1000110716</v>
      </c>
      <c r="B2033" s="23" t="s">
        <v>3979</v>
      </c>
      <c r="C2033" s="24" t="s">
        <v>4</v>
      </c>
      <c r="D2033" s="23" t="s">
        <v>2855</v>
      </c>
      <c r="E2033" s="23">
        <v>340</v>
      </c>
      <c r="F2033" s="23">
        <v>25</v>
      </c>
      <c r="G2033" s="23">
        <v>25</v>
      </c>
      <c r="H2033" s="23">
        <v>0</v>
      </c>
      <c r="I2033" s="23" t="s">
        <v>71</v>
      </c>
      <c r="J2033" s="23" t="s">
        <v>33</v>
      </c>
    </row>
    <row r="2034" spans="1:10" s="20" customFormat="1" ht="12" x14ac:dyDescent="0.25">
      <c r="A2034" s="22">
        <v>1000101747</v>
      </c>
      <c r="B2034" s="23" t="s">
        <v>3982</v>
      </c>
      <c r="C2034" s="24" t="s">
        <v>4</v>
      </c>
      <c r="D2034" s="23" t="s">
        <v>2161</v>
      </c>
      <c r="E2034" s="23">
        <v>339.65199999999999</v>
      </c>
      <c r="F2034" s="23">
        <v>2</v>
      </c>
      <c r="G2034" s="23">
        <v>2</v>
      </c>
      <c r="H2034" s="23">
        <v>0</v>
      </c>
      <c r="I2034" s="23" t="s">
        <v>5</v>
      </c>
      <c r="J2034" s="23" t="s">
        <v>111</v>
      </c>
    </row>
    <row r="2035" spans="1:10" s="20" customFormat="1" ht="12" x14ac:dyDescent="0.25">
      <c r="A2035" s="22">
        <v>1000020047</v>
      </c>
      <c r="B2035" s="23" t="s">
        <v>3983</v>
      </c>
      <c r="C2035" s="24" t="s">
        <v>4</v>
      </c>
      <c r="D2035" s="23" t="s">
        <v>2090</v>
      </c>
      <c r="E2035" s="23">
        <v>339.64</v>
      </c>
      <c r="F2035" s="23">
        <v>4</v>
      </c>
      <c r="G2035" s="23">
        <v>4</v>
      </c>
      <c r="H2035" s="23">
        <v>0</v>
      </c>
      <c r="I2035" s="23" t="s">
        <v>5</v>
      </c>
      <c r="J2035" s="23" t="s">
        <v>327</v>
      </c>
    </row>
    <row r="2036" spans="1:10" s="20" customFormat="1" ht="12" x14ac:dyDescent="0.25">
      <c r="A2036" s="22">
        <v>1000020063</v>
      </c>
      <c r="B2036" s="23" t="s">
        <v>3985</v>
      </c>
      <c r="C2036" s="24" t="s">
        <v>4</v>
      </c>
      <c r="D2036" s="23" t="s">
        <v>2218</v>
      </c>
      <c r="E2036" s="23">
        <v>339.38</v>
      </c>
      <c r="F2036" s="23">
        <v>50</v>
      </c>
      <c r="G2036" s="23">
        <v>50</v>
      </c>
      <c r="H2036" s="23">
        <v>0</v>
      </c>
      <c r="I2036" s="23" t="s">
        <v>5</v>
      </c>
      <c r="J2036" s="23" t="s">
        <v>327</v>
      </c>
    </row>
    <row r="2037" spans="1:10" s="20" customFormat="1" ht="12" x14ac:dyDescent="0.25">
      <c r="A2037" s="22">
        <v>1000021075</v>
      </c>
      <c r="B2037" s="23" t="s">
        <v>1237</v>
      </c>
      <c r="C2037" s="24" t="s">
        <v>4</v>
      </c>
      <c r="D2037" s="23" t="s">
        <v>2090</v>
      </c>
      <c r="E2037" s="23">
        <v>339.15</v>
      </c>
      <c r="F2037" s="23">
        <v>1</v>
      </c>
      <c r="G2037" s="23">
        <v>1</v>
      </c>
      <c r="H2037" s="23">
        <v>0</v>
      </c>
      <c r="I2037" s="23" t="s">
        <v>5</v>
      </c>
      <c r="J2037" s="23" t="s">
        <v>327</v>
      </c>
    </row>
    <row r="2038" spans="1:10" s="20" customFormat="1" ht="12" x14ac:dyDescent="0.25">
      <c r="A2038" s="22">
        <v>1000106397</v>
      </c>
      <c r="B2038" s="23" t="s">
        <v>3986</v>
      </c>
      <c r="C2038" s="24" t="s">
        <v>4</v>
      </c>
      <c r="D2038" s="23" t="s">
        <v>2056</v>
      </c>
      <c r="E2038" s="23">
        <v>338.86031250000002</v>
      </c>
      <c r="F2038" s="23">
        <v>6</v>
      </c>
      <c r="G2038" s="23">
        <v>6</v>
      </c>
      <c r="H2038" s="23">
        <v>0</v>
      </c>
      <c r="I2038" s="23" t="s">
        <v>5</v>
      </c>
      <c r="J2038" s="23" t="s">
        <v>1844</v>
      </c>
    </row>
    <row r="2039" spans="1:10" s="20" customFormat="1" ht="12" x14ac:dyDescent="0.25">
      <c r="A2039" s="22">
        <v>1000098445</v>
      </c>
      <c r="B2039" s="23" t="s">
        <v>1525</v>
      </c>
      <c r="C2039" s="24" t="s">
        <v>4</v>
      </c>
      <c r="D2039" s="23" t="s">
        <v>2090</v>
      </c>
      <c r="E2039" s="23">
        <v>337.45</v>
      </c>
      <c r="F2039" s="23">
        <v>10</v>
      </c>
      <c r="G2039" s="23">
        <v>10</v>
      </c>
      <c r="H2039" s="23">
        <v>0</v>
      </c>
      <c r="I2039" s="23" t="s">
        <v>5</v>
      </c>
      <c r="J2039" s="23" t="s">
        <v>327</v>
      </c>
    </row>
    <row r="2040" spans="1:10" s="20" customFormat="1" ht="12" x14ac:dyDescent="0.25">
      <c r="A2040" s="22">
        <v>1000098731</v>
      </c>
      <c r="B2040" s="23" t="s">
        <v>1673</v>
      </c>
      <c r="C2040" s="24" t="s">
        <v>4</v>
      </c>
      <c r="D2040" s="23" t="s">
        <v>2090</v>
      </c>
      <c r="E2040" s="23">
        <v>336.17887179487099</v>
      </c>
      <c r="F2040" s="23">
        <v>32</v>
      </c>
      <c r="G2040" s="23">
        <v>32</v>
      </c>
      <c r="H2040" s="23">
        <v>0</v>
      </c>
      <c r="I2040" s="23" t="s">
        <v>5</v>
      </c>
      <c r="J2040" s="23" t="s">
        <v>327</v>
      </c>
    </row>
    <row r="2041" spans="1:10" s="20" customFormat="1" ht="12" x14ac:dyDescent="0.25">
      <c r="A2041" s="22">
        <v>1000020425</v>
      </c>
      <c r="B2041" s="23" t="s">
        <v>653</v>
      </c>
      <c r="C2041" s="24" t="s">
        <v>4</v>
      </c>
      <c r="D2041" s="23" t="s">
        <v>2090</v>
      </c>
      <c r="E2041" s="23">
        <v>335.8</v>
      </c>
      <c r="F2041" s="23">
        <v>20</v>
      </c>
      <c r="G2041" s="23">
        <v>20</v>
      </c>
      <c r="H2041" s="23">
        <v>0</v>
      </c>
      <c r="I2041" s="23" t="s">
        <v>5</v>
      </c>
      <c r="J2041" s="23" t="s">
        <v>327</v>
      </c>
    </row>
    <row r="2042" spans="1:10" s="20" customFormat="1" ht="12" x14ac:dyDescent="0.25">
      <c r="A2042" s="22">
        <v>1000020563</v>
      </c>
      <c r="B2042" s="23" t="s">
        <v>780</v>
      </c>
      <c r="C2042" s="24" t="s">
        <v>4</v>
      </c>
      <c r="D2042" s="23" t="s">
        <v>2090</v>
      </c>
      <c r="E2042" s="23">
        <v>335.50799999999998</v>
      </c>
      <c r="F2042" s="23">
        <v>6</v>
      </c>
      <c r="G2042" s="23">
        <v>6</v>
      </c>
      <c r="H2042" s="23">
        <v>0</v>
      </c>
      <c r="I2042" s="23" t="s">
        <v>5</v>
      </c>
      <c r="J2042" s="23" t="s">
        <v>327</v>
      </c>
    </row>
    <row r="2043" spans="1:10" s="20" customFormat="1" ht="12" x14ac:dyDescent="0.25">
      <c r="A2043" s="22">
        <v>1000020312</v>
      </c>
      <c r="B2043" s="23" t="s">
        <v>547</v>
      </c>
      <c r="C2043" s="24" t="s">
        <v>4</v>
      </c>
      <c r="D2043" s="23" t="s">
        <v>2090</v>
      </c>
      <c r="E2043" s="23">
        <v>335.16</v>
      </c>
      <c r="F2043" s="23">
        <v>3</v>
      </c>
      <c r="G2043" s="23">
        <v>3</v>
      </c>
      <c r="H2043" s="23">
        <v>0</v>
      </c>
      <c r="I2043" s="23" t="s">
        <v>5</v>
      </c>
      <c r="J2043" s="23" t="s">
        <v>327</v>
      </c>
    </row>
    <row r="2044" spans="1:10" s="20" customFormat="1" ht="12" x14ac:dyDescent="0.25">
      <c r="A2044" s="22">
        <v>1000020729</v>
      </c>
      <c r="B2044" s="23" t="s">
        <v>937</v>
      </c>
      <c r="C2044" s="24" t="s">
        <v>4</v>
      </c>
      <c r="D2044" s="23" t="s">
        <v>2090</v>
      </c>
      <c r="E2044" s="23">
        <v>334.15</v>
      </c>
      <c r="F2044" s="23">
        <v>1</v>
      </c>
      <c r="G2044" s="23">
        <v>1</v>
      </c>
      <c r="H2044" s="23">
        <v>0</v>
      </c>
      <c r="I2044" s="23" t="s">
        <v>5</v>
      </c>
      <c r="J2044" s="23" t="s">
        <v>327</v>
      </c>
    </row>
    <row r="2045" spans="1:10" s="20" customFormat="1" ht="12" x14ac:dyDescent="0.25">
      <c r="A2045" s="22">
        <v>1000102883</v>
      </c>
      <c r="B2045" s="23" t="s">
        <v>3988</v>
      </c>
      <c r="C2045" s="24" t="s">
        <v>4</v>
      </c>
      <c r="D2045" s="23" t="s">
        <v>2090</v>
      </c>
      <c r="E2045" s="23">
        <v>334.11360000000002</v>
      </c>
      <c r="F2045" s="23">
        <v>1</v>
      </c>
      <c r="G2045" s="23">
        <v>1</v>
      </c>
      <c r="H2045" s="23">
        <v>0</v>
      </c>
      <c r="I2045" s="23" t="s">
        <v>5</v>
      </c>
      <c r="J2045" s="23" t="s">
        <v>327</v>
      </c>
    </row>
    <row r="2046" spans="1:10" s="20" customFormat="1" ht="12" x14ac:dyDescent="0.25">
      <c r="A2046" s="22">
        <v>1000021294</v>
      </c>
      <c r="B2046" s="23" t="s">
        <v>1429</v>
      </c>
      <c r="C2046" s="24" t="s">
        <v>4</v>
      </c>
      <c r="D2046" s="23" t="s">
        <v>2090</v>
      </c>
      <c r="E2046" s="23">
        <v>333.94204967320201</v>
      </c>
      <c r="F2046" s="23">
        <v>3</v>
      </c>
      <c r="G2046" s="23">
        <v>3</v>
      </c>
      <c r="H2046" s="23">
        <v>0</v>
      </c>
      <c r="I2046" s="23" t="s">
        <v>5</v>
      </c>
      <c r="J2046" s="23" t="s">
        <v>327</v>
      </c>
    </row>
    <row r="2047" spans="1:10" s="20" customFormat="1" ht="12" x14ac:dyDescent="0.25">
      <c r="A2047" s="22">
        <v>1000021443</v>
      </c>
      <c r="B2047" s="23" t="s">
        <v>1484</v>
      </c>
      <c r="C2047" s="24" t="s">
        <v>4</v>
      </c>
      <c r="D2047" s="23" t="s">
        <v>2090</v>
      </c>
      <c r="E2047" s="23">
        <v>331.46</v>
      </c>
      <c r="F2047" s="23">
        <v>2</v>
      </c>
      <c r="G2047" s="23">
        <v>2</v>
      </c>
      <c r="H2047" s="23">
        <v>0</v>
      </c>
      <c r="I2047" s="23" t="s">
        <v>5</v>
      </c>
      <c r="J2047" s="23" t="s">
        <v>327</v>
      </c>
    </row>
    <row r="2048" spans="1:10" s="20" customFormat="1" ht="12" x14ac:dyDescent="0.25">
      <c r="A2048" s="22">
        <v>1000020085</v>
      </c>
      <c r="B2048" s="23" t="s">
        <v>344</v>
      </c>
      <c r="C2048" s="24" t="s">
        <v>4</v>
      </c>
      <c r="D2048" s="23" t="s">
        <v>2090</v>
      </c>
      <c r="E2048" s="23">
        <v>330.85142857142802</v>
      </c>
      <c r="F2048" s="23">
        <v>3</v>
      </c>
      <c r="G2048" s="23">
        <v>3</v>
      </c>
      <c r="H2048" s="23">
        <v>0</v>
      </c>
      <c r="I2048" s="23" t="s">
        <v>5</v>
      </c>
      <c r="J2048" s="23" t="s">
        <v>327</v>
      </c>
    </row>
    <row r="2049" spans="1:10" s="20" customFormat="1" ht="12" x14ac:dyDescent="0.25">
      <c r="A2049" s="22">
        <v>2500009190</v>
      </c>
      <c r="B2049" s="23" t="s">
        <v>3989</v>
      </c>
      <c r="C2049" s="24" t="s">
        <v>1996</v>
      </c>
      <c r="D2049" s="23" t="s">
        <v>2025</v>
      </c>
      <c r="E2049" s="23">
        <v>330.75</v>
      </c>
      <c r="F2049" s="23">
        <v>1</v>
      </c>
      <c r="G2049" s="23">
        <v>1</v>
      </c>
      <c r="H2049" s="23">
        <v>0</v>
      </c>
      <c r="I2049" s="23" t="s">
        <v>5</v>
      </c>
      <c r="J2049" s="23" t="s">
        <v>1993</v>
      </c>
    </row>
    <row r="2050" spans="1:10" s="20" customFormat="1" ht="12" x14ac:dyDescent="0.25">
      <c r="A2050" s="22">
        <v>1000020465</v>
      </c>
      <c r="B2050" s="23" t="s">
        <v>691</v>
      </c>
      <c r="C2050" s="24" t="s">
        <v>4</v>
      </c>
      <c r="D2050" s="23" t="s">
        <v>2090</v>
      </c>
      <c r="E2050" s="23">
        <v>330.71</v>
      </c>
      <c r="F2050" s="23">
        <v>8</v>
      </c>
      <c r="G2050" s="23">
        <v>0</v>
      </c>
      <c r="H2050" s="23">
        <v>8</v>
      </c>
      <c r="I2050" s="23" t="s">
        <v>44</v>
      </c>
      <c r="J2050" s="23" t="s">
        <v>327</v>
      </c>
    </row>
    <row r="2051" spans="1:10" s="20" customFormat="1" ht="12" x14ac:dyDescent="0.25">
      <c r="A2051" s="22">
        <v>1000020986</v>
      </c>
      <c r="B2051" s="23" t="s">
        <v>1160</v>
      </c>
      <c r="C2051" s="24" t="s">
        <v>4</v>
      </c>
      <c r="D2051" s="23" t="s">
        <v>2090</v>
      </c>
      <c r="E2051" s="23">
        <v>330.7</v>
      </c>
      <c r="F2051" s="23">
        <v>5</v>
      </c>
      <c r="G2051" s="23">
        <v>5</v>
      </c>
      <c r="H2051" s="23">
        <v>0</v>
      </c>
      <c r="I2051" s="23" t="s">
        <v>5</v>
      </c>
      <c r="J2051" s="23" t="s">
        <v>327</v>
      </c>
    </row>
    <row r="2052" spans="1:10" s="20" customFormat="1" ht="12" x14ac:dyDescent="0.25">
      <c r="A2052" s="22">
        <v>2500008247</v>
      </c>
      <c r="B2052" s="23" t="s">
        <v>3990</v>
      </c>
      <c r="C2052" s="24" t="s">
        <v>1996</v>
      </c>
      <c r="D2052" s="23" t="s">
        <v>2643</v>
      </c>
      <c r="E2052" s="23">
        <v>330</v>
      </c>
      <c r="F2052" s="23">
        <v>2</v>
      </c>
      <c r="G2052" s="23">
        <v>2</v>
      </c>
      <c r="H2052" s="23">
        <v>0</v>
      </c>
      <c r="I2052" s="23" t="s">
        <v>5</v>
      </c>
      <c r="J2052" s="23" t="s">
        <v>1993</v>
      </c>
    </row>
    <row r="2053" spans="1:10" s="20" customFormat="1" ht="12" x14ac:dyDescent="0.25">
      <c r="A2053" s="22">
        <v>2500009413</v>
      </c>
      <c r="B2053" s="23" t="s">
        <v>3991</v>
      </c>
      <c r="C2053" s="24" t="s">
        <v>1996</v>
      </c>
      <c r="D2053" s="23" t="s">
        <v>2289</v>
      </c>
      <c r="E2053" s="23">
        <v>330</v>
      </c>
      <c r="F2053" s="23">
        <v>8</v>
      </c>
      <c r="G2053" s="23">
        <v>8</v>
      </c>
      <c r="H2053" s="23">
        <v>0</v>
      </c>
      <c r="I2053" s="23" t="s">
        <v>5</v>
      </c>
      <c r="J2053" s="23" t="s">
        <v>1993</v>
      </c>
    </row>
    <row r="2054" spans="1:10" s="20" customFormat="1" ht="12" x14ac:dyDescent="0.25">
      <c r="A2054" s="22">
        <v>1000020911</v>
      </c>
      <c r="B2054" s="23" t="s">
        <v>1091</v>
      </c>
      <c r="C2054" s="24" t="s">
        <v>4</v>
      </c>
      <c r="D2054" s="23" t="s">
        <v>2090</v>
      </c>
      <c r="E2054" s="23">
        <v>329.6</v>
      </c>
      <c r="F2054" s="23">
        <v>4</v>
      </c>
      <c r="G2054" s="23">
        <v>4</v>
      </c>
      <c r="H2054" s="23">
        <v>0</v>
      </c>
      <c r="I2054" s="23" t="s">
        <v>5</v>
      </c>
      <c r="J2054" s="23" t="s">
        <v>327</v>
      </c>
    </row>
    <row r="2055" spans="1:10" s="20" customFormat="1" ht="12" x14ac:dyDescent="0.25">
      <c r="A2055" s="22">
        <v>1000020228</v>
      </c>
      <c r="B2055" s="23" t="s">
        <v>468</v>
      </c>
      <c r="C2055" s="24" t="s">
        <v>4</v>
      </c>
      <c r="D2055" s="23" t="s">
        <v>2090</v>
      </c>
      <c r="E2055" s="23">
        <v>327.60000000000002</v>
      </c>
      <c r="F2055" s="23">
        <v>60</v>
      </c>
      <c r="G2055" s="23">
        <v>60</v>
      </c>
      <c r="H2055" s="23">
        <v>0</v>
      </c>
      <c r="I2055" s="23" t="s">
        <v>5</v>
      </c>
      <c r="J2055" s="23" t="s">
        <v>327</v>
      </c>
    </row>
    <row r="2056" spans="1:10" s="20" customFormat="1" ht="12" x14ac:dyDescent="0.25">
      <c r="A2056" s="22">
        <v>1000020347</v>
      </c>
      <c r="B2056" s="23" t="s">
        <v>579</v>
      </c>
      <c r="C2056" s="24" t="s">
        <v>4</v>
      </c>
      <c r="D2056" s="23" t="s">
        <v>2090</v>
      </c>
      <c r="E2056" s="23">
        <v>326.01214285714201</v>
      </c>
      <c r="F2056" s="23">
        <v>13</v>
      </c>
      <c r="G2056" s="23">
        <v>13</v>
      </c>
      <c r="H2056" s="23">
        <v>0</v>
      </c>
      <c r="I2056" s="23" t="s">
        <v>5</v>
      </c>
      <c r="J2056" s="23" t="s">
        <v>327</v>
      </c>
    </row>
    <row r="2057" spans="1:10" s="20" customFormat="1" ht="12" x14ac:dyDescent="0.25">
      <c r="A2057" s="22">
        <v>1000020160</v>
      </c>
      <c r="B2057" s="23" t="s">
        <v>408</v>
      </c>
      <c r="C2057" s="24" t="s">
        <v>4</v>
      </c>
      <c r="D2057" s="23" t="s">
        <v>2218</v>
      </c>
      <c r="E2057" s="23">
        <v>325.74</v>
      </c>
      <c r="F2057" s="23">
        <v>2</v>
      </c>
      <c r="G2057" s="23">
        <v>2</v>
      </c>
      <c r="H2057" s="23">
        <v>0</v>
      </c>
      <c r="I2057" s="23" t="s">
        <v>5</v>
      </c>
      <c r="J2057" s="23" t="s">
        <v>327</v>
      </c>
    </row>
    <row r="2058" spans="1:10" s="20" customFormat="1" ht="12" x14ac:dyDescent="0.25">
      <c r="A2058" s="22">
        <v>1000109023</v>
      </c>
      <c r="B2058" s="23" t="s">
        <v>3994</v>
      </c>
      <c r="C2058" s="24" t="s">
        <v>4</v>
      </c>
      <c r="D2058" s="23" t="s">
        <v>2056</v>
      </c>
      <c r="E2058" s="23">
        <v>324.74</v>
      </c>
      <c r="F2058" s="23">
        <v>70</v>
      </c>
      <c r="G2058" s="23">
        <v>70</v>
      </c>
      <c r="H2058" s="23">
        <v>0</v>
      </c>
      <c r="I2058" s="23" t="s">
        <v>5</v>
      </c>
      <c r="J2058" s="23" t="s">
        <v>1844</v>
      </c>
    </row>
    <row r="2059" spans="1:10" s="20" customFormat="1" ht="12" x14ac:dyDescent="0.25">
      <c r="A2059" s="22">
        <v>1000020281</v>
      </c>
      <c r="B2059" s="23" t="s">
        <v>517</v>
      </c>
      <c r="C2059" s="24" t="s">
        <v>4</v>
      </c>
      <c r="D2059" s="23" t="s">
        <v>2090</v>
      </c>
      <c r="E2059" s="23">
        <v>323.5</v>
      </c>
      <c r="F2059" s="23">
        <v>10</v>
      </c>
      <c r="G2059" s="23">
        <v>10</v>
      </c>
      <c r="H2059" s="23">
        <v>0</v>
      </c>
      <c r="I2059" s="23" t="s">
        <v>5</v>
      </c>
      <c r="J2059" s="23" t="s">
        <v>327</v>
      </c>
    </row>
    <row r="2060" spans="1:10" s="20" customFormat="1" ht="12" x14ac:dyDescent="0.25">
      <c r="A2060" s="22">
        <v>1000021036</v>
      </c>
      <c r="B2060" s="23" t="s">
        <v>1207</v>
      </c>
      <c r="C2060" s="24" t="s">
        <v>4</v>
      </c>
      <c r="D2060" s="23" t="s">
        <v>2090</v>
      </c>
      <c r="E2060" s="23">
        <v>322.64</v>
      </c>
      <c r="F2060" s="23">
        <v>2</v>
      </c>
      <c r="G2060" s="23">
        <v>2</v>
      </c>
      <c r="H2060" s="23">
        <v>0</v>
      </c>
      <c r="I2060" s="23" t="s">
        <v>5</v>
      </c>
      <c r="J2060" s="23" t="s">
        <v>327</v>
      </c>
    </row>
    <row r="2061" spans="1:10" s="20" customFormat="1" ht="12" x14ac:dyDescent="0.25">
      <c r="A2061" s="22">
        <v>1000020982</v>
      </c>
      <c r="B2061" s="23" t="s">
        <v>1156</v>
      </c>
      <c r="C2061" s="24" t="s">
        <v>4</v>
      </c>
      <c r="D2061" s="23" t="s">
        <v>2090</v>
      </c>
      <c r="E2061" s="23">
        <v>322.3125</v>
      </c>
      <c r="F2061" s="23">
        <v>3</v>
      </c>
      <c r="G2061" s="23">
        <v>3</v>
      </c>
      <c r="H2061" s="23">
        <v>0</v>
      </c>
      <c r="I2061" s="23" t="s">
        <v>5</v>
      </c>
      <c r="J2061" s="23" t="s">
        <v>327</v>
      </c>
    </row>
    <row r="2062" spans="1:10" s="20" customFormat="1" ht="12" x14ac:dyDescent="0.25">
      <c r="A2062" s="22">
        <v>1000098461</v>
      </c>
      <c r="B2062" s="23" t="s">
        <v>1536</v>
      </c>
      <c r="C2062" s="24" t="s">
        <v>4</v>
      </c>
      <c r="D2062" s="23" t="s">
        <v>2090</v>
      </c>
      <c r="E2062" s="23">
        <v>322.10000000000002</v>
      </c>
      <c r="F2062" s="23">
        <v>5</v>
      </c>
      <c r="G2062" s="23">
        <v>5</v>
      </c>
      <c r="H2062" s="23">
        <v>0</v>
      </c>
      <c r="I2062" s="23" t="s">
        <v>5</v>
      </c>
      <c r="J2062" s="23" t="s">
        <v>327</v>
      </c>
    </row>
    <row r="2063" spans="1:10" s="20" customFormat="1" ht="12" x14ac:dyDescent="0.25">
      <c r="A2063" s="22">
        <v>1000107110</v>
      </c>
      <c r="B2063" s="23" t="s">
        <v>1893</v>
      </c>
      <c r="C2063" s="24" t="s">
        <v>4</v>
      </c>
      <c r="D2063" s="23" t="s">
        <v>2056</v>
      </c>
      <c r="E2063" s="23">
        <v>321.3</v>
      </c>
      <c r="F2063" s="23">
        <v>20</v>
      </c>
      <c r="G2063" s="23">
        <v>20</v>
      </c>
      <c r="H2063" s="23">
        <v>0</v>
      </c>
      <c r="I2063" s="23" t="s">
        <v>5</v>
      </c>
      <c r="J2063" s="23" t="s">
        <v>1844</v>
      </c>
    </row>
    <row r="2064" spans="1:10" s="20" customFormat="1" ht="12" x14ac:dyDescent="0.25">
      <c r="A2064" s="22">
        <v>1000109796</v>
      </c>
      <c r="B2064" s="23" t="s">
        <v>3996</v>
      </c>
      <c r="C2064" s="24" t="s">
        <v>4</v>
      </c>
      <c r="D2064" s="23" t="s">
        <v>2056</v>
      </c>
      <c r="E2064" s="23">
        <v>320.10000000000002</v>
      </c>
      <c r="F2064" s="23">
        <v>34</v>
      </c>
      <c r="G2064" s="23">
        <v>34</v>
      </c>
      <c r="H2064" s="23">
        <v>0</v>
      </c>
      <c r="I2064" s="23" t="s">
        <v>5</v>
      </c>
      <c r="J2064" s="23" t="s">
        <v>1844</v>
      </c>
    </row>
    <row r="2065" spans="1:10" s="20" customFormat="1" ht="12" x14ac:dyDescent="0.25">
      <c r="A2065" s="22">
        <v>1000021392</v>
      </c>
      <c r="B2065" s="23" t="s">
        <v>1470</v>
      </c>
      <c r="C2065" s="24" t="s">
        <v>4</v>
      </c>
      <c r="D2065" s="23" t="s">
        <v>2090</v>
      </c>
      <c r="E2065" s="23">
        <v>319.18402380952301</v>
      </c>
      <c r="F2065" s="23">
        <v>8</v>
      </c>
      <c r="G2065" s="23">
        <v>8</v>
      </c>
      <c r="H2065" s="23">
        <v>0</v>
      </c>
      <c r="I2065" s="23" t="s">
        <v>5</v>
      </c>
      <c r="J2065" s="23" t="s">
        <v>327</v>
      </c>
    </row>
    <row r="2066" spans="1:10" s="20" customFormat="1" ht="12" x14ac:dyDescent="0.25">
      <c r="A2066" s="22">
        <v>1000096123</v>
      </c>
      <c r="B2066" s="23" t="s">
        <v>3999</v>
      </c>
      <c r="C2066" s="24" t="s">
        <v>4</v>
      </c>
      <c r="D2066" s="23" t="s">
        <v>2056</v>
      </c>
      <c r="E2066" s="23">
        <v>318.75</v>
      </c>
      <c r="F2066" s="23">
        <v>50</v>
      </c>
      <c r="G2066" s="23">
        <v>50</v>
      </c>
      <c r="H2066" s="23">
        <v>0</v>
      </c>
      <c r="I2066" s="23" t="s">
        <v>5</v>
      </c>
      <c r="J2066" s="23" t="s">
        <v>1844</v>
      </c>
    </row>
    <row r="2067" spans="1:10" s="20" customFormat="1" ht="12" x14ac:dyDescent="0.25">
      <c r="A2067" s="22">
        <v>1000020506</v>
      </c>
      <c r="B2067" s="23" t="s">
        <v>729</v>
      </c>
      <c r="C2067" s="24" t="s">
        <v>4</v>
      </c>
      <c r="D2067" s="23" t="s">
        <v>2090</v>
      </c>
      <c r="E2067" s="23">
        <v>318.16627956989203</v>
      </c>
      <c r="F2067" s="23">
        <v>4</v>
      </c>
      <c r="G2067" s="23">
        <v>4</v>
      </c>
      <c r="H2067" s="23">
        <v>0</v>
      </c>
      <c r="I2067" s="23" t="s">
        <v>5</v>
      </c>
      <c r="J2067" s="23" t="s">
        <v>327</v>
      </c>
    </row>
    <row r="2068" spans="1:10" s="20" customFormat="1" ht="12" x14ac:dyDescent="0.25">
      <c r="A2068" s="22">
        <v>1000020993</v>
      </c>
      <c r="B2068" s="23" t="s">
        <v>1167</v>
      </c>
      <c r="C2068" s="24" t="s">
        <v>4</v>
      </c>
      <c r="D2068" s="23" t="s">
        <v>2090</v>
      </c>
      <c r="E2068" s="23">
        <v>318.02999999999997</v>
      </c>
      <c r="F2068" s="23">
        <v>1</v>
      </c>
      <c r="G2068" s="23">
        <v>1</v>
      </c>
      <c r="H2068" s="23">
        <v>0</v>
      </c>
      <c r="I2068" s="23" t="s">
        <v>5</v>
      </c>
      <c r="J2068" s="23" t="s">
        <v>327</v>
      </c>
    </row>
    <row r="2069" spans="1:10" s="20" customFormat="1" ht="12" x14ac:dyDescent="0.25">
      <c r="A2069" s="22">
        <v>1000021095</v>
      </c>
      <c r="B2069" s="23" t="s">
        <v>1257</v>
      </c>
      <c r="C2069" s="24" t="s">
        <v>4</v>
      </c>
      <c r="D2069" s="23" t="s">
        <v>2090</v>
      </c>
      <c r="E2069" s="23">
        <v>317.43</v>
      </c>
      <c r="F2069" s="23">
        <v>3</v>
      </c>
      <c r="G2069" s="23">
        <v>3</v>
      </c>
      <c r="H2069" s="23">
        <v>0</v>
      </c>
      <c r="I2069" s="23" t="s">
        <v>5</v>
      </c>
      <c r="J2069" s="23" t="s">
        <v>327</v>
      </c>
    </row>
    <row r="2070" spans="1:10" s="20" customFormat="1" ht="12" x14ac:dyDescent="0.25">
      <c r="A2070" s="22">
        <v>1000098542</v>
      </c>
      <c r="B2070" s="23" t="s">
        <v>1573</v>
      </c>
      <c r="C2070" s="24" t="s">
        <v>4</v>
      </c>
      <c r="D2070" s="23" t="s">
        <v>2090</v>
      </c>
      <c r="E2070" s="23">
        <v>317.23</v>
      </c>
      <c r="F2070" s="23">
        <v>2</v>
      </c>
      <c r="G2070" s="23">
        <v>2</v>
      </c>
      <c r="H2070" s="23">
        <v>0</v>
      </c>
      <c r="I2070" s="23" t="s">
        <v>5</v>
      </c>
      <c r="J2070" s="23" t="s">
        <v>327</v>
      </c>
    </row>
    <row r="2071" spans="1:10" s="20" customFormat="1" ht="12" x14ac:dyDescent="0.25">
      <c r="A2071" s="22">
        <v>1000094203</v>
      </c>
      <c r="B2071" s="23" t="s">
        <v>4003</v>
      </c>
      <c r="C2071" s="24" t="s">
        <v>4</v>
      </c>
      <c r="D2071" s="23" t="s">
        <v>2056</v>
      </c>
      <c r="E2071" s="23">
        <v>316.8</v>
      </c>
      <c r="F2071" s="23">
        <v>2400</v>
      </c>
      <c r="G2071" s="23">
        <v>2400</v>
      </c>
      <c r="H2071" s="23">
        <v>0</v>
      </c>
      <c r="I2071" s="23" t="s">
        <v>5</v>
      </c>
      <c r="J2071" s="23" t="s">
        <v>1844</v>
      </c>
    </row>
    <row r="2072" spans="1:10" s="20" customFormat="1" ht="12" x14ac:dyDescent="0.25">
      <c r="A2072" s="22">
        <v>1000099488</v>
      </c>
      <c r="B2072" s="23" t="s">
        <v>4004</v>
      </c>
      <c r="C2072" s="24" t="s">
        <v>4</v>
      </c>
      <c r="D2072" s="23" t="s">
        <v>2090</v>
      </c>
      <c r="E2072" s="23">
        <v>315.375</v>
      </c>
      <c r="F2072" s="23">
        <v>5</v>
      </c>
      <c r="G2072" s="23">
        <v>5</v>
      </c>
      <c r="H2072" s="23">
        <v>0</v>
      </c>
      <c r="I2072" s="23" t="s">
        <v>5</v>
      </c>
      <c r="J2072" s="23" t="s">
        <v>327</v>
      </c>
    </row>
    <row r="2073" spans="1:10" s="20" customFormat="1" ht="12" x14ac:dyDescent="0.25">
      <c r="A2073" s="22">
        <v>1000096817</v>
      </c>
      <c r="B2073" s="23" t="s">
        <v>4005</v>
      </c>
      <c r="C2073" s="24" t="s">
        <v>4</v>
      </c>
      <c r="D2073" s="23" t="s">
        <v>2056</v>
      </c>
      <c r="E2073" s="23">
        <v>315.06</v>
      </c>
      <c r="F2073" s="23">
        <v>49</v>
      </c>
      <c r="G2073" s="23">
        <v>49</v>
      </c>
      <c r="H2073" s="23">
        <v>0</v>
      </c>
      <c r="I2073" s="23" t="s">
        <v>5</v>
      </c>
      <c r="J2073" s="23" t="s">
        <v>1844</v>
      </c>
    </row>
    <row r="2074" spans="1:10" s="20" customFormat="1" ht="12" x14ac:dyDescent="0.25">
      <c r="A2074" s="22">
        <v>2500001780</v>
      </c>
      <c r="B2074" s="23" t="s">
        <v>4006</v>
      </c>
      <c r="C2074" s="24" t="s">
        <v>1996</v>
      </c>
      <c r="D2074" s="23" t="s">
        <v>2025</v>
      </c>
      <c r="E2074" s="23">
        <v>313.61500000000001</v>
      </c>
      <c r="F2074" s="23">
        <v>2</v>
      </c>
      <c r="G2074" s="23">
        <v>2</v>
      </c>
      <c r="H2074" s="23">
        <v>0</v>
      </c>
      <c r="I2074" s="23" t="s">
        <v>5</v>
      </c>
      <c r="J2074" s="23" t="s">
        <v>1993</v>
      </c>
    </row>
    <row r="2075" spans="1:10" s="20" customFormat="1" ht="12" x14ac:dyDescent="0.25">
      <c r="A2075" s="22">
        <v>1000020780</v>
      </c>
      <c r="B2075" s="23" t="s">
        <v>984</v>
      </c>
      <c r="C2075" s="24" t="s">
        <v>4</v>
      </c>
      <c r="D2075" s="23" t="s">
        <v>2090</v>
      </c>
      <c r="E2075" s="23">
        <v>313.3</v>
      </c>
      <c r="F2075" s="23">
        <v>5</v>
      </c>
      <c r="G2075" s="23">
        <v>5</v>
      </c>
      <c r="H2075" s="23">
        <v>0</v>
      </c>
      <c r="I2075" s="23" t="s">
        <v>5</v>
      </c>
      <c r="J2075" s="23" t="s">
        <v>327</v>
      </c>
    </row>
    <row r="2076" spans="1:10" s="20" customFormat="1" ht="12" x14ac:dyDescent="0.25">
      <c r="A2076" s="22">
        <v>1000096819</v>
      </c>
      <c r="B2076" s="23" t="s">
        <v>4008</v>
      </c>
      <c r="C2076" s="24" t="s">
        <v>4</v>
      </c>
      <c r="D2076" s="23" t="s">
        <v>2056</v>
      </c>
      <c r="E2076" s="23">
        <v>312.31885057471197</v>
      </c>
      <c r="F2076" s="23">
        <v>23</v>
      </c>
      <c r="G2076" s="23">
        <v>23</v>
      </c>
      <c r="H2076" s="23">
        <v>0</v>
      </c>
      <c r="I2076" s="23" t="s">
        <v>5</v>
      </c>
      <c r="J2076" s="23" t="s">
        <v>1844</v>
      </c>
    </row>
    <row r="2077" spans="1:10" s="20" customFormat="1" ht="12" x14ac:dyDescent="0.25">
      <c r="A2077" s="22">
        <v>1000098454</v>
      </c>
      <c r="B2077" s="23" t="s">
        <v>1531</v>
      </c>
      <c r="C2077" s="24" t="s">
        <v>4</v>
      </c>
      <c r="D2077" s="23" t="s">
        <v>2090</v>
      </c>
      <c r="E2077" s="23">
        <v>311.61</v>
      </c>
      <c r="F2077" s="23">
        <v>10</v>
      </c>
      <c r="G2077" s="23">
        <v>10</v>
      </c>
      <c r="H2077" s="23">
        <v>0</v>
      </c>
      <c r="I2077" s="23" t="s">
        <v>5</v>
      </c>
      <c r="J2077" s="23" t="s">
        <v>327</v>
      </c>
    </row>
    <row r="2078" spans="1:10" s="20" customFormat="1" ht="12" x14ac:dyDescent="0.25">
      <c r="A2078" s="22">
        <v>1000020044</v>
      </c>
      <c r="B2078" s="23" t="s">
        <v>4009</v>
      </c>
      <c r="C2078" s="24" t="s">
        <v>4</v>
      </c>
      <c r="D2078" s="23" t="s">
        <v>2090</v>
      </c>
      <c r="E2078" s="23">
        <v>311.25</v>
      </c>
      <c r="F2078" s="23">
        <v>5</v>
      </c>
      <c r="G2078" s="23">
        <v>5</v>
      </c>
      <c r="H2078" s="23">
        <v>0</v>
      </c>
      <c r="I2078" s="23" t="s">
        <v>5</v>
      </c>
      <c r="J2078" s="23" t="s">
        <v>327</v>
      </c>
    </row>
    <row r="2079" spans="1:10" s="20" customFormat="1" ht="12" x14ac:dyDescent="0.25">
      <c r="A2079" s="22">
        <v>1000109795</v>
      </c>
      <c r="B2079" s="23" t="s">
        <v>4010</v>
      </c>
      <c r="C2079" s="24" t="s">
        <v>4</v>
      </c>
      <c r="D2079" s="23" t="s">
        <v>2056</v>
      </c>
      <c r="E2079" s="23">
        <v>311.083529411764</v>
      </c>
      <c r="F2079" s="23">
        <v>34</v>
      </c>
      <c r="G2079" s="23">
        <v>34</v>
      </c>
      <c r="H2079" s="23">
        <v>0</v>
      </c>
      <c r="I2079" s="23" t="s">
        <v>5</v>
      </c>
      <c r="J2079" s="23" t="s">
        <v>1844</v>
      </c>
    </row>
    <row r="2080" spans="1:10" s="20" customFormat="1" ht="12" x14ac:dyDescent="0.25">
      <c r="A2080" s="22">
        <v>1000103527</v>
      </c>
      <c r="B2080" s="23" t="s">
        <v>1829</v>
      </c>
      <c r="C2080" s="24" t="s">
        <v>4</v>
      </c>
      <c r="D2080" s="23" t="s">
        <v>2090</v>
      </c>
      <c r="E2080" s="23">
        <v>309.38</v>
      </c>
      <c r="F2080" s="23">
        <v>3</v>
      </c>
      <c r="G2080" s="23">
        <v>3</v>
      </c>
      <c r="H2080" s="23">
        <v>0</v>
      </c>
      <c r="I2080" s="23" t="s">
        <v>5</v>
      </c>
      <c r="J2080" s="23" t="s">
        <v>327</v>
      </c>
    </row>
    <row r="2081" spans="1:10" s="20" customFormat="1" ht="12" x14ac:dyDescent="0.25">
      <c r="A2081" s="22">
        <v>1000098572</v>
      </c>
      <c r="B2081" s="23" t="s">
        <v>1581</v>
      </c>
      <c r="C2081" s="24" t="s">
        <v>4</v>
      </c>
      <c r="D2081" s="23" t="s">
        <v>2090</v>
      </c>
      <c r="E2081" s="23">
        <v>308.99</v>
      </c>
      <c r="F2081" s="23">
        <v>50</v>
      </c>
      <c r="G2081" s="23">
        <v>50</v>
      </c>
      <c r="H2081" s="23">
        <v>0</v>
      </c>
      <c r="I2081" s="23" t="s">
        <v>5</v>
      </c>
      <c r="J2081" s="23" t="s">
        <v>327</v>
      </c>
    </row>
    <row r="2082" spans="1:10" s="20" customFormat="1" ht="12" x14ac:dyDescent="0.25">
      <c r="A2082" s="22">
        <v>1000020221</v>
      </c>
      <c r="B2082" s="23" t="s">
        <v>461</v>
      </c>
      <c r="C2082" s="24" t="s">
        <v>4</v>
      </c>
      <c r="D2082" s="23" t="s">
        <v>2090</v>
      </c>
      <c r="E2082" s="23">
        <v>308.26665552584598</v>
      </c>
      <c r="F2082" s="23">
        <v>50</v>
      </c>
      <c r="G2082" s="23">
        <v>50</v>
      </c>
      <c r="H2082" s="23">
        <v>0</v>
      </c>
      <c r="I2082" s="23" t="s">
        <v>5</v>
      </c>
      <c r="J2082" s="23" t="s">
        <v>327</v>
      </c>
    </row>
    <row r="2083" spans="1:10" s="20" customFormat="1" ht="12" x14ac:dyDescent="0.25">
      <c r="A2083" s="22">
        <v>1000020227</v>
      </c>
      <c r="B2083" s="23" t="s">
        <v>467</v>
      </c>
      <c r="C2083" s="24" t="s">
        <v>4</v>
      </c>
      <c r="D2083" s="23" t="s">
        <v>2090</v>
      </c>
      <c r="E2083" s="23">
        <v>308</v>
      </c>
      <c r="F2083" s="23">
        <v>50</v>
      </c>
      <c r="G2083" s="23">
        <v>50</v>
      </c>
      <c r="H2083" s="23">
        <v>0</v>
      </c>
      <c r="I2083" s="23" t="s">
        <v>5</v>
      </c>
      <c r="J2083" s="23" t="s">
        <v>327</v>
      </c>
    </row>
    <row r="2084" spans="1:10" s="20" customFormat="1" ht="12" x14ac:dyDescent="0.25">
      <c r="A2084" s="22">
        <v>1000100318</v>
      </c>
      <c r="B2084" s="23" t="s">
        <v>4013</v>
      </c>
      <c r="C2084" s="24" t="s">
        <v>4</v>
      </c>
      <c r="D2084" s="23" t="s">
        <v>2090</v>
      </c>
      <c r="E2084" s="23">
        <v>307.35000000000002</v>
      </c>
      <c r="F2084" s="23">
        <v>2</v>
      </c>
      <c r="G2084" s="23">
        <v>2</v>
      </c>
      <c r="H2084" s="23">
        <v>0</v>
      </c>
      <c r="I2084" s="23" t="s">
        <v>5</v>
      </c>
      <c r="J2084" s="23" t="s">
        <v>327</v>
      </c>
    </row>
    <row r="2085" spans="1:10" s="20" customFormat="1" ht="12" x14ac:dyDescent="0.25">
      <c r="A2085" s="22">
        <v>1000020762</v>
      </c>
      <c r="B2085" s="23" t="s">
        <v>967</v>
      </c>
      <c r="C2085" s="24" t="s">
        <v>4</v>
      </c>
      <c r="D2085" s="23" t="s">
        <v>2090</v>
      </c>
      <c r="E2085" s="23">
        <v>306.55</v>
      </c>
      <c r="F2085" s="23">
        <v>5</v>
      </c>
      <c r="G2085" s="23">
        <v>5</v>
      </c>
      <c r="H2085" s="23">
        <v>0</v>
      </c>
      <c r="I2085" s="23" t="s">
        <v>5</v>
      </c>
      <c r="J2085" s="23" t="s">
        <v>327</v>
      </c>
    </row>
    <row r="2086" spans="1:10" s="20" customFormat="1" ht="12" x14ac:dyDescent="0.25">
      <c r="A2086" s="22">
        <v>1000020834</v>
      </c>
      <c r="B2086" s="23" t="s">
        <v>1029</v>
      </c>
      <c r="C2086" s="24" t="s">
        <v>4</v>
      </c>
      <c r="D2086" s="23" t="s">
        <v>2090</v>
      </c>
      <c r="E2086" s="23">
        <v>304.3125</v>
      </c>
      <c r="F2086" s="23">
        <v>3</v>
      </c>
      <c r="G2086" s="23">
        <v>3</v>
      </c>
      <c r="H2086" s="23">
        <v>0</v>
      </c>
      <c r="I2086" s="23" t="s">
        <v>5</v>
      </c>
      <c r="J2086" s="23" t="s">
        <v>327</v>
      </c>
    </row>
    <row r="2087" spans="1:10" s="20" customFormat="1" ht="12" x14ac:dyDescent="0.25">
      <c r="A2087" s="22">
        <v>1000020186</v>
      </c>
      <c r="B2087" s="23" t="s">
        <v>428</v>
      </c>
      <c r="C2087" s="24" t="s">
        <v>4</v>
      </c>
      <c r="D2087" s="23" t="s">
        <v>2090</v>
      </c>
      <c r="E2087" s="23">
        <v>304.23</v>
      </c>
      <c r="F2087" s="23">
        <v>3</v>
      </c>
      <c r="G2087" s="23">
        <v>3</v>
      </c>
      <c r="H2087" s="23">
        <v>0</v>
      </c>
      <c r="I2087" s="23" t="s">
        <v>5</v>
      </c>
      <c r="J2087" s="23" t="s">
        <v>327</v>
      </c>
    </row>
    <row r="2088" spans="1:10" s="20" customFormat="1" ht="12" x14ac:dyDescent="0.25">
      <c r="A2088" s="22">
        <v>1000020241</v>
      </c>
      <c r="B2088" s="23" t="s">
        <v>480</v>
      </c>
      <c r="C2088" s="24" t="s">
        <v>4</v>
      </c>
      <c r="D2088" s="23" t="s">
        <v>2090</v>
      </c>
      <c r="E2088" s="23">
        <v>304.21805128205102</v>
      </c>
      <c r="F2088" s="23">
        <v>69</v>
      </c>
      <c r="G2088" s="23">
        <v>69</v>
      </c>
      <c r="H2088" s="23">
        <v>0</v>
      </c>
      <c r="I2088" s="23" t="s">
        <v>5</v>
      </c>
      <c r="J2088" s="23" t="s">
        <v>327</v>
      </c>
    </row>
    <row r="2089" spans="1:10" s="20" customFormat="1" ht="12" x14ac:dyDescent="0.25">
      <c r="A2089" s="22">
        <v>1000102832</v>
      </c>
      <c r="B2089" s="23" t="s">
        <v>1861</v>
      </c>
      <c r="C2089" s="24" t="s">
        <v>4</v>
      </c>
      <c r="D2089" s="23" t="s">
        <v>2056</v>
      </c>
      <c r="E2089" s="23">
        <v>303.68</v>
      </c>
      <c r="F2089" s="23">
        <v>100</v>
      </c>
      <c r="G2089" s="23">
        <v>100</v>
      </c>
      <c r="H2089" s="23">
        <v>0</v>
      </c>
      <c r="I2089" s="23" t="s">
        <v>5</v>
      </c>
      <c r="J2089" s="23" t="s">
        <v>1844</v>
      </c>
    </row>
    <row r="2090" spans="1:10" s="20" customFormat="1" ht="12" x14ac:dyDescent="0.25">
      <c r="A2090" s="22">
        <v>1000020480</v>
      </c>
      <c r="B2090" s="23" t="s">
        <v>706</v>
      </c>
      <c r="C2090" s="24" t="s">
        <v>4</v>
      </c>
      <c r="D2090" s="23" t="s">
        <v>2090</v>
      </c>
      <c r="E2090" s="23">
        <v>303.60000000000002</v>
      </c>
      <c r="F2090" s="23">
        <v>8</v>
      </c>
      <c r="G2090" s="23">
        <v>8</v>
      </c>
      <c r="H2090" s="23">
        <v>0</v>
      </c>
      <c r="I2090" s="23" t="s">
        <v>5</v>
      </c>
      <c r="J2090" s="23" t="s">
        <v>327</v>
      </c>
    </row>
    <row r="2091" spans="1:10" s="20" customFormat="1" ht="12" x14ac:dyDescent="0.25">
      <c r="A2091" s="22">
        <v>1000020613</v>
      </c>
      <c r="B2091" s="23" t="s">
        <v>829</v>
      </c>
      <c r="C2091" s="24" t="s">
        <v>4</v>
      </c>
      <c r="D2091" s="23" t="s">
        <v>2090</v>
      </c>
      <c r="E2091" s="23">
        <v>303.60000000000002</v>
      </c>
      <c r="F2091" s="23">
        <v>44</v>
      </c>
      <c r="G2091" s="23">
        <v>44</v>
      </c>
      <c r="H2091" s="23">
        <v>0</v>
      </c>
      <c r="I2091" s="23" t="s">
        <v>5</v>
      </c>
      <c r="J2091" s="23" t="s">
        <v>327</v>
      </c>
    </row>
    <row r="2092" spans="1:10" s="20" customFormat="1" ht="12" x14ac:dyDescent="0.25">
      <c r="A2092" s="22">
        <v>1000020956</v>
      </c>
      <c r="B2092" s="23" t="s">
        <v>1134</v>
      </c>
      <c r="C2092" s="24" t="s">
        <v>4</v>
      </c>
      <c r="D2092" s="23" t="s">
        <v>2090</v>
      </c>
      <c r="E2092" s="23">
        <v>303.20999999999998</v>
      </c>
      <c r="F2092" s="23">
        <v>1</v>
      </c>
      <c r="G2092" s="23">
        <v>1</v>
      </c>
      <c r="H2092" s="23">
        <v>0</v>
      </c>
      <c r="I2092" s="23" t="s">
        <v>5</v>
      </c>
      <c r="J2092" s="23" t="s">
        <v>327</v>
      </c>
    </row>
    <row r="2093" spans="1:10" s="20" customFormat="1" ht="12" x14ac:dyDescent="0.25">
      <c r="A2093" s="22">
        <v>1000020949</v>
      </c>
      <c r="B2093" s="23" t="s">
        <v>1127</v>
      </c>
      <c r="C2093" s="24" t="s">
        <v>4</v>
      </c>
      <c r="D2093" s="23" t="s">
        <v>2090</v>
      </c>
      <c r="E2093" s="23">
        <v>302.8</v>
      </c>
      <c r="F2093" s="23">
        <v>2</v>
      </c>
      <c r="G2093" s="23">
        <v>2</v>
      </c>
      <c r="H2093" s="23">
        <v>0</v>
      </c>
      <c r="I2093" s="23" t="s">
        <v>5</v>
      </c>
      <c r="J2093" s="23" t="s">
        <v>327</v>
      </c>
    </row>
    <row r="2094" spans="1:10" s="20" customFormat="1" ht="12" x14ac:dyDescent="0.25">
      <c r="A2094" s="22">
        <v>1000101570</v>
      </c>
      <c r="B2094" s="23" t="s">
        <v>1753</v>
      </c>
      <c r="C2094" s="24" t="s">
        <v>4</v>
      </c>
      <c r="D2094" s="23" t="s">
        <v>2090</v>
      </c>
      <c r="E2094" s="23">
        <v>302.44</v>
      </c>
      <c r="F2094" s="23">
        <v>1</v>
      </c>
      <c r="G2094" s="23">
        <v>1</v>
      </c>
      <c r="H2094" s="23">
        <v>0</v>
      </c>
      <c r="I2094" s="23" t="s">
        <v>5</v>
      </c>
      <c r="J2094" s="23" t="s">
        <v>327</v>
      </c>
    </row>
    <row r="2095" spans="1:10" s="20" customFormat="1" ht="12" x14ac:dyDescent="0.25">
      <c r="A2095" s="22">
        <v>1000096104</v>
      </c>
      <c r="B2095" s="23" t="s">
        <v>4018</v>
      </c>
      <c r="C2095" s="24" t="s">
        <v>4</v>
      </c>
      <c r="D2095" s="23" t="s">
        <v>2161</v>
      </c>
      <c r="E2095" s="23">
        <v>302.11933333333297</v>
      </c>
      <c r="F2095" s="23">
        <v>1</v>
      </c>
      <c r="G2095" s="23">
        <v>1</v>
      </c>
      <c r="H2095" s="23">
        <v>0</v>
      </c>
      <c r="I2095" s="23" t="s">
        <v>5</v>
      </c>
      <c r="J2095" s="23" t="s">
        <v>111</v>
      </c>
    </row>
    <row r="2096" spans="1:10" s="20" customFormat="1" ht="12" x14ac:dyDescent="0.25">
      <c r="A2096" s="22">
        <v>1000100323</v>
      </c>
      <c r="B2096" s="23" t="s">
        <v>4019</v>
      </c>
      <c r="C2096" s="24" t="s">
        <v>4</v>
      </c>
      <c r="D2096" s="23" t="s">
        <v>2090</v>
      </c>
      <c r="E2096" s="23">
        <v>302.07</v>
      </c>
      <c r="F2096" s="23">
        <v>20</v>
      </c>
      <c r="G2096" s="23">
        <v>20</v>
      </c>
      <c r="H2096" s="23">
        <v>0</v>
      </c>
      <c r="I2096" s="23" t="s">
        <v>5</v>
      </c>
      <c r="J2096" s="23" t="s">
        <v>327</v>
      </c>
    </row>
    <row r="2097" spans="1:10" s="20" customFormat="1" ht="12" x14ac:dyDescent="0.25">
      <c r="A2097" s="22">
        <v>1000095431</v>
      </c>
      <c r="B2097" s="23" t="s">
        <v>4020</v>
      </c>
      <c r="C2097" s="24" t="s">
        <v>4</v>
      </c>
      <c r="D2097" s="23" t="s">
        <v>2090</v>
      </c>
      <c r="E2097" s="23">
        <v>301.274</v>
      </c>
      <c r="F2097" s="23">
        <v>1</v>
      </c>
      <c r="G2097" s="23">
        <v>1</v>
      </c>
      <c r="H2097" s="23">
        <v>0</v>
      </c>
      <c r="I2097" s="23" t="s">
        <v>5</v>
      </c>
      <c r="J2097" s="23" t="s">
        <v>327</v>
      </c>
    </row>
    <row r="2098" spans="1:10" s="20" customFormat="1" ht="12" x14ac:dyDescent="0.25">
      <c r="A2098" s="22">
        <v>1000020391</v>
      </c>
      <c r="B2098" s="23" t="s">
        <v>621</v>
      </c>
      <c r="C2098" s="24" t="s">
        <v>4</v>
      </c>
      <c r="D2098" s="23" t="s">
        <v>2090</v>
      </c>
      <c r="E2098" s="23">
        <v>301.16000000000003</v>
      </c>
      <c r="F2098" s="23">
        <v>4</v>
      </c>
      <c r="G2098" s="23">
        <v>4</v>
      </c>
      <c r="H2098" s="23">
        <v>0</v>
      </c>
      <c r="I2098" s="23" t="s">
        <v>5</v>
      </c>
      <c r="J2098" s="23" t="s">
        <v>327</v>
      </c>
    </row>
    <row r="2099" spans="1:10" s="20" customFormat="1" ht="12" x14ac:dyDescent="0.25">
      <c r="A2099" s="22">
        <v>2500009406</v>
      </c>
      <c r="B2099" s="23" t="s">
        <v>4022</v>
      </c>
      <c r="C2099" s="24" t="s">
        <v>1996</v>
      </c>
      <c r="D2099" s="23" t="s">
        <v>2289</v>
      </c>
      <c r="E2099" s="23">
        <v>300</v>
      </c>
      <c r="F2099" s="23">
        <v>8</v>
      </c>
      <c r="G2099" s="23">
        <v>8</v>
      </c>
      <c r="H2099" s="23">
        <v>0</v>
      </c>
      <c r="I2099" s="23" t="s">
        <v>5</v>
      </c>
      <c r="J2099" s="23" t="s">
        <v>1993</v>
      </c>
    </row>
    <row r="2100" spans="1:10" s="20" customFormat="1" ht="12" x14ac:dyDescent="0.25">
      <c r="A2100" s="22">
        <v>1000100366</v>
      </c>
      <c r="B2100" s="23" t="s">
        <v>1706</v>
      </c>
      <c r="C2100" s="24" t="s">
        <v>4</v>
      </c>
      <c r="D2100" s="23" t="s">
        <v>2090</v>
      </c>
      <c r="E2100" s="23">
        <v>299.14333333333298</v>
      </c>
      <c r="F2100" s="23">
        <v>6</v>
      </c>
      <c r="G2100" s="23">
        <v>6</v>
      </c>
      <c r="H2100" s="23">
        <v>0</v>
      </c>
      <c r="I2100" s="23" t="s">
        <v>5</v>
      </c>
      <c r="J2100" s="23" t="s">
        <v>327</v>
      </c>
    </row>
    <row r="2101" spans="1:10" s="20" customFormat="1" ht="12" x14ac:dyDescent="0.25">
      <c r="A2101" s="22">
        <v>1000020609</v>
      </c>
      <c r="B2101" s="23" t="s">
        <v>825</v>
      </c>
      <c r="C2101" s="24" t="s">
        <v>4</v>
      </c>
      <c r="D2101" s="23" t="s">
        <v>2090</v>
      </c>
      <c r="E2101" s="23">
        <v>298.02</v>
      </c>
      <c r="F2101" s="23">
        <v>42</v>
      </c>
      <c r="G2101" s="23">
        <v>42</v>
      </c>
      <c r="H2101" s="23">
        <v>0</v>
      </c>
      <c r="I2101" s="23" t="s">
        <v>5</v>
      </c>
      <c r="J2101" s="23" t="s">
        <v>327</v>
      </c>
    </row>
    <row r="2102" spans="1:10" s="20" customFormat="1" ht="12" x14ac:dyDescent="0.25">
      <c r="A2102" s="22">
        <v>1000103526</v>
      </c>
      <c r="B2102" s="23" t="s">
        <v>1828</v>
      </c>
      <c r="C2102" s="24" t="s">
        <v>4</v>
      </c>
      <c r="D2102" s="23" t="s">
        <v>2090</v>
      </c>
      <c r="E2102" s="23">
        <v>297.94</v>
      </c>
      <c r="F2102" s="23">
        <v>5</v>
      </c>
      <c r="G2102" s="23">
        <v>5</v>
      </c>
      <c r="H2102" s="23">
        <v>0</v>
      </c>
      <c r="I2102" s="23" t="s">
        <v>5</v>
      </c>
      <c r="J2102" s="23" t="s">
        <v>327</v>
      </c>
    </row>
    <row r="2103" spans="1:10" s="20" customFormat="1" ht="12" x14ac:dyDescent="0.25">
      <c r="A2103" s="22">
        <v>2500008437</v>
      </c>
      <c r="B2103" s="23" t="s">
        <v>4027</v>
      </c>
      <c r="C2103" s="24" t="s">
        <v>1996</v>
      </c>
      <c r="D2103" s="23" t="s">
        <v>2025</v>
      </c>
      <c r="E2103" s="23">
        <v>297</v>
      </c>
      <c r="F2103" s="23">
        <v>1</v>
      </c>
      <c r="G2103" s="23">
        <v>1</v>
      </c>
      <c r="H2103" s="23">
        <v>0</v>
      </c>
      <c r="I2103" s="23" t="s">
        <v>5</v>
      </c>
      <c r="J2103" s="23" t="s">
        <v>1993</v>
      </c>
    </row>
    <row r="2104" spans="1:10" s="20" customFormat="1" ht="12" x14ac:dyDescent="0.25">
      <c r="A2104" s="22">
        <v>1000020446</v>
      </c>
      <c r="B2104" s="23" t="s">
        <v>673</v>
      </c>
      <c r="C2104" s="24" t="s">
        <v>4</v>
      </c>
      <c r="D2104" s="23" t="s">
        <v>2090</v>
      </c>
      <c r="E2104" s="23">
        <v>296.952826666666</v>
      </c>
      <c r="F2104" s="23">
        <v>12</v>
      </c>
      <c r="G2104" s="23">
        <v>12</v>
      </c>
      <c r="H2104" s="23">
        <v>0</v>
      </c>
      <c r="I2104" s="23" t="s">
        <v>5</v>
      </c>
      <c r="J2104" s="23" t="s">
        <v>327</v>
      </c>
    </row>
    <row r="2105" spans="1:10" s="20" customFormat="1" ht="12" x14ac:dyDescent="0.25">
      <c r="A2105" s="22">
        <v>1000020781</v>
      </c>
      <c r="B2105" s="23" t="s">
        <v>985</v>
      </c>
      <c r="C2105" s="24" t="s">
        <v>4</v>
      </c>
      <c r="D2105" s="23" t="s">
        <v>2090</v>
      </c>
      <c r="E2105" s="23">
        <v>296.94</v>
      </c>
      <c r="F2105" s="23">
        <v>3</v>
      </c>
      <c r="G2105" s="23">
        <v>3</v>
      </c>
      <c r="H2105" s="23">
        <v>0</v>
      </c>
      <c r="I2105" s="23" t="s">
        <v>5</v>
      </c>
      <c r="J2105" s="23" t="s">
        <v>327</v>
      </c>
    </row>
    <row r="2106" spans="1:10" s="20" customFormat="1" ht="12" x14ac:dyDescent="0.25">
      <c r="A2106" s="22">
        <v>1000020544</v>
      </c>
      <c r="B2106" s="23" t="s">
        <v>764</v>
      </c>
      <c r="C2106" s="24" t="s">
        <v>4</v>
      </c>
      <c r="D2106" s="23" t="s">
        <v>2090</v>
      </c>
      <c r="E2106" s="23">
        <v>296.77</v>
      </c>
      <c r="F2106" s="23">
        <v>1</v>
      </c>
      <c r="G2106" s="23">
        <v>1</v>
      </c>
      <c r="H2106" s="23">
        <v>0</v>
      </c>
      <c r="I2106" s="23" t="s">
        <v>5</v>
      </c>
      <c r="J2106" s="23" t="s">
        <v>327</v>
      </c>
    </row>
    <row r="2107" spans="1:10" s="20" customFormat="1" ht="12" x14ac:dyDescent="0.25">
      <c r="A2107" s="22">
        <v>1000098538</v>
      </c>
      <c r="B2107" s="23" t="s">
        <v>1569</v>
      </c>
      <c r="C2107" s="24" t="s">
        <v>4</v>
      </c>
      <c r="D2107" s="23" t="s">
        <v>2090</v>
      </c>
      <c r="E2107" s="23">
        <v>295.88</v>
      </c>
      <c r="F2107" s="23">
        <v>10</v>
      </c>
      <c r="G2107" s="23">
        <v>10</v>
      </c>
      <c r="H2107" s="23">
        <v>0</v>
      </c>
      <c r="I2107" s="23" t="s">
        <v>5</v>
      </c>
      <c r="J2107" s="23" t="s">
        <v>327</v>
      </c>
    </row>
    <row r="2108" spans="1:10" s="20" customFormat="1" ht="12" x14ac:dyDescent="0.25">
      <c r="A2108" s="22">
        <v>1000098532</v>
      </c>
      <c r="B2108" s="23" t="s">
        <v>1566</v>
      </c>
      <c r="C2108" s="24" t="s">
        <v>4</v>
      </c>
      <c r="D2108" s="23" t="s">
        <v>2090</v>
      </c>
      <c r="E2108" s="23">
        <v>295.36</v>
      </c>
      <c r="F2108" s="23">
        <v>2</v>
      </c>
      <c r="G2108" s="23">
        <v>2</v>
      </c>
      <c r="H2108" s="23">
        <v>0</v>
      </c>
      <c r="I2108" s="23" t="s">
        <v>5</v>
      </c>
      <c r="J2108" s="23" t="s">
        <v>327</v>
      </c>
    </row>
    <row r="2109" spans="1:10" s="20" customFormat="1" ht="12" x14ac:dyDescent="0.25">
      <c r="A2109" s="22">
        <v>1000020368</v>
      </c>
      <c r="B2109" s="23" t="s">
        <v>600</v>
      </c>
      <c r="C2109" s="24" t="s">
        <v>4</v>
      </c>
      <c r="D2109" s="23" t="s">
        <v>2090</v>
      </c>
      <c r="E2109" s="23">
        <v>295.18</v>
      </c>
      <c r="F2109" s="23">
        <v>2</v>
      </c>
      <c r="G2109" s="23">
        <v>2</v>
      </c>
      <c r="H2109" s="23">
        <v>0</v>
      </c>
      <c r="I2109" s="23" t="s">
        <v>5</v>
      </c>
      <c r="J2109" s="23" t="s">
        <v>327</v>
      </c>
    </row>
    <row r="2110" spans="1:10" s="20" customFormat="1" ht="12" x14ac:dyDescent="0.25">
      <c r="A2110" s="22">
        <v>1000020546</v>
      </c>
      <c r="B2110" s="23" t="s">
        <v>765</v>
      </c>
      <c r="C2110" s="24" t="s">
        <v>4</v>
      </c>
      <c r="D2110" s="23" t="s">
        <v>2090</v>
      </c>
      <c r="E2110" s="23">
        <v>294.85987179487103</v>
      </c>
      <c r="F2110" s="23">
        <v>1</v>
      </c>
      <c r="G2110" s="23">
        <v>0</v>
      </c>
      <c r="H2110" s="23">
        <v>1</v>
      </c>
      <c r="I2110" s="23" t="s">
        <v>44</v>
      </c>
      <c r="J2110" s="23" t="s">
        <v>327</v>
      </c>
    </row>
    <row r="2111" spans="1:10" s="20" customFormat="1" ht="12" x14ac:dyDescent="0.25">
      <c r="A2111" s="22">
        <v>1000020205</v>
      </c>
      <c r="B2111" s="23" t="s">
        <v>445</v>
      </c>
      <c r="C2111" s="24" t="s">
        <v>4</v>
      </c>
      <c r="D2111" s="23" t="s">
        <v>2090</v>
      </c>
      <c r="E2111" s="23">
        <v>294.83999999999997</v>
      </c>
      <c r="F2111" s="23">
        <v>4</v>
      </c>
      <c r="G2111" s="23">
        <v>4</v>
      </c>
      <c r="H2111" s="23">
        <v>0</v>
      </c>
      <c r="I2111" s="23" t="s">
        <v>5</v>
      </c>
      <c r="J2111" s="23" t="s">
        <v>327</v>
      </c>
    </row>
    <row r="2112" spans="1:10" s="20" customFormat="1" ht="12" x14ac:dyDescent="0.25">
      <c r="A2112" s="22">
        <v>2500008239</v>
      </c>
      <c r="B2112" s="23" t="s">
        <v>1922</v>
      </c>
      <c r="C2112" s="24" t="s">
        <v>1996</v>
      </c>
      <c r="D2112" s="23" t="s">
        <v>2025</v>
      </c>
      <c r="E2112" s="23">
        <v>294.63799999999998</v>
      </c>
      <c r="F2112" s="23">
        <v>1</v>
      </c>
      <c r="G2112" s="23">
        <v>1</v>
      </c>
      <c r="H2112" s="23">
        <v>0</v>
      </c>
      <c r="I2112" s="23" t="s">
        <v>5</v>
      </c>
      <c r="J2112" s="23" t="s">
        <v>1993</v>
      </c>
    </row>
    <row r="2113" spans="1:10" s="20" customFormat="1" ht="12" x14ac:dyDescent="0.25">
      <c r="A2113" s="22">
        <v>1000020502</v>
      </c>
      <c r="B2113" s="23" t="s">
        <v>727</v>
      </c>
      <c r="C2113" s="24" t="s">
        <v>4</v>
      </c>
      <c r="D2113" s="23" t="s">
        <v>2090</v>
      </c>
      <c r="E2113" s="23">
        <v>294.22666666666601</v>
      </c>
      <c r="F2113" s="23">
        <v>4</v>
      </c>
      <c r="G2113" s="23">
        <v>4</v>
      </c>
      <c r="H2113" s="23">
        <v>0</v>
      </c>
      <c r="I2113" s="23" t="s">
        <v>5</v>
      </c>
      <c r="J2113" s="23" t="s">
        <v>327</v>
      </c>
    </row>
    <row r="2114" spans="1:10" s="20" customFormat="1" ht="12" x14ac:dyDescent="0.25">
      <c r="A2114" s="22">
        <v>1000107037</v>
      </c>
      <c r="B2114" s="23" t="s">
        <v>4029</v>
      </c>
      <c r="C2114" s="24" t="s">
        <v>4</v>
      </c>
      <c r="D2114" s="23" t="s">
        <v>2056</v>
      </c>
      <c r="E2114" s="23">
        <v>293.76100000000002</v>
      </c>
      <c r="F2114" s="23">
        <v>15</v>
      </c>
      <c r="G2114" s="23">
        <v>15</v>
      </c>
      <c r="H2114" s="23">
        <v>0</v>
      </c>
      <c r="I2114" s="23" t="s">
        <v>5</v>
      </c>
      <c r="J2114" s="23" t="s">
        <v>1844</v>
      </c>
    </row>
    <row r="2115" spans="1:10" s="20" customFormat="1" ht="12" x14ac:dyDescent="0.25">
      <c r="A2115" s="22">
        <v>1000098473</v>
      </c>
      <c r="B2115" s="23" t="s">
        <v>1547</v>
      </c>
      <c r="C2115" s="24" t="s">
        <v>4</v>
      </c>
      <c r="D2115" s="23" t="s">
        <v>2090</v>
      </c>
      <c r="E2115" s="23">
        <v>293.40800000000002</v>
      </c>
      <c r="F2115" s="23">
        <v>2</v>
      </c>
      <c r="G2115" s="23">
        <v>2</v>
      </c>
      <c r="H2115" s="23">
        <v>0</v>
      </c>
      <c r="I2115" s="23" t="s">
        <v>5</v>
      </c>
      <c r="J2115" s="23" t="s">
        <v>327</v>
      </c>
    </row>
    <row r="2116" spans="1:10" s="20" customFormat="1" ht="12" x14ac:dyDescent="0.25">
      <c r="A2116" s="22">
        <v>1000098523</v>
      </c>
      <c r="B2116" s="23" t="s">
        <v>1557</v>
      </c>
      <c r="C2116" s="24" t="s">
        <v>4</v>
      </c>
      <c r="D2116" s="23" t="s">
        <v>2090</v>
      </c>
      <c r="E2116" s="23">
        <v>292.88</v>
      </c>
      <c r="F2116" s="23">
        <v>5</v>
      </c>
      <c r="G2116" s="23">
        <v>5</v>
      </c>
      <c r="H2116" s="23">
        <v>0</v>
      </c>
      <c r="I2116" s="23" t="s">
        <v>5</v>
      </c>
      <c r="J2116" s="23" t="s">
        <v>327</v>
      </c>
    </row>
    <row r="2117" spans="1:10" s="20" customFormat="1" ht="12" x14ac:dyDescent="0.25">
      <c r="A2117" s="22">
        <v>2500008599</v>
      </c>
      <c r="B2117" s="23" t="s">
        <v>1943</v>
      </c>
      <c r="C2117" s="24" t="s">
        <v>1996</v>
      </c>
      <c r="D2117" s="23" t="s">
        <v>2025</v>
      </c>
      <c r="E2117" s="23">
        <v>292.5</v>
      </c>
      <c r="F2117" s="23">
        <v>2</v>
      </c>
      <c r="G2117" s="23">
        <v>2</v>
      </c>
      <c r="H2117" s="23">
        <v>0</v>
      </c>
      <c r="I2117" s="23" t="s">
        <v>5</v>
      </c>
      <c r="J2117" s="23" t="s">
        <v>1993</v>
      </c>
    </row>
    <row r="2118" spans="1:10" s="20" customFormat="1" ht="12" x14ac:dyDescent="0.25">
      <c r="A2118" s="22">
        <v>1000097196</v>
      </c>
      <c r="B2118" s="23" t="s">
        <v>1850</v>
      </c>
      <c r="C2118" s="24" t="s">
        <v>4</v>
      </c>
      <c r="D2118" s="23" t="s">
        <v>2056</v>
      </c>
      <c r="E2118" s="23">
        <v>292.237879598662</v>
      </c>
      <c r="F2118" s="23">
        <v>37</v>
      </c>
      <c r="G2118" s="23">
        <v>37</v>
      </c>
      <c r="H2118" s="23">
        <v>0</v>
      </c>
      <c r="I2118" s="23" t="s">
        <v>5</v>
      </c>
      <c r="J2118" s="23" t="s">
        <v>1844</v>
      </c>
    </row>
    <row r="2119" spans="1:10" s="20" customFormat="1" ht="12" x14ac:dyDescent="0.25">
      <c r="A2119" s="22">
        <v>1000020990</v>
      </c>
      <c r="B2119" s="23" t="s">
        <v>1164</v>
      </c>
      <c r="C2119" s="24" t="s">
        <v>4</v>
      </c>
      <c r="D2119" s="23" t="s">
        <v>2090</v>
      </c>
      <c r="E2119" s="23">
        <v>289.98</v>
      </c>
      <c r="F2119" s="23">
        <v>3</v>
      </c>
      <c r="G2119" s="23">
        <v>1</v>
      </c>
      <c r="H2119" s="23">
        <v>2</v>
      </c>
      <c r="I2119" s="23" t="s">
        <v>44</v>
      </c>
      <c r="J2119" s="23" t="s">
        <v>327</v>
      </c>
    </row>
    <row r="2120" spans="1:10" s="20" customFormat="1" ht="12" x14ac:dyDescent="0.25">
      <c r="A2120" s="22">
        <v>1000020909</v>
      </c>
      <c r="B2120" s="23" t="s">
        <v>1089</v>
      </c>
      <c r="C2120" s="24" t="s">
        <v>4</v>
      </c>
      <c r="D2120" s="23" t="s">
        <v>2090</v>
      </c>
      <c r="E2120" s="23">
        <v>289.98</v>
      </c>
      <c r="F2120" s="23">
        <v>1</v>
      </c>
      <c r="G2120" s="23">
        <v>1</v>
      </c>
      <c r="H2120" s="23">
        <v>0</v>
      </c>
      <c r="I2120" s="23" t="s">
        <v>5</v>
      </c>
      <c r="J2120" s="23" t="s">
        <v>327</v>
      </c>
    </row>
    <row r="2121" spans="1:10" s="20" customFormat="1" ht="12" x14ac:dyDescent="0.25">
      <c r="A2121" s="22">
        <v>1000020662</v>
      </c>
      <c r="B2121" s="23" t="s">
        <v>875</v>
      </c>
      <c r="C2121" s="24" t="s">
        <v>4</v>
      </c>
      <c r="D2121" s="23" t="s">
        <v>2090</v>
      </c>
      <c r="E2121" s="23">
        <v>289.682894736842</v>
      </c>
      <c r="F2121" s="23">
        <v>8</v>
      </c>
      <c r="G2121" s="23">
        <v>8</v>
      </c>
      <c r="H2121" s="23">
        <v>0</v>
      </c>
      <c r="I2121" s="23" t="s">
        <v>5</v>
      </c>
      <c r="J2121" s="23" t="s">
        <v>327</v>
      </c>
    </row>
    <row r="2122" spans="1:10" s="20" customFormat="1" ht="12" x14ac:dyDescent="0.25">
      <c r="A2122" s="22">
        <v>1000010113</v>
      </c>
      <c r="B2122" s="23" t="s">
        <v>4033</v>
      </c>
      <c r="C2122" s="24" t="s">
        <v>4</v>
      </c>
      <c r="D2122" s="23" t="s">
        <v>2161</v>
      </c>
      <c r="E2122" s="23">
        <v>289.34399999999999</v>
      </c>
      <c r="F2122" s="23">
        <v>8</v>
      </c>
      <c r="G2122" s="23">
        <v>8</v>
      </c>
      <c r="H2122" s="23">
        <v>0</v>
      </c>
      <c r="I2122" s="23" t="s">
        <v>5</v>
      </c>
      <c r="J2122" s="23" t="s">
        <v>111</v>
      </c>
    </row>
    <row r="2123" spans="1:10" s="20" customFormat="1" ht="12" x14ac:dyDescent="0.25">
      <c r="A2123" s="22">
        <v>1000021149</v>
      </c>
      <c r="B2123" s="23" t="s">
        <v>1300</v>
      </c>
      <c r="C2123" s="24" t="s">
        <v>4</v>
      </c>
      <c r="D2123" s="23" t="s">
        <v>2090</v>
      </c>
      <c r="E2123" s="23">
        <v>289.33999999999997</v>
      </c>
      <c r="F2123" s="23">
        <v>2</v>
      </c>
      <c r="G2123" s="23">
        <v>2</v>
      </c>
      <c r="H2123" s="23">
        <v>0</v>
      </c>
      <c r="I2123" s="23" t="s">
        <v>5</v>
      </c>
      <c r="J2123" s="23" t="s">
        <v>327</v>
      </c>
    </row>
    <row r="2124" spans="1:10" s="20" customFormat="1" ht="12" x14ac:dyDescent="0.25">
      <c r="A2124" s="22">
        <v>1000020267</v>
      </c>
      <c r="B2124" s="23" t="s">
        <v>505</v>
      </c>
      <c r="C2124" s="24" t="s">
        <v>4</v>
      </c>
      <c r="D2124" s="23" t="s">
        <v>2090</v>
      </c>
      <c r="E2124" s="23">
        <v>289.19074999999998</v>
      </c>
      <c r="F2124" s="23">
        <v>11</v>
      </c>
      <c r="G2124" s="23">
        <v>11</v>
      </c>
      <c r="H2124" s="23">
        <v>0</v>
      </c>
      <c r="I2124" s="23" t="s">
        <v>5</v>
      </c>
      <c r="J2124" s="23" t="s">
        <v>327</v>
      </c>
    </row>
    <row r="2125" spans="1:10" s="20" customFormat="1" ht="12" x14ac:dyDescent="0.25">
      <c r="A2125" s="22">
        <v>1000098641</v>
      </c>
      <c r="B2125" s="23" t="s">
        <v>1619</v>
      </c>
      <c r="C2125" s="24" t="s">
        <v>4</v>
      </c>
      <c r="D2125" s="23" t="s">
        <v>2090</v>
      </c>
      <c r="E2125" s="23">
        <v>289.14</v>
      </c>
      <c r="F2125" s="23">
        <v>5</v>
      </c>
      <c r="G2125" s="23">
        <v>5</v>
      </c>
      <c r="H2125" s="23">
        <v>0</v>
      </c>
      <c r="I2125" s="23" t="s">
        <v>5</v>
      </c>
      <c r="J2125" s="23" t="s">
        <v>327</v>
      </c>
    </row>
    <row r="2126" spans="1:10" s="20" customFormat="1" ht="12" x14ac:dyDescent="0.25">
      <c r="A2126" s="22">
        <v>1000103023</v>
      </c>
      <c r="B2126" s="23" t="s">
        <v>4034</v>
      </c>
      <c r="C2126" s="24" t="s">
        <v>4</v>
      </c>
      <c r="D2126" s="23" t="s">
        <v>2090</v>
      </c>
      <c r="E2126" s="23">
        <v>289.01</v>
      </c>
      <c r="F2126" s="23">
        <v>1</v>
      </c>
      <c r="G2126" s="23">
        <v>1</v>
      </c>
      <c r="H2126" s="23">
        <v>0</v>
      </c>
      <c r="I2126" s="23" t="s">
        <v>5</v>
      </c>
      <c r="J2126" s="23" t="s">
        <v>327</v>
      </c>
    </row>
    <row r="2127" spans="1:10" s="20" customFormat="1" ht="12" x14ac:dyDescent="0.25">
      <c r="A2127" s="22">
        <v>1000020030</v>
      </c>
      <c r="B2127" s="23" t="s">
        <v>4035</v>
      </c>
      <c r="C2127" s="24" t="s">
        <v>4</v>
      </c>
      <c r="D2127" s="23" t="s">
        <v>2090</v>
      </c>
      <c r="E2127" s="23">
        <v>288.512</v>
      </c>
      <c r="F2127" s="23">
        <v>8</v>
      </c>
      <c r="G2127" s="23">
        <v>8</v>
      </c>
      <c r="H2127" s="23">
        <v>0</v>
      </c>
      <c r="I2127" s="23" t="s">
        <v>5</v>
      </c>
      <c r="J2127" s="23" t="s">
        <v>327</v>
      </c>
    </row>
    <row r="2128" spans="1:10" s="20" customFormat="1" ht="12" x14ac:dyDescent="0.25">
      <c r="A2128" s="22">
        <v>1000095665</v>
      </c>
      <c r="B2128" s="23" t="s">
        <v>4037</v>
      </c>
      <c r="C2128" s="24" t="s">
        <v>4</v>
      </c>
      <c r="D2128" s="23" t="s">
        <v>2056</v>
      </c>
      <c r="E2128" s="23">
        <v>287.96499999999997</v>
      </c>
      <c r="F2128" s="23">
        <v>1</v>
      </c>
      <c r="G2128" s="23">
        <v>1</v>
      </c>
      <c r="H2128" s="23">
        <v>0</v>
      </c>
      <c r="I2128" s="23" t="s">
        <v>5</v>
      </c>
      <c r="J2128" s="23" t="s">
        <v>1844</v>
      </c>
    </row>
    <row r="2129" spans="1:10" s="20" customFormat="1" ht="12" x14ac:dyDescent="0.25">
      <c r="A2129" s="22">
        <v>2500005726</v>
      </c>
      <c r="B2129" s="23" t="s">
        <v>4038</v>
      </c>
      <c r="C2129" s="24" t="s">
        <v>1996</v>
      </c>
      <c r="D2129" s="23" t="s">
        <v>2025</v>
      </c>
      <c r="E2129" s="23">
        <v>287.84482758620601</v>
      </c>
      <c r="F2129" s="23">
        <v>6</v>
      </c>
      <c r="G2129" s="23">
        <v>6</v>
      </c>
      <c r="H2129" s="23">
        <v>0</v>
      </c>
      <c r="I2129" s="23" t="s">
        <v>5</v>
      </c>
      <c r="J2129" s="23" t="s">
        <v>1993</v>
      </c>
    </row>
    <row r="2130" spans="1:10" s="20" customFormat="1" ht="12" x14ac:dyDescent="0.25">
      <c r="A2130" s="22">
        <v>1000106059</v>
      </c>
      <c r="B2130" s="23" t="s">
        <v>4039</v>
      </c>
      <c r="C2130" s="24" t="s">
        <v>4</v>
      </c>
      <c r="D2130" s="23" t="s">
        <v>2161</v>
      </c>
      <c r="E2130" s="23">
        <v>287.7</v>
      </c>
      <c r="F2130" s="23">
        <v>2</v>
      </c>
      <c r="G2130" s="23">
        <v>2</v>
      </c>
      <c r="H2130" s="23">
        <v>0</v>
      </c>
      <c r="I2130" s="23" t="s">
        <v>5</v>
      </c>
      <c r="J2130" s="23" t="s">
        <v>111</v>
      </c>
    </row>
    <row r="2131" spans="1:10" s="20" customFormat="1" ht="12" x14ac:dyDescent="0.25">
      <c r="A2131" s="22">
        <v>1000096577</v>
      </c>
      <c r="B2131" s="23" t="s">
        <v>4040</v>
      </c>
      <c r="C2131" s="24" t="s">
        <v>4</v>
      </c>
      <c r="D2131" s="23" t="s">
        <v>2090</v>
      </c>
      <c r="E2131" s="23">
        <v>285.54500000000002</v>
      </c>
      <c r="F2131" s="23">
        <v>1</v>
      </c>
      <c r="G2131" s="23">
        <v>1</v>
      </c>
      <c r="H2131" s="23">
        <v>0</v>
      </c>
      <c r="I2131" s="23" t="s">
        <v>5</v>
      </c>
      <c r="J2131" s="23" t="s">
        <v>327</v>
      </c>
    </row>
    <row r="2132" spans="1:10" s="20" customFormat="1" ht="12" x14ac:dyDescent="0.25">
      <c r="A2132" s="22">
        <v>1000104227</v>
      </c>
      <c r="B2132" s="23" t="s">
        <v>4043</v>
      </c>
      <c r="C2132" s="24" t="s">
        <v>4</v>
      </c>
      <c r="D2132" s="23" t="s">
        <v>2090</v>
      </c>
      <c r="E2132" s="23">
        <v>284.27815068493101</v>
      </c>
      <c r="F2132" s="23">
        <v>3</v>
      </c>
      <c r="G2132" s="23">
        <v>3</v>
      </c>
      <c r="H2132" s="23">
        <v>0</v>
      </c>
      <c r="I2132" s="23" t="s">
        <v>5</v>
      </c>
      <c r="J2132" s="23" t="s">
        <v>327</v>
      </c>
    </row>
    <row r="2133" spans="1:10" s="20" customFormat="1" ht="12" x14ac:dyDescent="0.25">
      <c r="A2133" s="22">
        <v>1000103429</v>
      </c>
      <c r="B2133" s="23" t="s">
        <v>4044</v>
      </c>
      <c r="C2133" s="24" t="s">
        <v>4</v>
      </c>
      <c r="D2133" s="23" t="s">
        <v>2090</v>
      </c>
      <c r="E2133" s="23">
        <v>282.56</v>
      </c>
      <c r="F2133" s="23">
        <v>5</v>
      </c>
      <c r="G2133" s="23">
        <v>5</v>
      </c>
      <c r="H2133" s="23">
        <v>0</v>
      </c>
      <c r="I2133" s="23" t="s">
        <v>5</v>
      </c>
      <c r="J2133" s="23" t="s">
        <v>327</v>
      </c>
    </row>
    <row r="2134" spans="1:10" s="20" customFormat="1" ht="12" x14ac:dyDescent="0.25">
      <c r="A2134" s="22">
        <v>1000010122</v>
      </c>
      <c r="B2134" s="23" t="s">
        <v>4045</v>
      </c>
      <c r="C2134" s="24" t="s">
        <v>4</v>
      </c>
      <c r="D2134" s="23" t="s">
        <v>2161</v>
      </c>
      <c r="E2134" s="23">
        <v>282.10399999999998</v>
      </c>
      <c r="F2134" s="23">
        <v>2</v>
      </c>
      <c r="G2134" s="23">
        <v>2</v>
      </c>
      <c r="H2134" s="23">
        <v>0</v>
      </c>
      <c r="I2134" s="23" t="s">
        <v>5</v>
      </c>
      <c r="J2134" s="23" t="s">
        <v>111</v>
      </c>
    </row>
    <row r="2135" spans="1:10" s="20" customFormat="1" ht="12" x14ac:dyDescent="0.25">
      <c r="A2135" s="22">
        <v>1000020142</v>
      </c>
      <c r="B2135" s="23" t="s">
        <v>395</v>
      </c>
      <c r="C2135" s="24" t="s">
        <v>4</v>
      </c>
      <c r="D2135" s="23" t="s">
        <v>2090</v>
      </c>
      <c r="E2135" s="23">
        <v>281.60000000000002</v>
      </c>
      <c r="F2135" s="23">
        <v>5</v>
      </c>
      <c r="G2135" s="23">
        <v>5</v>
      </c>
      <c r="H2135" s="23">
        <v>0</v>
      </c>
      <c r="I2135" s="23" t="s">
        <v>5</v>
      </c>
      <c r="J2135" s="23" t="s">
        <v>327</v>
      </c>
    </row>
    <row r="2136" spans="1:10" s="20" customFormat="1" ht="12" x14ac:dyDescent="0.25">
      <c r="A2136" s="22">
        <v>1000098462</v>
      </c>
      <c r="B2136" s="23" t="s">
        <v>1537</v>
      </c>
      <c r="C2136" s="24" t="s">
        <v>4</v>
      </c>
      <c r="D2136" s="23" t="s">
        <v>2090</v>
      </c>
      <c r="E2136" s="23">
        <v>281.57</v>
      </c>
      <c r="F2136" s="23">
        <v>2</v>
      </c>
      <c r="G2136" s="23">
        <v>2</v>
      </c>
      <c r="H2136" s="23">
        <v>0</v>
      </c>
      <c r="I2136" s="23" t="s">
        <v>5</v>
      </c>
      <c r="J2136" s="23" t="s">
        <v>327</v>
      </c>
    </row>
    <row r="2137" spans="1:10" s="20" customFormat="1" ht="12" x14ac:dyDescent="0.25">
      <c r="A2137" s="22">
        <v>1000021226</v>
      </c>
      <c r="B2137" s="23" t="s">
        <v>1372</v>
      </c>
      <c r="C2137" s="24" t="s">
        <v>4</v>
      </c>
      <c r="D2137" s="23" t="s">
        <v>2090</v>
      </c>
      <c r="E2137" s="23">
        <v>281.25</v>
      </c>
      <c r="F2137" s="23">
        <v>3</v>
      </c>
      <c r="G2137" s="23">
        <v>3</v>
      </c>
      <c r="H2137" s="23">
        <v>0</v>
      </c>
      <c r="I2137" s="23" t="s">
        <v>5</v>
      </c>
      <c r="J2137" s="23" t="s">
        <v>327</v>
      </c>
    </row>
    <row r="2138" spans="1:10" s="20" customFormat="1" ht="12" x14ac:dyDescent="0.25">
      <c r="A2138" s="22">
        <v>2500008366</v>
      </c>
      <c r="B2138" s="23" t="s">
        <v>4048</v>
      </c>
      <c r="C2138" s="24" t="s">
        <v>1996</v>
      </c>
      <c r="D2138" s="23" t="s">
        <v>2025</v>
      </c>
      <c r="E2138" s="23">
        <v>281.25</v>
      </c>
      <c r="F2138" s="23">
        <v>15</v>
      </c>
      <c r="G2138" s="23">
        <v>15</v>
      </c>
      <c r="H2138" s="23">
        <v>0</v>
      </c>
      <c r="I2138" s="23" t="s">
        <v>5</v>
      </c>
      <c r="J2138" s="23" t="s">
        <v>1993</v>
      </c>
    </row>
    <row r="2139" spans="1:10" s="20" customFormat="1" ht="12" x14ac:dyDescent="0.25">
      <c r="A2139" s="22">
        <v>1000021024</v>
      </c>
      <c r="B2139" s="23" t="s">
        <v>1196</v>
      </c>
      <c r="C2139" s="24" t="s">
        <v>4</v>
      </c>
      <c r="D2139" s="23" t="s">
        <v>2090</v>
      </c>
      <c r="E2139" s="23">
        <v>280.79000000000002</v>
      </c>
      <c r="F2139" s="23">
        <v>1</v>
      </c>
      <c r="G2139" s="23">
        <v>1</v>
      </c>
      <c r="H2139" s="23">
        <v>0</v>
      </c>
      <c r="I2139" s="23" t="s">
        <v>5</v>
      </c>
      <c r="J2139" s="23" t="s">
        <v>327</v>
      </c>
    </row>
    <row r="2140" spans="1:10" s="20" customFormat="1" ht="12" x14ac:dyDescent="0.25">
      <c r="A2140" s="22">
        <v>2500008219</v>
      </c>
      <c r="B2140" s="23" t="s">
        <v>4050</v>
      </c>
      <c r="C2140" s="24" t="s">
        <v>1996</v>
      </c>
      <c r="D2140" s="23" t="s">
        <v>2025</v>
      </c>
      <c r="E2140" s="23">
        <v>280.62266666666602</v>
      </c>
      <c r="F2140" s="23">
        <v>2</v>
      </c>
      <c r="G2140" s="23">
        <v>2</v>
      </c>
      <c r="H2140" s="23">
        <v>0</v>
      </c>
      <c r="I2140" s="23" t="s">
        <v>5</v>
      </c>
      <c r="J2140" s="23" t="s">
        <v>1993</v>
      </c>
    </row>
    <row r="2141" spans="1:10" s="20" customFormat="1" ht="12" x14ac:dyDescent="0.25">
      <c r="A2141" s="22">
        <v>1000020453</v>
      </c>
      <c r="B2141" s="23" t="s">
        <v>679</v>
      </c>
      <c r="C2141" s="24" t="s">
        <v>4</v>
      </c>
      <c r="D2141" s="23" t="s">
        <v>2090</v>
      </c>
      <c r="E2141" s="23">
        <v>280.48</v>
      </c>
      <c r="F2141" s="23">
        <v>16</v>
      </c>
      <c r="G2141" s="23">
        <v>16</v>
      </c>
      <c r="H2141" s="23">
        <v>0</v>
      </c>
      <c r="I2141" s="23" t="s">
        <v>5</v>
      </c>
      <c r="J2141" s="23" t="s">
        <v>327</v>
      </c>
    </row>
    <row r="2142" spans="1:10" s="20" customFormat="1" ht="12" x14ac:dyDescent="0.25">
      <c r="A2142" s="22">
        <v>1000101489</v>
      </c>
      <c r="B2142" s="23" t="s">
        <v>4054</v>
      </c>
      <c r="C2142" s="24" t="s">
        <v>4</v>
      </c>
      <c r="D2142" s="23" t="s">
        <v>2056</v>
      </c>
      <c r="E2142" s="23">
        <v>279.75</v>
      </c>
      <c r="F2142" s="23">
        <v>25</v>
      </c>
      <c r="G2142" s="23">
        <v>25</v>
      </c>
      <c r="H2142" s="23">
        <v>0</v>
      </c>
      <c r="I2142" s="23" t="s">
        <v>5</v>
      </c>
      <c r="J2142" s="23" t="s">
        <v>1844</v>
      </c>
    </row>
    <row r="2143" spans="1:10" s="20" customFormat="1" ht="12" x14ac:dyDescent="0.25">
      <c r="A2143" s="22">
        <v>1000010157</v>
      </c>
      <c r="B2143" s="23" t="s">
        <v>4055</v>
      </c>
      <c r="C2143" s="24" t="s">
        <v>4</v>
      </c>
      <c r="D2143" s="23" t="s">
        <v>2161</v>
      </c>
      <c r="E2143" s="23">
        <v>278.80500000000001</v>
      </c>
      <c r="F2143" s="23">
        <v>1</v>
      </c>
      <c r="G2143" s="23">
        <v>1</v>
      </c>
      <c r="H2143" s="23">
        <v>0</v>
      </c>
      <c r="I2143" s="23" t="s">
        <v>5</v>
      </c>
      <c r="J2143" s="23" t="s">
        <v>111</v>
      </c>
    </row>
    <row r="2144" spans="1:10" s="20" customFormat="1" ht="12" x14ac:dyDescent="0.25">
      <c r="A2144" s="22">
        <v>1000102370</v>
      </c>
      <c r="B2144" s="23" t="s">
        <v>4056</v>
      </c>
      <c r="C2144" s="24" t="s">
        <v>4</v>
      </c>
      <c r="D2144" s="23" t="s">
        <v>2161</v>
      </c>
      <c r="E2144" s="23">
        <v>278.66399999999999</v>
      </c>
      <c r="F2144" s="23">
        <v>2</v>
      </c>
      <c r="G2144" s="23">
        <v>2</v>
      </c>
      <c r="H2144" s="23">
        <v>0</v>
      </c>
      <c r="I2144" s="23" t="s">
        <v>5</v>
      </c>
      <c r="J2144" s="23" t="s">
        <v>111</v>
      </c>
    </row>
    <row r="2145" spans="1:10" s="20" customFormat="1" ht="12" x14ac:dyDescent="0.25">
      <c r="A2145" s="22">
        <v>1000020597</v>
      </c>
      <c r="B2145" s="23" t="s">
        <v>813</v>
      </c>
      <c r="C2145" s="24" t="s">
        <v>4</v>
      </c>
      <c r="D2145" s="23" t="s">
        <v>2090</v>
      </c>
      <c r="E2145" s="23">
        <v>278</v>
      </c>
      <c r="F2145" s="23">
        <v>50</v>
      </c>
      <c r="G2145" s="23">
        <v>50</v>
      </c>
      <c r="H2145" s="23">
        <v>0</v>
      </c>
      <c r="I2145" s="23" t="s">
        <v>5</v>
      </c>
      <c r="J2145" s="23" t="s">
        <v>327</v>
      </c>
    </row>
    <row r="2146" spans="1:10" s="20" customFormat="1" ht="12" x14ac:dyDescent="0.25">
      <c r="A2146" s="22">
        <v>1000020145</v>
      </c>
      <c r="B2146" s="23" t="s">
        <v>398</v>
      </c>
      <c r="C2146" s="24" t="s">
        <v>4</v>
      </c>
      <c r="D2146" s="23" t="s">
        <v>2090</v>
      </c>
      <c r="E2146" s="23">
        <v>277.94</v>
      </c>
      <c r="F2146" s="23">
        <v>2</v>
      </c>
      <c r="G2146" s="23">
        <v>2</v>
      </c>
      <c r="H2146" s="23">
        <v>0</v>
      </c>
      <c r="I2146" s="23" t="s">
        <v>5</v>
      </c>
      <c r="J2146" s="23" t="s">
        <v>327</v>
      </c>
    </row>
    <row r="2147" spans="1:10" s="20" customFormat="1" ht="12" x14ac:dyDescent="0.25">
      <c r="A2147" s="22">
        <v>2500008432</v>
      </c>
      <c r="B2147" s="23" t="s">
        <v>4058</v>
      </c>
      <c r="C2147" s="24" t="s">
        <v>1996</v>
      </c>
      <c r="D2147" s="23" t="s">
        <v>2025</v>
      </c>
      <c r="E2147" s="23">
        <v>277.31</v>
      </c>
      <c r="F2147" s="23">
        <v>2</v>
      </c>
      <c r="G2147" s="23">
        <v>2</v>
      </c>
      <c r="H2147" s="23">
        <v>0</v>
      </c>
      <c r="I2147" s="23" t="s">
        <v>5</v>
      </c>
      <c r="J2147" s="23" t="s">
        <v>1993</v>
      </c>
    </row>
    <row r="2148" spans="1:10" s="20" customFormat="1" ht="12" x14ac:dyDescent="0.25">
      <c r="A2148" s="22">
        <v>1000021081</v>
      </c>
      <c r="B2148" s="23" t="s">
        <v>1243</v>
      </c>
      <c r="C2148" s="24" t="s">
        <v>4</v>
      </c>
      <c r="D2148" s="23" t="s">
        <v>2090</v>
      </c>
      <c r="E2148" s="23">
        <v>276.8</v>
      </c>
      <c r="F2148" s="23">
        <v>4</v>
      </c>
      <c r="G2148" s="23">
        <v>4</v>
      </c>
      <c r="H2148" s="23">
        <v>0</v>
      </c>
      <c r="I2148" s="23" t="s">
        <v>5</v>
      </c>
      <c r="J2148" s="23" t="s">
        <v>327</v>
      </c>
    </row>
    <row r="2149" spans="1:10" s="20" customFormat="1" ht="12" x14ac:dyDescent="0.25">
      <c r="A2149" s="22">
        <v>1000103069</v>
      </c>
      <c r="B2149" s="23" t="s">
        <v>4059</v>
      </c>
      <c r="C2149" s="24" t="s">
        <v>4</v>
      </c>
      <c r="D2149" s="23" t="s">
        <v>2090</v>
      </c>
      <c r="E2149" s="23">
        <v>275.85000000000002</v>
      </c>
      <c r="F2149" s="23">
        <v>21</v>
      </c>
      <c r="G2149" s="23">
        <v>21</v>
      </c>
      <c r="H2149" s="23">
        <v>0</v>
      </c>
      <c r="I2149" s="23" t="s">
        <v>5</v>
      </c>
      <c r="J2149" s="23" t="s">
        <v>327</v>
      </c>
    </row>
    <row r="2150" spans="1:10" s="20" customFormat="1" ht="12" x14ac:dyDescent="0.25">
      <c r="A2150" s="22">
        <v>1000020318</v>
      </c>
      <c r="B2150" s="23" t="s">
        <v>552</v>
      </c>
      <c r="C2150" s="24" t="s">
        <v>4</v>
      </c>
      <c r="D2150" s="23" t="s">
        <v>2090</v>
      </c>
      <c r="E2150" s="23">
        <v>275.76</v>
      </c>
      <c r="F2150" s="23">
        <v>2</v>
      </c>
      <c r="G2150" s="23">
        <v>2</v>
      </c>
      <c r="H2150" s="23">
        <v>0</v>
      </c>
      <c r="I2150" s="23" t="s">
        <v>5</v>
      </c>
      <c r="J2150" s="23" t="s">
        <v>327</v>
      </c>
    </row>
    <row r="2151" spans="1:10" s="20" customFormat="1" ht="12" x14ac:dyDescent="0.25">
      <c r="A2151" s="22">
        <v>1000020795</v>
      </c>
      <c r="B2151" s="23" t="s">
        <v>999</v>
      </c>
      <c r="C2151" s="24" t="s">
        <v>4</v>
      </c>
      <c r="D2151" s="23" t="s">
        <v>2090</v>
      </c>
      <c r="E2151" s="23">
        <v>275.20400000000001</v>
      </c>
      <c r="F2151" s="23">
        <v>4</v>
      </c>
      <c r="G2151" s="23">
        <v>4</v>
      </c>
      <c r="H2151" s="23">
        <v>0</v>
      </c>
      <c r="I2151" s="23" t="s">
        <v>5</v>
      </c>
      <c r="J2151" s="23" t="s">
        <v>327</v>
      </c>
    </row>
    <row r="2152" spans="1:10" s="20" customFormat="1" ht="12" x14ac:dyDescent="0.25">
      <c r="A2152" s="22">
        <v>1000020999</v>
      </c>
      <c r="B2152" s="23" t="s">
        <v>1172</v>
      </c>
      <c r="C2152" s="24" t="s">
        <v>4</v>
      </c>
      <c r="D2152" s="23" t="s">
        <v>2090</v>
      </c>
      <c r="E2152" s="23">
        <v>274.7</v>
      </c>
      <c r="F2152" s="23">
        <v>2</v>
      </c>
      <c r="G2152" s="23">
        <v>2</v>
      </c>
      <c r="H2152" s="23">
        <v>0</v>
      </c>
      <c r="I2152" s="23" t="s">
        <v>5</v>
      </c>
      <c r="J2152" s="23" t="s">
        <v>327</v>
      </c>
    </row>
    <row r="2153" spans="1:10" s="20" customFormat="1" ht="12" x14ac:dyDescent="0.25">
      <c r="A2153" s="22">
        <v>2500008215</v>
      </c>
      <c r="B2153" s="23" t="s">
        <v>4060</v>
      </c>
      <c r="C2153" s="24" t="s">
        <v>1996</v>
      </c>
      <c r="D2153" s="23" t="s">
        <v>2025</v>
      </c>
      <c r="E2153" s="23">
        <v>274.5</v>
      </c>
      <c r="F2153" s="23">
        <v>5</v>
      </c>
      <c r="G2153" s="23">
        <v>5</v>
      </c>
      <c r="H2153" s="23">
        <v>0</v>
      </c>
      <c r="I2153" s="23" t="s">
        <v>5</v>
      </c>
      <c r="J2153" s="23" t="s">
        <v>1993</v>
      </c>
    </row>
    <row r="2154" spans="1:10" s="20" customFormat="1" ht="12" x14ac:dyDescent="0.25">
      <c r="A2154" s="22">
        <v>1000100741</v>
      </c>
      <c r="B2154" s="23" t="s">
        <v>1748</v>
      </c>
      <c r="C2154" s="24" t="s">
        <v>4</v>
      </c>
      <c r="D2154" s="23" t="s">
        <v>2218</v>
      </c>
      <c r="E2154" s="23">
        <v>274.27499999999998</v>
      </c>
      <c r="F2154" s="23">
        <v>3</v>
      </c>
      <c r="G2154" s="23">
        <v>3</v>
      </c>
      <c r="H2154" s="23">
        <v>0</v>
      </c>
      <c r="I2154" s="23" t="s">
        <v>5</v>
      </c>
      <c r="J2154" s="23" t="s">
        <v>327</v>
      </c>
    </row>
    <row r="2155" spans="1:10" s="20" customFormat="1" ht="12" x14ac:dyDescent="0.25">
      <c r="A2155" s="22">
        <v>1000020090</v>
      </c>
      <c r="B2155" s="23" t="s">
        <v>349</v>
      </c>
      <c r="C2155" s="24" t="s">
        <v>4</v>
      </c>
      <c r="D2155" s="23" t="s">
        <v>2090</v>
      </c>
      <c r="E2155" s="23">
        <v>274</v>
      </c>
      <c r="F2155" s="23">
        <v>2</v>
      </c>
      <c r="G2155" s="23">
        <v>2</v>
      </c>
      <c r="H2155" s="23">
        <v>0</v>
      </c>
      <c r="I2155" s="23" t="s">
        <v>5</v>
      </c>
      <c r="J2155" s="23" t="s">
        <v>327</v>
      </c>
    </row>
    <row r="2156" spans="1:10" s="20" customFormat="1" ht="12" x14ac:dyDescent="0.25">
      <c r="A2156" s="22">
        <v>1000020091</v>
      </c>
      <c r="B2156" s="23" t="s">
        <v>350</v>
      </c>
      <c r="C2156" s="24" t="s">
        <v>4</v>
      </c>
      <c r="D2156" s="23" t="s">
        <v>2090</v>
      </c>
      <c r="E2156" s="23">
        <v>274</v>
      </c>
      <c r="F2156" s="23">
        <v>2</v>
      </c>
      <c r="G2156" s="23">
        <v>2</v>
      </c>
      <c r="H2156" s="23">
        <v>0</v>
      </c>
      <c r="I2156" s="23" t="s">
        <v>5</v>
      </c>
      <c r="J2156" s="23" t="s">
        <v>327</v>
      </c>
    </row>
    <row r="2157" spans="1:10" s="20" customFormat="1" ht="12" x14ac:dyDescent="0.25">
      <c r="A2157" s="22">
        <v>2300000011</v>
      </c>
      <c r="B2157" s="23" t="s">
        <v>322</v>
      </c>
      <c r="C2157" s="24" t="s">
        <v>2017</v>
      </c>
      <c r="D2157" s="23" t="s">
        <v>2063</v>
      </c>
      <c r="E2157" s="23">
        <v>273.23316452991401</v>
      </c>
      <c r="F2157" s="23">
        <v>1</v>
      </c>
      <c r="G2157" s="23">
        <v>0</v>
      </c>
      <c r="H2157" s="23">
        <v>1</v>
      </c>
      <c r="I2157" s="23" t="s">
        <v>14</v>
      </c>
      <c r="J2157" s="23" t="s">
        <v>146</v>
      </c>
    </row>
    <row r="2158" spans="1:10" s="20" customFormat="1" ht="12" x14ac:dyDescent="0.25">
      <c r="A2158" s="22">
        <v>1000098593</v>
      </c>
      <c r="B2158" s="23" t="s">
        <v>1599</v>
      </c>
      <c r="C2158" s="24" t="s">
        <v>4</v>
      </c>
      <c r="D2158" s="23" t="s">
        <v>2090</v>
      </c>
      <c r="E2158" s="23">
        <v>272.07666666666597</v>
      </c>
      <c r="F2158" s="23">
        <v>1</v>
      </c>
      <c r="G2158" s="23">
        <v>1</v>
      </c>
      <c r="H2158" s="23">
        <v>0</v>
      </c>
      <c r="I2158" s="23" t="s">
        <v>5</v>
      </c>
      <c r="J2158" s="23" t="s">
        <v>327</v>
      </c>
    </row>
    <row r="2159" spans="1:10" s="20" customFormat="1" ht="12" x14ac:dyDescent="0.25">
      <c r="A2159" s="22">
        <v>1000021415</v>
      </c>
      <c r="B2159" s="23" t="s">
        <v>1477</v>
      </c>
      <c r="C2159" s="24" t="s">
        <v>4</v>
      </c>
      <c r="D2159" s="23" t="s">
        <v>2090</v>
      </c>
      <c r="E2159" s="23">
        <v>271.73599999999999</v>
      </c>
      <c r="F2159" s="23">
        <v>1</v>
      </c>
      <c r="G2159" s="23">
        <v>1</v>
      </c>
      <c r="H2159" s="23">
        <v>0</v>
      </c>
      <c r="I2159" s="23" t="s">
        <v>5</v>
      </c>
      <c r="J2159" s="23" t="s">
        <v>327</v>
      </c>
    </row>
    <row r="2160" spans="1:10" s="20" customFormat="1" ht="12" x14ac:dyDescent="0.25">
      <c r="A2160" s="22">
        <v>1000021084</v>
      </c>
      <c r="B2160" s="23" t="s">
        <v>1246</v>
      </c>
      <c r="C2160" s="24" t="s">
        <v>4</v>
      </c>
      <c r="D2160" s="23" t="s">
        <v>2090</v>
      </c>
      <c r="E2160" s="23">
        <v>271.58999999999997</v>
      </c>
      <c r="F2160" s="23">
        <v>3</v>
      </c>
      <c r="G2160" s="23">
        <v>3</v>
      </c>
      <c r="H2160" s="23">
        <v>0</v>
      </c>
      <c r="I2160" s="23" t="s">
        <v>5</v>
      </c>
      <c r="J2160" s="23" t="s">
        <v>327</v>
      </c>
    </row>
    <row r="2161" spans="1:10" s="20" customFormat="1" ht="12" x14ac:dyDescent="0.25">
      <c r="A2161" s="22">
        <v>1000020995</v>
      </c>
      <c r="B2161" s="23" t="s">
        <v>1169</v>
      </c>
      <c r="C2161" s="24" t="s">
        <v>4</v>
      </c>
      <c r="D2161" s="23" t="s">
        <v>2090</v>
      </c>
      <c r="E2161" s="23">
        <v>271.58999999999997</v>
      </c>
      <c r="F2161" s="23">
        <v>3</v>
      </c>
      <c r="G2161" s="23">
        <v>3</v>
      </c>
      <c r="H2161" s="23">
        <v>0</v>
      </c>
      <c r="I2161" s="23" t="s">
        <v>5</v>
      </c>
      <c r="J2161" s="23" t="s">
        <v>327</v>
      </c>
    </row>
    <row r="2162" spans="1:10" s="20" customFormat="1" ht="12" x14ac:dyDescent="0.25">
      <c r="A2162" s="22">
        <v>1000020195</v>
      </c>
      <c r="B2162" s="23" t="s">
        <v>436</v>
      </c>
      <c r="C2162" s="24" t="s">
        <v>4</v>
      </c>
      <c r="D2162" s="23" t="s">
        <v>2090</v>
      </c>
      <c r="E2162" s="23">
        <v>271.18</v>
      </c>
      <c r="F2162" s="23">
        <v>2</v>
      </c>
      <c r="G2162" s="23">
        <v>2</v>
      </c>
      <c r="H2162" s="23">
        <v>0</v>
      </c>
      <c r="I2162" s="23" t="s">
        <v>5</v>
      </c>
      <c r="J2162" s="23" t="s">
        <v>327</v>
      </c>
    </row>
    <row r="2163" spans="1:10" s="20" customFormat="1" ht="12" x14ac:dyDescent="0.25">
      <c r="A2163" s="22">
        <v>1000020612</v>
      </c>
      <c r="B2163" s="23" t="s">
        <v>828</v>
      </c>
      <c r="C2163" s="24" t="s">
        <v>4</v>
      </c>
      <c r="D2163" s="23" t="s">
        <v>2090</v>
      </c>
      <c r="E2163" s="23">
        <v>271.06188571428498</v>
      </c>
      <c r="F2163" s="23">
        <v>34</v>
      </c>
      <c r="G2163" s="23">
        <v>34</v>
      </c>
      <c r="H2163" s="23">
        <v>0</v>
      </c>
      <c r="I2163" s="23" t="s">
        <v>5</v>
      </c>
      <c r="J2163" s="23" t="s">
        <v>327</v>
      </c>
    </row>
    <row r="2164" spans="1:10" s="20" customFormat="1" ht="12" x14ac:dyDescent="0.25">
      <c r="A2164" s="22">
        <v>1000021383</v>
      </c>
      <c r="B2164" s="23" t="s">
        <v>1466</v>
      </c>
      <c r="C2164" s="24" t="s">
        <v>4</v>
      </c>
      <c r="D2164" s="23" t="s">
        <v>2090</v>
      </c>
      <c r="E2164" s="23">
        <v>269.214</v>
      </c>
      <c r="F2164" s="23">
        <v>3</v>
      </c>
      <c r="G2164" s="23">
        <v>3</v>
      </c>
      <c r="H2164" s="23">
        <v>0</v>
      </c>
      <c r="I2164" s="23" t="s">
        <v>5</v>
      </c>
      <c r="J2164" s="23" t="s">
        <v>327</v>
      </c>
    </row>
    <row r="2165" spans="1:10" s="20" customFormat="1" ht="12" x14ac:dyDescent="0.25">
      <c r="A2165" s="22">
        <v>1000020143</v>
      </c>
      <c r="B2165" s="23" t="s">
        <v>396</v>
      </c>
      <c r="C2165" s="24" t="s">
        <v>4</v>
      </c>
      <c r="D2165" s="23" t="s">
        <v>2090</v>
      </c>
      <c r="E2165" s="23">
        <v>268.8</v>
      </c>
      <c r="F2165" s="23">
        <v>4</v>
      </c>
      <c r="G2165" s="23">
        <v>4</v>
      </c>
      <c r="H2165" s="23">
        <v>0</v>
      </c>
      <c r="I2165" s="23" t="s">
        <v>5</v>
      </c>
      <c r="J2165" s="23" t="s">
        <v>327</v>
      </c>
    </row>
    <row r="2166" spans="1:10" s="20" customFormat="1" ht="12" x14ac:dyDescent="0.25">
      <c r="A2166" s="22">
        <v>1000020355</v>
      </c>
      <c r="B2166" s="23" t="s">
        <v>587</v>
      </c>
      <c r="C2166" s="24" t="s">
        <v>4</v>
      </c>
      <c r="D2166" s="23" t="s">
        <v>2090</v>
      </c>
      <c r="E2166" s="23">
        <v>268.75</v>
      </c>
      <c r="F2166" s="23">
        <v>5</v>
      </c>
      <c r="G2166" s="23">
        <v>5</v>
      </c>
      <c r="H2166" s="23">
        <v>0</v>
      </c>
      <c r="I2166" s="23" t="s">
        <v>5</v>
      </c>
      <c r="J2166" s="23" t="s">
        <v>327</v>
      </c>
    </row>
    <row r="2167" spans="1:10" s="20" customFormat="1" ht="12" x14ac:dyDescent="0.25">
      <c r="A2167" s="22">
        <v>1000094819</v>
      </c>
      <c r="B2167" s="23" t="s">
        <v>4067</v>
      </c>
      <c r="C2167" s="24" t="s">
        <v>4</v>
      </c>
      <c r="D2167" s="23" t="s">
        <v>2161</v>
      </c>
      <c r="E2167" s="23">
        <v>267.47541666666598</v>
      </c>
      <c r="F2167" s="23">
        <v>2</v>
      </c>
      <c r="G2167" s="23">
        <v>2</v>
      </c>
      <c r="H2167" s="23">
        <v>0</v>
      </c>
      <c r="I2167" s="23" t="s">
        <v>5</v>
      </c>
      <c r="J2167" s="23" t="s">
        <v>111</v>
      </c>
    </row>
    <row r="2168" spans="1:10" s="20" customFormat="1" ht="12" x14ac:dyDescent="0.25">
      <c r="A2168" s="22">
        <v>1000095831</v>
      </c>
      <c r="B2168" s="23" t="s">
        <v>4068</v>
      </c>
      <c r="C2168" s="24" t="s">
        <v>4</v>
      </c>
      <c r="D2168" s="23" t="s">
        <v>2056</v>
      </c>
      <c r="E2168" s="23">
        <v>267.27247706422003</v>
      </c>
      <c r="F2168" s="23">
        <v>19</v>
      </c>
      <c r="G2168" s="23">
        <v>19</v>
      </c>
      <c r="H2168" s="23">
        <v>0</v>
      </c>
      <c r="I2168" s="23" t="s">
        <v>5</v>
      </c>
      <c r="J2168" s="23" t="s">
        <v>1844</v>
      </c>
    </row>
    <row r="2169" spans="1:10" s="20" customFormat="1" ht="12" x14ac:dyDescent="0.25">
      <c r="A2169" s="22">
        <v>1000020257</v>
      </c>
      <c r="B2169" s="23" t="s">
        <v>496</v>
      </c>
      <c r="C2169" s="24" t="s">
        <v>4</v>
      </c>
      <c r="D2169" s="23" t="s">
        <v>2090</v>
      </c>
      <c r="E2169" s="23">
        <v>266.93299444444398</v>
      </c>
      <c r="F2169" s="23">
        <v>24</v>
      </c>
      <c r="G2169" s="23">
        <v>24</v>
      </c>
      <c r="H2169" s="23">
        <v>0</v>
      </c>
      <c r="I2169" s="23" t="s">
        <v>5</v>
      </c>
      <c r="J2169" s="23" t="s">
        <v>327</v>
      </c>
    </row>
    <row r="2170" spans="1:10" s="20" customFormat="1" ht="12" x14ac:dyDescent="0.25">
      <c r="A2170" s="22">
        <v>1000020464</v>
      </c>
      <c r="B2170" s="23" t="s">
        <v>690</v>
      </c>
      <c r="C2170" s="24" t="s">
        <v>4</v>
      </c>
      <c r="D2170" s="23" t="s">
        <v>2090</v>
      </c>
      <c r="E2170" s="23">
        <v>266.81</v>
      </c>
      <c r="F2170" s="23">
        <v>5</v>
      </c>
      <c r="G2170" s="23">
        <v>5</v>
      </c>
      <c r="H2170" s="23">
        <v>0</v>
      </c>
      <c r="I2170" s="23" t="s">
        <v>5</v>
      </c>
      <c r="J2170" s="23" t="s">
        <v>327</v>
      </c>
    </row>
    <row r="2171" spans="1:10" s="20" customFormat="1" ht="12" x14ac:dyDescent="0.25">
      <c r="A2171" s="22">
        <v>1000021244</v>
      </c>
      <c r="B2171" s="23" t="s">
        <v>1389</v>
      </c>
      <c r="C2171" s="24" t="s">
        <v>4</v>
      </c>
      <c r="D2171" s="23" t="s">
        <v>2090</v>
      </c>
      <c r="E2171" s="23">
        <v>266.26</v>
      </c>
      <c r="F2171" s="23">
        <v>2</v>
      </c>
      <c r="G2171" s="23">
        <v>2</v>
      </c>
      <c r="H2171" s="23">
        <v>0</v>
      </c>
      <c r="I2171" s="23" t="s">
        <v>5</v>
      </c>
      <c r="J2171" s="23" t="s">
        <v>327</v>
      </c>
    </row>
    <row r="2172" spans="1:10" s="20" customFormat="1" ht="12" x14ac:dyDescent="0.25">
      <c r="A2172" s="22">
        <v>1000097687</v>
      </c>
      <c r="B2172" s="23" t="s">
        <v>4070</v>
      </c>
      <c r="C2172" s="24" t="s">
        <v>4</v>
      </c>
      <c r="D2172" s="23" t="s">
        <v>2056</v>
      </c>
      <c r="E2172" s="23">
        <v>265.52999999999997</v>
      </c>
      <c r="F2172" s="23">
        <v>1440</v>
      </c>
      <c r="G2172" s="23">
        <v>1440</v>
      </c>
      <c r="H2172" s="23">
        <v>0</v>
      </c>
      <c r="I2172" s="23" t="s">
        <v>5</v>
      </c>
      <c r="J2172" s="23" t="s">
        <v>1844</v>
      </c>
    </row>
    <row r="2173" spans="1:10" s="20" customFormat="1" ht="12" x14ac:dyDescent="0.25">
      <c r="A2173" s="22">
        <v>1000021032</v>
      </c>
      <c r="B2173" s="23" t="s">
        <v>1203</v>
      </c>
      <c r="C2173" s="24" t="s">
        <v>4</v>
      </c>
      <c r="D2173" s="23" t="s">
        <v>2090</v>
      </c>
      <c r="E2173" s="23">
        <v>264.14</v>
      </c>
      <c r="F2173" s="23">
        <v>2</v>
      </c>
      <c r="G2173" s="23">
        <v>2</v>
      </c>
      <c r="H2173" s="23">
        <v>0</v>
      </c>
      <c r="I2173" s="23" t="s">
        <v>5</v>
      </c>
      <c r="J2173" s="23" t="s">
        <v>327</v>
      </c>
    </row>
    <row r="2174" spans="1:10" s="20" customFormat="1" ht="12" x14ac:dyDescent="0.25">
      <c r="A2174" s="22">
        <v>1000099506</v>
      </c>
      <c r="B2174" s="23" t="s">
        <v>4072</v>
      </c>
      <c r="C2174" s="24" t="s">
        <v>4</v>
      </c>
      <c r="D2174" s="23" t="s">
        <v>2090</v>
      </c>
      <c r="E2174" s="23">
        <v>263.8175</v>
      </c>
      <c r="F2174" s="23">
        <v>7</v>
      </c>
      <c r="G2174" s="23">
        <v>7</v>
      </c>
      <c r="H2174" s="23">
        <v>0</v>
      </c>
      <c r="I2174" s="23" t="s">
        <v>5</v>
      </c>
      <c r="J2174" s="23" t="s">
        <v>327</v>
      </c>
    </row>
    <row r="2175" spans="1:10" s="20" customFormat="1" ht="12" x14ac:dyDescent="0.25">
      <c r="A2175" s="22">
        <v>1000020083</v>
      </c>
      <c r="B2175" s="23" t="s">
        <v>342</v>
      </c>
      <c r="C2175" s="24" t="s">
        <v>4</v>
      </c>
      <c r="D2175" s="23" t="s">
        <v>2090</v>
      </c>
      <c r="E2175" s="23">
        <v>263.44</v>
      </c>
      <c r="F2175" s="23">
        <v>2</v>
      </c>
      <c r="G2175" s="23">
        <v>2</v>
      </c>
      <c r="H2175" s="23">
        <v>0</v>
      </c>
      <c r="I2175" s="23" t="s">
        <v>5</v>
      </c>
      <c r="J2175" s="23" t="s">
        <v>327</v>
      </c>
    </row>
    <row r="2176" spans="1:10" s="20" customFormat="1" ht="12" x14ac:dyDescent="0.25">
      <c r="A2176" s="22">
        <v>1000094868</v>
      </c>
      <c r="B2176" s="23" t="s">
        <v>4073</v>
      </c>
      <c r="C2176" s="24" t="s">
        <v>4</v>
      </c>
      <c r="D2176" s="23" t="s">
        <v>2056</v>
      </c>
      <c r="E2176" s="23">
        <v>263.229166666666</v>
      </c>
      <c r="F2176" s="23">
        <v>95</v>
      </c>
      <c r="G2176" s="23">
        <v>95</v>
      </c>
      <c r="H2176" s="23">
        <v>0</v>
      </c>
      <c r="I2176" s="23" t="s">
        <v>5</v>
      </c>
      <c r="J2176" s="23" t="s">
        <v>1844</v>
      </c>
    </row>
    <row r="2177" spans="1:10" s="20" customFormat="1" ht="12" x14ac:dyDescent="0.25">
      <c r="A2177" s="22">
        <v>1000020229</v>
      </c>
      <c r="B2177" s="23" t="s">
        <v>469</v>
      </c>
      <c r="C2177" s="24" t="s">
        <v>4</v>
      </c>
      <c r="D2177" s="23" t="s">
        <v>2090</v>
      </c>
      <c r="E2177" s="23">
        <v>263.08080000000001</v>
      </c>
      <c r="F2177" s="23">
        <v>36</v>
      </c>
      <c r="G2177" s="23">
        <v>36</v>
      </c>
      <c r="H2177" s="23">
        <v>0</v>
      </c>
      <c r="I2177" s="23" t="s">
        <v>5</v>
      </c>
      <c r="J2177" s="23" t="s">
        <v>327</v>
      </c>
    </row>
    <row r="2178" spans="1:10" s="20" customFormat="1" ht="12" x14ac:dyDescent="0.25">
      <c r="A2178" s="22">
        <v>2500008357</v>
      </c>
      <c r="B2178" s="23" t="s">
        <v>1930</v>
      </c>
      <c r="C2178" s="24" t="s">
        <v>1996</v>
      </c>
      <c r="D2178" s="23" t="s">
        <v>2811</v>
      </c>
      <c r="E2178" s="23">
        <v>262.5</v>
      </c>
      <c r="F2178" s="23">
        <v>2</v>
      </c>
      <c r="G2178" s="23">
        <v>2</v>
      </c>
      <c r="H2178" s="23">
        <v>0</v>
      </c>
      <c r="I2178" s="23" t="s">
        <v>5</v>
      </c>
      <c r="J2178" s="23" t="s">
        <v>1993</v>
      </c>
    </row>
    <row r="2179" spans="1:10" s="20" customFormat="1" ht="12" x14ac:dyDescent="0.25">
      <c r="A2179" s="22">
        <v>1000020906</v>
      </c>
      <c r="B2179" s="23" t="s">
        <v>1087</v>
      </c>
      <c r="C2179" s="24" t="s">
        <v>4</v>
      </c>
      <c r="D2179" s="23" t="s">
        <v>2090</v>
      </c>
      <c r="E2179" s="23">
        <v>261.57</v>
      </c>
      <c r="F2179" s="23">
        <v>1</v>
      </c>
      <c r="G2179" s="23">
        <v>1</v>
      </c>
      <c r="H2179" s="23">
        <v>0</v>
      </c>
      <c r="I2179" s="23" t="s">
        <v>5</v>
      </c>
      <c r="J2179" s="23" t="s">
        <v>327</v>
      </c>
    </row>
    <row r="2180" spans="1:10" s="20" customFormat="1" ht="12" x14ac:dyDescent="0.25">
      <c r="A2180" s="22">
        <v>1000020224</v>
      </c>
      <c r="B2180" s="23" t="s">
        <v>464</v>
      </c>
      <c r="C2180" s="24" t="s">
        <v>4</v>
      </c>
      <c r="D2180" s="23" t="s">
        <v>2090</v>
      </c>
      <c r="E2180" s="23">
        <v>260.5</v>
      </c>
      <c r="F2180" s="23">
        <v>50</v>
      </c>
      <c r="G2180" s="23">
        <v>50</v>
      </c>
      <c r="H2180" s="23">
        <v>0</v>
      </c>
      <c r="I2180" s="23" t="s">
        <v>5</v>
      </c>
      <c r="J2180" s="23" t="s">
        <v>327</v>
      </c>
    </row>
    <row r="2181" spans="1:10" s="20" customFormat="1" ht="12" x14ac:dyDescent="0.25">
      <c r="A2181" s="22">
        <v>1000104555</v>
      </c>
      <c r="B2181" s="23" t="s">
        <v>4078</v>
      </c>
      <c r="C2181" s="24" t="s">
        <v>4</v>
      </c>
      <c r="D2181" s="23" t="s">
        <v>2056</v>
      </c>
      <c r="E2181" s="23">
        <v>260.39999999999998</v>
      </c>
      <c r="F2181" s="23">
        <v>5</v>
      </c>
      <c r="G2181" s="23">
        <v>5</v>
      </c>
      <c r="H2181" s="23">
        <v>0</v>
      </c>
      <c r="I2181" s="23" t="s">
        <v>5</v>
      </c>
      <c r="J2181" s="23" t="s">
        <v>1844</v>
      </c>
    </row>
    <row r="2182" spans="1:10" s="20" customFormat="1" ht="12" x14ac:dyDescent="0.25">
      <c r="A2182" s="22">
        <v>1000102356</v>
      </c>
      <c r="B2182" s="23" t="s">
        <v>4079</v>
      </c>
      <c r="C2182" s="24" t="s">
        <v>4</v>
      </c>
      <c r="D2182" s="23" t="s">
        <v>2056</v>
      </c>
      <c r="E2182" s="23">
        <v>260.15413793103397</v>
      </c>
      <c r="F2182" s="23">
        <v>31</v>
      </c>
      <c r="G2182" s="23">
        <v>31</v>
      </c>
      <c r="H2182" s="23">
        <v>0</v>
      </c>
      <c r="I2182" s="23" t="s">
        <v>5</v>
      </c>
      <c r="J2182" s="23" t="s">
        <v>1844</v>
      </c>
    </row>
    <row r="2183" spans="1:10" s="20" customFormat="1" ht="12" x14ac:dyDescent="0.25">
      <c r="A2183" s="22">
        <v>1000020204</v>
      </c>
      <c r="B2183" s="23" t="s">
        <v>444</v>
      </c>
      <c r="C2183" s="24" t="s">
        <v>4</v>
      </c>
      <c r="D2183" s="23" t="s">
        <v>2090</v>
      </c>
      <c r="E2183" s="23">
        <v>259.76</v>
      </c>
      <c r="F2183" s="23">
        <v>4</v>
      </c>
      <c r="G2183" s="23">
        <v>4</v>
      </c>
      <c r="H2183" s="23">
        <v>0</v>
      </c>
      <c r="I2183" s="23" t="s">
        <v>5</v>
      </c>
      <c r="J2183" s="23" t="s">
        <v>327</v>
      </c>
    </row>
    <row r="2184" spans="1:10" s="20" customFormat="1" ht="12" x14ac:dyDescent="0.25">
      <c r="A2184" s="22">
        <v>1000020423</v>
      </c>
      <c r="B2184" s="23" t="s">
        <v>651</v>
      </c>
      <c r="C2184" s="24" t="s">
        <v>4</v>
      </c>
      <c r="D2184" s="23" t="s">
        <v>2218</v>
      </c>
      <c r="E2184" s="23">
        <v>258.87258364430397</v>
      </c>
      <c r="F2184" s="23">
        <v>33</v>
      </c>
      <c r="G2184" s="23">
        <v>33</v>
      </c>
      <c r="H2184" s="23">
        <v>0</v>
      </c>
      <c r="I2184" s="23" t="s">
        <v>5</v>
      </c>
      <c r="J2184" s="23" t="s">
        <v>327</v>
      </c>
    </row>
    <row r="2185" spans="1:10" s="20" customFormat="1" ht="12" x14ac:dyDescent="0.25">
      <c r="A2185" s="22">
        <v>1000097146</v>
      </c>
      <c r="B2185" s="23" t="s">
        <v>4082</v>
      </c>
      <c r="C2185" s="24" t="s">
        <v>4</v>
      </c>
      <c r="D2185" s="23" t="s">
        <v>2090</v>
      </c>
      <c r="E2185" s="23">
        <v>258.43</v>
      </c>
      <c r="F2185" s="23">
        <v>5</v>
      </c>
      <c r="G2185" s="23">
        <v>5</v>
      </c>
      <c r="H2185" s="23">
        <v>0</v>
      </c>
      <c r="I2185" s="23" t="s">
        <v>5</v>
      </c>
      <c r="J2185" s="23" t="s">
        <v>327</v>
      </c>
    </row>
    <row r="2186" spans="1:10" s="20" customFormat="1" ht="12" x14ac:dyDescent="0.25">
      <c r="A2186" s="22">
        <v>1000098487</v>
      </c>
      <c r="B2186" s="23" t="s">
        <v>4083</v>
      </c>
      <c r="C2186" s="24" t="s">
        <v>2109</v>
      </c>
      <c r="D2186" s="23" t="s">
        <v>2070</v>
      </c>
      <c r="E2186" s="23">
        <v>258</v>
      </c>
      <c r="F2186" s="23">
        <v>2</v>
      </c>
      <c r="G2186" s="23">
        <v>2</v>
      </c>
      <c r="H2186" s="23">
        <v>0</v>
      </c>
      <c r="I2186" s="23" t="s">
        <v>5</v>
      </c>
      <c r="J2186" s="23" t="s">
        <v>6</v>
      </c>
    </row>
    <row r="2187" spans="1:10" s="20" customFormat="1" ht="12" x14ac:dyDescent="0.25">
      <c r="A2187" s="22">
        <v>1000020282</v>
      </c>
      <c r="B2187" s="23" t="s">
        <v>518</v>
      </c>
      <c r="C2187" s="24" t="s">
        <v>4</v>
      </c>
      <c r="D2187" s="23" t="s">
        <v>2090</v>
      </c>
      <c r="E2187" s="23">
        <v>257.58</v>
      </c>
      <c r="F2187" s="23">
        <v>9</v>
      </c>
      <c r="G2187" s="23">
        <v>9</v>
      </c>
      <c r="H2187" s="23">
        <v>0</v>
      </c>
      <c r="I2187" s="23" t="s">
        <v>5</v>
      </c>
      <c r="J2187" s="23" t="s">
        <v>327</v>
      </c>
    </row>
    <row r="2188" spans="1:10" s="20" customFormat="1" ht="12" x14ac:dyDescent="0.25">
      <c r="A2188" s="22">
        <v>1000101411</v>
      </c>
      <c r="B2188" s="23" t="s">
        <v>1752</v>
      </c>
      <c r="C2188" s="24" t="s">
        <v>4</v>
      </c>
      <c r="D2188" s="23" t="s">
        <v>2090</v>
      </c>
      <c r="E2188" s="23">
        <v>257.38631578947297</v>
      </c>
      <c r="F2188" s="23">
        <v>18</v>
      </c>
      <c r="G2188" s="23">
        <v>18</v>
      </c>
      <c r="H2188" s="23">
        <v>0</v>
      </c>
      <c r="I2188" s="23" t="s">
        <v>5</v>
      </c>
      <c r="J2188" s="23" t="s">
        <v>327</v>
      </c>
    </row>
    <row r="2189" spans="1:10" s="20" customFormat="1" ht="12" x14ac:dyDescent="0.25">
      <c r="A2189" s="22">
        <v>2500008151</v>
      </c>
      <c r="B2189" s="23" t="s">
        <v>4085</v>
      </c>
      <c r="C2189" s="24" t="s">
        <v>1996</v>
      </c>
      <c r="D2189" s="23" t="s">
        <v>2025</v>
      </c>
      <c r="E2189" s="23">
        <v>256.875</v>
      </c>
      <c r="F2189" s="23">
        <v>4</v>
      </c>
      <c r="G2189" s="23">
        <v>4</v>
      </c>
      <c r="H2189" s="23">
        <v>0</v>
      </c>
      <c r="I2189" s="23" t="s">
        <v>5</v>
      </c>
      <c r="J2189" s="23" t="s">
        <v>1993</v>
      </c>
    </row>
    <row r="2190" spans="1:10" s="20" customFormat="1" ht="12" x14ac:dyDescent="0.25">
      <c r="A2190" s="22">
        <v>2500008358</v>
      </c>
      <c r="B2190" s="23" t="s">
        <v>1931</v>
      </c>
      <c r="C2190" s="24" t="s">
        <v>1996</v>
      </c>
      <c r="D2190" s="23" t="s">
        <v>2811</v>
      </c>
      <c r="E2190" s="23">
        <v>256.60000000000002</v>
      </c>
      <c r="F2190" s="23">
        <v>2</v>
      </c>
      <c r="G2190" s="23">
        <v>2</v>
      </c>
      <c r="H2190" s="23">
        <v>0</v>
      </c>
      <c r="I2190" s="23" t="s">
        <v>5</v>
      </c>
      <c r="J2190" s="23" t="s">
        <v>1993</v>
      </c>
    </row>
    <row r="2191" spans="1:10" s="20" customFormat="1" ht="12" x14ac:dyDescent="0.25">
      <c r="A2191" s="22">
        <v>1000095552</v>
      </c>
      <c r="B2191" s="23" t="s">
        <v>4086</v>
      </c>
      <c r="C2191" s="24" t="s">
        <v>4</v>
      </c>
      <c r="D2191" s="23" t="s">
        <v>2161</v>
      </c>
      <c r="E2191" s="23">
        <v>256.47199999999998</v>
      </c>
      <c r="F2191" s="23">
        <v>4</v>
      </c>
      <c r="G2191" s="23">
        <v>4</v>
      </c>
      <c r="H2191" s="23">
        <v>0</v>
      </c>
      <c r="I2191" s="23" t="s">
        <v>5</v>
      </c>
      <c r="J2191" s="23" t="s">
        <v>111</v>
      </c>
    </row>
    <row r="2192" spans="1:10" s="20" customFormat="1" ht="12" x14ac:dyDescent="0.25">
      <c r="A2192" s="22">
        <v>1000020354</v>
      </c>
      <c r="B2192" s="23" t="s">
        <v>586</v>
      </c>
      <c r="C2192" s="24" t="s">
        <v>4</v>
      </c>
      <c r="D2192" s="23" t="s">
        <v>2090</v>
      </c>
      <c r="E2192" s="23">
        <v>256.45</v>
      </c>
      <c r="F2192" s="23">
        <v>5</v>
      </c>
      <c r="G2192" s="23">
        <v>5</v>
      </c>
      <c r="H2192" s="23">
        <v>0</v>
      </c>
      <c r="I2192" s="23" t="s">
        <v>5</v>
      </c>
      <c r="J2192" s="23" t="s">
        <v>327</v>
      </c>
    </row>
    <row r="2193" spans="1:10" s="20" customFormat="1" ht="12" x14ac:dyDescent="0.25">
      <c r="A2193" s="22">
        <v>1000098471</v>
      </c>
      <c r="B2193" s="23" t="s">
        <v>1545</v>
      </c>
      <c r="C2193" s="24" t="s">
        <v>4</v>
      </c>
      <c r="D2193" s="23" t="s">
        <v>2090</v>
      </c>
      <c r="E2193" s="23">
        <v>256.33</v>
      </c>
      <c r="F2193" s="23">
        <v>2</v>
      </c>
      <c r="G2193" s="23">
        <v>2</v>
      </c>
      <c r="H2193" s="23">
        <v>0</v>
      </c>
      <c r="I2193" s="23" t="s">
        <v>5</v>
      </c>
      <c r="J2193" s="23" t="s">
        <v>327</v>
      </c>
    </row>
    <row r="2194" spans="1:10" s="20" customFormat="1" ht="12" x14ac:dyDescent="0.25">
      <c r="A2194" s="22">
        <v>1000020236</v>
      </c>
      <c r="B2194" s="23" t="s">
        <v>475</v>
      </c>
      <c r="C2194" s="24" t="s">
        <v>4</v>
      </c>
      <c r="D2194" s="23" t="s">
        <v>2090</v>
      </c>
      <c r="E2194" s="23">
        <v>255.87</v>
      </c>
      <c r="F2194" s="23">
        <v>36</v>
      </c>
      <c r="G2194" s="23">
        <v>36</v>
      </c>
      <c r="H2194" s="23">
        <v>0</v>
      </c>
      <c r="I2194" s="23" t="s">
        <v>5</v>
      </c>
      <c r="J2194" s="23" t="s">
        <v>327</v>
      </c>
    </row>
    <row r="2195" spans="1:10" s="20" customFormat="1" ht="12" x14ac:dyDescent="0.25">
      <c r="A2195" s="22">
        <v>1000100394</v>
      </c>
      <c r="B2195" s="23" t="s">
        <v>1723</v>
      </c>
      <c r="C2195" s="24" t="s">
        <v>4</v>
      </c>
      <c r="D2195" s="23" t="s">
        <v>2090</v>
      </c>
      <c r="E2195" s="23">
        <v>255.75</v>
      </c>
      <c r="F2195" s="23">
        <v>2</v>
      </c>
      <c r="G2195" s="23">
        <v>2</v>
      </c>
      <c r="H2195" s="23">
        <v>0</v>
      </c>
      <c r="I2195" s="23" t="s">
        <v>5</v>
      </c>
      <c r="J2195" s="23" t="s">
        <v>327</v>
      </c>
    </row>
    <row r="2196" spans="1:10" s="20" customFormat="1" ht="12" x14ac:dyDescent="0.25">
      <c r="A2196" s="22">
        <v>1000104339</v>
      </c>
      <c r="B2196" s="23" t="s">
        <v>4088</v>
      </c>
      <c r="C2196" s="24" t="s">
        <v>4</v>
      </c>
      <c r="D2196" s="23" t="s">
        <v>2090</v>
      </c>
      <c r="E2196" s="23">
        <v>255.6</v>
      </c>
      <c r="F2196" s="23">
        <v>48</v>
      </c>
      <c r="G2196" s="23">
        <v>0</v>
      </c>
      <c r="H2196" s="23">
        <v>48</v>
      </c>
      <c r="I2196" s="23" t="s">
        <v>71</v>
      </c>
      <c r="J2196" s="23" t="s">
        <v>327</v>
      </c>
    </row>
    <row r="2197" spans="1:10" s="20" customFormat="1" ht="12" x14ac:dyDescent="0.25">
      <c r="A2197" s="22">
        <v>1000101390</v>
      </c>
      <c r="B2197" s="23" t="s">
        <v>1751</v>
      </c>
      <c r="C2197" s="24" t="s">
        <v>4</v>
      </c>
      <c r="D2197" s="23" t="s">
        <v>2090</v>
      </c>
      <c r="E2197" s="23">
        <v>255.45</v>
      </c>
      <c r="F2197" s="23">
        <v>1</v>
      </c>
      <c r="G2197" s="23">
        <v>1</v>
      </c>
      <c r="H2197" s="23">
        <v>0</v>
      </c>
      <c r="I2197" s="23" t="s">
        <v>5</v>
      </c>
      <c r="J2197" s="23" t="s">
        <v>327</v>
      </c>
    </row>
    <row r="2198" spans="1:10" s="20" customFormat="1" ht="12" x14ac:dyDescent="0.25">
      <c r="A2198" s="22">
        <v>2500009165</v>
      </c>
      <c r="B2198" s="23" t="s">
        <v>4089</v>
      </c>
      <c r="C2198" s="24" t="s">
        <v>1996</v>
      </c>
      <c r="D2198" s="23" t="s">
        <v>2025</v>
      </c>
      <c r="E2198" s="23">
        <v>255.15</v>
      </c>
      <c r="F2198" s="23">
        <v>3</v>
      </c>
      <c r="G2198" s="23">
        <v>3</v>
      </c>
      <c r="H2198" s="23">
        <v>0</v>
      </c>
      <c r="I2198" s="23" t="s">
        <v>5</v>
      </c>
      <c r="J2198" s="23" t="s">
        <v>1993</v>
      </c>
    </row>
    <row r="2199" spans="1:10" s="20" customFormat="1" ht="12" x14ac:dyDescent="0.25">
      <c r="A2199" s="22">
        <v>1000095522</v>
      </c>
      <c r="B2199" s="23" t="s">
        <v>4090</v>
      </c>
      <c r="C2199" s="24" t="s">
        <v>4</v>
      </c>
      <c r="D2199" s="23" t="s">
        <v>2056</v>
      </c>
      <c r="E2199" s="23">
        <v>255</v>
      </c>
      <c r="F2199" s="23">
        <v>1</v>
      </c>
      <c r="G2199" s="23">
        <v>1</v>
      </c>
      <c r="H2199" s="23">
        <v>0</v>
      </c>
      <c r="I2199" s="23" t="s">
        <v>5</v>
      </c>
      <c r="J2199" s="23" t="s">
        <v>1844</v>
      </c>
    </row>
    <row r="2200" spans="1:10" s="20" customFormat="1" ht="12" x14ac:dyDescent="0.25">
      <c r="A2200" s="22">
        <v>2500008245</v>
      </c>
      <c r="B2200" s="23" t="s">
        <v>4091</v>
      </c>
      <c r="C2200" s="24" t="s">
        <v>1996</v>
      </c>
      <c r="D2200" s="23" t="s">
        <v>2643</v>
      </c>
      <c r="E2200" s="23">
        <v>255</v>
      </c>
      <c r="F2200" s="23">
        <v>2</v>
      </c>
      <c r="G2200" s="23">
        <v>2</v>
      </c>
      <c r="H2200" s="23">
        <v>0</v>
      </c>
      <c r="I2200" s="23" t="s">
        <v>5</v>
      </c>
      <c r="J2200" s="23" t="s">
        <v>1993</v>
      </c>
    </row>
    <row r="2201" spans="1:10" s="20" customFormat="1" ht="12" x14ac:dyDescent="0.25">
      <c r="A2201" s="22">
        <v>1000107208</v>
      </c>
      <c r="B2201" s="23" t="s">
        <v>4092</v>
      </c>
      <c r="C2201" s="24" t="s">
        <v>4</v>
      </c>
      <c r="D2201" s="23" t="s">
        <v>2161</v>
      </c>
      <c r="E2201" s="23">
        <v>254.328</v>
      </c>
      <c r="F2201" s="23">
        <v>1</v>
      </c>
      <c r="G2201" s="23">
        <v>1</v>
      </c>
      <c r="H2201" s="23">
        <v>0</v>
      </c>
      <c r="I2201" s="23" t="s">
        <v>5</v>
      </c>
      <c r="J2201" s="23" t="s">
        <v>111</v>
      </c>
    </row>
    <row r="2202" spans="1:10" s="20" customFormat="1" ht="12" x14ac:dyDescent="0.25">
      <c r="A2202" s="22">
        <v>1000020010</v>
      </c>
      <c r="B2202" s="23" t="s">
        <v>4093</v>
      </c>
      <c r="C2202" s="24" t="s">
        <v>4</v>
      </c>
      <c r="D2202" s="23" t="s">
        <v>2090</v>
      </c>
      <c r="E2202" s="23">
        <v>253.8</v>
      </c>
      <c r="F2202" s="23">
        <v>5</v>
      </c>
      <c r="G2202" s="23">
        <v>5</v>
      </c>
      <c r="H2202" s="23">
        <v>0</v>
      </c>
      <c r="I2202" s="23" t="s">
        <v>5</v>
      </c>
      <c r="J2202" s="23" t="s">
        <v>327</v>
      </c>
    </row>
    <row r="2203" spans="1:10" s="20" customFormat="1" ht="12" x14ac:dyDescent="0.25">
      <c r="A2203" s="22">
        <v>1000096396</v>
      </c>
      <c r="B2203" s="23" t="s">
        <v>4094</v>
      </c>
      <c r="C2203" s="24" t="s">
        <v>4</v>
      </c>
      <c r="D2203" s="23" t="s">
        <v>2056</v>
      </c>
      <c r="E2203" s="23">
        <v>253.7</v>
      </c>
      <c r="F2203" s="23">
        <v>20</v>
      </c>
      <c r="G2203" s="23">
        <v>20</v>
      </c>
      <c r="H2203" s="23">
        <v>0</v>
      </c>
      <c r="I2203" s="23" t="s">
        <v>5</v>
      </c>
      <c r="J2203" s="23" t="s">
        <v>1844</v>
      </c>
    </row>
    <row r="2204" spans="1:10" s="20" customFormat="1" ht="12" x14ac:dyDescent="0.25">
      <c r="A2204" s="22">
        <v>1000020194</v>
      </c>
      <c r="B2204" s="23" t="s">
        <v>435</v>
      </c>
      <c r="C2204" s="24" t="s">
        <v>4</v>
      </c>
      <c r="D2204" s="23" t="s">
        <v>2090</v>
      </c>
      <c r="E2204" s="23">
        <v>253.52</v>
      </c>
      <c r="F2204" s="23">
        <v>2</v>
      </c>
      <c r="G2204" s="23">
        <v>2</v>
      </c>
      <c r="H2204" s="23">
        <v>0</v>
      </c>
      <c r="I2204" s="23" t="s">
        <v>5</v>
      </c>
      <c r="J2204" s="23" t="s">
        <v>327</v>
      </c>
    </row>
    <row r="2205" spans="1:10" s="20" customFormat="1" ht="12" x14ac:dyDescent="0.25">
      <c r="A2205" s="22">
        <v>1000021034</v>
      </c>
      <c r="B2205" s="23" t="s">
        <v>1205</v>
      </c>
      <c r="C2205" s="24" t="s">
        <v>4</v>
      </c>
      <c r="D2205" s="23" t="s">
        <v>2090</v>
      </c>
      <c r="E2205" s="23">
        <v>252.96</v>
      </c>
      <c r="F2205" s="23">
        <v>2</v>
      </c>
      <c r="G2205" s="23">
        <v>2</v>
      </c>
      <c r="H2205" s="23">
        <v>0</v>
      </c>
      <c r="I2205" s="23" t="s">
        <v>5</v>
      </c>
      <c r="J2205" s="23" t="s">
        <v>327</v>
      </c>
    </row>
    <row r="2206" spans="1:10" s="20" customFormat="1" ht="12" x14ac:dyDescent="0.25">
      <c r="A2206" s="22">
        <v>2500003544</v>
      </c>
      <c r="B2206" s="23" t="s">
        <v>1901</v>
      </c>
      <c r="C2206" s="24" t="s">
        <v>1996</v>
      </c>
      <c r="D2206" s="23" t="s">
        <v>2025</v>
      </c>
      <c r="E2206" s="23">
        <v>252.81523809523799</v>
      </c>
      <c r="F2206" s="23">
        <v>3</v>
      </c>
      <c r="G2206" s="23">
        <v>3</v>
      </c>
      <c r="H2206" s="23">
        <v>0</v>
      </c>
      <c r="I2206" s="23" t="s">
        <v>5</v>
      </c>
      <c r="J2206" s="23" t="s">
        <v>1993</v>
      </c>
    </row>
    <row r="2207" spans="1:10" s="20" customFormat="1" ht="12" x14ac:dyDescent="0.25">
      <c r="A2207" s="22">
        <v>1000108595</v>
      </c>
      <c r="B2207" s="23" t="s">
        <v>1838</v>
      </c>
      <c r="C2207" s="24" t="s">
        <v>4</v>
      </c>
      <c r="D2207" s="23" t="s">
        <v>2090</v>
      </c>
      <c r="E2207" s="23">
        <v>252.5625</v>
      </c>
      <c r="F2207" s="23">
        <v>1</v>
      </c>
      <c r="G2207" s="23">
        <v>1</v>
      </c>
      <c r="H2207" s="23">
        <v>0</v>
      </c>
      <c r="I2207" s="23" t="s">
        <v>5</v>
      </c>
      <c r="J2207" s="23" t="s">
        <v>327</v>
      </c>
    </row>
    <row r="2208" spans="1:10" s="20" customFormat="1" ht="12" x14ac:dyDescent="0.25">
      <c r="A2208" s="22">
        <v>1000020029</v>
      </c>
      <c r="B2208" s="23" t="s">
        <v>4095</v>
      </c>
      <c r="C2208" s="24" t="s">
        <v>4</v>
      </c>
      <c r="D2208" s="23" t="s">
        <v>2090</v>
      </c>
      <c r="E2208" s="23">
        <v>252.48599999999999</v>
      </c>
      <c r="F2208" s="23">
        <v>3</v>
      </c>
      <c r="G2208" s="23">
        <v>3</v>
      </c>
      <c r="H2208" s="23">
        <v>0</v>
      </c>
      <c r="I2208" s="23" t="s">
        <v>5</v>
      </c>
      <c r="J2208" s="23" t="s">
        <v>327</v>
      </c>
    </row>
    <row r="2209" spans="1:10" s="20" customFormat="1" ht="12" x14ac:dyDescent="0.25">
      <c r="A2209" s="22">
        <v>1000020520</v>
      </c>
      <c r="B2209" s="23" t="s">
        <v>742</v>
      </c>
      <c r="C2209" s="24" t="s">
        <v>4</v>
      </c>
      <c r="D2209" s="23" t="s">
        <v>2090</v>
      </c>
      <c r="E2209" s="23">
        <v>252.36428571428499</v>
      </c>
      <c r="F2209" s="23">
        <v>3</v>
      </c>
      <c r="G2209" s="23">
        <v>3</v>
      </c>
      <c r="H2209" s="23">
        <v>0</v>
      </c>
      <c r="I2209" s="23" t="s">
        <v>5</v>
      </c>
      <c r="J2209" s="23" t="s">
        <v>327</v>
      </c>
    </row>
    <row r="2210" spans="1:10" s="20" customFormat="1" ht="12" x14ac:dyDescent="0.25">
      <c r="A2210" s="22">
        <v>1000096825</v>
      </c>
      <c r="B2210" s="23" t="s">
        <v>4096</v>
      </c>
      <c r="C2210" s="24" t="s">
        <v>4</v>
      </c>
      <c r="D2210" s="23" t="s">
        <v>2161</v>
      </c>
      <c r="E2210" s="23">
        <v>251.9288</v>
      </c>
      <c r="F2210" s="23">
        <v>2</v>
      </c>
      <c r="G2210" s="23">
        <v>2</v>
      </c>
      <c r="H2210" s="23">
        <v>0</v>
      </c>
      <c r="I2210" s="23" t="s">
        <v>5</v>
      </c>
      <c r="J2210" s="23" t="s">
        <v>111</v>
      </c>
    </row>
    <row r="2211" spans="1:10" s="20" customFormat="1" ht="12" x14ac:dyDescent="0.25">
      <c r="A2211" s="22">
        <v>1000098472</v>
      </c>
      <c r="B2211" s="23" t="s">
        <v>1546</v>
      </c>
      <c r="C2211" s="24" t="s">
        <v>4</v>
      </c>
      <c r="D2211" s="23" t="s">
        <v>2090</v>
      </c>
      <c r="E2211" s="23">
        <v>251.46</v>
      </c>
      <c r="F2211" s="23">
        <v>2</v>
      </c>
      <c r="G2211" s="23">
        <v>2</v>
      </c>
      <c r="H2211" s="23">
        <v>0</v>
      </c>
      <c r="I2211" s="23" t="s">
        <v>5</v>
      </c>
      <c r="J2211" s="23" t="s">
        <v>327</v>
      </c>
    </row>
    <row r="2212" spans="1:10" s="20" customFormat="1" ht="12" x14ac:dyDescent="0.25">
      <c r="A2212" s="22">
        <v>2500009331</v>
      </c>
      <c r="B2212" s="23" t="s">
        <v>4097</v>
      </c>
      <c r="C2212" s="24" t="s">
        <v>1996</v>
      </c>
      <c r="D2212" s="23" t="s">
        <v>2289</v>
      </c>
      <c r="E2212" s="23">
        <v>251.25</v>
      </c>
      <c r="F2212" s="23">
        <v>1</v>
      </c>
      <c r="G2212" s="23">
        <v>1</v>
      </c>
      <c r="H2212" s="23">
        <v>0</v>
      </c>
      <c r="I2212" s="23" t="s">
        <v>5</v>
      </c>
      <c r="J2212" s="23" t="s">
        <v>1993</v>
      </c>
    </row>
    <row r="2213" spans="1:10" s="20" customFormat="1" ht="12" x14ac:dyDescent="0.25">
      <c r="A2213" s="22">
        <v>1000020978</v>
      </c>
      <c r="B2213" s="23" t="s">
        <v>1152</v>
      </c>
      <c r="C2213" s="24" t="s">
        <v>4</v>
      </c>
      <c r="D2213" s="23" t="s">
        <v>2090</v>
      </c>
      <c r="E2213" s="23">
        <v>250.26</v>
      </c>
      <c r="F2213" s="23">
        <v>6</v>
      </c>
      <c r="G2213" s="23">
        <v>6</v>
      </c>
      <c r="H2213" s="23">
        <v>0</v>
      </c>
      <c r="I2213" s="23" t="s">
        <v>5</v>
      </c>
      <c r="J2213" s="23" t="s">
        <v>327</v>
      </c>
    </row>
    <row r="2214" spans="1:10" s="20" customFormat="1" ht="12" x14ac:dyDescent="0.25">
      <c r="A2214" s="22">
        <v>1000021164</v>
      </c>
      <c r="B2214" s="23" t="s">
        <v>1312</v>
      </c>
      <c r="C2214" s="24" t="s">
        <v>4</v>
      </c>
      <c r="D2214" s="23" t="s">
        <v>2090</v>
      </c>
      <c r="E2214" s="23">
        <v>249.9</v>
      </c>
      <c r="F2214" s="23">
        <v>5</v>
      </c>
      <c r="G2214" s="23">
        <v>5</v>
      </c>
      <c r="H2214" s="23">
        <v>0</v>
      </c>
      <c r="I2214" s="23" t="s">
        <v>5</v>
      </c>
      <c r="J2214" s="23" t="s">
        <v>327</v>
      </c>
    </row>
    <row r="2215" spans="1:10" s="20" customFormat="1" ht="12" x14ac:dyDescent="0.25">
      <c r="A2215" s="22">
        <v>1000102592</v>
      </c>
      <c r="B2215" s="23" t="s">
        <v>4098</v>
      </c>
      <c r="C2215" s="24" t="s">
        <v>4</v>
      </c>
      <c r="D2215" s="23" t="s">
        <v>2056</v>
      </c>
      <c r="E2215" s="23">
        <v>249.73</v>
      </c>
      <c r="F2215" s="23">
        <v>2</v>
      </c>
      <c r="G2215" s="23">
        <v>2</v>
      </c>
      <c r="H2215" s="23">
        <v>0</v>
      </c>
      <c r="I2215" s="23" t="s">
        <v>5</v>
      </c>
      <c r="J2215" s="23" t="s">
        <v>1844</v>
      </c>
    </row>
    <row r="2216" spans="1:10" s="20" customFormat="1" ht="12" x14ac:dyDescent="0.25">
      <c r="A2216" s="22">
        <v>1000098586</v>
      </c>
      <c r="B2216" s="23" t="s">
        <v>1593</v>
      </c>
      <c r="C2216" s="24" t="s">
        <v>4</v>
      </c>
      <c r="D2216" s="23" t="s">
        <v>2090</v>
      </c>
      <c r="E2216" s="23">
        <v>249.44</v>
      </c>
      <c r="F2216" s="23">
        <v>2</v>
      </c>
      <c r="G2216" s="23">
        <v>2</v>
      </c>
      <c r="H2216" s="23">
        <v>0</v>
      </c>
      <c r="I2216" s="23" t="s">
        <v>5</v>
      </c>
      <c r="J2216" s="23" t="s">
        <v>327</v>
      </c>
    </row>
    <row r="2217" spans="1:10" s="20" customFormat="1" ht="12" x14ac:dyDescent="0.25">
      <c r="A2217" s="22">
        <v>1000108051</v>
      </c>
      <c r="B2217" s="23" t="s">
        <v>4100</v>
      </c>
      <c r="C2217" s="24" t="s">
        <v>4</v>
      </c>
      <c r="D2217" s="23" t="s">
        <v>2056</v>
      </c>
      <c r="E2217" s="23">
        <v>249.07</v>
      </c>
      <c r="F2217" s="23">
        <v>9</v>
      </c>
      <c r="G2217" s="23">
        <v>9</v>
      </c>
      <c r="H2217" s="23">
        <v>0</v>
      </c>
      <c r="I2217" s="23" t="s">
        <v>5</v>
      </c>
      <c r="J2217" s="23" t="s">
        <v>1844</v>
      </c>
    </row>
    <row r="2218" spans="1:10" s="20" customFormat="1" ht="12" x14ac:dyDescent="0.25">
      <c r="A2218" s="22">
        <v>1000101344</v>
      </c>
      <c r="B2218" s="23" t="s">
        <v>4101</v>
      </c>
      <c r="C2218" s="24" t="s">
        <v>4</v>
      </c>
      <c r="D2218" s="23" t="s">
        <v>2056</v>
      </c>
      <c r="E2218" s="23">
        <v>248.993168</v>
      </c>
      <c r="F2218" s="23">
        <v>200</v>
      </c>
      <c r="G2218" s="23">
        <v>200</v>
      </c>
      <c r="H2218" s="23">
        <v>0</v>
      </c>
      <c r="I2218" s="23" t="s">
        <v>5</v>
      </c>
      <c r="J2218" s="23" t="s">
        <v>1844</v>
      </c>
    </row>
    <row r="2219" spans="1:10" s="20" customFormat="1" ht="12" x14ac:dyDescent="0.25">
      <c r="A2219" s="22">
        <v>1000020278</v>
      </c>
      <c r="B2219" s="23" t="s">
        <v>514</v>
      </c>
      <c r="C2219" s="24" t="s">
        <v>4</v>
      </c>
      <c r="D2219" s="23" t="s">
        <v>2090</v>
      </c>
      <c r="E2219" s="23">
        <v>248.9</v>
      </c>
      <c r="F2219" s="23">
        <v>10</v>
      </c>
      <c r="G2219" s="23">
        <v>10</v>
      </c>
      <c r="H2219" s="23">
        <v>0</v>
      </c>
      <c r="I2219" s="23" t="s">
        <v>5</v>
      </c>
      <c r="J2219" s="23" t="s">
        <v>327</v>
      </c>
    </row>
    <row r="2220" spans="1:10" s="20" customFormat="1" ht="12" x14ac:dyDescent="0.25">
      <c r="A2220" s="22">
        <v>1000095548</v>
      </c>
      <c r="B2220" s="23" t="s">
        <v>4102</v>
      </c>
      <c r="C2220" s="24" t="s">
        <v>4</v>
      </c>
      <c r="D2220" s="23" t="s">
        <v>2090</v>
      </c>
      <c r="E2220" s="23">
        <v>248.63499999999999</v>
      </c>
      <c r="F2220" s="23">
        <v>6</v>
      </c>
      <c r="G2220" s="23">
        <v>6</v>
      </c>
      <c r="H2220" s="23">
        <v>0</v>
      </c>
      <c r="I2220" s="23" t="s">
        <v>5</v>
      </c>
      <c r="J2220" s="23" t="s">
        <v>327</v>
      </c>
    </row>
    <row r="2221" spans="1:10" s="20" customFormat="1" ht="12" x14ac:dyDescent="0.25">
      <c r="A2221" s="22">
        <v>1000093604</v>
      </c>
      <c r="B2221" s="23" t="s">
        <v>4103</v>
      </c>
      <c r="C2221" s="24" t="s">
        <v>4</v>
      </c>
      <c r="D2221" s="23" t="s">
        <v>2056</v>
      </c>
      <c r="E2221" s="23">
        <v>247.91844003447</v>
      </c>
      <c r="F2221" s="23">
        <v>1672</v>
      </c>
      <c r="G2221" s="23">
        <v>1672</v>
      </c>
      <c r="H2221" s="23">
        <v>0</v>
      </c>
      <c r="I2221" s="23" t="s">
        <v>5</v>
      </c>
      <c r="J2221" s="23" t="s">
        <v>1844</v>
      </c>
    </row>
    <row r="2222" spans="1:10" s="20" customFormat="1" ht="12" x14ac:dyDescent="0.25">
      <c r="A2222" s="22">
        <v>2500008397</v>
      </c>
      <c r="B2222" s="23" t="s">
        <v>4104</v>
      </c>
      <c r="C2222" s="24" t="s">
        <v>1996</v>
      </c>
      <c r="D2222" s="23" t="s">
        <v>2025</v>
      </c>
      <c r="E2222" s="23">
        <v>247.83</v>
      </c>
      <c r="F2222" s="23">
        <v>2</v>
      </c>
      <c r="G2222" s="23">
        <v>2</v>
      </c>
      <c r="H2222" s="23">
        <v>0</v>
      </c>
      <c r="I2222" s="23" t="s">
        <v>5</v>
      </c>
      <c r="J2222" s="23" t="s">
        <v>1993</v>
      </c>
    </row>
    <row r="2223" spans="1:10" s="20" customFormat="1" ht="12" x14ac:dyDescent="0.25">
      <c r="A2223" s="22">
        <v>1000020086</v>
      </c>
      <c r="B2223" s="23" t="s">
        <v>345</v>
      </c>
      <c r="C2223" s="24" t="s">
        <v>4</v>
      </c>
      <c r="D2223" s="23" t="s">
        <v>2090</v>
      </c>
      <c r="E2223" s="23">
        <v>247.8</v>
      </c>
      <c r="F2223" s="23">
        <v>2</v>
      </c>
      <c r="G2223" s="23">
        <v>2</v>
      </c>
      <c r="H2223" s="23">
        <v>0</v>
      </c>
      <c r="I2223" s="23" t="s">
        <v>5</v>
      </c>
      <c r="J2223" s="23" t="s">
        <v>327</v>
      </c>
    </row>
    <row r="2224" spans="1:10" s="20" customFormat="1" ht="12" x14ac:dyDescent="0.25">
      <c r="A2224" s="22">
        <v>2500008246</v>
      </c>
      <c r="B2224" s="23" t="s">
        <v>4105</v>
      </c>
      <c r="C2224" s="24" t="s">
        <v>1996</v>
      </c>
      <c r="D2224" s="23" t="s">
        <v>2643</v>
      </c>
      <c r="E2224" s="23">
        <v>247.5</v>
      </c>
      <c r="F2224" s="23">
        <v>2</v>
      </c>
      <c r="G2224" s="23">
        <v>2</v>
      </c>
      <c r="H2224" s="23">
        <v>0</v>
      </c>
      <c r="I2224" s="23" t="s">
        <v>5</v>
      </c>
      <c r="J2224" s="23" t="s">
        <v>1993</v>
      </c>
    </row>
    <row r="2225" spans="1:10" s="20" customFormat="1" ht="12" x14ac:dyDescent="0.25">
      <c r="A2225" s="22">
        <v>1000097306</v>
      </c>
      <c r="B2225" s="23" t="s">
        <v>1507</v>
      </c>
      <c r="C2225" s="24" t="s">
        <v>4</v>
      </c>
      <c r="D2225" s="23" t="s">
        <v>2090</v>
      </c>
      <c r="E2225" s="23">
        <v>247.19</v>
      </c>
      <c r="F2225" s="23">
        <v>8</v>
      </c>
      <c r="G2225" s="23">
        <v>8</v>
      </c>
      <c r="H2225" s="23">
        <v>0</v>
      </c>
      <c r="I2225" s="23" t="s">
        <v>5</v>
      </c>
      <c r="J2225" s="23" t="s">
        <v>327</v>
      </c>
    </row>
    <row r="2226" spans="1:10" s="20" customFormat="1" ht="12" x14ac:dyDescent="0.25">
      <c r="A2226" s="22">
        <v>1000100387</v>
      </c>
      <c r="B2226" s="23" t="s">
        <v>1717</v>
      </c>
      <c r="C2226" s="24" t="s">
        <v>4</v>
      </c>
      <c r="D2226" s="23" t="s">
        <v>2090</v>
      </c>
      <c r="E2226" s="23">
        <v>246.23</v>
      </c>
      <c r="F2226" s="23">
        <v>2</v>
      </c>
      <c r="G2226" s="23">
        <v>2</v>
      </c>
      <c r="H2226" s="23">
        <v>0</v>
      </c>
      <c r="I2226" s="23" t="s">
        <v>5</v>
      </c>
      <c r="J2226" s="23" t="s">
        <v>327</v>
      </c>
    </row>
    <row r="2227" spans="1:10" s="20" customFormat="1" ht="12" x14ac:dyDescent="0.25">
      <c r="A2227" s="22">
        <v>2500008821</v>
      </c>
      <c r="B2227" s="23" t="s">
        <v>4106</v>
      </c>
      <c r="C2227" s="24" t="s">
        <v>1996</v>
      </c>
      <c r="D2227" s="23" t="s">
        <v>2875</v>
      </c>
      <c r="E2227" s="23">
        <v>245.91111111111101</v>
      </c>
      <c r="F2227" s="23">
        <v>2</v>
      </c>
      <c r="G2227" s="23">
        <v>0</v>
      </c>
      <c r="H2227" s="23">
        <v>2</v>
      </c>
      <c r="I2227" s="23" t="s">
        <v>1992</v>
      </c>
      <c r="J2227" s="23" t="s">
        <v>1993</v>
      </c>
    </row>
    <row r="2228" spans="1:10" s="20" customFormat="1" ht="12" x14ac:dyDescent="0.25">
      <c r="A2228" s="22">
        <v>1000020042</v>
      </c>
      <c r="B2228" s="23" t="s">
        <v>4107</v>
      </c>
      <c r="C2228" s="24" t="s">
        <v>4</v>
      </c>
      <c r="D2228" s="23" t="s">
        <v>2090</v>
      </c>
      <c r="E2228" s="23">
        <v>245.89</v>
      </c>
      <c r="F2228" s="23">
        <v>3</v>
      </c>
      <c r="G2228" s="23">
        <v>3</v>
      </c>
      <c r="H2228" s="23">
        <v>0</v>
      </c>
      <c r="I2228" s="23" t="s">
        <v>5</v>
      </c>
      <c r="J2228" s="23" t="s">
        <v>327</v>
      </c>
    </row>
    <row r="2229" spans="1:10" s="20" customFormat="1" ht="12" x14ac:dyDescent="0.25">
      <c r="A2229" s="22">
        <v>1000020352</v>
      </c>
      <c r="B2229" s="23" t="s">
        <v>584</v>
      </c>
      <c r="C2229" s="24" t="s">
        <v>4</v>
      </c>
      <c r="D2229" s="23" t="s">
        <v>2090</v>
      </c>
      <c r="E2229" s="23">
        <v>245.85</v>
      </c>
      <c r="F2229" s="23">
        <v>5</v>
      </c>
      <c r="G2229" s="23">
        <v>5</v>
      </c>
      <c r="H2229" s="23">
        <v>0</v>
      </c>
      <c r="I2229" s="23" t="s">
        <v>5</v>
      </c>
      <c r="J2229" s="23" t="s">
        <v>327</v>
      </c>
    </row>
    <row r="2230" spans="1:10" s="20" customFormat="1" ht="12" x14ac:dyDescent="0.25">
      <c r="A2230" s="22">
        <v>1000021486</v>
      </c>
      <c r="B2230" s="23" t="s">
        <v>1495</v>
      </c>
      <c r="C2230" s="24" t="s">
        <v>4</v>
      </c>
      <c r="D2230" s="23" t="s">
        <v>2090</v>
      </c>
      <c r="E2230" s="23">
        <v>245.69</v>
      </c>
      <c r="F2230" s="23">
        <v>5</v>
      </c>
      <c r="G2230" s="23">
        <v>5</v>
      </c>
      <c r="H2230" s="23">
        <v>0</v>
      </c>
      <c r="I2230" s="23" t="s">
        <v>5</v>
      </c>
      <c r="J2230" s="23" t="s">
        <v>327</v>
      </c>
    </row>
    <row r="2231" spans="1:10" s="20" customFormat="1" ht="12" x14ac:dyDescent="0.25">
      <c r="A2231" s="22">
        <v>1000098691</v>
      </c>
      <c r="B2231" s="23" t="s">
        <v>4108</v>
      </c>
      <c r="C2231" s="24" t="s">
        <v>4</v>
      </c>
      <c r="D2231" s="23" t="s">
        <v>2090</v>
      </c>
      <c r="E2231" s="23">
        <v>245.47</v>
      </c>
      <c r="F2231" s="23">
        <v>2</v>
      </c>
      <c r="G2231" s="23">
        <v>2</v>
      </c>
      <c r="H2231" s="23">
        <v>0</v>
      </c>
      <c r="I2231" s="23" t="s">
        <v>5</v>
      </c>
      <c r="J2231" s="23" t="s">
        <v>327</v>
      </c>
    </row>
    <row r="2232" spans="1:10" s="20" customFormat="1" ht="12" x14ac:dyDescent="0.25">
      <c r="A2232" s="22">
        <v>1000020211</v>
      </c>
      <c r="B2232" s="23" t="s">
        <v>451</v>
      </c>
      <c r="C2232" s="24" t="s">
        <v>4</v>
      </c>
      <c r="D2232" s="23" t="s">
        <v>2090</v>
      </c>
      <c r="E2232" s="23">
        <v>245.2</v>
      </c>
      <c r="F2232" s="23">
        <v>1</v>
      </c>
      <c r="G2232" s="23">
        <v>1</v>
      </c>
      <c r="H2232" s="23">
        <v>0</v>
      </c>
      <c r="I2232" s="23" t="s">
        <v>5</v>
      </c>
      <c r="J2232" s="23" t="s">
        <v>327</v>
      </c>
    </row>
    <row r="2233" spans="1:10" s="20" customFormat="1" ht="12" x14ac:dyDescent="0.25">
      <c r="A2233" s="22">
        <v>1000010097</v>
      </c>
      <c r="B2233" s="23" t="s">
        <v>116</v>
      </c>
      <c r="C2233" s="24" t="s">
        <v>4</v>
      </c>
      <c r="D2233" s="23" t="s">
        <v>2161</v>
      </c>
      <c r="E2233" s="23">
        <v>243.75</v>
      </c>
      <c r="F2233" s="23">
        <v>10</v>
      </c>
      <c r="G2233" s="23">
        <v>10</v>
      </c>
      <c r="H2233" s="23">
        <v>0</v>
      </c>
      <c r="I2233" s="23" t="s">
        <v>5</v>
      </c>
      <c r="J2233" s="23" t="s">
        <v>111</v>
      </c>
    </row>
    <row r="2234" spans="1:10" s="20" customFormat="1" ht="12" x14ac:dyDescent="0.25">
      <c r="A2234" s="22">
        <v>1000020928</v>
      </c>
      <c r="B2234" s="23" t="s">
        <v>1108</v>
      </c>
      <c r="C2234" s="24" t="s">
        <v>4</v>
      </c>
      <c r="D2234" s="23" t="s">
        <v>2090</v>
      </c>
      <c r="E2234" s="23">
        <v>243.58</v>
      </c>
      <c r="F2234" s="23">
        <v>2</v>
      </c>
      <c r="G2234" s="23">
        <v>2</v>
      </c>
      <c r="H2234" s="23">
        <v>0</v>
      </c>
      <c r="I2234" s="23" t="s">
        <v>5</v>
      </c>
      <c r="J2234" s="23" t="s">
        <v>327</v>
      </c>
    </row>
    <row r="2235" spans="1:10" s="20" customFormat="1" ht="12" x14ac:dyDescent="0.25">
      <c r="A2235" s="22">
        <v>1000098571</v>
      </c>
      <c r="B2235" s="23" t="s">
        <v>1580</v>
      </c>
      <c r="C2235" s="24" t="s">
        <v>4</v>
      </c>
      <c r="D2235" s="23" t="s">
        <v>2090</v>
      </c>
      <c r="E2235" s="23">
        <v>243.45</v>
      </c>
      <c r="F2235" s="23">
        <v>50</v>
      </c>
      <c r="G2235" s="23">
        <v>50</v>
      </c>
      <c r="H2235" s="23">
        <v>0</v>
      </c>
      <c r="I2235" s="23" t="s">
        <v>5</v>
      </c>
      <c r="J2235" s="23" t="s">
        <v>327</v>
      </c>
    </row>
    <row r="2236" spans="1:10" s="20" customFormat="1" ht="12" x14ac:dyDescent="0.25">
      <c r="A2236" s="22">
        <v>1000020961</v>
      </c>
      <c r="B2236" s="23" t="s">
        <v>1138</v>
      </c>
      <c r="C2236" s="24" t="s">
        <v>4</v>
      </c>
      <c r="D2236" s="23" t="s">
        <v>2090</v>
      </c>
      <c r="E2236" s="23">
        <v>241.82</v>
      </c>
      <c r="F2236" s="23">
        <v>1</v>
      </c>
      <c r="G2236" s="23">
        <v>1</v>
      </c>
      <c r="H2236" s="23">
        <v>0</v>
      </c>
      <c r="I2236" s="23" t="s">
        <v>5</v>
      </c>
      <c r="J2236" s="23" t="s">
        <v>327</v>
      </c>
    </row>
    <row r="2237" spans="1:10" s="20" customFormat="1" ht="12" x14ac:dyDescent="0.25">
      <c r="A2237" s="22">
        <v>1000020451</v>
      </c>
      <c r="B2237" s="23" t="s">
        <v>677</v>
      </c>
      <c r="C2237" s="24" t="s">
        <v>4</v>
      </c>
      <c r="D2237" s="23" t="s">
        <v>2090</v>
      </c>
      <c r="E2237" s="23">
        <v>241.8</v>
      </c>
      <c r="F2237" s="23">
        <v>10</v>
      </c>
      <c r="G2237" s="23">
        <v>10</v>
      </c>
      <c r="H2237" s="23">
        <v>0</v>
      </c>
      <c r="I2237" s="23" t="s">
        <v>5</v>
      </c>
      <c r="J2237" s="23" t="s">
        <v>327</v>
      </c>
    </row>
    <row r="2238" spans="1:10" s="20" customFormat="1" ht="12" x14ac:dyDescent="0.25">
      <c r="A2238" s="22">
        <v>1000098588</v>
      </c>
      <c r="B2238" s="23" t="s">
        <v>1595</v>
      </c>
      <c r="C2238" s="24" t="s">
        <v>4</v>
      </c>
      <c r="D2238" s="23" t="s">
        <v>2090</v>
      </c>
      <c r="E2238" s="23">
        <v>240.52</v>
      </c>
      <c r="F2238" s="23">
        <v>2</v>
      </c>
      <c r="G2238" s="23">
        <v>2</v>
      </c>
      <c r="H2238" s="23">
        <v>0</v>
      </c>
      <c r="I2238" s="23" t="s">
        <v>5</v>
      </c>
      <c r="J2238" s="23" t="s">
        <v>327</v>
      </c>
    </row>
    <row r="2239" spans="1:10" s="20" customFormat="1" ht="12" x14ac:dyDescent="0.25">
      <c r="A2239" s="22">
        <v>1000102571</v>
      </c>
      <c r="B2239" s="23" t="s">
        <v>4111</v>
      </c>
      <c r="C2239" s="24" t="s">
        <v>4</v>
      </c>
      <c r="D2239" s="23" t="s">
        <v>2090</v>
      </c>
      <c r="E2239" s="23">
        <v>240.11250000000001</v>
      </c>
      <c r="F2239" s="23">
        <v>19</v>
      </c>
      <c r="G2239" s="23">
        <v>19</v>
      </c>
      <c r="H2239" s="23">
        <v>0</v>
      </c>
      <c r="I2239" s="23" t="s">
        <v>5</v>
      </c>
      <c r="J2239" s="23" t="s">
        <v>327</v>
      </c>
    </row>
    <row r="2240" spans="1:10" s="20" customFormat="1" ht="12" x14ac:dyDescent="0.25">
      <c r="A2240" s="22">
        <v>1000020923</v>
      </c>
      <c r="B2240" s="23" t="s">
        <v>1103</v>
      </c>
      <c r="C2240" s="24" t="s">
        <v>4</v>
      </c>
      <c r="D2240" s="23" t="s">
        <v>2090</v>
      </c>
      <c r="E2240" s="23">
        <v>240.1</v>
      </c>
      <c r="F2240" s="23">
        <v>1</v>
      </c>
      <c r="G2240" s="23">
        <v>1</v>
      </c>
      <c r="H2240" s="23">
        <v>0</v>
      </c>
      <c r="I2240" s="23" t="s">
        <v>5</v>
      </c>
      <c r="J2240" s="23" t="s">
        <v>327</v>
      </c>
    </row>
    <row r="2241" spans="1:10" s="20" customFormat="1" ht="12" x14ac:dyDescent="0.25">
      <c r="A2241" s="22">
        <v>2500005581</v>
      </c>
      <c r="B2241" s="23" t="s">
        <v>1905</v>
      </c>
      <c r="C2241" s="24" t="s">
        <v>1996</v>
      </c>
      <c r="D2241" s="23" t="s">
        <v>2025</v>
      </c>
      <c r="E2241" s="23">
        <v>240</v>
      </c>
      <c r="F2241" s="23">
        <v>16</v>
      </c>
      <c r="G2241" s="23">
        <v>16</v>
      </c>
      <c r="H2241" s="23">
        <v>0</v>
      </c>
      <c r="I2241" s="23" t="s">
        <v>5</v>
      </c>
      <c r="J2241" s="23" t="s">
        <v>1993</v>
      </c>
    </row>
    <row r="2242" spans="1:10" s="20" customFormat="1" ht="12" x14ac:dyDescent="0.25">
      <c r="A2242" s="22">
        <v>1000020251</v>
      </c>
      <c r="B2242" s="23" t="s">
        <v>490</v>
      </c>
      <c r="C2242" s="24" t="s">
        <v>4</v>
      </c>
      <c r="D2242" s="23" t="s">
        <v>2090</v>
      </c>
      <c r="E2242" s="23">
        <v>239.7</v>
      </c>
      <c r="F2242" s="23">
        <v>30</v>
      </c>
      <c r="G2242" s="23">
        <v>30</v>
      </c>
      <c r="H2242" s="23">
        <v>0</v>
      </c>
      <c r="I2242" s="23" t="s">
        <v>5</v>
      </c>
      <c r="J2242" s="23" t="s">
        <v>327</v>
      </c>
    </row>
    <row r="2243" spans="1:10" s="20" customFormat="1" ht="12" x14ac:dyDescent="0.25">
      <c r="A2243" s="22">
        <v>1000020372</v>
      </c>
      <c r="B2243" s="23" t="s">
        <v>604</v>
      </c>
      <c r="C2243" s="24" t="s">
        <v>4</v>
      </c>
      <c r="D2243" s="23" t="s">
        <v>2090</v>
      </c>
      <c r="E2243" s="23">
        <v>239.01</v>
      </c>
      <c r="F2243" s="23">
        <v>1</v>
      </c>
      <c r="G2243" s="23">
        <v>1</v>
      </c>
      <c r="H2243" s="23">
        <v>0</v>
      </c>
      <c r="I2243" s="23" t="s">
        <v>5</v>
      </c>
      <c r="J2243" s="23" t="s">
        <v>327</v>
      </c>
    </row>
    <row r="2244" spans="1:10" s="20" customFormat="1" ht="12" x14ac:dyDescent="0.25">
      <c r="A2244" s="22">
        <v>1000020322</v>
      </c>
      <c r="B2244" s="23" t="s">
        <v>556</v>
      </c>
      <c r="C2244" s="24" t="s">
        <v>4</v>
      </c>
      <c r="D2244" s="23" t="s">
        <v>2090</v>
      </c>
      <c r="E2244" s="23">
        <v>238.83</v>
      </c>
      <c r="F2244" s="23">
        <v>1</v>
      </c>
      <c r="G2244" s="23">
        <v>1</v>
      </c>
      <c r="H2244" s="23">
        <v>0</v>
      </c>
      <c r="I2244" s="23" t="s">
        <v>5</v>
      </c>
      <c r="J2244" s="23" t="s">
        <v>327</v>
      </c>
    </row>
    <row r="2245" spans="1:10" s="20" customFormat="1" ht="12" x14ac:dyDescent="0.25">
      <c r="A2245" s="22">
        <v>2500008210</v>
      </c>
      <c r="B2245" s="23" t="s">
        <v>4113</v>
      </c>
      <c r="C2245" s="24" t="s">
        <v>1996</v>
      </c>
      <c r="D2245" s="23" t="s">
        <v>2025</v>
      </c>
      <c r="E2245" s="23">
        <v>238.5</v>
      </c>
      <c r="F2245" s="23">
        <v>1</v>
      </c>
      <c r="G2245" s="23">
        <v>1</v>
      </c>
      <c r="H2245" s="23">
        <v>0</v>
      </c>
      <c r="I2245" s="23" t="s">
        <v>5</v>
      </c>
      <c r="J2245" s="23" t="s">
        <v>1993</v>
      </c>
    </row>
    <row r="2246" spans="1:10" s="20" customFormat="1" ht="12" x14ac:dyDescent="0.25">
      <c r="A2246" s="22">
        <v>1000021175</v>
      </c>
      <c r="B2246" s="23" t="s">
        <v>1322</v>
      </c>
      <c r="C2246" s="24" t="s">
        <v>4</v>
      </c>
      <c r="D2246" s="23" t="s">
        <v>2090</v>
      </c>
      <c r="E2246" s="23">
        <v>237.6</v>
      </c>
      <c r="F2246" s="23">
        <v>3</v>
      </c>
      <c r="G2246" s="23">
        <v>3</v>
      </c>
      <c r="H2246" s="23">
        <v>0</v>
      </c>
      <c r="I2246" s="23" t="s">
        <v>5</v>
      </c>
      <c r="J2246" s="23" t="s">
        <v>327</v>
      </c>
    </row>
    <row r="2247" spans="1:10" s="20" customFormat="1" ht="12" x14ac:dyDescent="0.25">
      <c r="A2247" s="22">
        <v>2500009336</v>
      </c>
      <c r="B2247" s="23" t="s">
        <v>4114</v>
      </c>
      <c r="C2247" s="24" t="s">
        <v>1996</v>
      </c>
      <c r="D2247" s="23" t="s">
        <v>2289</v>
      </c>
      <c r="E2247" s="23">
        <v>236.25</v>
      </c>
      <c r="F2247" s="23">
        <v>23</v>
      </c>
      <c r="G2247" s="23">
        <v>23</v>
      </c>
      <c r="H2247" s="23">
        <v>0</v>
      </c>
      <c r="I2247" s="23" t="s">
        <v>5</v>
      </c>
      <c r="J2247" s="23" t="s">
        <v>1993</v>
      </c>
    </row>
    <row r="2248" spans="1:10" s="20" customFormat="1" ht="12" x14ac:dyDescent="0.25">
      <c r="A2248" s="22">
        <v>2500008076</v>
      </c>
      <c r="B2248" s="23" t="s">
        <v>4115</v>
      </c>
      <c r="C2248" s="24" t="s">
        <v>1996</v>
      </c>
      <c r="D2248" s="23" t="s">
        <v>2025</v>
      </c>
      <c r="E2248" s="23">
        <v>235.33110047846799</v>
      </c>
      <c r="F2248" s="23">
        <v>4</v>
      </c>
      <c r="G2248" s="23">
        <v>1</v>
      </c>
      <c r="H2248" s="23">
        <v>3</v>
      </c>
      <c r="I2248" s="23" t="s">
        <v>122</v>
      </c>
      <c r="J2248" s="23" t="s">
        <v>1993</v>
      </c>
    </row>
    <row r="2249" spans="1:10" s="20" customFormat="1" ht="12" x14ac:dyDescent="0.25">
      <c r="A2249" s="22">
        <v>1000098732</v>
      </c>
      <c r="B2249" s="23" t="s">
        <v>4116</v>
      </c>
      <c r="C2249" s="24" t="s">
        <v>4</v>
      </c>
      <c r="D2249" s="23" t="s">
        <v>2090</v>
      </c>
      <c r="E2249" s="23">
        <v>235.172</v>
      </c>
      <c r="F2249" s="23">
        <v>7</v>
      </c>
      <c r="G2249" s="23">
        <v>7</v>
      </c>
      <c r="H2249" s="23">
        <v>0</v>
      </c>
      <c r="I2249" s="23" t="s">
        <v>5</v>
      </c>
      <c r="J2249" s="23" t="s">
        <v>327</v>
      </c>
    </row>
    <row r="2250" spans="1:10" s="20" customFormat="1" ht="12" x14ac:dyDescent="0.25">
      <c r="A2250" s="22">
        <v>1000021086</v>
      </c>
      <c r="B2250" s="23" t="s">
        <v>1248</v>
      </c>
      <c r="C2250" s="24" t="s">
        <v>4</v>
      </c>
      <c r="D2250" s="23" t="s">
        <v>2090</v>
      </c>
      <c r="E2250" s="23">
        <v>235.08</v>
      </c>
      <c r="F2250" s="23">
        <v>3</v>
      </c>
      <c r="G2250" s="23">
        <v>3</v>
      </c>
      <c r="H2250" s="23">
        <v>0</v>
      </c>
      <c r="I2250" s="23" t="s">
        <v>5</v>
      </c>
      <c r="J2250" s="23" t="s">
        <v>327</v>
      </c>
    </row>
    <row r="2251" spans="1:10" s="20" customFormat="1" ht="12" x14ac:dyDescent="0.25">
      <c r="A2251" s="22">
        <v>1000096424</v>
      </c>
      <c r="B2251" s="23" t="s">
        <v>4117</v>
      </c>
      <c r="C2251" s="24" t="s">
        <v>4</v>
      </c>
      <c r="D2251" s="23" t="s">
        <v>2056</v>
      </c>
      <c r="E2251" s="23">
        <v>234.8</v>
      </c>
      <c r="F2251" s="23">
        <v>10</v>
      </c>
      <c r="G2251" s="23">
        <v>10</v>
      </c>
      <c r="H2251" s="23">
        <v>0</v>
      </c>
      <c r="I2251" s="23" t="s">
        <v>5</v>
      </c>
      <c r="J2251" s="23" t="s">
        <v>1844</v>
      </c>
    </row>
    <row r="2252" spans="1:10" s="20" customFormat="1" ht="12" x14ac:dyDescent="0.25">
      <c r="A2252" s="22">
        <v>1000100413</v>
      </c>
      <c r="B2252" s="23" t="s">
        <v>1727</v>
      </c>
      <c r="C2252" s="24" t="s">
        <v>4</v>
      </c>
      <c r="D2252" s="23" t="s">
        <v>2090</v>
      </c>
      <c r="E2252" s="23">
        <v>234.23</v>
      </c>
      <c r="F2252" s="23">
        <v>2</v>
      </c>
      <c r="G2252" s="23">
        <v>2</v>
      </c>
      <c r="H2252" s="23">
        <v>0</v>
      </c>
      <c r="I2252" s="23" t="s">
        <v>5</v>
      </c>
      <c r="J2252" s="23" t="s">
        <v>327</v>
      </c>
    </row>
    <row r="2253" spans="1:10" s="20" customFormat="1" ht="12" x14ac:dyDescent="0.25">
      <c r="A2253" s="22">
        <v>1000020336</v>
      </c>
      <c r="B2253" s="23" t="s">
        <v>568</v>
      </c>
      <c r="C2253" s="24" t="s">
        <v>4</v>
      </c>
      <c r="D2253" s="23" t="s">
        <v>2090</v>
      </c>
      <c r="E2253" s="23">
        <v>234</v>
      </c>
      <c r="F2253" s="23">
        <v>50</v>
      </c>
      <c r="G2253" s="23">
        <v>50</v>
      </c>
      <c r="H2253" s="23">
        <v>0</v>
      </c>
      <c r="I2253" s="23" t="s">
        <v>5</v>
      </c>
      <c r="J2253" s="23" t="s">
        <v>327</v>
      </c>
    </row>
    <row r="2254" spans="1:10" s="20" customFormat="1" ht="12" x14ac:dyDescent="0.25">
      <c r="A2254" s="22">
        <v>1000021434</v>
      </c>
      <c r="B2254" s="23" t="s">
        <v>1480</v>
      </c>
      <c r="C2254" s="24" t="s">
        <v>4</v>
      </c>
      <c r="D2254" s="23" t="s">
        <v>2090</v>
      </c>
      <c r="E2254" s="23">
        <v>233.41176470588201</v>
      </c>
      <c r="F2254" s="23">
        <v>40</v>
      </c>
      <c r="G2254" s="23">
        <v>40</v>
      </c>
      <c r="H2254" s="23">
        <v>0</v>
      </c>
      <c r="I2254" s="23" t="s">
        <v>5</v>
      </c>
      <c r="J2254" s="23" t="s">
        <v>327</v>
      </c>
    </row>
    <row r="2255" spans="1:10" s="20" customFormat="1" ht="12" x14ac:dyDescent="0.25">
      <c r="A2255" s="22">
        <v>1000109953</v>
      </c>
      <c r="B2255" s="23" t="s">
        <v>4118</v>
      </c>
      <c r="C2255" s="24" t="s">
        <v>4</v>
      </c>
      <c r="D2255" s="23" t="s">
        <v>2056</v>
      </c>
      <c r="E2255" s="23">
        <v>233.387</v>
      </c>
      <c r="F2255" s="23">
        <v>2</v>
      </c>
      <c r="G2255" s="23">
        <v>2</v>
      </c>
      <c r="H2255" s="23">
        <v>0</v>
      </c>
      <c r="I2255" s="23" t="s">
        <v>5</v>
      </c>
      <c r="J2255" s="23" t="s">
        <v>1844</v>
      </c>
    </row>
    <row r="2256" spans="1:10" s="20" customFormat="1" ht="12" x14ac:dyDescent="0.25">
      <c r="A2256" s="22">
        <v>2500008394</v>
      </c>
      <c r="B2256" s="23" t="s">
        <v>4119</v>
      </c>
      <c r="C2256" s="24" t="s">
        <v>1996</v>
      </c>
      <c r="D2256" s="23" t="s">
        <v>2025</v>
      </c>
      <c r="E2256" s="23">
        <v>232.5</v>
      </c>
      <c r="F2256" s="23">
        <v>1</v>
      </c>
      <c r="G2256" s="23">
        <v>1</v>
      </c>
      <c r="H2256" s="23">
        <v>0</v>
      </c>
      <c r="I2256" s="23" t="s">
        <v>5</v>
      </c>
      <c r="J2256" s="23" t="s">
        <v>1993</v>
      </c>
    </row>
    <row r="2257" spans="1:10" s="20" customFormat="1" ht="12" x14ac:dyDescent="0.25">
      <c r="A2257" s="22">
        <v>1000098455</v>
      </c>
      <c r="B2257" s="23" t="s">
        <v>1532</v>
      </c>
      <c r="C2257" s="24" t="s">
        <v>4</v>
      </c>
      <c r="D2257" s="23" t="s">
        <v>2090</v>
      </c>
      <c r="E2257" s="23">
        <v>232.36</v>
      </c>
      <c r="F2257" s="23">
        <v>2</v>
      </c>
      <c r="G2257" s="23">
        <v>2</v>
      </c>
      <c r="H2257" s="23">
        <v>0</v>
      </c>
      <c r="I2257" s="23" t="s">
        <v>5</v>
      </c>
      <c r="J2257" s="23" t="s">
        <v>327</v>
      </c>
    </row>
    <row r="2258" spans="1:10" s="20" customFormat="1" ht="12" x14ac:dyDescent="0.25">
      <c r="A2258" s="22">
        <v>1000021120</v>
      </c>
      <c r="B2258" s="23" t="s">
        <v>1279</v>
      </c>
      <c r="C2258" s="24" t="s">
        <v>4</v>
      </c>
      <c r="D2258" s="23" t="s">
        <v>2090</v>
      </c>
      <c r="E2258" s="23">
        <v>231.96666666666599</v>
      </c>
      <c r="F2258" s="23">
        <v>1</v>
      </c>
      <c r="G2258" s="23">
        <v>1</v>
      </c>
      <c r="H2258" s="23">
        <v>0</v>
      </c>
      <c r="I2258" s="23" t="s">
        <v>5</v>
      </c>
      <c r="J2258" s="23" t="s">
        <v>327</v>
      </c>
    </row>
    <row r="2259" spans="1:10" s="20" customFormat="1" ht="12" x14ac:dyDescent="0.25">
      <c r="A2259" s="22">
        <v>1000095823</v>
      </c>
      <c r="B2259" s="23" t="s">
        <v>4121</v>
      </c>
      <c r="C2259" s="24" t="s">
        <v>4</v>
      </c>
      <c r="D2259" s="23" t="s">
        <v>2056</v>
      </c>
      <c r="E2259" s="23">
        <v>231.96215784753301</v>
      </c>
      <c r="F2259" s="23">
        <v>54</v>
      </c>
      <c r="G2259" s="23">
        <v>54</v>
      </c>
      <c r="H2259" s="23">
        <v>0</v>
      </c>
      <c r="I2259" s="23" t="s">
        <v>5</v>
      </c>
      <c r="J2259" s="23" t="s">
        <v>1844</v>
      </c>
    </row>
    <row r="2260" spans="1:10" s="20" customFormat="1" ht="12" x14ac:dyDescent="0.25">
      <c r="A2260" s="22">
        <v>1000020602</v>
      </c>
      <c r="B2260" s="23" t="s">
        <v>818</v>
      </c>
      <c r="C2260" s="24" t="s">
        <v>4</v>
      </c>
      <c r="D2260" s="23" t="s">
        <v>2090</v>
      </c>
      <c r="E2260" s="23">
        <v>231.6</v>
      </c>
      <c r="F2260" s="23">
        <v>10</v>
      </c>
      <c r="G2260" s="23">
        <v>10</v>
      </c>
      <c r="H2260" s="23">
        <v>0</v>
      </c>
      <c r="I2260" s="23" t="s">
        <v>5</v>
      </c>
      <c r="J2260" s="23" t="s">
        <v>327</v>
      </c>
    </row>
    <row r="2261" spans="1:10" s="20" customFormat="1" ht="12" x14ac:dyDescent="0.25">
      <c r="A2261" s="22">
        <v>1000094257</v>
      </c>
      <c r="B2261" s="23" t="s">
        <v>2181</v>
      </c>
      <c r="C2261" s="24" t="s">
        <v>4</v>
      </c>
      <c r="D2261" s="23" t="s">
        <v>2056</v>
      </c>
      <c r="E2261" s="23">
        <v>231</v>
      </c>
      <c r="F2261" s="23">
        <v>70</v>
      </c>
      <c r="G2261" s="23">
        <v>70</v>
      </c>
      <c r="H2261" s="23">
        <v>0</v>
      </c>
      <c r="I2261" s="23" t="s">
        <v>5</v>
      </c>
      <c r="J2261" s="23" t="s">
        <v>1844</v>
      </c>
    </row>
    <row r="2262" spans="1:10" s="20" customFormat="1" ht="12" x14ac:dyDescent="0.25">
      <c r="A2262" s="22">
        <v>1000021299</v>
      </c>
      <c r="B2262" s="23" t="s">
        <v>1434</v>
      </c>
      <c r="C2262" s="24" t="s">
        <v>4</v>
      </c>
      <c r="D2262" s="23" t="s">
        <v>2090</v>
      </c>
      <c r="E2262" s="23">
        <v>229.78</v>
      </c>
      <c r="F2262" s="23">
        <v>2</v>
      </c>
      <c r="G2262" s="23">
        <v>2</v>
      </c>
      <c r="H2262" s="23">
        <v>0</v>
      </c>
      <c r="I2262" s="23" t="s">
        <v>5</v>
      </c>
      <c r="J2262" s="23" t="s">
        <v>327</v>
      </c>
    </row>
    <row r="2263" spans="1:10" s="20" customFormat="1" ht="12" x14ac:dyDescent="0.25">
      <c r="A2263" s="22">
        <v>1000095549</v>
      </c>
      <c r="B2263" s="23" t="s">
        <v>4127</v>
      </c>
      <c r="C2263" s="24" t="s">
        <v>4</v>
      </c>
      <c r="D2263" s="23" t="s">
        <v>2090</v>
      </c>
      <c r="E2263" s="23">
        <v>229.42500000000001</v>
      </c>
      <c r="F2263" s="23">
        <v>1</v>
      </c>
      <c r="G2263" s="23">
        <v>1</v>
      </c>
      <c r="H2263" s="23">
        <v>0</v>
      </c>
      <c r="I2263" s="23" t="s">
        <v>5</v>
      </c>
      <c r="J2263" s="23" t="s">
        <v>327</v>
      </c>
    </row>
    <row r="2264" spans="1:10" s="20" customFormat="1" ht="12" x14ac:dyDescent="0.25">
      <c r="A2264" s="22">
        <v>1000020557</v>
      </c>
      <c r="B2264" s="23" t="s">
        <v>775</v>
      </c>
      <c r="C2264" s="24" t="s">
        <v>4</v>
      </c>
      <c r="D2264" s="23" t="s">
        <v>2090</v>
      </c>
      <c r="E2264" s="23">
        <v>229.2</v>
      </c>
      <c r="F2264" s="23">
        <v>8</v>
      </c>
      <c r="G2264" s="23">
        <v>8</v>
      </c>
      <c r="H2264" s="23">
        <v>0</v>
      </c>
      <c r="I2264" s="23" t="s">
        <v>5</v>
      </c>
      <c r="J2264" s="23" t="s">
        <v>327</v>
      </c>
    </row>
    <row r="2265" spans="1:10" s="20" customFormat="1" ht="12" x14ac:dyDescent="0.25">
      <c r="A2265" s="22">
        <v>1000020596</v>
      </c>
      <c r="B2265" s="23" t="s">
        <v>812</v>
      </c>
      <c r="C2265" s="24" t="s">
        <v>4</v>
      </c>
      <c r="D2265" s="23" t="s">
        <v>2090</v>
      </c>
      <c r="E2265" s="23">
        <v>229</v>
      </c>
      <c r="F2265" s="23">
        <v>50</v>
      </c>
      <c r="G2265" s="23">
        <v>50</v>
      </c>
      <c r="H2265" s="23">
        <v>0</v>
      </c>
      <c r="I2265" s="23" t="s">
        <v>5</v>
      </c>
      <c r="J2265" s="23" t="s">
        <v>327</v>
      </c>
    </row>
    <row r="2266" spans="1:10" s="20" customFormat="1" ht="12" x14ac:dyDescent="0.25">
      <c r="A2266" s="22">
        <v>1000020290</v>
      </c>
      <c r="B2266" s="23" t="s">
        <v>526</v>
      </c>
      <c r="C2266" s="24" t="s">
        <v>4</v>
      </c>
      <c r="D2266" s="23" t="s">
        <v>2090</v>
      </c>
      <c r="E2266" s="23">
        <v>229</v>
      </c>
      <c r="F2266" s="23">
        <v>5</v>
      </c>
      <c r="G2266" s="23">
        <v>5</v>
      </c>
      <c r="H2266" s="23">
        <v>0</v>
      </c>
      <c r="I2266" s="23" t="s">
        <v>5</v>
      </c>
      <c r="J2266" s="23" t="s">
        <v>327</v>
      </c>
    </row>
    <row r="2267" spans="1:10" s="20" customFormat="1" ht="12" x14ac:dyDescent="0.25">
      <c r="A2267" s="22">
        <v>2700000234</v>
      </c>
      <c r="B2267" s="23" t="s">
        <v>295</v>
      </c>
      <c r="C2267" s="24" t="s">
        <v>2037</v>
      </c>
      <c r="D2267" s="23" t="s">
        <v>2038</v>
      </c>
      <c r="E2267" s="23">
        <v>227.84795</v>
      </c>
      <c r="F2267" s="23">
        <v>3</v>
      </c>
      <c r="G2267" s="23">
        <v>3</v>
      </c>
      <c r="H2267" s="23">
        <v>0</v>
      </c>
      <c r="I2267" s="23" t="s">
        <v>5</v>
      </c>
      <c r="J2267" s="23" t="s">
        <v>146</v>
      </c>
    </row>
    <row r="2268" spans="1:10" s="20" customFormat="1" ht="12" x14ac:dyDescent="0.25">
      <c r="A2268" s="22">
        <v>2500008159</v>
      </c>
      <c r="B2268" s="23" t="s">
        <v>4130</v>
      </c>
      <c r="C2268" s="24" t="s">
        <v>1996</v>
      </c>
      <c r="D2268" s="23" t="s">
        <v>2025</v>
      </c>
      <c r="E2268" s="23">
        <v>226.845</v>
      </c>
      <c r="F2268" s="23">
        <v>2</v>
      </c>
      <c r="G2268" s="23">
        <v>2</v>
      </c>
      <c r="H2268" s="23">
        <v>0</v>
      </c>
      <c r="I2268" s="23" t="s">
        <v>5</v>
      </c>
      <c r="J2268" s="23" t="s">
        <v>1993</v>
      </c>
    </row>
    <row r="2269" spans="1:10" s="20" customFormat="1" ht="12" x14ac:dyDescent="0.25">
      <c r="A2269" s="22">
        <v>1000021063</v>
      </c>
      <c r="B2269" s="23" t="s">
        <v>1228</v>
      </c>
      <c r="C2269" s="24" t="s">
        <v>4</v>
      </c>
      <c r="D2269" s="23" t="s">
        <v>2090</v>
      </c>
      <c r="E2269" s="23">
        <v>225.84</v>
      </c>
      <c r="F2269" s="23">
        <v>2</v>
      </c>
      <c r="G2269" s="23">
        <v>2</v>
      </c>
      <c r="H2269" s="23">
        <v>0</v>
      </c>
      <c r="I2269" s="23" t="s">
        <v>5</v>
      </c>
      <c r="J2269" s="23" t="s">
        <v>327</v>
      </c>
    </row>
    <row r="2270" spans="1:10" s="20" customFormat="1" ht="12" x14ac:dyDescent="0.25">
      <c r="A2270" s="22">
        <v>1000020888</v>
      </c>
      <c r="B2270" s="23" t="s">
        <v>1070</v>
      </c>
      <c r="C2270" s="24" t="s">
        <v>4</v>
      </c>
      <c r="D2270" s="23" t="s">
        <v>2090</v>
      </c>
      <c r="E2270" s="23">
        <v>223.88</v>
      </c>
      <c r="F2270" s="23">
        <v>4</v>
      </c>
      <c r="G2270" s="23">
        <v>4</v>
      </c>
      <c r="H2270" s="23">
        <v>0</v>
      </c>
      <c r="I2270" s="23" t="s">
        <v>5</v>
      </c>
      <c r="J2270" s="23" t="s">
        <v>327</v>
      </c>
    </row>
    <row r="2271" spans="1:10" s="20" customFormat="1" ht="12" x14ac:dyDescent="0.25">
      <c r="A2271" s="22">
        <v>1000020373</v>
      </c>
      <c r="B2271" s="23" t="s">
        <v>605</v>
      </c>
      <c r="C2271" s="24" t="s">
        <v>4</v>
      </c>
      <c r="D2271" s="23" t="s">
        <v>2090</v>
      </c>
      <c r="E2271" s="23">
        <v>223.2</v>
      </c>
      <c r="F2271" s="23">
        <v>1</v>
      </c>
      <c r="G2271" s="23">
        <v>1</v>
      </c>
      <c r="H2271" s="23">
        <v>0</v>
      </c>
      <c r="I2271" s="23" t="s">
        <v>5</v>
      </c>
      <c r="J2271" s="23" t="s">
        <v>327</v>
      </c>
    </row>
    <row r="2272" spans="1:10" s="20" customFormat="1" ht="12" x14ac:dyDescent="0.25">
      <c r="A2272" s="22">
        <v>1000098453</v>
      </c>
      <c r="B2272" s="23" t="s">
        <v>1530</v>
      </c>
      <c r="C2272" s="24" t="s">
        <v>4</v>
      </c>
      <c r="D2272" s="23" t="s">
        <v>2090</v>
      </c>
      <c r="E2272" s="23">
        <v>222.47399999999999</v>
      </c>
      <c r="F2272" s="23">
        <v>3</v>
      </c>
      <c r="G2272" s="23">
        <v>3</v>
      </c>
      <c r="H2272" s="23">
        <v>0</v>
      </c>
      <c r="I2272" s="23" t="s">
        <v>5</v>
      </c>
      <c r="J2272" s="23" t="s">
        <v>327</v>
      </c>
    </row>
    <row r="2273" spans="1:10" s="20" customFormat="1" ht="12" x14ac:dyDescent="0.25">
      <c r="A2273" s="22">
        <v>1000021044</v>
      </c>
      <c r="B2273" s="23" t="s">
        <v>1214</v>
      </c>
      <c r="C2273" s="24" t="s">
        <v>4</v>
      </c>
      <c r="D2273" s="23" t="s">
        <v>2090</v>
      </c>
      <c r="E2273" s="23">
        <v>222.18</v>
      </c>
      <c r="F2273" s="23">
        <v>1</v>
      </c>
      <c r="G2273" s="23">
        <v>1</v>
      </c>
      <c r="H2273" s="23">
        <v>0</v>
      </c>
      <c r="I2273" s="23" t="s">
        <v>5</v>
      </c>
      <c r="J2273" s="23" t="s">
        <v>327</v>
      </c>
    </row>
    <row r="2274" spans="1:10" s="20" customFormat="1" ht="12" x14ac:dyDescent="0.25">
      <c r="A2274" s="22">
        <v>1000102434</v>
      </c>
      <c r="B2274" s="23" t="s">
        <v>1797</v>
      </c>
      <c r="C2274" s="24" t="s">
        <v>4</v>
      </c>
      <c r="D2274" s="23" t="s">
        <v>2090</v>
      </c>
      <c r="E2274" s="23">
        <v>222.15</v>
      </c>
      <c r="F2274" s="23">
        <v>2</v>
      </c>
      <c r="G2274" s="23">
        <v>2</v>
      </c>
      <c r="H2274" s="23">
        <v>0</v>
      </c>
      <c r="I2274" s="23" t="s">
        <v>5</v>
      </c>
      <c r="J2274" s="23" t="s">
        <v>327</v>
      </c>
    </row>
    <row r="2275" spans="1:10" s="20" customFormat="1" ht="12" x14ac:dyDescent="0.25">
      <c r="A2275" s="22">
        <v>1000098580</v>
      </c>
      <c r="B2275" s="23" t="s">
        <v>1589</v>
      </c>
      <c r="C2275" s="24" t="s">
        <v>4</v>
      </c>
      <c r="D2275" s="23" t="s">
        <v>2090</v>
      </c>
      <c r="E2275" s="23">
        <v>220.97</v>
      </c>
      <c r="F2275" s="23">
        <v>25</v>
      </c>
      <c r="G2275" s="23">
        <v>25</v>
      </c>
      <c r="H2275" s="23">
        <v>0</v>
      </c>
      <c r="I2275" s="23" t="s">
        <v>5</v>
      </c>
      <c r="J2275" s="23" t="s">
        <v>327</v>
      </c>
    </row>
    <row r="2276" spans="1:10" s="20" customFormat="1" ht="12" x14ac:dyDescent="0.25">
      <c r="A2276" s="22">
        <v>1000100305</v>
      </c>
      <c r="B2276" s="23" t="s">
        <v>1694</v>
      </c>
      <c r="C2276" s="24" t="s">
        <v>4</v>
      </c>
      <c r="D2276" s="23" t="s">
        <v>2090</v>
      </c>
      <c r="E2276" s="23">
        <v>220.65</v>
      </c>
      <c r="F2276" s="23">
        <v>2</v>
      </c>
      <c r="G2276" s="23">
        <v>2</v>
      </c>
      <c r="H2276" s="23">
        <v>0</v>
      </c>
      <c r="I2276" s="23" t="s">
        <v>5</v>
      </c>
      <c r="J2276" s="23" t="s">
        <v>327</v>
      </c>
    </row>
    <row r="2277" spans="1:10" s="20" customFormat="1" ht="12" x14ac:dyDescent="0.25">
      <c r="A2277" s="22">
        <v>1000020517</v>
      </c>
      <c r="B2277" s="23" t="s">
        <v>739</v>
      </c>
      <c r="C2277" s="24" t="s">
        <v>4</v>
      </c>
      <c r="D2277" s="23" t="s">
        <v>2090</v>
      </c>
      <c r="E2277" s="23">
        <v>220.42</v>
      </c>
      <c r="F2277" s="23">
        <v>2</v>
      </c>
      <c r="G2277" s="23">
        <v>2</v>
      </c>
      <c r="H2277" s="23">
        <v>0</v>
      </c>
      <c r="I2277" s="23" t="s">
        <v>5</v>
      </c>
      <c r="J2277" s="23" t="s">
        <v>327</v>
      </c>
    </row>
    <row r="2278" spans="1:10" s="20" customFormat="1" ht="12" x14ac:dyDescent="0.25">
      <c r="A2278" s="22">
        <v>1000020295</v>
      </c>
      <c r="B2278" s="23" t="s">
        <v>531</v>
      </c>
      <c r="C2278" s="24" t="s">
        <v>4</v>
      </c>
      <c r="D2278" s="23" t="s">
        <v>2090</v>
      </c>
      <c r="E2278" s="23">
        <v>219.71250000000001</v>
      </c>
      <c r="F2278" s="23">
        <v>3</v>
      </c>
      <c r="G2278" s="23">
        <v>3</v>
      </c>
      <c r="H2278" s="23">
        <v>0</v>
      </c>
      <c r="I2278" s="23" t="s">
        <v>5</v>
      </c>
      <c r="J2278" s="23" t="s">
        <v>327</v>
      </c>
    </row>
    <row r="2279" spans="1:10" s="20" customFormat="1" ht="12" x14ac:dyDescent="0.25">
      <c r="A2279" s="22">
        <v>1000101099</v>
      </c>
      <c r="B2279" s="23" t="s">
        <v>4138</v>
      </c>
      <c r="C2279" s="24" t="s">
        <v>4</v>
      </c>
      <c r="D2279" s="23" t="s">
        <v>2284</v>
      </c>
      <c r="E2279" s="23">
        <v>219.56</v>
      </c>
      <c r="F2279" s="23">
        <v>1</v>
      </c>
      <c r="G2279" s="23">
        <v>1</v>
      </c>
      <c r="H2279" s="23">
        <v>0</v>
      </c>
      <c r="I2279" s="23" t="s">
        <v>5</v>
      </c>
      <c r="J2279" s="23" t="s">
        <v>1844</v>
      </c>
    </row>
    <row r="2280" spans="1:10" s="20" customFormat="1" ht="12" x14ac:dyDescent="0.25">
      <c r="A2280" s="22">
        <v>1000096308</v>
      </c>
      <c r="B2280" s="23" t="s">
        <v>4139</v>
      </c>
      <c r="C2280" s="24" t="s">
        <v>4</v>
      </c>
      <c r="D2280" s="23" t="s">
        <v>2090</v>
      </c>
      <c r="E2280" s="23">
        <v>218.95124999999999</v>
      </c>
      <c r="F2280" s="23">
        <v>7</v>
      </c>
      <c r="G2280" s="23">
        <v>7</v>
      </c>
      <c r="H2280" s="23">
        <v>0</v>
      </c>
      <c r="I2280" s="23" t="s">
        <v>5</v>
      </c>
      <c r="J2280" s="23" t="s">
        <v>327</v>
      </c>
    </row>
    <row r="2281" spans="1:10" s="20" customFormat="1" ht="12" x14ac:dyDescent="0.25">
      <c r="A2281" s="22">
        <v>1000020303</v>
      </c>
      <c r="B2281" s="23" t="s">
        <v>539</v>
      </c>
      <c r="C2281" s="24" t="s">
        <v>4</v>
      </c>
      <c r="D2281" s="23" t="s">
        <v>2090</v>
      </c>
      <c r="E2281" s="23">
        <v>218.74</v>
      </c>
      <c r="F2281" s="23">
        <v>2</v>
      </c>
      <c r="G2281" s="23">
        <v>2</v>
      </c>
      <c r="H2281" s="23">
        <v>0</v>
      </c>
      <c r="I2281" s="23" t="s">
        <v>5</v>
      </c>
      <c r="J2281" s="23" t="s">
        <v>327</v>
      </c>
    </row>
    <row r="2282" spans="1:10" s="20" customFormat="1" ht="12" x14ac:dyDescent="0.25">
      <c r="A2282" s="22">
        <v>1000020361</v>
      </c>
      <c r="B2282" s="23" t="s">
        <v>593</v>
      </c>
      <c r="C2282" s="24" t="s">
        <v>4</v>
      </c>
      <c r="D2282" s="23" t="s">
        <v>2090</v>
      </c>
      <c r="E2282" s="23">
        <v>218.32</v>
      </c>
      <c r="F2282" s="23">
        <v>2</v>
      </c>
      <c r="G2282" s="23">
        <v>2</v>
      </c>
      <c r="H2282" s="23">
        <v>0</v>
      </c>
      <c r="I2282" s="23" t="s">
        <v>5</v>
      </c>
      <c r="J2282" s="23" t="s">
        <v>327</v>
      </c>
    </row>
    <row r="2283" spans="1:10" s="20" customFormat="1" ht="12" x14ac:dyDescent="0.25">
      <c r="A2283" s="22">
        <v>1000020570</v>
      </c>
      <c r="B2283" s="23" t="s">
        <v>787</v>
      </c>
      <c r="C2283" s="24" t="s">
        <v>4</v>
      </c>
      <c r="D2283" s="23" t="s">
        <v>2090</v>
      </c>
      <c r="E2283" s="23">
        <v>218.32</v>
      </c>
      <c r="F2283" s="23">
        <v>2</v>
      </c>
      <c r="G2283" s="23">
        <v>2</v>
      </c>
      <c r="H2283" s="23">
        <v>0</v>
      </c>
      <c r="I2283" s="23" t="s">
        <v>5</v>
      </c>
      <c r="J2283" s="23" t="s">
        <v>327</v>
      </c>
    </row>
    <row r="2284" spans="1:10" s="20" customFormat="1" ht="12" x14ac:dyDescent="0.25">
      <c r="A2284" s="22">
        <v>1000020415</v>
      </c>
      <c r="B2284" s="23" t="s">
        <v>644</v>
      </c>
      <c r="C2284" s="24" t="s">
        <v>4</v>
      </c>
      <c r="D2284" s="23" t="s">
        <v>2090</v>
      </c>
      <c r="E2284" s="23">
        <v>217.5</v>
      </c>
      <c r="F2284" s="23">
        <v>30</v>
      </c>
      <c r="G2284" s="23">
        <v>30</v>
      </c>
      <c r="H2284" s="23">
        <v>0</v>
      </c>
      <c r="I2284" s="23" t="s">
        <v>5</v>
      </c>
      <c r="J2284" s="23" t="s">
        <v>327</v>
      </c>
    </row>
    <row r="2285" spans="1:10" s="20" customFormat="1" ht="12" x14ac:dyDescent="0.25">
      <c r="A2285" s="22">
        <v>1000107034</v>
      </c>
      <c r="B2285" s="23" t="s">
        <v>4141</v>
      </c>
      <c r="C2285" s="24" t="s">
        <v>4</v>
      </c>
      <c r="D2285" s="23" t="s">
        <v>2056</v>
      </c>
      <c r="E2285" s="23">
        <v>216.01</v>
      </c>
      <c r="F2285" s="23">
        <v>10</v>
      </c>
      <c r="G2285" s="23">
        <v>10</v>
      </c>
      <c r="H2285" s="23">
        <v>0</v>
      </c>
      <c r="I2285" s="23" t="s">
        <v>5</v>
      </c>
      <c r="J2285" s="23" t="s">
        <v>1844</v>
      </c>
    </row>
    <row r="2286" spans="1:10" s="20" customFormat="1" ht="12" x14ac:dyDescent="0.25">
      <c r="A2286" s="22">
        <v>1000020807</v>
      </c>
      <c r="B2286" s="23" t="s">
        <v>1011</v>
      </c>
      <c r="C2286" s="24" t="s">
        <v>4</v>
      </c>
      <c r="D2286" s="23" t="s">
        <v>2090</v>
      </c>
      <c r="E2286" s="23">
        <v>215.71</v>
      </c>
      <c r="F2286" s="23">
        <v>1</v>
      </c>
      <c r="G2286" s="23">
        <v>1</v>
      </c>
      <c r="H2286" s="23">
        <v>0</v>
      </c>
      <c r="I2286" s="23" t="s">
        <v>122</v>
      </c>
      <c r="J2286" s="23" t="s">
        <v>327</v>
      </c>
    </row>
    <row r="2287" spans="1:10" s="20" customFormat="1" ht="12" x14ac:dyDescent="0.25">
      <c r="A2287" s="22">
        <v>1000010219</v>
      </c>
      <c r="B2287" s="23" t="s">
        <v>4144</v>
      </c>
      <c r="C2287" s="24" t="s">
        <v>4</v>
      </c>
      <c r="D2287" s="23" t="s">
        <v>2161</v>
      </c>
      <c r="E2287" s="23">
        <v>215.671875</v>
      </c>
      <c r="F2287" s="23">
        <v>5</v>
      </c>
      <c r="G2287" s="23">
        <v>5</v>
      </c>
      <c r="H2287" s="23">
        <v>0</v>
      </c>
      <c r="I2287" s="23" t="s">
        <v>5</v>
      </c>
      <c r="J2287" s="23" t="s">
        <v>111</v>
      </c>
    </row>
    <row r="2288" spans="1:10" s="20" customFormat="1" ht="12" x14ac:dyDescent="0.25">
      <c r="A2288" s="22">
        <v>2500009356</v>
      </c>
      <c r="B2288" s="23" t="s">
        <v>4145</v>
      </c>
      <c r="C2288" s="24" t="s">
        <v>1996</v>
      </c>
      <c r="D2288" s="23" t="s">
        <v>2025</v>
      </c>
      <c r="E2288" s="23">
        <v>215.03</v>
      </c>
      <c r="F2288" s="23">
        <v>1</v>
      </c>
      <c r="G2288" s="23">
        <v>1</v>
      </c>
      <c r="H2288" s="23">
        <v>0</v>
      </c>
      <c r="I2288" s="23" t="s">
        <v>5</v>
      </c>
      <c r="J2288" s="23" t="s">
        <v>1993</v>
      </c>
    </row>
    <row r="2289" spans="1:10" s="20" customFormat="1" ht="12" x14ac:dyDescent="0.25">
      <c r="A2289" s="22">
        <v>1000020269</v>
      </c>
      <c r="B2289" s="23" t="s">
        <v>507</v>
      </c>
      <c r="C2289" s="24" t="s">
        <v>4</v>
      </c>
      <c r="D2289" s="23" t="s">
        <v>2090</v>
      </c>
      <c r="E2289" s="23">
        <v>213.73</v>
      </c>
      <c r="F2289" s="23">
        <v>11</v>
      </c>
      <c r="G2289" s="23">
        <v>11</v>
      </c>
      <c r="H2289" s="23">
        <v>0</v>
      </c>
      <c r="I2289" s="23" t="s">
        <v>5</v>
      </c>
      <c r="J2289" s="23" t="s">
        <v>327</v>
      </c>
    </row>
    <row r="2290" spans="1:10" s="20" customFormat="1" ht="12" x14ac:dyDescent="0.25">
      <c r="A2290" s="22">
        <v>1000100865</v>
      </c>
      <c r="B2290" s="23" t="s">
        <v>4148</v>
      </c>
      <c r="C2290" s="24" t="s">
        <v>4</v>
      </c>
      <c r="D2290" s="23" t="s">
        <v>2056</v>
      </c>
      <c r="E2290" s="23">
        <v>213.64</v>
      </c>
      <c r="F2290" s="23">
        <v>25</v>
      </c>
      <c r="G2290" s="23">
        <v>25</v>
      </c>
      <c r="H2290" s="23">
        <v>0</v>
      </c>
      <c r="I2290" s="23" t="s">
        <v>5</v>
      </c>
      <c r="J2290" s="23" t="s">
        <v>1844</v>
      </c>
    </row>
    <row r="2291" spans="1:10" s="20" customFormat="1" ht="12" x14ac:dyDescent="0.25">
      <c r="A2291" s="22">
        <v>1000020406</v>
      </c>
      <c r="B2291" s="23" t="s">
        <v>636</v>
      </c>
      <c r="C2291" s="24" t="s">
        <v>4</v>
      </c>
      <c r="D2291" s="23" t="s">
        <v>2090</v>
      </c>
      <c r="E2291" s="23">
        <v>213.14409937888101</v>
      </c>
      <c r="F2291" s="23">
        <v>39</v>
      </c>
      <c r="G2291" s="23">
        <v>39</v>
      </c>
      <c r="H2291" s="23">
        <v>0</v>
      </c>
      <c r="I2291" s="23" t="s">
        <v>5</v>
      </c>
      <c r="J2291" s="23" t="s">
        <v>327</v>
      </c>
    </row>
    <row r="2292" spans="1:10" s="20" customFormat="1" ht="12" x14ac:dyDescent="0.25">
      <c r="A2292" s="22">
        <v>1000020371</v>
      </c>
      <c r="B2292" s="23" t="s">
        <v>603</v>
      </c>
      <c r="C2292" s="24" t="s">
        <v>4</v>
      </c>
      <c r="D2292" s="23" t="s">
        <v>2090</v>
      </c>
      <c r="E2292" s="23">
        <v>212.57</v>
      </c>
      <c r="F2292" s="23">
        <v>1</v>
      </c>
      <c r="G2292" s="23">
        <v>1</v>
      </c>
      <c r="H2292" s="23">
        <v>0</v>
      </c>
      <c r="I2292" s="23" t="s">
        <v>5</v>
      </c>
      <c r="J2292" s="23" t="s">
        <v>327</v>
      </c>
    </row>
    <row r="2293" spans="1:10" s="20" customFormat="1" ht="12" x14ac:dyDescent="0.25">
      <c r="A2293" s="22">
        <v>1000102786</v>
      </c>
      <c r="B2293" s="23" t="s">
        <v>4151</v>
      </c>
      <c r="C2293" s="24" t="s">
        <v>4</v>
      </c>
      <c r="D2293" s="23" t="s">
        <v>2056</v>
      </c>
      <c r="E2293" s="23">
        <v>212.03</v>
      </c>
      <c r="F2293" s="23">
        <v>7</v>
      </c>
      <c r="G2293" s="23">
        <v>0</v>
      </c>
      <c r="H2293" s="23">
        <v>7</v>
      </c>
      <c r="I2293" s="23" t="s">
        <v>122</v>
      </c>
      <c r="J2293" s="23" t="s">
        <v>1844</v>
      </c>
    </row>
    <row r="2294" spans="1:10" s="20" customFormat="1" ht="12" x14ac:dyDescent="0.25">
      <c r="A2294" s="22">
        <v>1000021052</v>
      </c>
      <c r="B2294" s="23" t="s">
        <v>1219</v>
      </c>
      <c r="C2294" s="24" t="s">
        <v>4</v>
      </c>
      <c r="D2294" s="23" t="s">
        <v>2090</v>
      </c>
      <c r="E2294" s="23">
        <v>211.73</v>
      </c>
      <c r="F2294" s="23">
        <v>1</v>
      </c>
      <c r="G2294" s="23">
        <v>1</v>
      </c>
      <c r="H2294" s="23">
        <v>0</v>
      </c>
      <c r="I2294" s="23" t="s">
        <v>5</v>
      </c>
      <c r="J2294" s="23" t="s">
        <v>327</v>
      </c>
    </row>
    <row r="2295" spans="1:10" s="20" customFormat="1" ht="12" x14ac:dyDescent="0.25">
      <c r="A2295" s="22">
        <v>1000020786</v>
      </c>
      <c r="B2295" s="23" t="s">
        <v>990</v>
      </c>
      <c r="C2295" s="24" t="s">
        <v>4</v>
      </c>
      <c r="D2295" s="23" t="s">
        <v>2090</v>
      </c>
      <c r="E2295" s="23">
        <v>210.92</v>
      </c>
      <c r="F2295" s="23">
        <v>4</v>
      </c>
      <c r="G2295" s="23">
        <v>4</v>
      </c>
      <c r="H2295" s="23">
        <v>0</v>
      </c>
      <c r="I2295" s="23" t="s">
        <v>5</v>
      </c>
      <c r="J2295" s="23" t="s">
        <v>327</v>
      </c>
    </row>
    <row r="2296" spans="1:10" s="20" customFormat="1" ht="12" x14ac:dyDescent="0.25">
      <c r="A2296" s="22">
        <v>1000020573</v>
      </c>
      <c r="B2296" s="23" t="s">
        <v>790</v>
      </c>
      <c r="C2296" s="24" t="s">
        <v>4</v>
      </c>
      <c r="D2296" s="23" t="s">
        <v>2090</v>
      </c>
      <c r="E2296" s="23">
        <v>210.81</v>
      </c>
      <c r="F2296" s="23">
        <v>1</v>
      </c>
      <c r="G2296" s="23">
        <v>1</v>
      </c>
      <c r="H2296" s="23">
        <v>0</v>
      </c>
      <c r="I2296" s="23" t="s">
        <v>5</v>
      </c>
      <c r="J2296" s="23" t="s">
        <v>327</v>
      </c>
    </row>
    <row r="2297" spans="1:10" s="20" customFormat="1" ht="12" x14ac:dyDescent="0.25">
      <c r="A2297" s="22">
        <v>1000020450</v>
      </c>
      <c r="B2297" s="23" t="s">
        <v>676</v>
      </c>
      <c r="C2297" s="24" t="s">
        <v>4</v>
      </c>
      <c r="D2297" s="23" t="s">
        <v>2090</v>
      </c>
      <c r="E2297" s="23">
        <v>210.49552071154099</v>
      </c>
      <c r="F2297" s="23">
        <v>15</v>
      </c>
      <c r="G2297" s="23">
        <v>15</v>
      </c>
      <c r="H2297" s="23">
        <v>0</v>
      </c>
      <c r="I2297" s="23" t="s">
        <v>5</v>
      </c>
      <c r="J2297" s="23" t="s">
        <v>327</v>
      </c>
    </row>
    <row r="2298" spans="1:10" s="20" customFormat="1" ht="12" x14ac:dyDescent="0.25">
      <c r="A2298" s="22">
        <v>1000102207</v>
      </c>
      <c r="B2298" s="23" t="s">
        <v>336</v>
      </c>
      <c r="C2298" s="24" t="s">
        <v>4</v>
      </c>
      <c r="D2298" s="23" t="s">
        <v>2090</v>
      </c>
      <c r="E2298" s="23">
        <v>210.38</v>
      </c>
      <c r="F2298" s="23">
        <v>30</v>
      </c>
      <c r="G2298" s="23">
        <v>30</v>
      </c>
      <c r="H2298" s="23">
        <v>0</v>
      </c>
      <c r="I2298" s="23" t="s">
        <v>5</v>
      </c>
      <c r="J2298" s="23" t="s">
        <v>327</v>
      </c>
    </row>
    <row r="2299" spans="1:10" s="20" customFormat="1" ht="12" x14ac:dyDescent="0.25">
      <c r="A2299" s="22">
        <v>1000020216</v>
      </c>
      <c r="B2299" s="23" t="s">
        <v>456</v>
      </c>
      <c r="C2299" s="24" t="s">
        <v>4</v>
      </c>
      <c r="D2299" s="23" t="s">
        <v>2090</v>
      </c>
      <c r="E2299" s="23">
        <v>209.65</v>
      </c>
      <c r="F2299" s="23">
        <v>1</v>
      </c>
      <c r="G2299" s="23">
        <v>1</v>
      </c>
      <c r="H2299" s="23">
        <v>0</v>
      </c>
      <c r="I2299" s="23" t="s">
        <v>5</v>
      </c>
      <c r="J2299" s="23" t="s">
        <v>327</v>
      </c>
    </row>
    <row r="2300" spans="1:10" s="20" customFormat="1" ht="12" x14ac:dyDescent="0.25">
      <c r="A2300" s="22">
        <v>2500008169</v>
      </c>
      <c r="B2300" s="23" t="s">
        <v>4152</v>
      </c>
      <c r="C2300" s="24" t="s">
        <v>1996</v>
      </c>
      <c r="D2300" s="23" t="s">
        <v>2025</v>
      </c>
      <c r="E2300" s="23">
        <v>209.54729166666601</v>
      </c>
      <c r="F2300" s="23">
        <v>1</v>
      </c>
      <c r="G2300" s="23">
        <v>1</v>
      </c>
      <c r="H2300" s="23">
        <v>0</v>
      </c>
      <c r="I2300" s="23" t="s">
        <v>5</v>
      </c>
      <c r="J2300" s="23" t="s">
        <v>1993</v>
      </c>
    </row>
    <row r="2301" spans="1:10" s="20" customFormat="1" ht="12" x14ac:dyDescent="0.25">
      <c r="A2301" s="22">
        <v>1000021201</v>
      </c>
      <c r="B2301" s="23" t="s">
        <v>1347</v>
      </c>
      <c r="C2301" s="24" t="s">
        <v>4</v>
      </c>
      <c r="D2301" s="23" t="s">
        <v>2090</v>
      </c>
      <c r="E2301" s="23">
        <v>209.22</v>
      </c>
      <c r="F2301" s="23">
        <v>2</v>
      </c>
      <c r="G2301" s="23">
        <v>2</v>
      </c>
      <c r="H2301" s="23">
        <v>0</v>
      </c>
      <c r="I2301" s="23" t="s">
        <v>5</v>
      </c>
      <c r="J2301" s="23" t="s">
        <v>327</v>
      </c>
    </row>
    <row r="2302" spans="1:10" s="20" customFormat="1" ht="12" x14ac:dyDescent="0.25">
      <c r="A2302" s="22">
        <v>1000020979</v>
      </c>
      <c r="B2302" s="23" t="s">
        <v>1153</v>
      </c>
      <c r="C2302" s="24" t="s">
        <v>4</v>
      </c>
      <c r="D2302" s="23" t="s">
        <v>2090</v>
      </c>
      <c r="E2302" s="23">
        <v>208.55</v>
      </c>
      <c r="F2302" s="23">
        <v>5</v>
      </c>
      <c r="G2302" s="23">
        <v>5</v>
      </c>
      <c r="H2302" s="23">
        <v>0</v>
      </c>
      <c r="I2302" s="23" t="s">
        <v>5</v>
      </c>
      <c r="J2302" s="23" t="s">
        <v>327</v>
      </c>
    </row>
    <row r="2303" spans="1:10" s="20" customFormat="1" ht="12" x14ac:dyDescent="0.25">
      <c r="A2303" s="22">
        <v>1000020154</v>
      </c>
      <c r="B2303" s="23" t="s">
        <v>405</v>
      </c>
      <c r="C2303" s="24" t="s">
        <v>4</v>
      </c>
      <c r="D2303" s="23" t="s">
        <v>2090</v>
      </c>
      <c r="E2303" s="23">
        <v>207.76</v>
      </c>
      <c r="F2303" s="23">
        <v>2</v>
      </c>
      <c r="G2303" s="23">
        <v>2</v>
      </c>
      <c r="H2303" s="23">
        <v>0</v>
      </c>
      <c r="I2303" s="23" t="s">
        <v>5</v>
      </c>
      <c r="J2303" s="23" t="s">
        <v>327</v>
      </c>
    </row>
    <row r="2304" spans="1:10" s="20" customFormat="1" ht="12" x14ac:dyDescent="0.25">
      <c r="A2304" s="22">
        <v>1000020370</v>
      </c>
      <c r="B2304" s="23" t="s">
        <v>602</v>
      </c>
      <c r="C2304" s="24" t="s">
        <v>4</v>
      </c>
      <c r="D2304" s="23" t="s">
        <v>2090</v>
      </c>
      <c r="E2304" s="23">
        <v>207.61</v>
      </c>
      <c r="F2304" s="23">
        <v>1</v>
      </c>
      <c r="G2304" s="23">
        <v>1</v>
      </c>
      <c r="H2304" s="23">
        <v>0</v>
      </c>
      <c r="I2304" s="23" t="s">
        <v>5</v>
      </c>
      <c r="J2304" s="23" t="s">
        <v>327</v>
      </c>
    </row>
    <row r="2305" spans="1:10" s="20" customFormat="1" ht="12" x14ac:dyDescent="0.25">
      <c r="A2305" s="22">
        <v>1000108816</v>
      </c>
      <c r="B2305" s="23" t="s">
        <v>1894</v>
      </c>
      <c r="C2305" s="24" t="s">
        <v>4</v>
      </c>
      <c r="D2305" s="23" t="s">
        <v>2056</v>
      </c>
      <c r="E2305" s="23">
        <v>206.92405309090901</v>
      </c>
      <c r="F2305" s="23">
        <v>20</v>
      </c>
      <c r="G2305" s="23">
        <v>20</v>
      </c>
      <c r="H2305" s="23">
        <v>0</v>
      </c>
      <c r="I2305" s="23" t="s">
        <v>5</v>
      </c>
      <c r="J2305" s="23" t="s">
        <v>1844</v>
      </c>
    </row>
    <row r="2306" spans="1:10" s="20" customFormat="1" ht="12" x14ac:dyDescent="0.25">
      <c r="A2306" s="22">
        <v>1000110379</v>
      </c>
      <c r="B2306" s="23" t="s">
        <v>4156</v>
      </c>
      <c r="C2306" s="24" t="s">
        <v>4</v>
      </c>
      <c r="D2306" s="23" t="s">
        <v>2056</v>
      </c>
      <c r="E2306" s="23">
        <v>206.8</v>
      </c>
      <c r="F2306" s="23">
        <v>4</v>
      </c>
      <c r="G2306" s="23">
        <v>4</v>
      </c>
      <c r="H2306" s="23">
        <v>0</v>
      </c>
      <c r="I2306" s="23" t="s">
        <v>5</v>
      </c>
      <c r="J2306" s="23" t="s">
        <v>1844</v>
      </c>
    </row>
    <row r="2307" spans="1:10" s="20" customFormat="1" ht="12" x14ac:dyDescent="0.25">
      <c r="A2307" s="22">
        <v>1000020793</v>
      </c>
      <c r="B2307" s="23" t="s">
        <v>997</v>
      </c>
      <c r="C2307" s="24" t="s">
        <v>4</v>
      </c>
      <c r="D2307" s="23" t="s">
        <v>2090</v>
      </c>
      <c r="E2307" s="23">
        <v>206.7</v>
      </c>
      <c r="F2307" s="23">
        <v>4</v>
      </c>
      <c r="G2307" s="23">
        <v>4</v>
      </c>
      <c r="H2307" s="23">
        <v>0</v>
      </c>
      <c r="I2307" s="23" t="s">
        <v>5</v>
      </c>
      <c r="J2307" s="23" t="s">
        <v>327</v>
      </c>
    </row>
    <row r="2308" spans="1:10" s="20" customFormat="1" ht="12" x14ac:dyDescent="0.25">
      <c r="A2308" s="22">
        <v>1000098576</v>
      </c>
      <c r="B2308" s="23" t="s">
        <v>1585</v>
      </c>
      <c r="C2308" s="24" t="s">
        <v>4</v>
      </c>
      <c r="D2308" s="23" t="s">
        <v>2090</v>
      </c>
      <c r="E2308" s="23">
        <v>206.63</v>
      </c>
      <c r="F2308" s="23">
        <v>3</v>
      </c>
      <c r="G2308" s="23">
        <v>3</v>
      </c>
      <c r="H2308" s="23">
        <v>0</v>
      </c>
      <c r="I2308" s="23" t="s">
        <v>5</v>
      </c>
      <c r="J2308" s="23" t="s">
        <v>327</v>
      </c>
    </row>
    <row r="2309" spans="1:10" s="20" customFormat="1" ht="12" x14ac:dyDescent="0.25">
      <c r="A2309" s="22">
        <v>1000020259</v>
      </c>
      <c r="B2309" s="23" t="s">
        <v>498</v>
      </c>
      <c r="C2309" s="24" t="s">
        <v>4</v>
      </c>
      <c r="D2309" s="23" t="s">
        <v>2090</v>
      </c>
      <c r="E2309" s="23">
        <v>206.4</v>
      </c>
      <c r="F2309" s="23">
        <v>15</v>
      </c>
      <c r="G2309" s="23">
        <v>15</v>
      </c>
      <c r="H2309" s="23">
        <v>0</v>
      </c>
      <c r="I2309" s="23" t="s">
        <v>5</v>
      </c>
      <c r="J2309" s="23" t="s">
        <v>327</v>
      </c>
    </row>
    <row r="2310" spans="1:10" s="20" customFormat="1" ht="12" x14ac:dyDescent="0.25">
      <c r="A2310" s="22">
        <v>1000106038</v>
      </c>
      <c r="B2310" s="23" t="s">
        <v>4157</v>
      </c>
      <c r="C2310" s="24" t="s">
        <v>4</v>
      </c>
      <c r="D2310" s="23" t="s">
        <v>2161</v>
      </c>
      <c r="E2310" s="23">
        <v>205.57816</v>
      </c>
      <c r="F2310" s="23">
        <v>3</v>
      </c>
      <c r="G2310" s="23">
        <v>3</v>
      </c>
      <c r="H2310" s="23">
        <v>0</v>
      </c>
      <c r="I2310" s="23" t="s">
        <v>5</v>
      </c>
      <c r="J2310" s="23" t="s">
        <v>111</v>
      </c>
    </row>
    <row r="2311" spans="1:10" s="20" customFormat="1" ht="12" x14ac:dyDescent="0.25">
      <c r="A2311" s="22">
        <v>1000021108</v>
      </c>
      <c r="B2311" s="23" t="s">
        <v>1269</v>
      </c>
      <c r="C2311" s="24" t="s">
        <v>4</v>
      </c>
      <c r="D2311" s="23" t="s">
        <v>2090</v>
      </c>
      <c r="E2311" s="23">
        <v>205.53</v>
      </c>
      <c r="F2311" s="23">
        <v>1</v>
      </c>
      <c r="G2311" s="23">
        <v>1</v>
      </c>
      <c r="H2311" s="23">
        <v>0</v>
      </c>
      <c r="I2311" s="23" t="s">
        <v>5</v>
      </c>
      <c r="J2311" s="23" t="s">
        <v>327</v>
      </c>
    </row>
    <row r="2312" spans="1:10" s="20" customFormat="1" ht="12" x14ac:dyDescent="0.25">
      <c r="A2312" s="22">
        <v>1000098537</v>
      </c>
      <c r="B2312" s="23" t="s">
        <v>1568</v>
      </c>
      <c r="C2312" s="24" t="s">
        <v>4</v>
      </c>
      <c r="D2312" s="23" t="s">
        <v>2090</v>
      </c>
      <c r="E2312" s="23">
        <v>205.24</v>
      </c>
      <c r="F2312" s="23">
        <v>10</v>
      </c>
      <c r="G2312" s="23">
        <v>10</v>
      </c>
      <c r="H2312" s="23">
        <v>0</v>
      </c>
      <c r="I2312" s="23" t="s">
        <v>5</v>
      </c>
      <c r="J2312" s="23" t="s">
        <v>327</v>
      </c>
    </row>
    <row r="2313" spans="1:10" s="20" customFormat="1" ht="12" x14ac:dyDescent="0.25">
      <c r="A2313" s="22">
        <v>1000020176</v>
      </c>
      <c r="B2313" s="23" t="s">
        <v>420</v>
      </c>
      <c r="C2313" s="24" t="s">
        <v>4</v>
      </c>
      <c r="D2313" s="23" t="s">
        <v>2090</v>
      </c>
      <c r="E2313" s="23">
        <v>205.24</v>
      </c>
      <c r="F2313" s="23">
        <v>7</v>
      </c>
      <c r="G2313" s="23">
        <v>7</v>
      </c>
      <c r="H2313" s="23">
        <v>0</v>
      </c>
      <c r="I2313" s="23" t="s">
        <v>5</v>
      </c>
      <c r="J2313" s="23" t="s">
        <v>327</v>
      </c>
    </row>
    <row r="2314" spans="1:10" s="20" customFormat="1" ht="12" x14ac:dyDescent="0.25">
      <c r="A2314" s="22">
        <v>1000020179</v>
      </c>
      <c r="B2314" s="23" t="s">
        <v>423</v>
      </c>
      <c r="C2314" s="24" t="s">
        <v>4</v>
      </c>
      <c r="D2314" s="23" t="s">
        <v>2090</v>
      </c>
      <c r="E2314" s="23">
        <v>204.44</v>
      </c>
      <c r="F2314" s="23">
        <v>4</v>
      </c>
      <c r="G2314" s="23">
        <v>4</v>
      </c>
      <c r="H2314" s="23">
        <v>0</v>
      </c>
      <c r="I2314" s="23" t="s">
        <v>5</v>
      </c>
      <c r="J2314" s="23" t="s">
        <v>327</v>
      </c>
    </row>
    <row r="2315" spans="1:10" s="20" customFormat="1" ht="12" x14ac:dyDescent="0.25">
      <c r="A2315" s="22">
        <v>1000020156</v>
      </c>
      <c r="B2315" s="23" t="s">
        <v>406</v>
      </c>
      <c r="C2315" s="24" t="s">
        <v>4</v>
      </c>
      <c r="D2315" s="23" t="s">
        <v>2090</v>
      </c>
      <c r="E2315" s="23">
        <v>203.77</v>
      </c>
      <c r="F2315" s="23">
        <v>1</v>
      </c>
      <c r="G2315" s="23">
        <v>1</v>
      </c>
      <c r="H2315" s="23">
        <v>0</v>
      </c>
      <c r="I2315" s="23" t="s">
        <v>5</v>
      </c>
      <c r="J2315" s="23" t="s">
        <v>327</v>
      </c>
    </row>
    <row r="2316" spans="1:10" s="20" customFormat="1" ht="12" x14ac:dyDescent="0.25">
      <c r="A2316" s="22">
        <v>1000103067</v>
      </c>
      <c r="B2316" s="23" t="s">
        <v>1801</v>
      </c>
      <c r="C2316" s="24" t="s">
        <v>4</v>
      </c>
      <c r="D2316" s="23" t="s">
        <v>2090</v>
      </c>
      <c r="E2316" s="23">
        <v>203.71</v>
      </c>
      <c r="F2316" s="23">
        <v>9</v>
      </c>
      <c r="G2316" s="23">
        <v>9</v>
      </c>
      <c r="H2316" s="23">
        <v>0</v>
      </c>
      <c r="I2316" s="23" t="s">
        <v>5</v>
      </c>
      <c r="J2316" s="23" t="s">
        <v>327</v>
      </c>
    </row>
    <row r="2317" spans="1:10" s="20" customFormat="1" ht="12" x14ac:dyDescent="0.25">
      <c r="A2317" s="22">
        <v>1000100237</v>
      </c>
      <c r="B2317" s="23" t="s">
        <v>4158</v>
      </c>
      <c r="C2317" s="24" t="s">
        <v>4</v>
      </c>
      <c r="D2317" s="23" t="s">
        <v>2090</v>
      </c>
      <c r="E2317" s="23">
        <v>202.91110574601601</v>
      </c>
      <c r="F2317" s="23">
        <v>104</v>
      </c>
      <c r="G2317" s="23">
        <v>104</v>
      </c>
      <c r="H2317" s="23">
        <v>0</v>
      </c>
      <c r="I2317" s="23" t="s">
        <v>5</v>
      </c>
      <c r="J2317" s="23" t="s">
        <v>327</v>
      </c>
    </row>
    <row r="2318" spans="1:10" s="20" customFormat="1" ht="12" x14ac:dyDescent="0.25">
      <c r="A2318" s="22">
        <v>1000100404</v>
      </c>
      <c r="B2318" s="23" t="s">
        <v>4159</v>
      </c>
      <c r="C2318" s="24" t="s">
        <v>4</v>
      </c>
      <c r="D2318" s="23" t="s">
        <v>2090</v>
      </c>
      <c r="E2318" s="23">
        <v>202.574285714285</v>
      </c>
      <c r="F2318" s="23">
        <v>6</v>
      </c>
      <c r="G2318" s="23">
        <v>6</v>
      </c>
      <c r="H2318" s="23">
        <v>0</v>
      </c>
      <c r="I2318" s="23" t="s">
        <v>5</v>
      </c>
      <c r="J2318" s="23" t="s">
        <v>327</v>
      </c>
    </row>
    <row r="2319" spans="1:10" s="20" customFormat="1" ht="12" x14ac:dyDescent="0.25">
      <c r="A2319" s="22">
        <v>1000099024</v>
      </c>
      <c r="B2319" s="23" t="s">
        <v>4162</v>
      </c>
      <c r="C2319" s="24" t="s">
        <v>4</v>
      </c>
      <c r="D2319" s="23" t="s">
        <v>2090</v>
      </c>
      <c r="E2319" s="23">
        <v>201.98</v>
      </c>
      <c r="F2319" s="23">
        <v>1</v>
      </c>
      <c r="G2319" s="23">
        <v>1</v>
      </c>
      <c r="H2319" s="23">
        <v>0</v>
      </c>
      <c r="I2319" s="23" t="s">
        <v>5</v>
      </c>
      <c r="J2319" s="23" t="s">
        <v>327</v>
      </c>
    </row>
    <row r="2320" spans="1:10" s="20" customFormat="1" ht="12" x14ac:dyDescent="0.25">
      <c r="A2320" s="22">
        <v>1000010178</v>
      </c>
      <c r="B2320" s="23" t="s">
        <v>4163</v>
      </c>
      <c r="C2320" s="24" t="s">
        <v>4</v>
      </c>
      <c r="D2320" s="23" t="s">
        <v>2161</v>
      </c>
      <c r="E2320" s="23">
        <v>201.09666666666601</v>
      </c>
      <c r="F2320" s="23">
        <v>1</v>
      </c>
      <c r="G2320" s="23">
        <v>1</v>
      </c>
      <c r="H2320" s="23">
        <v>0</v>
      </c>
      <c r="I2320" s="23" t="s">
        <v>5</v>
      </c>
      <c r="J2320" s="23" t="s">
        <v>111</v>
      </c>
    </row>
    <row r="2321" spans="1:10" s="20" customFormat="1" ht="12" x14ac:dyDescent="0.25">
      <c r="A2321" s="22">
        <v>1000020675</v>
      </c>
      <c r="B2321" s="23" t="s">
        <v>888</v>
      </c>
      <c r="C2321" s="24" t="s">
        <v>4</v>
      </c>
      <c r="D2321" s="23" t="s">
        <v>2090</v>
      </c>
      <c r="E2321" s="23">
        <v>201.08</v>
      </c>
      <c r="F2321" s="23">
        <v>4</v>
      </c>
      <c r="G2321" s="23">
        <v>4</v>
      </c>
      <c r="H2321" s="23">
        <v>0</v>
      </c>
      <c r="I2321" s="23" t="s">
        <v>5</v>
      </c>
      <c r="J2321" s="23" t="s">
        <v>327</v>
      </c>
    </row>
    <row r="2322" spans="1:10" s="20" customFormat="1" ht="12" x14ac:dyDescent="0.25">
      <c r="A2322" s="22">
        <v>1000020198</v>
      </c>
      <c r="B2322" s="23" t="s">
        <v>439</v>
      </c>
      <c r="C2322" s="24" t="s">
        <v>4</v>
      </c>
      <c r="D2322" s="23" t="s">
        <v>2090</v>
      </c>
      <c r="E2322" s="23">
        <v>199.83</v>
      </c>
      <c r="F2322" s="23">
        <v>1</v>
      </c>
      <c r="G2322" s="23">
        <v>1</v>
      </c>
      <c r="H2322" s="23">
        <v>0</v>
      </c>
      <c r="I2322" s="23" t="s">
        <v>5</v>
      </c>
      <c r="J2322" s="23" t="s">
        <v>327</v>
      </c>
    </row>
    <row r="2323" spans="1:10" s="20" customFormat="1" ht="12" x14ac:dyDescent="0.25">
      <c r="A2323" s="22">
        <v>1000021176</v>
      </c>
      <c r="B2323" s="23" t="s">
        <v>1323</v>
      </c>
      <c r="C2323" s="24" t="s">
        <v>4</v>
      </c>
      <c r="D2323" s="23" t="s">
        <v>2090</v>
      </c>
      <c r="E2323" s="23">
        <v>199.26</v>
      </c>
      <c r="F2323" s="23">
        <v>3</v>
      </c>
      <c r="G2323" s="23">
        <v>3</v>
      </c>
      <c r="H2323" s="23">
        <v>0</v>
      </c>
      <c r="I2323" s="23" t="s">
        <v>5</v>
      </c>
      <c r="J2323" s="23" t="s">
        <v>327</v>
      </c>
    </row>
    <row r="2324" spans="1:10" s="20" customFormat="1" ht="12" x14ac:dyDescent="0.25">
      <c r="A2324" s="22">
        <v>1000020053</v>
      </c>
      <c r="B2324" s="23" t="s">
        <v>4165</v>
      </c>
      <c r="C2324" s="24" t="s">
        <v>4</v>
      </c>
      <c r="D2324" s="23" t="s">
        <v>2090</v>
      </c>
      <c r="E2324" s="23">
        <v>199.2</v>
      </c>
      <c r="F2324" s="23">
        <v>25</v>
      </c>
      <c r="G2324" s="23">
        <v>25</v>
      </c>
      <c r="H2324" s="23">
        <v>0</v>
      </c>
      <c r="I2324" s="23" t="s">
        <v>5</v>
      </c>
      <c r="J2324" s="23" t="s">
        <v>327</v>
      </c>
    </row>
    <row r="2325" spans="1:10" s="20" customFormat="1" ht="12" x14ac:dyDescent="0.25">
      <c r="A2325" s="22">
        <v>1000100201</v>
      </c>
      <c r="B2325" s="23" t="s">
        <v>4166</v>
      </c>
      <c r="C2325" s="24" t="s">
        <v>4</v>
      </c>
      <c r="D2325" s="23" t="s">
        <v>2090</v>
      </c>
      <c r="E2325" s="23">
        <v>198.76932330827</v>
      </c>
      <c r="F2325" s="23">
        <v>127</v>
      </c>
      <c r="G2325" s="23">
        <v>127</v>
      </c>
      <c r="H2325" s="23">
        <v>0</v>
      </c>
      <c r="I2325" s="23" t="s">
        <v>5</v>
      </c>
      <c r="J2325" s="23" t="s">
        <v>327</v>
      </c>
    </row>
    <row r="2326" spans="1:10" s="20" customFormat="1" ht="12" x14ac:dyDescent="0.25">
      <c r="A2326" s="22">
        <v>1000102781</v>
      </c>
      <c r="B2326" s="23" t="s">
        <v>1858</v>
      </c>
      <c r="C2326" s="24" t="s">
        <v>4</v>
      </c>
      <c r="D2326" s="23" t="s">
        <v>2056</v>
      </c>
      <c r="E2326" s="23">
        <v>198.57599999999999</v>
      </c>
      <c r="F2326" s="23">
        <v>70</v>
      </c>
      <c r="G2326" s="23">
        <v>70</v>
      </c>
      <c r="H2326" s="23">
        <v>0</v>
      </c>
      <c r="I2326" s="23" t="s">
        <v>5</v>
      </c>
      <c r="J2326" s="23" t="s">
        <v>1844</v>
      </c>
    </row>
    <row r="2327" spans="1:10" s="20" customFormat="1" ht="12" x14ac:dyDescent="0.25">
      <c r="A2327" s="22">
        <v>1000098829</v>
      </c>
      <c r="B2327" s="23" t="s">
        <v>4167</v>
      </c>
      <c r="C2327" s="24" t="s">
        <v>4</v>
      </c>
      <c r="D2327" s="23" t="s">
        <v>2090</v>
      </c>
      <c r="E2327" s="23">
        <v>198.1875</v>
      </c>
      <c r="F2327" s="23">
        <v>1</v>
      </c>
      <c r="G2327" s="23">
        <v>1</v>
      </c>
      <c r="H2327" s="23">
        <v>0</v>
      </c>
      <c r="I2327" s="23" t="s">
        <v>5</v>
      </c>
      <c r="J2327" s="23" t="s">
        <v>327</v>
      </c>
    </row>
    <row r="2328" spans="1:10" s="20" customFormat="1" ht="12" x14ac:dyDescent="0.25">
      <c r="A2328" s="22">
        <v>1000098735</v>
      </c>
      <c r="B2328" s="23" t="s">
        <v>1675</v>
      </c>
      <c r="C2328" s="24" t="s">
        <v>4</v>
      </c>
      <c r="D2328" s="23" t="s">
        <v>2090</v>
      </c>
      <c r="E2328" s="23">
        <v>197.9</v>
      </c>
      <c r="F2328" s="23">
        <v>2</v>
      </c>
      <c r="G2328" s="23">
        <v>2</v>
      </c>
      <c r="H2328" s="23">
        <v>0</v>
      </c>
      <c r="I2328" s="23" t="s">
        <v>5</v>
      </c>
      <c r="J2328" s="23" t="s">
        <v>327</v>
      </c>
    </row>
    <row r="2329" spans="1:10" s="20" customFormat="1" ht="12" x14ac:dyDescent="0.25">
      <c r="A2329" s="22">
        <v>1000020420</v>
      </c>
      <c r="B2329" s="23" t="s">
        <v>649</v>
      </c>
      <c r="C2329" s="24" t="s">
        <v>4</v>
      </c>
      <c r="D2329" s="23" t="s">
        <v>2090</v>
      </c>
      <c r="E2329" s="23">
        <v>197.34399999999999</v>
      </c>
      <c r="F2329" s="23">
        <v>28</v>
      </c>
      <c r="G2329" s="23">
        <v>28</v>
      </c>
      <c r="H2329" s="23">
        <v>0</v>
      </c>
      <c r="I2329" s="23" t="s">
        <v>5</v>
      </c>
      <c r="J2329" s="23" t="s">
        <v>327</v>
      </c>
    </row>
    <row r="2330" spans="1:10" s="20" customFormat="1" ht="12" x14ac:dyDescent="0.25">
      <c r="A2330" s="22">
        <v>1000021094</v>
      </c>
      <c r="B2330" s="23" t="s">
        <v>1256</v>
      </c>
      <c r="C2330" s="24" t="s">
        <v>4</v>
      </c>
      <c r="D2330" s="23" t="s">
        <v>2090</v>
      </c>
      <c r="E2330" s="23">
        <v>196.94333333333299</v>
      </c>
      <c r="F2330" s="23">
        <v>2</v>
      </c>
      <c r="G2330" s="23">
        <v>2</v>
      </c>
      <c r="H2330" s="23">
        <v>0</v>
      </c>
      <c r="I2330" s="23" t="s">
        <v>5</v>
      </c>
      <c r="J2330" s="23" t="s">
        <v>327</v>
      </c>
    </row>
    <row r="2331" spans="1:10" s="20" customFormat="1" ht="12" x14ac:dyDescent="0.25">
      <c r="A2331" s="22">
        <v>1000100382</v>
      </c>
      <c r="B2331" s="23" t="s">
        <v>1712</v>
      </c>
      <c r="C2331" s="24" t="s">
        <v>4</v>
      </c>
      <c r="D2331" s="23" t="s">
        <v>2090</v>
      </c>
      <c r="E2331" s="23">
        <v>196</v>
      </c>
      <c r="F2331" s="23">
        <v>28</v>
      </c>
      <c r="G2331" s="23">
        <v>28</v>
      </c>
      <c r="H2331" s="23">
        <v>0</v>
      </c>
      <c r="I2331" s="23" t="s">
        <v>5</v>
      </c>
      <c r="J2331" s="23" t="s">
        <v>327</v>
      </c>
    </row>
    <row r="2332" spans="1:10" s="20" customFormat="1" ht="12" x14ac:dyDescent="0.25">
      <c r="A2332" s="22">
        <v>1000021222</v>
      </c>
      <c r="B2332" s="23" t="s">
        <v>1368</v>
      </c>
      <c r="C2332" s="24" t="s">
        <v>4</v>
      </c>
      <c r="D2332" s="23" t="s">
        <v>2090</v>
      </c>
      <c r="E2332" s="23">
        <v>195.82</v>
      </c>
      <c r="F2332" s="23">
        <v>1</v>
      </c>
      <c r="G2332" s="23">
        <v>1</v>
      </c>
      <c r="H2332" s="23">
        <v>0</v>
      </c>
      <c r="I2332" s="23" t="s">
        <v>5</v>
      </c>
      <c r="J2332" s="23" t="s">
        <v>327</v>
      </c>
    </row>
    <row r="2333" spans="1:10" s="20" customFormat="1" ht="12" x14ac:dyDescent="0.25">
      <c r="A2333" s="22">
        <v>1000096705</v>
      </c>
      <c r="B2333" s="23" t="s">
        <v>4168</v>
      </c>
      <c r="C2333" s="24" t="s">
        <v>4</v>
      </c>
      <c r="D2333" s="23" t="s">
        <v>2056</v>
      </c>
      <c r="E2333" s="23">
        <v>195.67</v>
      </c>
      <c r="F2333" s="23">
        <v>100</v>
      </c>
      <c r="G2333" s="23">
        <v>100</v>
      </c>
      <c r="H2333" s="23">
        <v>0</v>
      </c>
      <c r="I2333" s="23" t="s">
        <v>5</v>
      </c>
      <c r="J2333" s="23" t="s">
        <v>1844</v>
      </c>
    </row>
    <row r="2334" spans="1:10" s="20" customFormat="1" ht="12" x14ac:dyDescent="0.25">
      <c r="A2334" s="22">
        <v>1000095695</v>
      </c>
      <c r="B2334" s="23" t="s">
        <v>1504</v>
      </c>
      <c r="C2334" s="24" t="s">
        <v>4</v>
      </c>
      <c r="D2334" s="23" t="s">
        <v>2090</v>
      </c>
      <c r="E2334" s="23">
        <v>194.88</v>
      </c>
      <c r="F2334" s="23">
        <v>6</v>
      </c>
      <c r="G2334" s="23">
        <v>6</v>
      </c>
      <c r="H2334" s="23">
        <v>0</v>
      </c>
      <c r="I2334" s="23" t="s">
        <v>5</v>
      </c>
      <c r="J2334" s="23" t="s">
        <v>327</v>
      </c>
    </row>
    <row r="2335" spans="1:10" s="20" customFormat="1" ht="12" x14ac:dyDescent="0.25">
      <c r="A2335" s="22">
        <v>1000107233</v>
      </c>
      <c r="B2335" s="23" t="s">
        <v>4169</v>
      </c>
      <c r="C2335" s="24" t="s">
        <v>4</v>
      </c>
      <c r="D2335" s="23" t="s">
        <v>2056</v>
      </c>
      <c r="E2335" s="23">
        <v>193.62</v>
      </c>
      <c r="F2335" s="23">
        <v>4</v>
      </c>
      <c r="G2335" s="23">
        <v>4</v>
      </c>
      <c r="H2335" s="23">
        <v>0</v>
      </c>
      <c r="I2335" s="23" t="s">
        <v>5</v>
      </c>
      <c r="J2335" s="23" t="s">
        <v>1844</v>
      </c>
    </row>
    <row r="2336" spans="1:10" s="20" customFormat="1" ht="12" x14ac:dyDescent="0.25">
      <c r="A2336" s="22">
        <v>1000106505</v>
      </c>
      <c r="B2336" s="23" t="s">
        <v>4170</v>
      </c>
      <c r="C2336" s="24" t="s">
        <v>4</v>
      </c>
      <c r="D2336" s="23" t="s">
        <v>2056</v>
      </c>
      <c r="E2336" s="23">
        <v>193.37263157894699</v>
      </c>
      <c r="F2336" s="23">
        <v>16</v>
      </c>
      <c r="G2336" s="23">
        <v>16</v>
      </c>
      <c r="H2336" s="23">
        <v>0</v>
      </c>
      <c r="I2336" s="23" t="s">
        <v>5</v>
      </c>
      <c r="J2336" s="23" t="s">
        <v>1844</v>
      </c>
    </row>
    <row r="2337" spans="1:10" s="20" customFormat="1" ht="12" x14ac:dyDescent="0.25">
      <c r="A2337" s="22">
        <v>1000020684</v>
      </c>
      <c r="B2337" s="23" t="s">
        <v>897</v>
      </c>
      <c r="C2337" s="24" t="s">
        <v>4</v>
      </c>
      <c r="D2337" s="23" t="s">
        <v>2090</v>
      </c>
      <c r="E2337" s="23">
        <v>193.1</v>
      </c>
      <c r="F2337" s="23">
        <v>2</v>
      </c>
      <c r="G2337" s="23">
        <v>2</v>
      </c>
      <c r="H2337" s="23">
        <v>0</v>
      </c>
      <c r="I2337" s="23" t="s">
        <v>5</v>
      </c>
      <c r="J2337" s="23" t="s">
        <v>327</v>
      </c>
    </row>
    <row r="2338" spans="1:10" s="20" customFormat="1" ht="12" x14ac:dyDescent="0.25">
      <c r="A2338" s="22">
        <v>1000020359</v>
      </c>
      <c r="B2338" s="23" t="s">
        <v>591</v>
      </c>
      <c r="C2338" s="24" t="s">
        <v>4</v>
      </c>
      <c r="D2338" s="23" t="s">
        <v>2090</v>
      </c>
      <c r="E2338" s="23">
        <v>192.4</v>
      </c>
      <c r="F2338" s="23">
        <v>2</v>
      </c>
      <c r="G2338" s="23">
        <v>2</v>
      </c>
      <c r="H2338" s="23">
        <v>0</v>
      </c>
      <c r="I2338" s="23" t="s">
        <v>5</v>
      </c>
      <c r="J2338" s="23" t="s">
        <v>327</v>
      </c>
    </row>
    <row r="2339" spans="1:10" s="20" customFormat="1" ht="12" x14ac:dyDescent="0.25">
      <c r="A2339" s="22">
        <v>1000020528</v>
      </c>
      <c r="B2339" s="23" t="s">
        <v>749</v>
      </c>
      <c r="C2339" s="24" t="s">
        <v>4</v>
      </c>
      <c r="D2339" s="23" t="s">
        <v>2090</v>
      </c>
      <c r="E2339" s="23">
        <v>192.35560606060599</v>
      </c>
      <c r="F2339" s="23">
        <v>1</v>
      </c>
      <c r="G2339" s="23">
        <v>1</v>
      </c>
      <c r="H2339" s="23">
        <v>0</v>
      </c>
      <c r="I2339" s="23" t="s">
        <v>5</v>
      </c>
      <c r="J2339" s="23" t="s">
        <v>327</v>
      </c>
    </row>
    <row r="2340" spans="1:10" s="20" customFormat="1" ht="12" x14ac:dyDescent="0.25">
      <c r="A2340" s="22">
        <v>1000096773</v>
      </c>
      <c r="B2340" s="23" t="s">
        <v>4172</v>
      </c>
      <c r="C2340" s="24" t="s">
        <v>4</v>
      </c>
      <c r="D2340" s="23" t="s">
        <v>2056</v>
      </c>
      <c r="E2340" s="23">
        <v>192.35</v>
      </c>
      <c r="F2340" s="23">
        <v>72</v>
      </c>
      <c r="G2340" s="23">
        <v>72</v>
      </c>
      <c r="H2340" s="23">
        <v>0</v>
      </c>
      <c r="I2340" s="23" t="s">
        <v>5</v>
      </c>
      <c r="J2340" s="23" t="s">
        <v>1844</v>
      </c>
    </row>
    <row r="2341" spans="1:10" s="20" customFormat="1" ht="12" x14ac:dyDescent="0.25">
      <c r="A2341" s="22">
        <v>1000020572</v>
      </c>
      <c r="B2341" s="23" t="s">
        <v>789</v>
      </c>
      <c r="C2341" s="24" t="s">
        <v>4</v>
      </c>
      <c r="D2341" s="23" t="s">
        <v>2090</v>
      </c>
      <c r="E2341" s="23">
        <v>191.91</v>
      </c>
      <c r="F2341" s="23">
        <v>1</v>
      </c>
      <c r="G2341" s="23">
        <v>1</v>
      </c>
      <c r="H2341" s="23">
        <v>0</v>
      </c>
      <c r="I2341" s="23" t="s">
        <v>5</v>
      </c>
      <c r="J2341" s="23" t="s">
        <v>327</v>
      </c>
    </row>
    <row r="2342" spans="1:10" s="20" customFormat="1" ht="12" x14ac:dyDescent="0.25">
      <c r="A2342" s="22">
        <v>1000020403</v>
      </c>
      <c r="B2342" s="23" t="s">
        <v>633</v>
      </c>
      <c r="C2342" s="24" t="s">
        <v>4</v>
      </c>
      <c r="D2342" s="23" t="s">
        <v>2090</v>
      </c>
      <c r="E2342" s="23">
        <v>191.36</v>
      </c>
      <c r="F2342" s="23">
        <v>32</v>
      </c>
      <c r="G2342" s="23">
        <v>32</v>
      </c>
      <c r="H2342" s="23">
        <v>0</v>
      </c>
      <c r="I2342" s="23" t="s">
        <v>5</v>
      </c>
      <c r="J2342" s="23" t="s">
        <v>327</v>
      </c>
    </row>
    <row r="2343" spans="1:10" s="20" customFormat="1" ht="12" x14ac:dyDescent="0.25">
      <c r="A2343" s="22">
        <v>2500008395</v>
      </c>
      <c r="B2343" s="23" t="s">
        <v>4174</v>
      </c>
      <c r="C2343" s="24" t="s">
        <v>1996</v>
      </c>
      <c r="D2343" s="23" t="s">
        <v>2025</v>
      </c>
      <c r="E2343" s="23">
        <v>191.25333333333299</v>
      </c>
      <c r="F2343" s="23">
        <v>4</v>
      </c>
      <c r="G2343" s="23">
        <v>4</v>
      </c>
      <c r="H2343" s="23">
        <v>0</v>
      </c>
      <c r="I2343" s="23" t="s">
        <v>5</v>
      </c>
      <c r="J2343" s="23" t="s">
        <v>1993</v>
      </c>
    </row>
    <row r="2344" spans="1:10" s="20" customFormat="1" ht="12" x14ac:dyDescent="0.25">
      <c r="A2344" s="22">
        <v>1000106504</v>
      </c>
      <c r="B2344" s="23" t="s">
        <v>4175</v>
      </c>
      <c r="C2344" s="24" t="s">
        <v>4</v>
      </c>
      <c r="D2344" s="23" t="s">
        <v>2056</v>
      </c>
      <c r="E2344" s="23">
        <v>191.15850347540899</v>
      </c>
      <c r="F2344" s="23">
        <v>22</v>
      </c>
      <c r="G2344" s="23">
        <v>22</v>
      </c>
      <c r="H2344" s="23">
        <v>0</v>
      </c>
      <c r="I2344" s="23" t="s">
        <v>5</v>
      </c>
      <c r="J2344" s="23" t="s">
        <v>1844</v>
      </c>
    </row>
    <row r="2345" spans="1:10" s="20" customFormat="1" ht="12" x14ac:dyDescent="0.25">
      <c r="A2345" s="22">
        <v>1000020784</v>
      </c>
      <c r="B2345" s="23" t="s">
        <v>988</v>
      </c>
      <c r="C2345" s="24" t="s">
        <v>4</v>
      </c>
      <c r="D2345" s="23" t="s">
        <v>2090</v>
      </c>
      <c r="E2345" s="23">
        <v>190.45</v>
      </c>
      <c r="F2345" s="23">
        <v>5</v>
      </c>
      <c r="G2345" s="23">
        <v>5</v>
      </c>
      <c r="H2345" s="23">
        <v>0</v>
      </c>
      <c r="I2345" s="23" t="s">
        <v>5</v>
      </c>
      <c r="J2345" s="23" t="s">
        <v>327</v>
      </c>
    </row>
    <row r="2346" spans="1:10" s="20" customFormat="1" ht="12" x14ac:dyDescent="0.25">
      <c r="A2346" s="22">
        <v>1000098437</v>
      </c>
      <c r="B2346" s="23" t="s">
        <v>1517</v>
      </c>
      <c r="C2346" s="24" t="s">
        <v>4</v>
      </c>
      <c r="D2346" s="23" t="s">
        <v>2090</v>
      </c>
      <c r="E2346" s="23">
        <v>190.45</v>
      </c>
      <c r="F2346" s="23">
        <v>5</v>
      </c>
      <c r="G2346" s="23">
        <v>5</v>
      </c>
      <c r="H2346" s="23">
        <v>0</v>
      </c>
      <c r="I2346" s="23" t="s">
        <v>5</v>
      </c>
      <c r="J2346" s="23" t="s">
        <v>327</v>
      </c>
    </row>
    <row r="2347" spans="1:10" s="20" customFormat="1" ht="12" x14ac:dyDescent="0.25">
      <c r="A2347" s="22">
        <v>1000020899</v>
      </c>
      <c r="B2347" s="23" t="s">
        <v>1081</v>
      </c>
      <c r="C2347" s="24" t="s">
        <v>4</v>
      </c>
      <c r="D2347" s="23" t="s">
        <v>2090</v>
      </c>
      <c r="E2347" s="23">
        <v>190.26</v>
      </c>
      <c r="F2347" s="23">
        <v>1</v>
      </c>
      <c r="G2347" s="23">
        <v>1</v>
      </c>
      <c r="H2347" s="23">
        <v>0</v>
      </c>
      <c r="I2347" s="23" t="s">
        <v>5</v>
      </c>
      <c r="J2347" s="23" t="s">
        <v>327</v>
      </c>
    </row>
    <row r="2348" spans="1:10" s="20" customFormat="1" ht="12" x14ac:dyDescent="0.25">
      <c r="A2348" s="22">
        <v>1000020202</v>
      </c>
      <c r="B2348" s="23" t="s">
        <v>442</v>
      </c>
      <c r="C2348" s="24" t="s">
        <v>4</v>
      </c>
      <c r="D2348" s="23" t="s">
        <v>2090</v>
      </c>
      <c r="E2348" s="23">
        <v>189.64</v>
      </c>
      <c r="F2348" s="23">
        <v>4</v>
      </c>
      <c r="G2348" s="23">
        <v>4</v>
      </c>
      <c r="H2348" s="23">
        <v>0</v>
      </c>
      <c r="I2348" s="23" t="s">
        <v>5</v>
      </c>
      <c r="J2348" s="23" t="s">
        <v>327</v>
      </c>
    </row>
    <row r="2349" spans="1:10" s="20" customFormat="1" ht="12" x14ac:dyDescent="0.25">
      <c r="A2349" s="22">
        <v>1000099480</v>
      </c>
      <c r="B2349" s="23" t="s">
        <v>2055</v>
      </c>
      <c r="C2349" s="24" t="s">
        <v>4</v>
      </c>
      <c r="D2349" s="23" t="s">
        <v>2056</v>
      </c>
      <c r="E2349" s="23">
        <v>189.2</v>
      </c>
      <c r="F2349" s="23">
        <v>2</v>
      </c>
      <c r="G2349" s="23">
        <v>2</v>
      </c>
      <c r="H2349" s="23">
        <v>0</v>
      </c>
      <c r="I2349" s="23" t="s">
        <v>5</v>
      </c>
      <c r="J2349" s="23" t="s">
        <v>1844</v>
      </c>
    </row>
    <row r="2350" spans="1:10" s="20" customFormat="1" ht="12" x14ac:dyDescent="0.25">
      <c r="A2350" s="22">
        <v>1000097612</v>
      </c>
      <c r="B2350" s="23" t="s">
        <v>4177</v>
      </c>
      <c r="C2350" s="24" t="s">
        <v>4</v>
      </c>
      <c r="D2350" s="23" t="s">
        <v>2090</v>
      </c>
      <c r="E2350" s="23">
        <v>188.98671999999999</v>
      </c>
      <c r="F2350" s="23">
        <v>4</v>
      </c>
      <c r="G2350" s="23">
        <v>4</v>
      </c>
      <c r="H2350" s="23">
        <v>0</v>
      </c>
      <c r="I2350" s="23" t="s">
        <v>5</v>
      </c>
      <c r="J2350" s="23" t="s">
        <v>327</v>
      </c>
    </row>
    <row r="2351" spans="1:10" s="20" customFormat="1" ht="12" x14ac:dyDescent="0.25">
      <c r="A2351" s="22">
        <v>1000096236</v>
      </c>
      <c r="B2351" s="23" t="s">
        <v>4178</v>
      </c>
      <c r="C2351" s="24" t="s">
        <v>4</v>
      </c>
      <c r="D2351" s="23" t="s">
        <v>2056</v>
      </c>
      <c r="E2351" s="23">
        <v>188.7925625</v>
      </c>
      <c r="F2351" s="23">
        <v>4</v>
      </c>
      <c r="G2351" s="23">
        <v>4</v>
      </c>
      <c r="H2351" s="23">
        <v>0</v>
      </c>
      <c r="I2351" s="23" t="s">
        <v>5</v>
      </c>
      <c r="J2351" s="23" t="s">
        <v>1844</v>
      </c>
    </row>
    <row r="2352" spans="1:10" s="20" customFormat="1" ht="12" x14ac:dyDescent="0.25">
      <c r="A2352" s="22">
        <v>1000021171</v>
      </c>
      <c r="B2352" s="23" t="s">
        <v>1318</v>
      </c>
      <c r="C2352" s="24" t="s">
        <v>4</v>
      </c>
      <c r="D2352" s="23" t="s">
        <v>2090</v>
      </c>
      <c r="E2352" s="23">
        <v>188.52</v>
      </c>
      <c r="F2352" s="23">
        <v>4</v>
      </c>
      <c r="G2352" s="23">
        <v>4</v>
      </c>
      <c r="H2352" s="23">
        <v>0</v>
      </c>
      <c r="I2352" s="23" t="s">
        <v>5</v>
      </c>
      <c r="J2352" s="23" t="s">
        <v>327</v>
      </c>
    </row>
    <row r="2353" spans="1:10" s="20" customFormat="1" ht="12" x14ac:dyDescent="0.25">
      <c r="A2353" s="22">
        <v>1000021031</v>
      </c>
      <c r="B2353" s="23" t="s">
        <v>1202</v>
      </c>
      <c r="C2353" s="24" t="s">
        <v>4</v>
      </c>
      <c r="D2353" s="23" t="s">
        <v>2090</v>
      </c>
      <c r="E2353" s="23">
        <v>188.49</v>
      </c>
      <c r="F2353" s="23">
        <v>3</v>
      </c>
      <c r="G2353" s="23">
        <v>3</v>
      </c>
      <c r="H2353" s="23">
        <v>0</v>
      </c>
      <c r="I2353" s="23" t="s">
        <v>5</v>
      </c>
      <c r="J2353" s="23" t="s">
        <v>327</v>
      </c>
    </row>
    <row r="2354" spans="1:10" s="20" customFormat="1" ht="12" x14ac:dyDescent="0.25">
      <c r="A2354" s="22">
        <v>1000020285</v>
      </c>
      <c r="B2354" s="23" t="s">
        <v>521</v>
      </c>
      <c r="C2354" s="24" t="s">
        <v>4</v>
      </c>
      <c r="D2354" s="23" t="s">
        <v>2090</v>
      </c>
      <c r="E2354" s="23">
        <v>188.25</v>
      </c>
      <c r="F2354" s="23">
        <v>1</v>
      </c>
      <c r="G2354" s="23">
        <v>1</v>
      </c>
      <c r="H2354" s="23">
        <v>0</v>
      </c>
      <c r="I2354" s="23" t="s">
        <v>5</v>
      </c>
      <c r="J2354" s="23" t="s">
        <v>327</v>
      </c>
    </row>
    <row r="2355" spans="1:10" s="20" customFormat="1" ht="12" x14ac:dyDescent="0.25">
      <c r="A2355" s="22">
        <v>1000020901</v>
      </c>
      <c r="B2355" s="23" t="s">
        <v>1083</v>
      </c>
      <c r="C2355" s="24" t="s">
        <v>4</v>
      </c>
      <c r="D2355" s="23" t="s">
        <v>2090</v>
      </c>
      <c r="E2355" s="23">
        <v>188.21</v>
      </c>
      <c r="F2355" s="23">
        <v>1</v>
      </c>
      <c r="G2355" s="23">
        <v>1</v>
      </c>
      <c r="H2355" s="23">
        <v>0</v>
      </c>
      <c r="I2355" s="23" t="s">
        <v>5</v>
      </c>
      <c r="J2355" s="23" t="s">
        <v>327</v>
      </c>
    </row>
    <row r="2356" spans="1:10" s="20" customFormat="1" ht="12" x14ac:dyDescent="0.25">
      <c r="A2356" s="22">
        <v>1000020785</v>
      </c>
      <c r="B2356" s="23" t="s">
        <v>989</v>
      </c>
      <c r="C2356" s="24" t="s">
        <v>4</v>
      </c>
      <c r="D2356" s="23" t="s">
        <v>2090</v>
      </c>
      <c r="E2356" s="23">
        <v>187.96</v>
      </c>
      <c r="F2356" s="23">
        <v>4</v>
      </c>
      <c r="G2356" s="23">
        <v>4</v>
      </c>
      <c r="H2356" s="23">
        <v>0</v>
      </c>
      <c r="I2356" s="23" t="s">
        <v>5</v>
      </c>
      <c r="J2356" s="23" t="s">
        <v>327</v>
      </c>
    </row>
    <row r="2357" spans="1:10" s="20" customFormat="1" ht="12" x14ac:dyDescent="0.25">
      <c r="A2357" s="22">
        <v>1000020393</v>
      </c>
      <c r="B2357" s="23" t="s">
        <v>623</v>
      </c>
      <c r="C2357" s="24" t="s">
        <v>4</v>
      </c>
      <c r="D2357" s="23" t="s">
        <v>2090</v>
      </c>
      <c r="E2357" s="23">
        <v>187.9</v>
      </c>
      <c r="F2357" s="23">
        <v>2</v>
      </c>
      <c r="G2357" s="23">
        <v>2</v>
      </c>
      <c r="H2357" s="23">
        <v>0</v>
      </c>
      <c r="I2357" s="23" t="s">
        <v>5</v>
      </c>
      <c r="J2357" s="23" t="s">
        <v>327</v>
      </c>
    </row>
    <row r="2358" spans="1:10" s="20" customFormat="1" ht="12" x14ac:dyDescent="0.25">
      <c r="A2358" s="22">
        <v>1000020293</v>
      </c>
      <c r="B2358" s="23" t="s">
        <v>529</v>
      </c>
      <c r="C2358" s="24" t="s">
        <v>4</v>
      </c>
      <c r="D2358" s="23" t="s">
        <v>2090</v>
      </c>
      <c r="E2358" s="23">
        <v>187.86</v>
      </c>
      <c r="F2358" s="23">
        <v>3</v>
      </c>
      <c r="G2358" s="23">
        <v>3</v>
      </c>
      <c r="H2358" s="23">
        <v>0</v>
      </c>
      <c r="I2358" s="23" t="s">
        <v>5</v>
      </c>
      <c r="J2358" s="23" t="s">
        <v>327</v>
      </c>
    </row>
    <row r="2359" spans="1:10" s="20" customFormat="1" ht="12" x14ac:dyDescent="0.25">
      <c r="A2359" s="22">
        <v>1000093563</v>
      </c>
      <c r="B2359" s="23" t="s">
        <v>4181</v>
      </c>
      <c r="C2359" s="24" t="s">
        <v>4</v>
      </c>
      <c r="D2359" s="23" t="s">
        <v>2056</v>
      </c>
      <c r="E2359" s="23">
        <v>187.33035764705801</v>
      </c>
      <c r="F2359" s="23">
        <v>280</v>
      </c>
      <c r="G2359" s="23">
        <v>280</v>
      </c>
      <c r="H2359" s="23">
        <v>0</v>
      </c>
      <c r="I2359" s="23" t="s">
        <v>5</v>
      </c>
      <c r="J2359" s="23" t="s">
        <v>1844</v>
      </c>
    </row>
    <row r="2360" spans="1:10" s="20" customFormat="1" ht="12" x14ac:dyDescent="0.25">
      <c r="A2360" s="22">
        <v>1000020240</v>
      </c>
      <c r="B2360" s="23" t="s">
        <v>479</v>
      </c>
      <c r="C2360" s="24" t="s">
        <v>4</v>
      </c>
      <c r="D2360" s="23" t="s">
        <v>2090</v>
      </c>
      <c r="E2360" s="23">
        <v>187.2</v>
      </c>
      <c r="F2360" s="23">
        <v>26</v>
      </c>
      <c r="G2360" s="23">
        <v>26</v>
      </c>
      <c r="H2360" s="23">
        <v>0</v>
      </c>
      <c r="I2360" s="23" t="s">
        <v>5</v>
      </c>
      <c r="J2360" s="23" t="s">
        <v>327</v>
      </c>
    </row>
    <row r="2361" spans="1:10" s="20" customFormat="1" ht="12" x14ac:dyDescent="0.25">
      <c r="A2361" s="22">
        <v>1000101487</v>
      </c>
      <c r="B2361" s="23" t="s">
        <v>1853</v>
      </c>
      <c r="C2361" s="24" t="s">
        <v>4</v>
      </c>
      <c r="D2361" s="23" t="s">
        <v>2056</v>
      </c>
      <c r="E2361" s="23">
        <v>187.04159999999999</v>
      </c>
      <c r="F2361" s="23">
        <v>2000</v>
      </c>
      <c r="G2361" s="23">
        <v>2000</v>
      </c>
      <c r="H2361" s="23">
        <v>0</v>
      </c>
      <c r="I2361" s="23" t="s">
        <v>5</v>
      </c>
      <c r="J2361" s="23" t="s">
        <v>1844</v>
      </c>
    </row>
    <row r="2362" spans="1:10" s="20" customFormat="1" ht="12" x14ac:dyDescent="0.25">
      <c r="A2362" s="22">
        <v>1000100422</v>
      </c>
      <c r="B2362" s="23" t="s">
        <v>1734</v>
      </c>
      <c r="C2362" s="24" t="s">
        <v>4</v>
      </c>
      <c r="D2362" s="23" t="s">
        <v>2090</v>
      </c>
      <c r="E2362" s="23">
        <v>186.97499999999999</v>
      </c>
      <c r="F2362" s="23">
        <v>2</v>
      </c>
      <c r="G2362" s="23">
        <v>2</v>
      </c>
      <c r="H2362" s="23">
        <v>0</v>
      </c>
      <c r="I2362" s="23" t="s">
        <v>5</v>
      </c>
      <c r="J2362" s="23" t="s">
        <v>327</v>
      </c>
    </row>
    <row r="2363" spans="1:10" s="20" customFormat="1" ht="12" x14ac:dyDescent="0.25">
      <c r="A2363" s="22">
        <v>1000020608</v>
      </c>
      <c r="B2363" s="23" t="s">
        <v>824</v>
      </c>
      <c r="C2363" s="24" t="s">
        <v>4</v>
      </c>
      <c r="D2363" s="23" t="s">
        <v>2090</v>
      </c>
      <c r="E2363" s="23">
        <v>186.84</v>
      </c>
      <c r="F2363" s="23">
        <v>4</v>
      </c>
      <c r="G2363" s="23">
        <v>4</v>
      </c>
      <c r="H2363" s="23">
        <v>0</v>
      </c>
      <c r="I2363" s="23" t="s">
        <v>5</v>
      </c>
      <c r="J2363" s="23" t="s">
        <v>327</v>
      </c>
    </row>
    <row r="2364" spans="1:10" s="20" customFormat="1" ht="12" x14ac:dyDescent="0.25">
      <c r="A2364" s="22">
        <v>1000106064</v>
      </c>
      <c r="B2364" s="23" t="s">
        <v>4182</v>
      </c>
      <c r="C2364" s="24" t="s">
        <v>4</v>
      </c>
      <c r="D2364" s="23" t="s">
        <v>2161</v>
      </c>
      <c r="E2364" s="23">
        <v>186.34</v>
      </c>
      <c r="F2364" s="23">
        <v>2</v>
      </c>
      <c r="G2364" s="23">
        <v>2</v>
      </c>
      <c r="H2364" s="23">
        <v>0</v>
      </c>
      <c r="I2364" s="23" t="s">
        <v>5</v>
      </c>
      <c r="J2364" s="23" t="s">
        <v>111</v>
      </c>
    </row>
    <row r="2365" spans="1:10" s="20" customFormat="1" ht="12" x14ac:dyDescent="0.25">
      <c r="A2365" s="22">
        <v>1000106058</v>
      </c>
      <c r="B2365" s="23" t="s">
        <v>4183</v>
      </c>
      <c r="C2365" s="24" t="s">
        <v>4</v>
      </c>
      <c r="D2365" s="23" t="s">
        <v>2161</v>
      </c>
      <c r="E2365" s="23">
        <v>185.85</v>
      </c>
      <c r="F2365" s="23">
        <v>3</v>
      </c>
      <c r="G2365" s="23">
        <v>3</v>
      </c>
      <c r="H2365" s="23">
        <v>0</v>
      </c>
      <c r="I2365" s="23" t="s">
        <v>5</v>
      </c>
      <c r="J2365" s="23" t="s">
        <v>111</v>
      </c>
    </row>
    <row r="2366" spans="1:10" s="20" customFormat="1" ht="12" x14ac:dyDescent="0.25">
      <c r="A2366" s="22">
        <v>1000020387</v>
      </c>
      <c r="B2366" s="23" t="s">
        <v>617</v>
      </c>
      <c r="C2366" s="24" t="s">
        <v>4</v>
      </c>
      <c r="D2366" s="23" t="s">
        <v>2090</v>
      </c>
      <c r="E2366" s="23">
        <v>185.7</v>
      </c>
      <c r="F2366" s="23">
        <v>5</v>
      </c>
      <c r="G2366" s="23">
        <v>5</v>
      </c>
      <c r="H2366" s="23">
        <v>0</v>
      </c>
      <c r="I2366" s="23" t="s">
        <v>5</v>
      </c>
      <c r="J2366" s="23" t="s">
        <v>327</v>
      </c>
    </row>
    <row r="2367" spans="1:10" s="20" customFormat="1" ht="12" x14ac:dyDescent="0.25">
      <c r="A2367" s="22">
        <v>2500008146</v>
      </c>
      <c r="B2367" s="23" t="s">
        <v>4184</v>
      </c>
      <c r="C2367" s="24" t="s">
        <v>1996</v>
      </c>
      <c r="D2367" s="23" t="s">
        <v>2025</v>
      </c>
      <c r="E2367" s="23">
        <v>185.62666666666601</v>
      </c>
      <c r="F2367" s="23">
        <v>1</v>
      </c>
      <c r="G2367" s="23">
        <v>1</v>
      </c>
      <c r="H2367" s="23">
        <v>0</v>
      </c>
      <c r="I2367" s="23" t="s">
        <v>5</v>
      </c>
      <c r="J2367" s="23" t="s">
        <v>1993</v>
      </c>
    </row>
    <row r="2368" spans="1:10" s="20" customFormat="1" ht="12" x14ac:dyDescent="0.25">
      <c r="A2368" s="22">
        <v>1000020321</v>
      </c>
      <c r="B2368" s="23" t="s">
        <v>555</v>
      </c>
      <c r="C2368" s="24" t="s">
        <v>4</v>
      </c>
      <c r="D2368" s="23" t="s">
        <v>2090</v>
      </c>
      <c r="E2368" s="23">
        <v>185.61</v>
      </c>
      <c r="F2368" s="23">
        <v>1</v>
      </c>
      <c r="G2368" s="23">
        <v>1</v>
      </c>
      <c r="H2368" s="23">
        <v>0</v>
      </c>
      <c r="I2368" s="23" t="s">
        <v>5</v>
      </c>
      <c r="J2368" s="23" t="s">
        <v>327</v>
      </c>
    </row>
    <row r="2369" spans="1:10" s="20" customFormat="1" ht="12" x14ac:dyDescent="0.25">
      <c r="A2369" s="22">
        <v>1000107109</v>
      </c>
      <c r="B2369" s="23" t="s">
        <v>1892</v>
      </c>
      <c r="C2369" s="24" t="s">
        <v>4</v>
      </c>
      <c r="D2369" s="23" t="s">
        <v>2056</v>
      </c>
      <c r="E2369" s="23">
        <v>185.49</v>
      </c>
      <c r="F2369" s="23">
        <v>20</v>
      </c>
      <c r="G2369" s="23">
        <v>20</v>
      </c>
      <c r="H2369" s="23">
        <v>0</v>
      </c>
      <c r="I2369" s="23" t="s">
        <v>5</v>
      </c>
      <c r="J2369" s="23" t="s">
        <v>1844</v>
      </c>
    </row>
    <row r="2370" spans="1:10" s="20" customFormat="1" ht="12" x14ac:dyDescent="0.25">
      <c r="A2370" s="22">
        <v>1000020326</v>
      </c>
      <c r="B2370" s="23" t="s">
        <v>560</v>
      </c>
      <c r="C2370" s="24" t="s">
        <v>4</v>
      </c>
      <c r="D2370" s="23" t="s">
        <v>2090</v>
      </c>
      <c r="E2370" s="23">
        <v>185.26</v>
      </c>
      <c r="F2370" s="23">
        <v>1</v>
      </c>
      <c r="G2370" s="23">
        <v>1</v>
      </c>
      <c r="H2370" s="23">
        <v>0</v>
      </c>
      <c r="I2370" s="23" t="s">
        <v>5</v>
      </c>
      <c r="J2370" s="23" t="s">
        <v>327</v>
      </c>
    </row>
    <row r="2371" spans="1:10" s="20" customFormat="1" ht="12" x14ac:dyDescent="0.25">
      <c r="A2371" s="22">
        <v>1000021195</v>
      </c>
      <c r="B2371" s="23" t="s">
        <v>1342</v>
      </c>
      <c r="C2371" s="24" t="s">
        <v>4</v>
      </c>
      <c r="D2371" s="23" t="s">
        <v>2090</v>
      </c>
      <c r="E2371" s="23">
        <v>185.02</v>
      </c>
      <c r="F2371" s="23">
        <v>2</v>
      </c>
      <c r="G2371" s="23">
        <v>2</v>
      </c>
      <c r="H2371" s="23">
        <v>0</v>
      </c>
      <c r="I2371" s="23" t="s">
        <v>5</v>
      </c>
      <c r="J2371" s="23" t="s">
        <v>327</v>
      </c>
    </row>
    <row r="2372" spans="1:10" s="20" customFormat="1" ht="12" x14ac:dyDescent="0.25">
      <c r="A2372" s="22">
        <v>2500009197</v>
      </c>
      <c r="B2372" s="23" t="s">
        <v>1986</v>
      </c>
      <c r="C2372" s="24" t="s">
        <v>1996</v>
      </c>
      <c r="D2372" s="23" t="s">
        <v>2025</v>
      </c>
      <c r="E2372" s="23">
        <v>184.69</v>
      </c>
      <c r="F2372" s="23">
        <v>2</v>
      </c>
      <c r="G2372" s="23">
        <v>2</v>
      </c>
      <c r="H2372" s="23">
        <v>0</v>
      </c>
      <c r="I2372" s="23" t="s">
        <v>5</v>
      </c>
      <c r="J2372" s="23" t="s">
        <v>1993</v>
      </c>
    </row>
    <row r="2373" spans="1:10" s="20" customFormat="1" ht="12" x14ac:dyDescent="0.25">
      <c r="A2373" s="22">
        <v>1000100415</v>
      </c>
      <c r="B2373" s="23" t="s">
        <v>1729</v>
      </c>
      <c r="C2373" s="24" t="s">
        <v>4</v>
      </c>
      <c r="D2373" s="23" t="s">
        <v>2090</v>
      </c>
      <c r="E2373" s="23">
        <v>184.428</v>
      </c>
      <c r="F2373" s="23">
        <v>1</v>
      </c>
      <c r="G2373" s="23">
        <v>1</v>
      </c>
      <c r="H2373" s="23">
        <v>0</v>
      </c>
      <c r="I2373" s="23" t="s">
        <v>5</v>
      </c>
      <c r="J2373" s="23" t="s">
        <v>327</v>
      </c>
    </row>
    <row r="2374" spans="1:10" s="20" customFormat="1" ht="12" x14ac:dyDescent="0.25">
      <c r="A2374" s="22">
        <v>1000020801</v>
      </c>
      <c r="B2374" s="23" t="s">
        <v>1005</v>
      </c>
      <c r="C2374" s="24" t="s">
        <v>4</v>
      </c>
      <c r="D2374" s="23" t="s">
        <v>2090</v>
      </c>
      <c r="E2374" s="23">
        <v>184.24</v>
      </c>
      <c r="F2374" s="23">
        <v>2</v>
      </c>
      <c r="G2374" s="23">
        <v>2</v>
      </c>
      <c r="H2374" s="23">
        <v>0</v>
      </c>
      <c r="I2374" s="23" t="s">
        <v>5</v>
      </c>
      <c r="J2374" s="23" t="s">
        <v>327</v>
      </c>
    </row>
    <row r="2375" spans="1:10" s="20" customFormat="1" ht="12" x14ac:dyDescent="0.25">
      <c r="A2375" s="22">
        <v>1000020799</v>
      </c>
      <c r="B2375" s="23" t="s">
        <v>1003</v>
      </c>
      <c r="C2375" s="24" t="s">
        <v>4</v>
      </c>
      <c r="D2375" s="23" t="s">
        <v>2090</v>
      </c>
      <c r="E2375" s="23">
        <v>183.88</v>
      </c>
      <c r="F2375" s="23">
        <v>2</v>
      </c>
      <c r="G2375" s="23">
        <v>2</v>
      </c>
      <c r="H2375" s="23">
        <v>0</v>
      </c>
      <c r="I2375" s="23" t="s">
        <v>5</v>
      </c>
      <c r="J2375" s="23" t="s">
        <v>327</v>
      </c>
    </row>
    <row r="2376" spans="1:10" s="20" customFormat="1" ht="12" x14ac:dyDescent="0.25">
      <c r="A2376" s="22">
        <v>1000020174</v>
      </c>
      <c r="B2376" s="23" t="s">
        <v>418</v>
      </c>
      <c r="C2376" s="24" t="s">
        <v>4</v>
      </c>
      <c r="D2376" s="23" t="s">
        <v>2090</v>
      </c>
      <c r="E2376" s="23">
        <v>182.82</v>
      </c>
      <c r="F2376" s="23">
        <v>2</v>
      </c>
      <c r="G2376" s="23">
        <v>2</v>
      </c>
      <c r="H2376" s="23">
        <v>0</v>
      </c>
      <c r="I2376" s="23" t="s">
        <v>5</v>
      </c>
      <c r="J2376" s="23" t="s">
        <v>327</v>
      </c>
    </row>
    <row r="2377" spans="1:10" s="20" customFormat="1" ht="12" x14ac:dyDescent="0.25">
      <c r="A2377" s="22">
        <v>1000020761</v>
      </c>
      <c r="B2377" s="23" t="s">
        <v>966</v>
      </c>
      <c r="C2377" s="24" t="s">
        <v>4</v>
      </c>
      <c r="D2377" s="23" t="s">
        <v>2090</v>
      </c>
      <c r="E2377" s="23">
        <v>182.28</v>
      </c>
      <c r="F2377" s="23">
        <v>3</v>
      </c>
      <c r="G2377" s="23">
        <v>3</v>
      </c>
      <c r="H2377" s="23">
        <v>0</v>
      </c>
      <c r="I2377" s="23" t="s">
        <v>5</v>
      </c>
      <c r="J2377" s="23" t="s">
        <v>327</v>
      </c>
    </row>
    <row r="2378" spans="1:10" s="20" customFormat="1" ht="12" x14ac:dyDescent="0.25">
      <c r="A2378" s="22">
        <v>1000107581</v>
      </c>
      <c r="B2378" s="23" t="s">
        <v>4188</v>
      </c>
      <c r="C2378" s="24" t="s">
        <v>4</v>
      </c>
      <c r="D2378" s="23" t="s">
        <v>2056</v>
      </c>
      <c r="E2378" s="23">
        <v>182.23</v>
      </c>
      <c r="F2378" s="23">
        <v>100</v>
      </c>
      <c r="G2378" s="23">
        <v>100</v>
      </c>
      <c r="H2378" s="23">
        <v>0</v>
      </c>
      <c r="I2378" s="23" t="s">
        <v>5</v>
      </c>
      <c r="J2378" s="23" t="s">
        <v>1844</v>
      </c>
    </row>
    <row r="2379" spans="1:10" s="20" customFormat="1" ht="12" x14ac:dyDescent="0.25">
      <c r="A2379" s="22">
        <v>1000020050</v>
      </c>
      <c r="B2379" s="23" t="s">
        <v>4192</v>
      </c>
      <c r="C2379" s="24" t="s">
        <v>4</v>
      </c>
      <c r="D2379" s="23" t="s">
        <v>2090</v>
      </c>
      <c r="E2379" s="23">
        <v>181.476566666666</v>
      </c>
      <c r="F2379" s="23">
        <v>7</v>
      </c>
      <c r="G2379" s="23">
        <v>7</v>
      </c>
      <c r="H2379" s="23">
        <v>0</v>
      </c>
      <c r="I2379" s="23" t="s">
        <v>5</v>
      </c>
      <c r="J2379" s="23" t="s">
        <v>327</v>
      </c>
    </row>
    <row r="2380" spans="1:10" s="20" customFormat="1" ht="12" x14ac:dyDescent="0.25">
      <c r="A2380" s="22">
        <v>1000106685</v>
      </c>
      <c r="B2380" s="23" t="s">
        <v>4193</v>
      </c>
      <c r="C2380" s="24" t="s">
        <v>4</v>
      </c>
      <c r="D2380" s="23" t="s">
        <v>2056</v>
      </c>
      <c r="E2380" s="23">
        <v>181.3802</v>
      </c>
      <c r="F2380" s="23">
        <v>1</v>
      </c>
      <c r="G2380" s="23">
        <v>1</v>
      </c>
      <c r="H2380" s="23">
        <v>0</v>
      </c>
      <c r="I2380" s="23" t="s">
        <v>5</v>
      </c>
      <c r="J2380" s="23" t="s">
        <v>1844</v>
      </c>
    </row>
    <row r="2381" spans="1:10" s="20" customFormat="1" ht="12" x14ac:dyDescent="0.25">
      <c r="A2381" s="22">
        <v>1000097613</v>
      </c>
      <c r="B2381" s="23" t="s">
        <v>1510</v>
      </c>
      <c r="C2381" s="24" t="s">
        <v>4</v>
      </c>
      <c r="D2381" s="23" t="s">
        <v>2090</v>
      </c>
      <c r="E2381" s="23">
        <v>179.66</v>
      </c>
      <c r="F2381" s="23">
        <v>1</v>
      </c>
      <c r="G2381" s="23">
        <v>1</v>
      </c>
      <c r="H2381" s="23">
        <v>0</v>
      </c>
      <c r="I2381" s="23" t="s">
        <v>5</v>
      </c>
      <c r="J2381" s="23" t="s">
        <v>327</v>
      </c>
    </row>
    <row r="2382" spans="1:10" s="20" customFormat="1" ht="12" x14ac:dyDescent="0.25">
      <c r="A2382" s="22">
        <v>1000020299</v>
      </c>
      <c r="B2382" s="23" t="s">
        <v>535</v>
      </c>
      <c r="C2382" s="24" t="s">
        <v>4</v>
      </c>
      <c r="D2382" s="23" t="s">
        <v>2090</v>
      </c>
      <c r="E2382" s="23">
        <v>179.52</v>
      </c>
      <c r="F2382" s="23">
        <v>2</v>
      </c>
      <c r="G2382" s="23">
        <v>2</v>
      </c>
      <c r="H2382" s="23">
        <v>0</v>
      </c>
      <c r="I2382" s="23" t="s">
        <v>5</v>
      </c>
      <c r="J2382" s="23" t="s">
        <v>327</v>
      </c>
    </row>
    <row r="2383" spans="1:10" s="20" customFormat="1" ht="12" x14ac:dyDescent="0.25">
      <c r="A2383" s="22">
        <v>1000095751</v>
      </c>
      <c r="B2383" s="23" t="s">
        <v>1505</v>
      </c>
      <c r="C2383" s="24" t="s">
        <v>4</v>
      </c>
      <c r="D2383" s="23" t="s">
        <v>2090</v>
      </c>
      <c r="E2383" s="23">
        <v>179.19</v>
      </c>
      <c r="F2383" s="23">
        <v>4</v>
      </c>
      <c r="G2383" s="23">
        <v>4</v>
      </c>
      <c r="H2383" s="23">
        <v>0</v>
      </c>
      <c r="I2383" s="23" t="s">
        <v>5</v>
      </c>
      <c r="J2383" s="23" t="s">
        <v>327</v>
      </c>
    </row>
    <row r="2384" spans="1:10" s="20" customFormat="1" ht="12" x14ac:dyDescent="0.25">
      <c r="A2384" s="22">
        <v>1000100871</v>
      </c>
      <c r="B2384" s="23" t="s">
        <v>4195</v>
      </c>
      <c r="C2384" s="24" t="s">
        <v>4</v>
      </c>
      <c r="D2384" s="23" t="s">
        <v>2090</v>
      </c>
      <c r="E2384" s="23">
        <v>178.88</v>
      </c>
      <c r="F2384" s="23">
        <v>30</v>
      </c>
      <c r="G2384" s="23">
        <v>30</v>
      </c>
      <c r="H2384" s="23">
        <v>0</v>
      </c>
      <c r="I2384" s="23" t="s">
        <v>5</v>
      </c>
      <c r="J2384" s="23" t="s">
        <v>327</v>
      </c>
    </row>
    <row r="2385" spans="1:10" s="20" customFormat="1" ht="12" x14ac:dyDescent="0.25">
      <c r="A2385" s="22">
        <v>1000020789</v>
      </c>
      <c r="B2385" s="23" t="s">
        <v>993</v>
      </c>
      <c r="C2385" s="24" t="s">
        <v>4</v>
      </c>
      <c r="D2385" s="23" t="s">
        <v>2090</v>
      </c>
      <c r="E2385" s="23">
        <v>178.54</v>
      </c>
      <c r="F2385" s="23">
        <v>2</v>
      </c>
      <c r="G2385" s="23">
        <v>2</v>
      </c>
      <c r="H2385" s="23">
        <v>0</v>
      </c>
      <c r="I2385" s="23" t="s">
        <v>5</v>
      </c>
      <c r="J2385" s="23" t="s">
        <v>327</v>
      </c>
    </row>
    <row r="2386" spans="1:10" s="20" customFormat="1" ht="12" x14ac:dyDescent="0.25">
      <c r="A2386" s="22">
        <v>1000095004</v>
      </c>
      <c r="B2386" s="23" t="s">
        <v>4196</v>
      </c>
      <c r="C2386" s="24" t="s">
        <v>4</v>
      </c>
      <c r="D2386" s="23" t="s">
        <v>2056</v>
      </c>
      <c r="E2386" s="23">
        <v>178.19</v>
      </c>
      <c r="F2386" s="23">
        <v>8</v>
      </c>
      <c r="G2386" s="23">
        <v>8</v>
      </c>
      <c r="H2386" s="23">
        <v>0</v>
      </c>
      <c r="I2386" s="23" t="s">
        <v>5</v>
      </c>
      <c r="J2386" s="23" t="s">
        <v>1844</v>
      </c>
    </row>
    <row r="2387" spans="1:10" s="20" customFormat="1" ht="12" x14ac:dyDescent="0.25">
      <c r="A2387" s="22">
        <v>1000020146</v>
      </c>
      <c r="B2387" s="23" t="s">
        <v>399</v>
      </c>
      <c r="C2387" s="24" t="s">
        <v>4</v>
      </c>
      <c r="D2387" s="23" t="s">
        <v>2090</v>
      </c>
      <c r="E2387" s="23">
        <v>178.15</v>
      </c>
      <c r="F2387" s="23">
        <v>7</v>
      </c>
      <c r="G2387" s="23">
        <v>7</v>
      </c>
      <c r="H2387" s="23">
        <v>0</v>
      </c>
      <c r="I2387" s="23" t="s">
        <v>5</v>
      </c>
      <c r="J2387" s="23" t="s">
        <v>327</v>
      </c>
    </row>
    <row r="2388" spans="1:10" s="20" customFormat="1" ht="12" x14ac:dyDescent="0.25">
      <c r="A2388" s="22">
        <v>1000020178</v>
      </c>
      <c r="B2388" s="23" t="s">
        <v>422</v>
      </c>
      <c r="C2388" s="24" t="s">
        <v>4</v>
      </c>
      <c r="D2388" s="23" t="s">
        <v>2090</v>
      </c>
      <c r="E2388" s="23">
        <v>178.12</v>
      </c>
      <c r="F2388" s="23">
        <v>4</v>
      </c>
      <c r="G2388" s="23">
        <v>4</v>
      </c>
      <c r="H2388" s="23">
        <v>0</v>
      </c>
      <c r="I2388" s="23" t="s">
        <v>5</v>
      </c>
      <c r="J2388" s="23" t="s">
        <v>327</v>
      </c>
    </row>
    <row r="2389" spans="1:10" s="20" customFormat="1" ht="12" x14ac:dyDescent="0.25">
      <c r="A2389" s="22">
        <v>1000099479</v>
      </c>
      <c r="B2389" s="23" t="s">
        <v>2055</v>
      </c>
      <c r="C2389" s="24" t="s">
        <v>4</v>
      </c>
      <c r="D2389" s="23" t="s">
        <v>2056</v>
      </c>
      <c r="E2389" s="23">
        <v>177.07</v>
      </c>
      <c r="F2389" s="23">
        <v>2</v>
      </c>
      <c r="G2389" s="23">
        <v>2</v>
      </c>
      <c r="H2389" s="23">
        <v>0</v>
      </c>
      <c r="I2389" s="23" t="s">
        <v>5</v>
      </c>
      <c r="J2389" s="23" t="s">
        <v>1844</v>
      </c>
    </row>
    <row r="2390" spans="1:10" s="20" customFormat="1" ht="12" x14ac:dyDescent="0.25">
      <c r="A2390" s="22">
        <v>1000020350</v>
      </c>
      <c r="B2390" s="23" t="s">
        <v>582</v>
      </c>
      <c r="C2390" s="24" t="s">
        <v>4</v>
      </c>
      <c r="D2390" s="23" t="s">
        <v>2090</v>
      </c>
      <c r="E2390" s="23">
        <v>176</v>
      </c>
      <c r="F2390" s="23">
        <v>5</v>
      </c>
      <c r="G2390" s="23">
        <v>5</v>
      </c>
      <c r="H2390" s="23">
        <v>0</v>
      </c>
      <c r="I2390" s="23" t="s">
        <v>5</v>
      </c>
      <c r="J2390" s="23" t="s">
        <v>327</v>
      </c>
    </row>
    <row r="2391" spans="1:10" s="20" customFormat="1" ht="12" x14ac:dyDescent="0.25">
      <c r="A2391" s="22">
        <v>1000020569</v>
      </c>
      <c r="B2391" s="23" t="s">
        <v>786</v>
      </c>
      <c r="C2391" s="24" t="s">
        <v>4</v>
      </c>
      <c r="D2391" s="23" t="s">
        <v>2090</v>
      </c>
      <c r="E2391" s="23">
        <v>175.02</v>
      </c>
      <c r="F2391" s="23">
        <v>2</v>
      </c>
      <c r="G2391" s="23">
        <v>2</v>
      </c>
      <c r="H2391" s="23">
        <v>0</v>
      </c>
      <c r="I2391" s="23" t="s">
        <v>5</v>
      </c>
      <c r="J2391" s="23" t="s">
        <v>327</v>
      </c>
    </row>
    <row r="2392" spans="1:10" s="20" customFormat="1" ht="12" x14ac:dyDescent="0.25">
      <c r="A2392" s="22">
        <v>1000020958</v>
      </c>
      <c r="B2392" s="23" t="s">
        <v>1136</v>
      </c>
      <c r="C2392" s="24" t="s">
        <v>4</v>
      </c>
      <c r="D2392" s="23" t="s">
        <v>2090</v>
      </c>
      <c r="E2392" s="23">
        <v>174.98</v>
      </c>
      <c r="F2392" s="23">
        <v>1</v>
      </c>
      <c r="G2392" s="23">
        <v>1</v>
      </c>
      <c r="H2392" s="23">
        <v>0</v>
      </c>
      <c r="I2392" s="23" t="s">
        <v>5</v>
      </c>
      <c r="J2392" s="23" t="s">
        <v>327</v>
      </c>
    </row>
    <row r="2393" spans="1:10" s="20" customFormat="1" ht="12" x14ac:dyDescent="0.25">
      <c r="A2393" s="22">
        <v>1000020021</v>
      </c>
      <c r="B2393" s="23" t="s">
        <v>4197</v>
      </c>
      <c r="C2393" s="24" t="s">
        <v>4</v>
      </c>
      <c r="D2393" s="23" t="s">
        <v>2090</v>
      </c>
      <c r="E2393" s="23">
        <v>174.55</v>
      </c>
      <c r="F2393" s="23">
        <v>2</v>
      </c>
      <c r="G2393" s="23">
        <v>2</v>
      </c>
      <c r="H2393" s="23">
        <v>0</v>
      </c>
      <c r="I2393" s="23" t="s">
        <v>5</v>
      </c>
      <c r="J2393" s="23" t="s">
        <v>327</v>
      </c>
    </row>
    <row r="2394" spans="1:10" s="20" customFormat="1" ht="12" x14ac:dyDescent="0.25">
      <c r="A2394" s="22">
        <v>1000020056</v>
      </c>
      <c r="B2394" s="23" t="s">
        <v>4198</v>
      </c>
      <c r="C2394" s="24" t="s">
        <v>4</v>
      </c>
      <c r="D2394" s="23" t="s">
        <v>2090</v>
      </c>
      <c r="E2394" s="23">
        <v>174.548557037389</v>
      </c>
      <c r="F2394" s="23">
        <v>27</v>
      </c>
      <c r="G2394" s="23">
        <v>27</v>
      </c>
      <c r="H2394" s="23">
        <v>0</v>
      </c>
      <c r="I2394" s="23" t="s">
        <v>5</v>
      </c>
      <c r="J2394" s="23" t="s">
        <v>327</v>
      </c>
    </row>
    <row r="2395" spans="1:10" s="20" customFormat="1" ht="12" x14ac:dyDescent="0.25">
      <c r="A2395" s="22">
        <v>1000020353</v>
      </c>
      <c r="B2395" s="23" t="s">
        <v>585</v>
      </c>
      <c r="C2395" s="24" t="s">
        <v>4</v>
      </c>
      <c r="D2395" s="23" t="s">
        <v>2090</v>
      </c>
      <c r="E2395" s="23">
        <v>174.32</v>
      </c>
      <c r="F2395" s="23">
        <v>4</v>
      </c>
      <c r="G2395" s="23">
        <v>4</v>
      </c>
      <c r="H2395" s="23">
        <v>0</v>
      </c>
      <c r="I2395" s="23" t="s">
        <v>5</v>
      </c>
      <c r="J2395" s="23" t="s">
        <v>327</v>
      </c>
    </row>
    <row r="2396" spans="1:10" s="20" customFormat="1" ht="12" x14ac:dyDescent="0.25">
      <c r="A2396" s="22">
        <v>1000020409</v>
      </c>
      <c r="B2396" s="23" t="s">
        <v>639</v>
      </c>
      <c r="C2396" s="24" t="s">
        <v>4</v>
      </c>
      <c r="D2396" s="23" t="s">
        <v>2090</v>
      </c>
      <c r="E2396" s="23">
        <v>173.25</v>
      </c>
      <c r="F2396" s="23">
        <v>28</v>
      </c>
      <c r="G2396" s="23">
        <v>28</v>
      </c>
      <c r="H2396" s="23">
        <v>0</v>
      </c>
      <c r="I2396" s="23" t="s">
        <v>5</v>
      </c>
      <c r="J2396" s="23" t="s">
        <v>327</v>
      </c>
    </row>
    <row r="2397" spans="1:10" s="20" customFormat="1" ht="12" x14ac:dyDescent="0.25">
      <c r="A2397" s="22">
        <v>1000020078</v>
      </c>
      <c r="B2397" s="23" t="s">
        <v>338</v>
      </c>
      <c r="C2397" s="24" t="s">
        <v>4</v>
      </c>
      <c r="D2397" s="23" t="s">
        <v>2090</v>
      </c>
      <c r="E2397" s="23">
        <v>173.12</v>
      </c>
      <c r="F2397" s="23">
        <v>2</v>
      </c>
      <c r="G2397" s="23">
        <v>2</v>
      </c>
      <c r="H2397" s="23">
        <v>0</v>
      </c>
      <c r="I2397" s="23" t="s">
        <v>5</v>
      </c>
      <c r="J2397" s="23" t="s">
        <v>327</v>
      </c>
    </row>
    <row r="2398" spans="1:10" s="20" customFormat="1" ht="12" x14ac:dyDescent="0.25">
      <c r="A2398" s="22">
        <v>1000020710</v>
      </c>
      <c r="B2398" s="23" t="s">
        <v>919</v>
      </c>
      <c r="C2398" s="24" t="s">
        <v>4</v>
      </c>
      <c r="D2398" s="23" t="s">
        <v>2090</v>
      </c>
      <c r="E2398" s="23">
        <v>173.04</v>
      </c>
      <c r="F2398" s="23">
        <v>1</v>
      </c>
      <c r="G2398" s="23">
        <v>1</v>
      </c>
      <c r="H2398" s="23">
        <v>0</v>
      </c>
      <c r="I2398" s="23" t="s">
        <v>5</v>
      </c>
      <c r="J2398" s="23" t="s">
        <v>327</v>
      </c>
    </row>
    <row r="2399" spans="1:10" s="20" customFormat="1" ht="12" x14ac:dyDescent="0.25">
      <c r="A2399" s="22">
        <v>1000020929</v>
      </c>
      <c r="B2399" s="23" t="s">
        <v>1109</v>
      </c>
      <c r="C2399" s="24" t="s">
        <v>4</v>
      </c>
      <c r="D2399" s="23" t="s">
        <v>2090</v>
      </c>
      <c r="E2399" s="23">
        <v>173.04</v>
      </c>
      <c r="F2399" s="23">
        <v>1</v>
      </c>
      <c r="G2399" s="23">
        <v>1</v>
      </c>
      <c r="H2399" s="23">
        <v>0</v>
      </c>
      <c r="I2399" s="23" t="s">
        <v>5</v>
      </c>
      <c r="J2399" s="23" t="s">
        <v>327</v>
      </c>
    </row>
    <row r="2400" spans="1:10" s="20" customFormat="1" ht="12" x14ac:dyDescent="0.25">
      <c r="A2400" s="22">
        <v>2500008221</v>
      </c>
      <c r="B2400" s="23" t="s">
        <v>4199</v>
      </c>
      <c r="C2400" s="24" t="s">
        <v>1996</v>
      </c>
      <c r="D2400" s="23" t="s">
        <v>2025</v>
      </c>
      <c r="E2400" s="23">
        <v>173</v>
      </c>
      <c r="F2400" s="23">
        <v>2</v>
      </c>
      <c r="G2400" s="23">
        <v>2</v>
      </c>
      <c r="H2400" s="23">
        <v>0</v>
      </c>
      <c r="I2400" s="23" t="s">
        <v>5</v>
      </c>
      <c r="J2400" s="23" t="s">
        <v>1993</v>
      </c>
    </row>
    <row r="2401" spans="1:10" s="20" customFormat="1" ht="12" x14ac:dyDescent="0.25">
      <c r="A2401" s="22">
        <v>1000020893</v>
      </c>
      <c r="B2401" s="23" t="s">
        <v>1075</v>
      </c>
      <c r="C2401" s="24" t="s">
        <v>4</v>
      </c>
      <c r="D2401" s="23" t="s">
        <v>2090</v>
      </c>
      <c r="E2401" s="23">
        <v>172.98</v>
      </c>
      <c r="F2401" s="23">
        <v>2</v>
      </c>
      <c r="G2401" s="23">
        <v>2</v>
      </c>
      <c r="H2401" s="23">
        <v>0</v>
      </c>
      <c r="I2401" s="23" t="s">
        <v>5</v>
      </c>
      <c r="J2401" s="23" t="s">
        <v>327</v>
      </c>
    </row>
    <row r="2402" spans="1:10" s="20" customFormat="1" ht="12" x14ac:dyDescent="0.25">
      <c r="A2402" s="22">
        <v>1000020892</v>
      </c>
      <c r="B2402" s="23" t="s">
        <v>1074</v>
      </c>
      <c r="C2402" s="24" t="s">
        <v>4</v>
      </c>
      <c r="D2402" s="23" t="s">
        <v>2090</v>
      </c>
      <c r="E2402" s="23">
        <v>172.98</v>
      </c>
      <c r="F2402" s="23">
        <v>2</v>
      </c>
      <c r="G2402" s="23">
        <v>2</v>
      </c>
      <c r="H2402" s="23">
        <v>0</v>
      </c>
      <c r="I2402" s="23" t="s">
        <v>5</v>
      </c>
      <c r="J2402" s="23" t="s">
        <v>327</v>
      </c>
    </row>
    <row r="2403" spans="1:10" s="20" customFormat="1" ht="12" x14ac:dyDescent="0.25">
      <c r="A2403" s="22">
        <v>1000100385</v>
      </c>
      <c r="B2403" s="23" t="s">
        <v>1715</v>
      </c>
      <c r="C2403" s="24" t="s">
        <v>4</v>
      </c>
      <c r="D2403" s="23" t="s">
        <v>2090</v>
      </c>
      <c r="E2403" s="23">
        <v>172.2</v>
      </c>
      <c r="F2403" s="23">
        <v>1</v>
      </c>
      <c r="G2403" s="23">
        <v>1</v>
      </c>
      <c r="H2403" s="23">
        <v>0</v>
      </c>
      <c r="I2403" s="23" t="s">
        <v>44</v>
      </c>
      <c r="J2403" s="23" t="s">
        <v>327</v>
      </c>
    </row>
    <row r="2404" spans="1:10" s="20" customFormat="1" ht="12" x14ac:dyDescent="0.25">
      <c r="A2404" s="22">
        <v>1000020401</v>
      </c>
      <c r="B2404" s="23" t="s">
        <v>631</v>
      </c>
      <c r="C2404" s="24" t="s">
        <v>4</v>
      </c>
      <c r="D2404" s="23" t="s">
        <v>2090</v>
      </c>
      <c r="E2404" s="23">
        <v>172.2</v>
      </c>
      <c r="F2404" s="23">
        <v>30</v>
      </c>
      <c r="G2404" s="23">
        <v>30</v>
      </c>
      <c r="H2404" s="23">
        <v>0</v>
      </c>
      <c r="I2404" s="23" t="s">
        <v>5</v>
      </c>
      <c r="J2404" s="23" t="s">
        <v>327</v>
      </c>
    </row>
    <row r="2405" spans="1:10" s="20" customFormat="1" ht="12" x14ac:dyDescent="0.25">
      <c r="A2405" s="22">
        <v>1000101339</v>
      </c>
      <c r="B2405" s="23" t="s">
        <v>4200</v>
      </c>
      <c r="C2405" s="24" t="s">
        <v>4</v>
      </c>
      <c r="D2405" s="23" t="s">
        <v>2056</v>
      </c>
      <c r="E2405" s="23">
        <v>172.13</v>
      </c>
      <c r="F2405" s="23">
        <v>250</v>
      </c>
      <c r="G2405" s="23">
        <v>250</v>
      </c>
      <c r="H2405" s="23">
        <v>0</v>
      </c>
      <c r="I2405" s="23" t="s">
        <v>5</v>
      </c>
      <c r="J2405" s="23" t="s">
        <v>1844</v>
      </c>
    </row>
    <row r="2406" spans="1:10" s="20" customFormat="1" ht="12" x14ac:dyDescent="0.25">
      <c r="A2406" s="22">
        <v>1000092380</v>
      </c>
      <c r="B2406" s="23" t="s">
        <v>4201</v>
      </c>
      <c r="C2406" s="24" t="s">
        <v>4</v>
      </c>
      <c r="D2406" s="23" t="s">
        <v>2090</v>
      </c>
      <c r="E2406" s="23">
        <v>172.1</v>
      </c>
      <c r="F2406" s="23">
        <v>11</v>
      </c>
      <c r="G2406" s="23">
        <v>11</v>
      </c>
      <c r="H2406" s="23">
        <v>0</v>
      </c>
      <c r="I2406" s="23" t="s">
        <v>5</v>
      </c>
      <c r="J2406" s="23" t="s">
        <v>327</v>
      </c>
    </row>
    <row r="2407" spans="1:10" s="20" customFormat="1" ht="12" x14ac:dyDescent="0.25">
      <c r="A2407" s="22">
        <v>1000021033</v>
      </c>
      <c r="B2407" s="23" t="s">
        <v>1204</v>
      </c>
      <c r="C2407" s="24" t="s">
        <v>4</v>
      </c>
      <c r="D2407" s="23" t="s">
        <v>2090</v>
      </c>
      <c r="E2407" s="23">
        <v>172.06</v>
      </c>
      <c r="F2407" s="23">
        <v>2</v>
      </c>
      <c r="G2407" s="23">
        <v>2</v>
      </c>
      <c r="H2407" s="23">
        <v>0</v>
      </c>
      <c r="I2407" s="23" t="s">
        <v>5</v>
      </c>
      <c r="J2407" s="23" t="s">
        <v>327</v>
      </c>
    </row>
    <row r="2408" spans="1:10" s="20" customFormat="1" ht="12" x14ac:dyDescent="0.25">
      <c r="A2408" s="22">
        <v>1000098539</v>
      </c>
      <c r="B2408" s="23" t="s">
        <v>1570</v>
      </c>
      <c r="C2408" s="24" t="s">
        <v>4</v>
      </c>
      <c r="D2408" s="23" t="s">
        <v>2090</v>
      </c>
      <c r="E2408" s="23">
        <v>171.54</v>
      </c>
      <c r="F2408" s="23">
        <v>5</v>
      </c>
      <c r="G2408" s="23">
        <v>5</v>
      </c>
      <c r="H2408" s="23">
        <v>0</v>
      </c>
      <c r="I2408" s="23" t="s">
        <v>5</v>
      </c>
      <c r="J2408" s="23" t="s">
        <v>327</v>
      </c>
    </row>
    <row r="2409" spans="1:10" s="20" customFormat="1" ht="12" x14ac:dyDescent="0.25">
      <c r="A2409" s="22">
        <v>1000020953</v>
      </c>
      <c r="B2409" s="23" t="s">
        <v>1131</v>
      </c>
      <c r="C2409" s="24" t="s">
        <v>4</v>
      </c>
      <c r="D2409" s="23" t="s">
        <v>2090</v>
      </c>
      <c r="E2409" s="23">
        <v>170.94</v>
      </c>
      <c r="F2409" s="23">
        <v>2</v>
      </c>
      <c r="G2409" s="23">
        <v>2</v>
      </c>
      <c r="H2409" s="23">
        <v>0</v>
      </c>
      <c r="I2409" s="23" t="s">
        <v>5</v>
      </c>
      <c r="J2409" s="23" t="s">
        <v>327</v>
      </c>
    </row>
    <row r="2410" spans="1:10" s="20" customFormat="1" ht="12" x14ac:dyDescent="0.25">
      <c r="A2410" s="22">
        <v>1000020098</v>
      </c>
      <c r="B2410" s="23" t="s">
        <v>355</v>
      </c>
      <c r="C2410" s="24" t="s">
        <v>4</v>
      </c>
      <c r="D2410" s="23" t="s">
        <v>2090</v>
      </c>
      <c r="E2410" s="23">
        <v>170.54</v>
      </c>
      <c r="F2410" s="23">
        <v>1</v>
      </c>
      <c r="G2410" s="23">
        <v>1</v>
      </c>
      <c r="H2410" s="23">
        <v>0</v>
      </c>
      <c r="I2410" s="23" t="s">
        <v>5</v>
      </c>
      <c r="J2410" s="23" t="s">
        <v>327</v>
      </c>
    </row>
    <row r="2411" spans="1:10" s="20" customFormat="1" ht="12" x14ac:dyDescent="0.25">
      <c r="A2411" s="22">
        <v>1000096884</v>
      </c>
      <c r="B2411" s="23" t="s">
        <v>4203</v>
      </c>
      <c r="C2411" s="24" t="s">
        <v>4</v>
      </c>
      <c r="D2411" s="23" t="s">
        <v>2056</v>
      </c>
      <c r="E2411" s="23">
        <v>170</v>
      </c>
      <c r="F2411" s="23">
        <v>2</v>
      </c>
      <c r="G2411" s="23">
        <v>2</v>
      </c>
      <c r="H2411" s="23">
        <v>0</v>
      </c>
      <c r="I2411" s="23" t="s">
        <v>5</v>
      </c>
      <c r="J2411" s="23" t="s">
        <v>1844</v>
      </c>
    </row>
    <row r="2412" spans="1:10" s="20" customFormat="1" ht="12" x14ac:dyDescent="0.25">
      <c r="A2412" s="22">
        <v>1000021188</v>
      </c>
      <c r="B2412" s="23" t="s">
        <v>1335</v>
      </c>
      <c r="C2412" s="24" t="s">
        <v>4</v>
      </c>
      <c r="D2412" s="23" t="s">
        <v>2090</v>
      </c>
      <c r="E2412" s="23">
        <v>169.98750000000001</v>
      </c>
      <c r="F2412" s="23">
        <v>3</v>
      </c>
      <c r="G2412" s="23">
        <v>3</v>
      </c>
      <c r="H2412" s="23">
        <v>0</v>
      </c>
      <c r="I2412" s="23" t="s">
        <v>5</v>
      </c>
      <c r="J2412" s="23" t="s">
        <v>327</v>
      </c>
    </row>
    <row r="2413" spans="1:10" s="20" customFormat="1" ht="12" x14ac:dyDescent="0.25">
      <c r="A2413" s="22">
        <v>1000020203</v>
      </c>
      <c r="B2413" s="23" t="s">
        <v>443</v>
      </c>
      <c r="C2413" s="24" t="s">
        <v>4</v>
      </c>
      <c r="D2413" s="23" t="s">
        <v>2090</v>
      </c>
      <c r="E2413" s="23">
        <v>169.8</v>
      </c>
      <c r="F2413" s="23">
        <v>3</v>
      </c>
      <c r="G2413" s="23">
        <v>3</v>
      </c>
      <c r="H2413" s="23">
        <v>0</v>
      </c>
      <c r="I2413" s="23" t="s">
        <v>5</v>
      </c>
      <c r="J2413" s="23" t="s">
        <v>327</v>
      </c>
    </row>
    <row r="2414" spans="1:10" s="20" customFormat="1" ht="12" x14ac:dyDescent="0.25">
      <c r="A2414" s="22">
        <v>1000096395</v>
      </c>
      <c r="B2414" s="23" t="s">
        <v>4206</v>
      </c>
      <c r="C2414" s="24" t="s">
        <v>4</v>
      </c>
      <c r="D2414" s="23" t="s">
        <v>2056</v>
      </c>
      <c r="E2414" s="23">
        <v>169.15</v>
      </c>
      <c r="F2414" s="23">
        <v>20</v>
      </c>
      <c r="G2414" s="23">
        <v>20</v>
      </c>
      <c r="H2414" s="23">
        <v>0</v>
      </c>
      <c r="I2414" s="23" t="s">
        <v>5</v>
      </c>
      <c r="J2414" s="23" t="s">
        <v>1844</v>
      </c>
    </row>
    <row r="2415" spans="1:10" s="20" customFormat="1" ht="12" x14ac:dyDescent="0.25">
      <c r="A2415" s="22">
        <v>1000020992</v>
      </c>
      <c r="B2415" s="23" t="s">
        <v>1166</v>
      </c>
      <c r="C2415" s="24" t="s">
        <v>4</v>
      </c>
      <c r="D2415" s="23" t="s">
        <v>2090</v>
      </c>
      <c r="E2415" s="23">
        <v>168.88</v>
      </c>
      <c r="F2415" s="23">
        <v>2</v>
      </c>
      <c r="G2415" s="23">
        <v>2</v>
      </c>
      <c r="H2415" s="23">
        <v>0</v>
      </c>
      <c r="I2415" s="23" t="s">
        <v>5</v>
      </c>
      <c r="J2415" s="23" t="s">
        <v>327</v>
      </c>
    </row>
    <row r="2416" spans="1:10" s="20" customFormat="1" ht="12" x14ac:dyDescent="0.25">
      <c r="A2416" s="22">
        <v>1000020783</v>
      </c>
      <c r="B2416" s="23" t="s">
        <v>987</v>
      </c>
      <c r="C2416" s="24" t="s">
        <v>4</v>
      </c>
      <c r="D2416" s="23" t="s">
        <v>2090</v>
      </c>
      <c r="E2416" s="23">
        <v>168.6</v>
      </c>
      <c r="F2416" s="23">
        <v>5</v>
      </c>
      <c r="G2416" s="23">
        <v>5</v>
      </c>
      <c r="H2416" s="23">
        <v>0</v>
      </c>
      <c r="I2416" s="23" t="s">
        <v>5</v>
      </c>
      <c r="J2416" s="23" t="s">
        <v>327</v>
      </c>
    </row>
    <row r="2417" spans="1:10" s="20" customFormat="1" ht="12" x14ac:dyDescent="0.25">
      <c r="A2417" s="22">
        <v>1000020604</v>
      </c>
      <c r="B2417" s="23" t="s">
        <v>820</v>
      </c>
      <c r="C2417" s="24" t="s">
        <v>4</v>
      </c>
      <c r="D2417" s="23" t="s">
        <v>2090</v>
      </c>
      <c r="E2417" s="23">
        <v>168</v>
      </c>
      <c r="F2417" s="23">
        <v>25</v>
      </c>
      <c r="G2417" s="23">
        <v>25</v>
      </c>
      <c r="H2417" s="23">
        <v>0</v>
      </c>
      <c r="I2417" s="23" t="s">
        <v>5</v>
      </c>
      <c r="J2417" s="23" t="s">
        <v>327</v>
      </c>
    </row>
    <row r="2418" spans="1:10" s="20" customFormat="1" ht="12" x14ac:dyDescent="0.25">
      <c r="A2418" s="22">
        <v>1000020388</v>
      </c>
      <c r="B2418" s="23" t="s">
        <v>618</v>
      </c>
      <c r="C2418" s="24" t="s">
        <v>4</v>
      </c>
      <c r="D2418" s="23" t="s">
        <v>2090</v>
      </c>
      <c r="E2418" s="23">
        <v>167.2</v>
      </c>
      <c r="F2418" s="23">
        <v>5</v>
      </c>
      <c r="G2418" s="23">
        <v>5</v>
      </c>
      <c r="H2418" s="23">
        <v>0</v>
      </c>
      <c r="I2418" s="23" t="s">
        <v>5</v>
      </c>
      <c r="J2418" s="23" t="s">
        <v>327</v>
      </c>
    </row>
    <row r="2419" spans="1:10" s="20" customFormat="1" ht="12" x14ac:dyDescent="0.25">
      <c r="A2419" s="22">
        <v>2500009299</v>
      </c>
      <c r="B2419" s="23" t="s">
        <v>1990</v>
      </c>
      <c r="C2419" s="24" t="s">
        <v>1996</v>
      </c>
      <c r="D2419" s="23" t="s">
        <v>2025</v>
      </c>
      <c r="E2419" s="23">
        <v>167.06</v>
      </c>
      <c r="F2419" s="23">
        <v>1</v>
      </c>
      <c r="G2419" s="23">
        <v>1</v>
      </c>
      <c r="H2419" s="23">
        <v>0</v>
      </c>
      <c r="I2419" s="23" t="s">
        <v>5</v>
      </c>
      <c r="J2419" s="23" t="s">
        <v>1993</v>
      </c>
    </row>
    <row r="2420" spans="1:10" s="20" customFormat="1" ht="12" x14ac:dyDescent="0.25">
      <c r="A2420" s="22">
        <v>1000101105</v>
      </c>
      <c r="B2420" s="23" t="s">
        <v>4209</v>
      </c>
      <c r="C2420" s="24" t="s">
        <v>4</v>
      </c>
      <c r="D2420" s="23" t="s">
        <v>2090</v>
      </c>
      <c r="E2420" s="23">
        <v>166.92</v>
      </c>
      <c r="F2420" s="23">
        <v>5</v>
      </c>
      <c r="G2420" s="23">
        <v>5</v>
      </c>
      <c r="H2420" s="23">
        <v>0</v>
      </c>
      <c r="I2420" s="23" t="s">
        <v>5</v>
      </c>
      <c r="J2420" s="23" t="s">
        <v>327</v>
      </c>
    </row>
    <row r="2421" spans="1:10" s="20" customFormat="1" ht="12" x14ac:dyDescent="0.25">
      <c r="A2421" s="22">
        <v>1000110983</v>
      </c>
      <c r="B2421" s="23" t="s">
        <v>4210</v>
      </c>
      <c r="C2421" s="24" t="s">
        <v>4</v>
      </c>
      <c r="D2421" s="23" t="s">
        <v>2090</v>
      </c>
      <c r="E2421" s="23">
        <v>166.875</v>
      </c>
      <c r="F2421" s="23">
        <v>10</v>
      </c>
      <c r="G2421" s="23">
        <v>10</v>
      </c>
      <c r="H2421" s="23">
        <v>0</v>
      </c>
      <c r="I2421" s="23" t="s">
        <v>5</v>
      </c>
      <c r="J2421" s="23" t="s">
        <v>327</v>
      </c>
    </row>
    <row r="2422" spans="1:10" s="20" customFormat="1" ht="12" x14ac:dyDescent="0.25">
      <c r="A2422" s="22">
        <v>1000102787</v>
      </c>
      <c r="B2422" s="23" t="s">
        <v>4211</v>
      </c>
      <c r="C2422" s="24" t="s">
        <v>4</v>
      </c>
      <c r="D2422" s="23" t="s">
        <v>2056</v>
      </c>
      <c r="E2422" s="23">
        <v>166.83</v>
      </c>
      <c r="F2422" s="23">
        <v>30</v>
      </c>
      <c r="G2422" s="23">
        <v>30</v>
      </c>
      <c r="H2422" s="23">
        <v>0</v>
      </c>
      <c r="I2422" s="23" t="s">
        <v>5</v>
      </c>
      <c r="J2422" s="23" t="s">
        <v>1844</v>
      </c>
    </row>
    <row r="2423" spans="1:10" s="20" customFormat="1" ht="12" x14ac:dyDescent="0.25">
      <c r="A2423" s="22">
        <v>1000102581</v>
      </c>
      <c r="B2423" s="23" t="s">
        <v>1798</v>
      </c>
      <c r="C2423" s="24" t="s">
        <v>4</v>
      </c>
      <c r="D2423" s="23" t="s">
        <v>2090</v>
      </c>
      <c r="E2423" s="23">
        <v>166.8</v>
      </c>
      <c r="F2423" s="23">
        <v>1</v>
      </c>
      <c r="G2423" s="23">
        <v>1</v>
      </c>
      <c r="H2423" s="23">
        <v>0</v>
      </c>
      <c r="I2423" s="23" t="s">
        <v>5</v>
      </c>
      <c r="J2423" s="23" t="s">
        <v>327</v>
      </c>
    </row>
    <row r="2424" spans="1:10" s="20" customFormat="1" ht="12" x14ac:dyDescent="0.25">
      <c r="A2424" s="22">
        <v>1000020048</v>
      </c>
      <c r="B2424" s="23" t="s">
        <v>4213</v>
      </c>
      <c r="C2424" s="24" t="s">
        <v>4</v>
      </c>
      <c r="D2424" s="23" t="s">
        <v>2090</v>
      </c>
      <c r="E2424" s="23">
        <v>166.62</v>
      </c>
      <c r="F2424" s="23">
        <v>5</v>
      </c>
      <c r="G2424" s="23">
        <v>5</v>
      </c>
      <c r="H2424" s="23">
        <v>0</v>
      </c>
      <c r="I2424" s="23" t="s">
        <v>5</v>
      </c>
      <c r="J2424" s="23" t="s">
        <v>327</v>
      </c>
    </row>
    <row r="2425" spans="1:10" s="20" customFormat="1" ht="12" x14ac:dyDescent="0.25">
      <c r="A2425" s="22">
        <v>1000021039</v>
      </c>
      <c r="B2425" s="23" t="s">
        <v>1210</v>
      </c>
      <c r="C2425" s="24" t="s">
        <v>4</v>
      </c>
      <c r="D2425" s="23" t="s">
        <v>2090</v>
      </c>
      <c r="E2425" s="23">
        <v>166.53</v>
      </c>
      <c r="F2425" s="23">
        <v>1</v>
      </c>
      <c r="G2425" s="23">
        <v>1</v>
      </c>
      <c r="H2425" s="23">
        <v>0</v>
      </c>
      <c r="I2425" s="23" t="s">
        <v>5</v>
      </c>
      <c r="J2425" s="23" t="s">
        <v>327</v>
      </c>
    </row>
    <row r="2426" spans="1:10" s="20" customFormat="1" ht="12" x14ac:dyDescent="0.25">
      <c r="A2426" s="22">
        <v>1000021047</v>
      </c>
      <c r="B2426" s="23" t="s">
        <v>1216</v>
      </c>
      <c r="C2426" s="24" t="s">
        <v>4</v>
      </c>
      <c r="D2426" s="23" t="s">
        <v>2090</v>
      </c>
      <c r="E2426" s="23">
        <v>166.39</v>
      </c>
      <c r="F2426" s="23">
        <v>1</v>
      </c>
      <c r="G2426" s="23">
        <v>1</v>
      </c>
      <c r="H2426" s="23">
        <v>0</v>
      </c>
      <c r="I2426" s="23" t="s">
        <v>5</v>
      </c>
      <c r="J2426" s="23" t="s">
        <v>327</v>
      </c>
    </row>
    <row r="2427" spans="1:10" s="20" customFormat="1" ht="12" x14ac:dyDescent="0.25">
      <c r="A2427" s="22">
        <v>1000020254</v>
      </c>
      <c r="B2427" s="23" t="s">
        <v>493</v>
      </c>
      <c r="C2427" s="24" t="s">
        <v>4</v>
      </c>
      <c r="D2427" s="23" t="s">
        <v>2090</v>
      </c>
      <c r="E2427" s="23">
        <v>166.35</v>
      </c>
      <c r="F2427" s="23">
        <v>15</v>
      </c>
      <c r="G2427" s="23">
        <v>15</v>
      </c>
      <c r="H2427" s="23">
        <v>0</v>
      </c>
      <c r="I2427" s="23" t="s">
        <v>5</v>
      </c>
      <c r="J2427" s="23" t="s">
        <v>327</v>
      </c>
    </row>
    <row r="2428" spans="1:10" s="20" customFormat="1" ht="12" x14ac:dyDescent="0.25">
      <c r="A2428" s="22">
        <v>1000021467</v>
      </c>
      <c r="B2428" s="23" t="s">
        <v>1487</v>
      </c>
      <c r="C2428" s="24" t="s">
        <v>4</v>
      </c>
      <c r="D2428" s="23" t="s">
        <v>2090</v>
      </c>
      <c r="E2428" s="23">
        <v>165.54</v>
      </c>
      <c r="F2428" s="23">
        <v>5</v>
      </c>
      <c r="G2428" s="23">
        <v>5</v>
      </c>
      <c r="H2428" s="23">
        <v>0</v>
      </c>
      <c r="I2428" s="23" t="s">
        <v>5</v>
      </c>
      <c r="J2428" s="23" t="s">
        <v>327</v>
      </c>
    </row>
    <row r="2429" spans="1:10" s="20" customFormat="1" ht="12" x14ac:dyDescent="0.25">
      <c r="A2429" s="22">
        <v>1000095898</v>
      </c>
      <c r="B2429" s="23" t="s">
        <v>3315</v>
      </c>
      <c r="C2429" s="24" t="s">
        <v>4</v>
      </c>
      <c r="D2429" s="23" t="s">
        <v>2161</v>
      </c>
      <c r="E2429" s="23">
        <v>165.376</v>
      </c>
      <c r="F2429" s="23">
        <v>1</v>
      </c>
      <c r="G2429" s="23">
        <v>1</v>
      </c>
      <c r="H2429" s="23">
        <v>0</v>
      </c>
      <c r="I2429" s="23" t="s">
        <v>5</v>
      </c>
      <c r="J2429" s="23" t="s">
        <v>111</v>
      </c>
    </row>
    <row r="2430" spans="1:10" s="20" customFormat="1" ht="12" x14ac:dyDescent="0.25">
      <c r="A2430" s="22">
        <v>2500009403</v>
      </c>
      <c r="B2430" s="23" t="s">
        <v>4216</v>
      </c>
      <c r="C2430" s="24" t="s">
        <v>1996</v>
      </c>
      <c r="D2430" s="23" t="s">
        <v>2289</v>
      </c>
      <c r="E2430" s="23">
        <v>165</v>
      </c>
      <c r="F2430" s="23">
        <v>1</v>
      </c>
      <c r="G2430" s="23">
        <v>1</v>
      </c>
      <c r="H2430" s="23">
        <v>0</v>
      </c>
      <c r="I2430" s="23" t="s">
        <v>5</v>
      </c>
      <c r="J2430" s="23" t="s">
        <v>1993</v>
      </c>
    </row>
    <row r="2431" spans="1:10" s="20" customFormat="1" ht="12" x14ac:dyDescent="0.25">
      <c r="A2431" s="22">
        <v>1000020985</v>
      </c>
      <c r="B2431" s="23" t="s">
        <v>1159</v>
      </c>
      <c r="C2431" s="24" t="s">
        <v>4</v>
      </c>
      <c r="D2431" s="23" t="s">
        <v>2090</v>
      </c>
      <c r="E2431" s="23">
        <v>164.8</v>
      </c>
      <c r="F2431" s="23">
        <v>2</v>
      </c>
      <c r="G2431" s="23">
        <v>2</v>
      </c>
      <c r="H2431" s="23">
        <v>0</v>
      </c>
      <c r="I2431" s="23" t="s">
        <v>5</v>
      </c>
      <c r="J2431" s="23" t="s">
        <v>327</v>
      </c>
    </row>
    <row r="2432" spans="1:10" s="20" customFormat="1" ht="12" x14ac:dyDescent="0.25">
      <c r="A2432" s="22">
        <v>1000098692</v>
      </c>
      <c r="B2432" s="23" t="s">
        <v>1644</v>
      </c>
      <c r="C2432" s="24" t="s">
        <v>4</v>
      </c>
      <c r="D2432" s="23" t="s">
        <v>2090</v>
      </c>
      <c r="E2432" s="23">
        <v>163.55799999999999</v>
      </c>
      <c r="F2432" s="23">
        <v>1</v>
      </c>
      <c r="G2432" s="23">
        <v>1</v>
      </c>
      <c r="H2432" s="23">
        <v>0</v>
      </c>
      <c r="I2432" s="23" t="s">
        <v>5</v>
      </c>
      <c r="J2432" s="23" t="s">
        <v>327</v>
      </c>
    </row>
    <row r="2433" spans="1:10" s="20" customFormat="1" ht="12" x14ac:dyDescent="0.25">
      <c r="A2433" s="22">
        <v>1000020645</v>
      </c>
      <c r="B2433" s="23" t="s">
        <v>859</v>
      </c>
      <c r="C2433" s="24" t="s">
        <v>4</v>
      </c>
      <c r="D2433" s="23" t="s">
        <v>2090</v>
      </c>
      <c r="E2433" s="23">
        <v>162.64564285714201</v>
      </c>
      <c r="F2433" s="23">
        <v>7</v>
      </c>
      <c r="G2433" s="23">
        <v>7</v>
      </c>
      <c r="H2433" s="23">
        <v>0</v>
      </c>
      <c r="I2433" s="23" t="s">
        <v>5</v>
      </c>
      <c r="J2433" s="23" t="s">
        <v>327</v>
      </c>
    </row>
    <row r="2434" spans="1:10" s="20" customFormat="1" ht="12" x14ac:dyDescent="0.25">
      <c r="A2434" s="22">
        <v>1000098452</v>
      </c>
      <c r="B2434" s="23" t="s">
        <v>1529</v>
      </c>
      <c r="C2434" s="24" t="s">
        <v>4</v>
      </c>
      <c r="D2434" s="23" t="s">
        <v>2090</v>
      </c>
      <c r="E2434" s="23">
        <v>161.91</v>
      </c>
      <c r="F2434" s="23">
        <v>3</v>
      </c>
      <c r="G2434" s="23">
        <v>3</v>
      </c>
      <c r="H2434" s="23">
        <v>0</v>
      </c>
      <c r="I2434" s="23" t="s">
        <v>5</v>
      </c>
      <c r="J2434" s="23" t="s">
        <v>327</v>
      </c>
    </row>
    <row r="2435" spans="1:10" s="20" customFormat="1" ht="12" x14ac:dyDescent="0.25">
      <c r="A2435" s="22">
        <v>1000020301</v>
      </c>
      <c r="B2435" s="23" t="s">
        <v>537</v>
      </c>
      <c r="C2435" s="24" t="s">
        <v>4</v>
      </c>
      <c r="D2435" s="23" t="s">
        <v>2090</v>
      </c>
      <c r="E2435" s="23">
        <v>161.84</v>
      </c>
      <c r="F2435" s="23">
        <v>2</v>
      </c>
      <c r="G2435" s="23">
        <v>2</v>
      </c>
      <c r="H2435" s="23">
        <v>0</v>
      </c>
      <c r="I2435" s="23" t="s">
        <v>5</v>
      </c>
      <c r="J2435" s="23" t="s">
        <v>327</v>
      </c>
    </row>
    <row r="2436" spans="1:10" s="20" customFormat="1" ht="12" x14ac:dyDescent="0.25">
      <c r="A2436" s="22">
        <v>1000020149</v>
      </c>
      <c r="B2436" s="23" t="s">
        <v>400</v>
      </c>
      <c r="C2436" s="24" t="s">
        <v>4</v>
      </c>
      <c r="D2436" s="23" t="s">
        <v>2090</v>
      </c>
      <c r="E2436" s="23">
        <v>161.76</v>
      </c>
      <c r="F2436" s="23">
        <v>4</v>
      </c>
      <c r="G2436" s="23">
        <v>4</v>
      </c>
      <c r="H2436" s="23">
        <v>0</v>
      </c>
      <c r="I2436" s="23" t="s">
        <v>5</v>
      </c>
      <c r="J2436" s="23" t="s">
        <v>327</v>
      </c>
    </row>
    <row r="2437" spans="1:10" s="20" customFormat="1" ht="12" x14ac:dyDescent="0.25">
      <c r="A2437" s="22">
        <v>1000020289</v>
      </c>
      <c r="B2437" s="23" t="s">
        <v>525</v>
      </c>
      <c r="C2437" s="24" t="s">
        <v>4</v>
      </c>
      <c r="D2437" s="23" t="s">
        <v>2090</v>
      </c>
      <c r="E2437" s="23">
        <v>161.04</v>
      </c>
      <c r="F2437" s="23">
        <v>3</v>
      </c>
      <c r="G2437" s="23">
        <v>3</v>
      </c>
      <c r="H2437" s="23">
        <v>0</v>
      </c>
      <c r="I2437" s="23" t="s">
        <v>5</v>
      </c>
      <c r="J2437" s="23" t="s">
        <v>327</v>
      </c>
    </row>
    <row r="2438" spans="1:10" s="20" customFormat="1" ht="12" x14ac:dyDescent="0.25">
      <c r="A2438" s="22">
        <v>1000021096</v>
      </c>
      <c r="B2438" s="23" t="s">
        <v>1258</v>
      </c>
      <c r="C2438" s="24" t="s">
        <v>4</v>
      </c>
      <c r="D2438" s="23" t="s">
        <v>2090</v>
      </c>
      <c r="E2438" s="23">
        <v>160.76</v>
      </c>
      <c r="F2438" s="23">
        <v>1</v>
      </c>
      <c r="G2438" s="23">
        <v>1</v>
      </c>
      <c r="H2438" s="23">
        <v>0</v>
      </c>
      <c r="I2438" s="23" t="s">
        <v>5</v>
      </c>
      <c r="J2438" s="23" t="s">
        <v>327</v>
      </c>
    </row>
    <row r="2439" spans="1:10" s="20" customFormat="1" ht="12" x14ac:dyDescent="0.25">
      <c r="A2439" s="22">
        <v>1000101064</v>
      </c>
      <c r="B2439" s="23" t="s">
        <v>4219</v>
      </c>
      <c r="C2439" s="24" t="s">
        <v>4</v>
      </c>
      <c r="D2439" s="23" t="s">
        <v>2090</v>
      </c>
      <c r="E2439" s="23">
        <v>160.69</v>
      </c>
      <c r="F2439" s="23">
        <v>1</v>
      </c>
      <c r="G2439" s="23">
        <v>1</v>
      </c>
      <c r="H2439" s="23">
        <v>0</v>
      </c>
      <c r="I2439" s="23" t="s">
        <v>5</v>
      </c>
      <c r="J2439" s="23" t="s">
        <v>327</v>
      </c>
    </row>
    <row r="2440" spans="1:10" s="20" customFormat="1" ht="12" x14ac:dyDescent="0.25">
      <c r="A2440" s="22">
        <v>1000020797</v>
      </c>
      <c r="B2440" s="23" t="s">
        <v>1001</v>
      </c>
      <c r="C2440" s="24" t="s">
        <v>4</v>
      </c>
      <c r="D2440" s="23" t="s">
        <v>2090</v>
      </c>
      <c r="E2440" s="23">
        <v>160.52000000000001</v>
      </c>
      <c r="F2440" s="23">
        <v>2</v>
      </c>
      <c r="G2440" s="23">
        <v>2</v>
      </c>
      <c r="H2440" s="23">
        <v>0</v>
      </c>
      <c r="I2440" s="23" t="s">
        <v>5</v>
      </c>
      <c r="J2440" s="23" t="s">
        <v>327</v>
      </c>
    </row>
    <row r="2441" spans="1:10" s="20" customFormat="1" ht="12" x14ac:dyDescent="0.25">
      <c r="A2441" s="22">
        <v>1000103147</v>
      </c>
      <c r="B2441" s="23" t="s">
        <v>4220</v>
      </c>
      <c r="C2441" s="24" t="s">
        <v>4</v>
      </c>
      <c r="D2441" s="23" t="s">
        <v>2090</v>
      </c>
      <c r="E2441" s="23">
        <v>160.49</v>
      </c>
      <c r="F2441" s="23">
        <v>3</v>
      </c>
      <c r="G2441" s="23">
        <v>3</v>
      </c>
      <c r="H2441" s="23">
        <v>0</v>
      </c>
      <c r="I2441" s="23" t="s">
        <v>5</v>
      </c>
      <c r="J2441" s="23" t="s">
        <v>327</v>
      </c>
    </row>
    <row r="2442" spans="1:10" s="20" customFormat="1" ht="12" x14ac:dyDescent="0.25">
      <c r="A2442" s="22">
        <v>1000103010</v>
      </c>
      <c r="B2442" s="23" t="s">
        <v>4221</v>
      </c>
      <c r="C2442" s="24" t="s">
        <v>4</v>
      </c>
      <c r="D2442" s="23" t="s">
        <v>2090</v>
      </c>
      <c r="E2442" s="23">
        <v>160.43</v>
      </c>
      <c r="F2442" s="23">
        <v>12</v>
      </c>
      <c r="G2442" s="23">
        <v>12</v>
      </c>
      <c r="H2442" s="23">
        <v>0</v>
      </c>
      <c r="I2442" s="23" t="s">
        <v>5</v>
      </c>
      <c r="J2442" s="23" t="s">
        <v>327</v>
      </c>
    </row>
    <row r="2443" spans="1:10" s="20" customFormat="1" ht="12" x14ac:dyDescent="0.25">
      <c r="A2443" s="22">
        <v>1000020094</v>
      </c>
      <c r="B2443" s="23" t="s">
        <v>352</v>
      </c>
      <c r="C2443" s="24" t="s">
        <v>4</v>
      </c>
      <c r="D2443" s="23" t="s">
        <v>2218</v>
      </c>
      <c r="E2443" s="23">
        <v>159.338333333333</v>
      </c>
      <c r="F2443" s="23">
        <v>1</v>
      </c>
      <c r="G2443" s="23">
        <v>1</v>
      </c>
      <c r="H2443" s="23">
        <v>0</v>
      </c>
      <c r="I2443" s="23" t="s">
        <v>5</v>
      </c>
      <c r="J2443" s="23" t="s">
        <v>327</v>
      </c>
    </row>
    <row r="2444" spans="1:10" s="20" customFormat="1" ht="12" x14ac:dyDescent="0.25">
      <c r="A2444" s="22">
        <v>1000101284</v>
      </c>
      <c r="B2444" s="23" t="s">
        <v>1852</v>
      </c>
      <c r="C2444" s="24" t="s">
        <v>4</v>
      </c>
      <c r="D2444" s="23" t="s">
        <v>2056</v>
      </c>
      <c r="E2444" s="23">
        <v>159.2959275</v>
      </c>
      <c r="F2444" s="23">
        <v>15</v>
      </c>
      <c r="G2444" s="23">
        <v>15</v>
      </c>
      <c r="H2444" s="23">
        <v>0</v>
      </c>
      <c r="I2444" s="23" t="s">
        <v>5</v>
      </c>
      <c r="J2444" s="23" t="s">
        <v>1844</v>
      </c>
    </row>
    <row r="2445" spans="1:10" s="20" customFormat="1" ht="12" x14ac:dyDescent="0.25">
      <c r="A2445" s="22">
        <v>1000020620</v>
      </c>
      <c r="B2445" s="23" t="s">
        <v>836</v>
      </c>
      <c r="C2445" s="24" t="s">
        <v>4</v>
      </c>
      <c r="D2445" s="23" t="s">
        <v>2218</v>
      </c>
      <c r="E2445" s="23">
        <v>158.95881843381801</v>
      </c>
      <c r="F2445" s="23">
        <v>14</v>
      </c>
      <c r="G2445" s="23">
        <v>14</v>
      </c>
      <c r="H2445" s="23">
        <v>0</v>
      </c>
      <c r="I2445" s="23" t="s">
        <v>5</v>
      </c>
      <c r="J2445" s="23" t="s">
        <v>327</v>
      </c>
    </row>
    <row r="2446" spans="1:10" s="20" customFormat="1" ht="12" x14ac:dyDescent="0.25">
      <c r="A2446" s="22">
        <v>1000020779</v>
      </c>
      <c r="B2446" s="23" t="s">
        <v>983</v>
      </c>
      <c r="C2446" s="24" t="s">
        <v>4</v>
      </c>
      <c r="D2446" s="23" t="s">
        <v>2090</v>
      </c>
      <c r="E2446" s="23">
        <v>158.94</v>
      </c>
      <c r="F2446" s="23">
        <v>3</v>
      </c>
      <c r="G2446" s="23">
        <v>3</v>
      </c>
      <c r="H2446" s="23">
        <v>0</v>
      </c>
      <c r="I2446" s="23" t="s">
        <v>5</v>
      </c>
      <c r="J2446" s="23" t="s">
        <v>327</v>
      </c>
    </row>
    <row r="2447" spans="1:10" s="20" customFormat="1" ht="12" x14ac:dyDescent="0.25">
      <c r="A2447" s="22">
        <v>1000096126</v>
      </c>
      <c r="B2447" s="23" t="s">
        <v>4225</v>
      </c>
      <c r="C2447" s="24" t="s">
        <v>4</v>
      </c>
      <c r="D2447" s="23" t="s">
        <v>2056</v>
      </c>
      <c r="E2447" s="23">
        <v>158.87</v>
      </c>
      <c r="F2447" s="23">
        <v>25</v>
      </c>
      <c r="G2447" s="23">
        <v>25</v>
      </c>
      <c r="H2447" s="23">
        <v>0</v>
      </c>
      <c r="I2447" s="23" t="s">
        <v>5</v>
      </c>
      <c r="J2447" s="23" t="s">
        <v>1844</v>
      </c>
    </row>
    <row r="2448" spans="1:10" s="20" customFormat="1" ht="12" x14ac:dyDescent="0.25">
      <c r="A2448" s="22">
        <v>1000021380</v>
      </c>
      <c r="B2448" s="23" t="s">
        <v>1464</v>
      </c>
      <c r="C2448" s="24" t="s">
        <v>4</v>
      </c>
      <c r="D2448" s="23" t="s">
        <v>2090</v>
      </c>
      <c r="E2448" s="23">
        <v>158.756</v>
      </c>
      <c r="F2448" s="23">
        <v>2</v>
      </c>
      <c r="G2448" s="23">
        <v>2</v>
      </c>
      <c r="H2448" s="23">
        <v>0</v>
      </c>
      <c r="I2448" s="23" t="s">
        <v>5</v>
      </c>
      <c r="J2448" s="23" t="s">
        <v>327</v>
      </c>
    </row>
    <row r="2449" spans="1:10" s="20" customFormat="1" ht="12" x14ac:dyDescent="0.25">
      <c r="A2449" s="22">
        <v>1000020501</v>
      </c>
      <c r="B2449" s="23" t="s">
        <v>726</v>
      </c>
      <c r="C2449" s="24" t="s">
        <v>4</v>
      </c>
      <c r="D2449" s="23" t="s">
        <v>2090</v>
      </c>
      <c r="E2449" s="23">
        <v>157.9</v>
      </c>
      <c r="F2449" s="23">
        <v>2</v>
      </c>
      <c r="G2449" s="23">
        <v>2</v>
      </c>
      <c r="H2449" s="23">
        <v>0</v>
      </c>
      <c r="I2449" s="23" t="s">
        <v>5</v>
      </c>
      <c r="J2449" s="23" t="s">
        <v>327</v>
      </c>
    </row>
    <row r="2450" spans="1:10" s="20" customFormat="1" ht="12" x14ac:dyDescent="0.25">
      <c r="A2450" s="22">
        <v>1000098728</v>
      </c>
      <c r="B2450" s="23" t="s">
        <v>1671</v>
      </c>
      <c r="C2450" s="24" t="s">
        <v>4</v>
      </c>
      <c r="D2450" s="23" t="s">
        <v>2090</v>
      </c>
      <c r="E2450" s="23">
        <v>157.75299999999999</v>
      </c>
      <c r="F2450" s="23">
        <v>2</v>
      </c>
      <c r="G2450" s="23">
        <v>2</v>
      </c>
      <c r="H2450" s="23">
        <v>0</v>
      </c>
      <c r="I2450" s="23" t="s">
        <v>5</v>
      </c>
      <c r="J2450" s="23" t="s">
        <v>327</v>
      </c>
    </row>
    <row r="2451" spans="1:10" s="20" customFormat="1" ht="12" x14ac:dyDescent="0.25">
      <c r="A2451" s="22">
        <v>1000020012</v>
      </c>
      <c r="B2451" s="23" t="s">
        <v>4227</v>
      </c>
      <c r="C2451" s="24" t="s">
        <v>4</v>
      </c>
      <c r="D2451" s="23" t="s">
        <v>2090</v>
      </c>
      <c r="E2451" s="23">
        <v>157.376</v>
      </c>
      <c r="F2451" s="23">
        <v>8</v>
      </c>
      <c r="G2451" s="23">
        <v>8</v>
      </c>
      <c r="H2451" s="23">
        <v>0</v>
      </c>
      <c r="I2451" s="23" t="s">
        <v>5</v>
      </c>
      <c r="J2451" s="23" t="s">
        <v>327</v>
      </c>
    </row>
    <row r="2452" spans="1:10" s="20" customFormat="1" ht="12" x14ac:dyDescent="0.25">
      <c r="A2452" s="22">
        <v>1000092381</v>
      </c>
      <c r="B2452" s="23" t="s">
        <v>4228</v>
      </c>
      <c r="C2452" s="24" t="s">
        <v>4</v>
      </c>
      <c r="D2452" s="23" t="s">
        <v>2218</v>
      </c>
      <c r="E2452" s="23">
        <v>157.02000000000001</v>
      </c>
      <c r="F2452" s="23">
        <v>2</v>
      </c>
      <c r="G2452" s="23">
        <v>2</v>
      </c>
      <c r="H2452" s="23">
        <v>0</v>
      </c>
      <c r="I2452" s="23" t="s">
        <v>5</v>
      </c>
      <c r="J2452" s="23" t="s">
        <v>327</v>
      </c>
    </row>
    <row r="2453" spans="1:10" s="20" customFormat="1" ht="12" x14ac:dyDescent="0.25">
      <c r="A2453" s="22">
        <v>1000100235</v>
      </c>
      <c r="B2453" s="23" t="s">
        <v>1692</v>
      </c>
      <c r="C2453" s="24" t="s">
        <v>4</v>
      </c>
      <c r="D2453" s="23" t="s">
        <v>2090</v>
      </c>
      <c r="E2453" s="23">
        <v>156.9468</v>
      </c>
      <c r="F2453" s="23">
        <v>93</v>
      </c>
      <c r="G2453" s="23">
        <v>93</v>
      </c>
      <c r="H2453" s="23">
        <v>0</v>
      </c>
      <c r="I2453" s="23" t="s">
        <v>5</v>
      </c>
      <c r="J2453" s="23" t="s">
        <v>327</v>
      </c>
    </row>
    <row r="2454" spans="1:10" s="20" customFormat="1" ht="12" x14ac:dyDescent="0.25">
      <c r="A2454" s="22">
        <v>1000101569</v>
      </c>
      <c r="B2454" s="23" t="s">
        <v>4231</v>
      </c>
      <c r="C2454" s="24" t="s">
        <v>4</v>
      </c>
      <c r="D2454" s="23" t="s">
        <v>2056</v>
      </c>
      <c r="E2454" s="23">
        <v>155.976</v>
      </c>
      <c r="F2454" s="23">
        <v>3</v>
      </c>
      <c r="G2454" s="23">
        <v>3</v>
      </c>
      <c r="H2454" s="23">
        <v>0</v>
      </c>
      <c r="I2454" s="23" t="s">
        <v>5</v>
      </c>
      <c r="J2454" s="23" t="s">
        <v>1844</v>
      </c>
    </row>
    <row r="2455" spans="1:10" s="20" customFormat="1" ht="12" x14ac:dyDescent="0.25">
      <c r="A2455" s="22">
        <v>1000103011</v>
      </c>
      <c r="B2455" s="23" t="s">
        <v>4232</v>
      </c>
      <c r="C2455" s="24" t="s">
        <v>4</v>
      </c>
      <c r="D2455" s="23" t="s">
        <v>2090</v>
      </c>
      <c r="E2455" s="23">
        <v>155.75933333333299</v>
      </c>
      <c r="F2455" s="23">
        <v>14</v>
      </c>
      <c r="G2455" s="23">
        <v>14</v>
      </c>
      <c r="H2455" s="23">
        <v>0</v>
      </c>
      <c r="I2455" s="23" t="s">
        <v>5</v>
      </c>
      <c r="J2455" s="23" t="s">
        <v>327</v>
      </c>
    </row>
    <row r="2456" spans="1:10" s="20" customFormat="1" ht="12" x14ac:dyDescent="0.25">
      <c r="A2456" s="22">
        <v>1000020397</v>
      </c>
      <c r="B2456" s="23" t="s">
        <v>627</v>
      </c>
      <c r="C2456" s="24" t="s">
        <v>4</v>
      </c>
      <c r="D2456" s="23" t="s">
        <v>2090</v>
      </c>
      <c r="E2456" s="23">
        <v>155.41</v>
      </c>
      <c r="F2456" s="23">
        <v>1</v>
      </c>
      <c r="G2456" s="23">
        <v>1</v>
      </c>
      <c r="H2456" s="23">
        <v>0</v>
      </c>
      <c r="I2456" s="23" t="s">
        <v>5</v>
      </c>
      <c r="J2456" s="23" t="s">
        <v>327</v>
      </c>
    </row>
    <row r="2457" spans="1:10" s="20" customFormat="1" ht="12" x14ac:dyDescent="0.25">
      <c r="A2457" s="22">
        <v>1000103207</v>
      </c>
      <c r="B2457" s="23" t="s">
        <v>1814</v>
      </c>
      <c r="C2457" s="24" t="s">
        <v>4</v>
      </c>
      <c r="D2457" s="23" t="s">
        <v>2090</v>
      </c>
      <c r="E2457" s="23">
        <v>155.25</v>
      </c>
      <c r="F2457" s="23">
        <v>10</v>
      </c>
      <c r="G2457" s="23">
        <v>10</v>
      </c>
      <c r="H2457" s="23">
        <v>0</v>
      </c>
      <c r="I2457" s="23" t="s">
        <v>5</v>
      </c>
      <c r="J2457" s="23" t="s">
        <v>327</v>
      </c>
    </row>
    <row r="2458" spans="1:10" s="20" customFormat="1" ht="12" x14ac:dyDescent="0.25">
      <c r="A2458" s="22">
        <v>1000096394</v>
      </c>
      <c r="B2458" s="23" t="s">
        <v>4233</v>
      </c>
      <c r="C2458" s="24" t="s">
        <v>4</v>
      </c>
      <c r="D2458" s="23" t="s">
        <v>2056</v>
      </c>
      <c r="E2458" s="23">
        <v>154.80000000000001</v>
      </c>
      <c r="F2458" s="23">
        <v>20</v>
      </c>
      <c r="G2458" s="23">
        <v>20</v>
      </c>
      <c r="H2458" s="23">
        <v>0</v>
      </c>
      <c r="I2458" s="23" t="s">
        <v>5</v>
      </c>
      <c r="J2458" s="23" t="s">
        <v>1844</v>
      </c>
    </row>
    <row r="2459" spans="1:10" s="20" customFormat="1" ht="12" x14ac:dyDescent="0.25">
      <c r="A2459" s="22">
        <v>1000020208</v>
      </c>
      <c r="B2459" s="23" t="s">
        <v>448</v>
      </c>
      <c r="C2459" s="24" t="s">
        <v>4</v>
      </c>
      <c r="D2459" s="23" t="s">
        <v>2090</v>
      </c>
      <c r="E2459" s="23">
        <v>154.63</v>
      </c>
      <c r="F2459" s="23">
        <v>1</v>
      </c>
      <c r="G2459" s="23">
        <v>1</v>
      </c>
      <c r="H2459" s="23">
        <v>0</v>
      </c>
      <c r="I2459" s="23" t="s">
        <v>5</v>
      </c>
      <c r="J2459" s="23" t="s">
        <v>327</v>
      </c>
    </row>
    <row r="2460" spans="1:10" s="20" customFormat="1" ht="12" x14ac:dyDescent="0.25">
      <c r="A2460" s="22">
        <v>1000098668</v>
      </c>
      <c r="B2460" s="23" t="s">
        <v>4234</v>
      </c>
      <c r="C2460" s="24" t="s">
        <v>4</v>
      </c>
      <c r="D2460" s="23" t="s">
        <v>2090</v>
      </c>
      <c r="E2460" s="23">
        <v>154.23333333333301</v>
      </c>
      <c r="F2460" s="23">
        <v>1</v>
      </c>
      <c r="G2460" s="23">
        <v>1</v>
      </c>
      <c r="H2460" s="23">
        <v>0</v>
      </c>
      <c r="I2460" s="23" t="s">
        <v>5</v>
      </c>
      <c r="J2460" s="23" t="s">
        <v>327</v>
      </c>
    </row>
    <row r="2461" spans="1:10" s="20" customFormat="1" ht="12" x14ac:dyDescent="0.25">
      <c r="A2461" s="22">
        <v>1000020900</v>
      </c>
      <c r="B2461" s="23" t="s">
        <v>1082</v>
      </c>
      <c r="C2461" s="24" t="s">
        <v>4</v>
      </c>
      <c r="D2461" s="23" t="s">
        <v>2090</v>
      </c>
      <c r="E2461" s="23">
        <v>153.65</v>
      </c>
      <c r="F2461" s="23">
        <v>1</v>
      </c>
      <c r="G2461" s="23">
        <v>1</v>
      </c>
      <c r="H2461" s="23">
        <v>0</v>
      </c>
      <c r="I2461" s="23" t="s">
        <v>5</v>
      </c>
      <c r="J2461" s="23" t="s">
        <v>327</v>
      </c>
    </row>
    <row r="2462" spans="1:10" s="20" customFormat="1" ht="12" x14ac:dyDescent="0.25">
      <c r="A2462" s="22">
        <v>1000020152</v>
      </c>
      <c r="B2462" s="23" t="s">
        <v>403</v>
      </c>
      <c r="C2462" s="24" t="s">
        <v>4</v>
      </c>
      <c r="D2462" s="23" t="s">
        <v>2090</v>
      </c>
      <c r="E2462" s="23">
        <v>153.47999999999999</v>
      </c>
      <c r="F2462" s="23">
        <v>2</v>
      </c>
      <c r="G2462" s="23">
        <v>2</v>
      </c>
      <c r="H2462" s="23">
        <v>0</v>
      </c>
      <c r="I2462" s="23" t="s">
        <v>5</v>
      </c>
      <c r="J2462" s="23" t="s">
        <v>327</v>
      </c>
    </row>
    <row r="2463" spans="1:10" s="20" customFormat="1" ht="12" x14ac:dyDescent="0.25">
      <c r="A2463" s="22">
        <v>1000021180</v>
      </c>
      <c r="B2463" s="23" t="s">
        <v>1327</v>
      </c>
      <c r="C2463" s="24" t="s">
        <v>4</v>
      </c>
      <c r="D2463" s="23" t="s">
        <v>2090</v>
      </c>
      <c r="E2463" s="23">
        <v>151.63999999999999</v>
      </c>
      <c r="F2463" s="23">
        <v>2</v>
      </c>
      <c r="G2463" s="23">
        <v>2</v>
      </c>
      <c r="H2463" s="23">
        <v>0</v>
      </c>
      <c r="I2463" s="23" t="s">
        <v>5</v>
      </c>
      <c r="J2463" s="23" t="s">
        <v>327</v>
      </c>
    </row>
    <row r="2464" spans="1:10" s="20" customFormat="1" ht="12" x14ac:dyDescent="0.25">
      <c r="A2464" s="22">
        <v>1000020467</v>
      </c>
      <c r="B2464" s="23" t="s">
        <v>693</v>
      </c>
      <c r="C2464" s="24" t="s">
        <v>4</v>
      </c>
      <c r="D2464" s="23" t="s">
        <v>2090</v>
      </c>
      <c r="E2464" s="23">
        <v>151.63999999999999</v>
      </c>
      <c r="F2464" s="23">
        <v>4</v>
      </c>
      <c r="G2464" s="23">
        <v>4</v>
      </c>
      <c r="H2464" s="23">
        <v>0</v>
      </c>
      <c r="I2464" s="23" t="s">
        <v>5</v>
      </c>
      <c r="J2464" s="23" t="s">
        <v>327</v>
      </c>
    </row>
    <row r="2465" spans="1:10" s="20" customFormat="1" ht="12" x14ac:dyDescent="0.25">
      <c r="A2465" s="22">
        <v>2500008258</v>
      </c>
      <c r="B2465" s="23" t="s">
        <v>4238</v>
      </c>
      <c r="C2465" s="24" t="s">
        <v>1996</v>
      </c>
      <c r="D2465" s="23" t="s">
        <v>2025</v>
      </c>
      <c r="E2465" s="23">
        <v>151.43</v>
      </c>
      <c r="F2465" s="23">
        <v>1</v>
      </c>
      <c r="G2465" s="23">
        <v>1</v>
      </c>
      <c r="H2465" s="23">
        <v>0</v>
      </c>
      <c r="I2465" s="23" t="s">
        <v>5</v>
      </c>
      <c r="J2465" s="23" t="s">
        <v>1993</v>
      </c>
    </row>
    <row r="2466" spans="1:10" s="20" customFormat="1" ht="12" x14ac:dyDescent="0.25">
      <c r="A2466" s="22">
        <v>2500008077</v>
      </c>
      <c r="B2466" s="23" t="s">
        <v>4239</v>
      </c>
      <c r="C2466" s="24" t="s">
        <v>1996</v>
      </c>
      <c r="D2466" s="23" t="s">
        <v>2025</v>
      </c>
      <c r="E2466" s="23">
        <v>150.64000007499999</v>
      </c>
      <c r="F2466" s="23">
        <v>3</v>
      </c>
      <c r="G2466" s="23">
        <v>3</v>
      </c>
      <c r="H2466" s="23">
        <v>0</v>
      </c>
      <c r="I2466" s="23" t="s">
        <v>5</v>
      </c>
      <c r="J2466" s="23" t="s">
        <v>1993</v>
      </c>
    </row>
    <row r="2467" spans="1:10" s="20" customFormat="1" ht="12" x14ac:dyDescent="0.25">
      <c r="A2467" s="22">
        <v>1000020478</v>
      </c>
      <c r="B2467" s="23" t="s">
        <v>704</v>
      </c>
      <c r="C2467" s="24" t="s">
        <v>4</v>
      </c>
      <c r="D2467" s="23" t="s">
        <v>2090</v>
      </c>
      <c r="E2467" s="23">
        <v>150.17953125</v>
      </c>
      <c r="F2467" s="23">
        <v>3</v>
      </c>
      <c r="G2467" s="23">
        <v>3</v>
      </c>
      <c r="H2467" s="23">
        <v>0</v>
      </c>
      <c r="I2467" s="23" t="s">
        <v>5</v>
      </c>
      <c r="J2467" s="23" t="s">
        <v>327</v>
      </c>
    </row>
    <row r="2468" spans="1:10" s="20" customFormat="1" ht="12" x14ac:dyDescent="0.25">
      <c r="A2468" s="22">
        <v>2500008624</v>
      </c>
      <c r="B2468" s="23" t="s">
        <v>4247</v>
      </c>
      <c r="C2468" s="24" t="s">
        <v>1996</v>
      </c>
      <c r="D2468" s="23" t="s">
        <v>2025</v>
      </c>
      <c r="E2468" s="23">
        <v>150</v>
      </c>
      <c r="F2468" s="23">
        <v>1</v>
      </c>
      <c r="G2468" s="23">
        <v>1</v>
      </c>
      <c r="H2468" s="23">
        <v>0</v>
      </c>
      <c r="I2468" s="23" t="s">
        <v>5</v>
      </c>
      <c r="J2468" s="23" t="s">
        <v>1993</v>
      </c>
    </row>
    <row r="2469" spans="1:10" s="20" customFormat="1" ht="12" x14ac:dyDescent="0.25">
      <c r="A2469" s="22">
        <v>1000020981</v>
      </c>
      <c r="B2469" s="23" t="s">
        <v>1155</v>
      </c>
      <c r="C2469" s="24" t="s">
        <v>4</v>
      </c>
      <c r="D2469" s="23" t="s">
        <v>2090</v>
      </c>
      <c r="E2469" s="23">
        <v>149.52000000000001</v>
      </c>
      <c r="F2469" s="23">
        <v>3</v>
      </c>
      <c r="G2469" s="23">
        <v>3</v>
      </c>
      <c r="H2469" s="23">
        <v>0</v>
      </c>
      <c r="I2469" s="23" t="s">
        <v>5</v>
      </c>
      <c r="J2469" s="23" t="s">
        <v>327</v>
      </c>
    </row>
    <row r="2470" spans="1:10" s="20" customFormat="1" ht="12" x14ac:dyDescent="0.25">
      <c r="A2470" s="22">
        <v>1000107189</v>
      </c>
      <c r="B2470" s="23" t="s">
        <v>4248</v>
      </c>
      <c r="C2470" s="24" t="s">
        <v>4</v>
      </c>
      <c r="D2470" s="23" t="s">
        <v>2056</v>
      </c>
      <c r="E2470" s="23">
        <v>148.9</v>
      </c>
      <c r="F2470" s="23">
        <v>720</v>
      </c>
      <c r="G2470" s="23">
        <v>720</v>
      </c>
      <c r="H2470" s="23">
        <v>0</v>
      </c>
      <c r="I2470" s="23" t="s">
        <v>5</v>
      </c>
      <c r="J2470" s="23" t="s">
        <v>1844</v>
      </c>
    </row>
    <row r="2471" spans="1:10" s="20" customFormat="1" ht="12" x14ac:dyDescent="0.25">
      <c r="A2471" s="22">
        <v>1000020351</v>
      </c>
      <c r="B2471" s="23" t="s">
        <v>583</v>
      </c>
      <c r="C2471" s="24" t="s">
        <v>4</v>
      </c>
      <c r="D2471" s="23" t="s">
        <v>2090</v>
      </c>
      <c r="E2471" s="23">
        <v>148.9</v>
      </c>
      <c r="F2471" s="23">
        <v>5</v>
      </c>
      <c r="G2471" s="23">
        <v>5</v>
      </c>
      <c r="H2471" s="23">
        <v>0</v>
      </c>
      <c r="I2471" s="23" t="s">
        <v>5</v>
      </c>
      <c r="J2471" s="23" t="s">
        <v>327</v>
      </c>
    </row>
    <row r="2472" spans="1:10" s="20" customFormat="1" ht="12" x14ac:dyDescent="0.25">
      <c r="A2472" s="22">
        <v>1000021187</v>
      </c>
      <c r="B2472" s="23" t="s">
        <v>1334</v>
      </c>
      <c r="C2472" s="24" t="s">
        <v>4</v>
      </c>
      <c r="D2472" s="23" t="s">
        <v>2090</v>
      </c>
      <c r="E2472" s="23">
        <v>148.86000000000001</v>
      </c>
      <c r="F2472" s="23">
        <v>1</v>
      </c>
      <c r="G2472" s="23">
        <v>1</v>
      </c>
      <c r="H2472" s="23">
        <v>0</v>
      </c>
      <c r="I2472" s="23" t="s">
        <v>5</v>
      </c>
      <c r="J2472" s="23" t="s">
        <v>327</v>
      </c>
    </row>
    <row r="2473" spans="1:10" s="20" customFormat="1" ht="12" x14ac:dyDescent="0.25">
      <c r="A2473" s="22">
        <v>1000103788</v>
      </c>
      <c r="B2473" s="23" t="s">
        <v>4250</v>
      </c>
      <c r="C2473" s="24" t="s">
        <v>4</v>
      </c>
      <c r="D2473" s="23" t="s">
        <v>2056</v>
      </c>
      <c r="E2473" s="23">
        <v>148.38</v>
      </c>
      <c r="F2473" s="23">
        <v>25</v>
      </c>
      <c r="G2473" s="23">
        <v>25</v>
      </c>
      <c r="H2473" s="23">
        <v>0</v>
      </c>
      <c r="I2473" s="23" t="s">
        <v>5</v>
      </c>
      <c r="J2473" s="23" t="s">
        <v>1844</v>
      </c>
    </row>
    <row r="2474" spans="1:10" s="20" customFormat="1" ht="12" x14ac:dyDescent="0.25">
      <c r="A2474" s="22">
        <v>1000021504</v>
      </c>
      <c r="B2474" s="23" t="s">
        <v>1499</v>
      </c>
      <c r="C2474" s="24" t="s">
        <v>4</v>
      </c>
      <c r="D2474" s="23" t="s">
        <v>2090</v>
      </c>
      <c r="E2474" s="23">
        <v>148.31399999999999</v>
      </c>
      <c r="F2474" s="23">
        <v>3</v>
      </c>
      <c r="G2474" s="23">
        <v>3</v>
      </c>
      <c r="H2474" s="23">
        <v>0</v>
      </c>
      <c r="I2474" s="23" t="s">
        <v>5</v>
      </c>
      <c r="J2474" s="23" t="s">
        <v>327</v>
      </c>
    </row>
    <row r="2475" spans="1:10" s="20" customFormat="1" ht="12" x14ac:dyDescent="0.25">
      <c r="A2475" s="22">
        <v>1000110388</v>
      </c>
      <c r="B2475" s="23" t="s">
        <v>4251</v>
      </c>
      <c r="C2475" s="24" t="s">
        <v>4</v>
      </c>
      <c r="D2475" s="23" t="s">
        <v>2056</v>
      </c>
      <c r="E2475" s="23">
        <v>147.84</v>
      </c>
      <c r="F2475" s="23">
        <v>6</v>
      </c>
      <c r="G2475" s="23">
        <v>6</v>
      </c>
      <c r="H2475" s="23">
        <v>0</v>
      </c>
      <c r="I2475" s="23" t="s">
        <v>5</v>
      </c>
      <c r="J2475" s="23" t="s">
        <v>1844</v>
      </c>
    </row>
    <row r="2476" spans="1:10" s="20" customFormat="1" ht="12" x14ac:dyDescent="0.25">
      <c r="A2476" s="22">
        <v>2500008335</v>
      </c>
      <c r="B2476" s="23" t="s">
        <v>4252</v>
      </c>
      <c r="C2476" s="24" t="s">
        <v>1996</v>
      </c>
      <c r="D2476" s="23" t="s">
        <v>2025</v>
      </c>
      <c r="E2476" s="23">
        <v>147.5</v>
      </c>
      <c r="F2476" s="23">
        <v>2</v>
      </c>
      <c r="G2476" s="23">
        <v>2</v>
      </c>
      <c r="H2476" s="23">
        <v>0</v>
      </c>
      <c r="I2476" s="23" t="s">
        <v>5</v>
      </c>
      <c r="J2476" s="23" t="s">
        <v>1993</v>
      </c>
    </row>
    <row r="2477" spans="1:10" s="20" customFormat="1" ht="12" x14ac:dyDescent="0.25">
      <c r="A2477" s="22">
        <v>1000098600</v>
      </c>
      <c r="B2477" s="23" t="s">
        <v>1605</v>
      </c>
      <c r="C2477" s="24" t="s">
        <v>4</v>
      </c>
      <c r="D2477" s="23" t="s">
        <v>2090</v>
      </c>
      <c r="E2477" s="23">
        <v>147.07499999999999</v>
      </c>
      <c r="F2477" s="23">
        <v>1</v>
      </c>
      <c r="G2477" s="23">
        <v>1</v>
      </c>
      <c r="H2477" s="23">
        <v>0</v>
      </c>
      <c r="I2477" s="23" t="s">
        <v>5</v>
      </c>
      <c r="J2477" s="23" t="s">
        <v>327</v>
      </c>
    </row>
    <row r="2478" spans="1:10" s="20" customFormat="1" ht="12" x14ac:dyDescent="0.25">
      <c r="A2478" s="22">
        <v>1000020172</v>
      </c>
      <c r="B2478" s="23" t="s">
        <v>416</v>
      </c>
      <c r="C2478" s="24" t="s">
        <v>4</v>
      </c>
      <c r="D2478" s="23" t="s">
        <v>2090</v>
      </c>
      <c r="E2478" s="23">
        <v>146.72</v>
      </c>
      <c r="F2478" s="23">
        <v>2</v>
      </c>
      <c r="G2478" s="23">
        <v>2</v>
      </c>
      <c r="H2478" s="23">
        <v>0</v>
      </c>
      <c r="I2478" s="23" t="s">
        <v>5</v>
      </c>
      <c r="J2478" s="23" t="s">
        <v>327</v>
      </c>
    </row>
    <row r="2479" spans="1:10" s="20" customFormat="1" ht="12" x14ac:dyDescent="0.25">
      <c r="A2479" s="22">
        <v>1000020231</v>
      </c>
      <c r="B2479" s="23" t="s">
        <v>471</v>
      </c>
      <c r="C2479" s="24" t="s">
        <v>4</v>
      </c>
      <c r="D2479" s="23" t="s">
        <v>2090</v>
      </c>
      <c r="E2479" s="23">
        <v>146.356394864414</v>
      </c>
      <c r="F2479" s="23">
        <v>25</v>
      </c>
      <c r="G2479" s="23">
        <v>25</v>
      </c>
      <c r="H2479" s="23">
        <v>0</v>
      </c>
      <c r="I2479" s="23" t="s">
        <v>5</v>
      </c>
      <c r="J2479" s="23" t="s">
        <v>327</v>
      </c>
    </row>
    <row r="2480" spans="1:10" s="20" customFormat="1" ht="12" x14ac:dyDescent="0.25">
      <c r="A2480" s="22">
        <v>1000020313</v>
      </c>
      <c r="B2480" s="23" t="s">
        <v>548</v>
      </c>
      <c r="C2480" s="24" t="s">
        <v>4</v>
      </c>
      <c r="D2480" s="23" t="s">
        <v>2090</v>
      </c>
      <c r="E2480" s="23">
        <v>145.47999999999999</v>
      </c>
      <c r="F2480" s="23">
        <v>1</v>
      </c>
      <c r="G2480" s="23">
        <v>1</v>
      </c>
      <c r="H2480" s="23">
        <v>0</v>
      </c>
      <c r="I2480" s="23" t="s">
        <v>5</v>
      </c>
      <c r="J2480" s="23" t="s">
        <v>327</v>
      </c>
    </row>
    <row r="2481" spans="1:10" s="20" customFormat="1" ht="12" x14ac:dyDescent="0.25">
      <c r="A2481" s="22">
        <v>1000021213</v>
      </c>
      <c r="B2481" s="23" t="s">
        <v>1359</v>
      </c>
      <c r="C2481" s="24" t="s">
        <v>4</v>
      </c>
      <c r="D2481" s="23" t="s">
        <v>2090</v>
      </c>
      <c r="E2481" s="23">
        <v>145.47999999999999</v>
      </c>
      <c r="F2481" s="23">
        <v>1</v>
      </c>
      <c r="G2481" s="23">
        <v>1</v>
      </c>
      <c r="H2481" s="23">
        <v>0</v>
      </c>
      <c r="I2481" s="23" t="s">
        <v>5</v>
      </c>
      <c r="J2481" s="23" t="s">
        <v>327</v>
      </c>
    </row>
    <row r="2482" spans="1:10" s="20" customFormat="1" ht="12" x14ac:dyDescent="0.25">
      <c r="A2482" s="22">
        <v>1000020168</v>
      </c>
      <c r="B2482" s="23" t="s">
        <v>414</v>
      </c>
      <c r="C2482" s="24" t="s">
        <v>4</v>
      </c>
      <c r="D2482" s="23" t="s">
        <v>2090</v>
      </c>
      <c r="E2482" s="23">
        <v>144.65</v>
      </c>
      <c r="F2482" s="23">
        <v>5</v>
      </c>
      <c r="G2482" s="23">
        <v>5</v>
      </c>
      <c r="H2482" s="23">
        <v>0</v>
      </c>
      <c r="I2482" s="23" t="s">
        <v>5</v>
      </c>
      <c r="J2482" s="23" t="s">
        <v>327</v>
      </c>
    </row>
    <row r="2483" spans="1:10" s="20" customFormat="1" ht="12" x14ac:dyDescent="0.25">
      <c r="A2483" s="22">
        <v>1000021148</v>
      </c>
      <c r="B2483" s="23" t="s">
        <v>1299</v>
      </c>
      <c r="C2483" s="24" t="s">
        <v>4</v>
      </c>
      <c r="D2483" s="23" t="s">
        <v>2090</v>
      </c>
      <c r="E2483" s="23">
        <v>144.34</v>
      </c>
      <c r="F2483" s="23">
        <v>1</v>
      </c>
      <c r="G2483" s="23">
        <v>1</v>
      </c>
      <c r="H2483" s="23">
        <v>0</v>
      </c>
      <c r="I2483" s="23" t="s">
        <v>5</v>
      </c>
      <c r="J2483" s="23" t="s">
        <v>327</v>
      </c>
    </row>
    <row r="2484" spans="1:10" s="20" customFormat="1" ht="12" x14ac:dyDescent="0.25">
      <c r="A2484" s="22">
        <v>1000098725</v>
      </c>
      <c r="B2484" s="23" t="s">
        <v>1668</v>
      </c>
      <c r="C2484" s="24" t="s">
        <v>4</v>
      </c>
      <c r="D2484" s="23" t="s">
        <v>2090</v>
      </c>
      <c r="E2484" s="23">
        <v>144.08199999999999</v>
      </c>
      <c r="F2484" s="23">
        <v>1</v>
      </c>
      <c r="G2484" s="23">
        <v>1</v>
      </c>
      <c r="H2484" s="23">
        <v>0</v>
      </c>
      <c r="I2484" s="23" t="s">
        <v>5</v>
      </c>
      <c r="J2484" s="23" t="s">
        <v>327</v>
      </c>
    </row>
    <row r="2485" spans="1:10" s="20" customFormat="1" ht="12" x14ac:dyDescent="0.25">
      <c r="A2485" s="22">
        <v>1000021172</v>
      </c>
      <c r="B2485" s="23" t="s">
        <v>1319</v>
      </c>
      <c r="C2485" s="24" t="s">
        <v>4</v>
      </c>
      <c r="D2485" s="23" t="s">
        <v>2090</v>
      </c>
      <c r="E2485" s="23">
        <v>143.82</v>
      </c>
      <c r="F2485" s="23">
        <v>2</v>
      </c>
      <c r="G2485" s="23">
        <v>2</v>
      </c>
      <c r="H2485" s="23">
        <v>0</v>
      </c>
      <c r="I2485" s="23" t="s">
        <v>5</v>
      </c>
      <c r="J2485" s="23" t="s">
        <v>327</v>
      </c>
    </row>
    <row r="2486" spans="1:10" s="20" customFormat="1" ht="12" x14ac:dyDescent="0.25">
      <c r="A2486" s="22">
        <v>1000098737</v>
      </c>
      <c r="B2486" s="23" t="s">
        <v>1677</v>
      </c>
      <c r="C2486" s="24" t="s">
        <v>4</v>
      </c>
      <c r="D2486" s="23" t="s">
        <v>2090</v>
      </c>
      <c r="E2486" s="23">
        <v>143.07</v>
      </c>
      <c r="F2486" s="23">
        <v>2</v>
      </c>
      <c r="G2486" s="23">
        <v>2</v>
      </c>
      <c r="H2486" s="23">
        <v>0</v>
      </c>
      <c r="I2486" s="23" t="s">
        <v>5</v>
      </c>
      <c r="J2486" s="23" t="s">
        <v>327</v>
      </c>
    </row>
    <row r="2487" spans="1:10" s="20" customFormat="1" ht="12" x14ac:dyDescent="0.25">
      <c r="A2487" s="22">
        <v>1000020367</v>
      </c>
      <c r="B2487" s="23" t="s">
        <v>599</v>
      </c>
      <c r="C2487" s="24" t="s">
        <v>4</v>
      </c>
      <c r="D2487" s="23" t="s">
        <v>2090</v>
      </c>
      <c r="E2487" s="23">
        <v>142.56</v>
      </c>
      <c r="F2487" s="23">
        <v>1</v>
      </c>
      <c r="G2487" s="23">
        <v>1</v>
      </c>
      <c r="H2487" s="23">
        <v>0</v>
      </c>
      <c r="I2487" s="23" t="s">
        <v>5</v>
      </c>
      <c r="J2487" s="23" t="s">
        <v>327</v>
      </c>
    </row>
    <row r="2488" spans="1:10" s="20" customFormat="1" ht="12" x14ac:dyDescent="0.25">
      <c r="A2488" s="22">
        <v>2500008136</v>
      </c>
      <c r="B2488" s="23" t="s">
        <v>1917</v>
      </c>
      <c r="C2488" s="24" t="s">
        <v>1996</v>
      </c>
      <c r="D2488" s="23" t="s">
        <v>2025</v>
      </c>
      <c r="E2488" s="23">
        <v>142.5</v>
      </c>
      <c r="F2488" s="23">
        <v>2</v>
      </c>
      <c r="G2488" s="23">
        <v>2</v>
      </c>
      <c r="H2488" s="23">
        <v>0</v>
      </c>
      <c r="I2488" s="23" t="s">
        <v>5</v>
      </c>
      <c r="J2488" s="23" t="s">
        <v>1993</v>
      </c>
    </row>
    <row r="2489" spans="1:10" s="20" customFormat="1" ht="12" x14ac:dyDescent="0.25">
      <c r="A2489" s="22">
        <v>1000020581</v>
      </c>
      <c r="B2489" s="23" t="s">
        <v>797</v>
      </c>
      <c r="C2489" s="24" t="s">
        <v>4</v>
      </c>
      <c r="D2489" s="23" t="s">
        <v>2090</v>
      </c>
      <c r="E2489" s="23">
        <v>142.05000000000001</v>
      </c>
      <c r="F2489" s="23">
        <v>5</v>
      </c>
      <c r="G2489" s="23">
        <v>5</v>
      </c>
      <c r="H2489" s="23">
        <v>0</v>
      </c>
      <c r="I2489" s="23" t="s">
        <v>5</v>
      </c>
      <c r="J2489" s="23" t="s">
        <v>327</v>
      </c>
    </row>
    <row r="2490" spans="1:10" s="20" customFormat="1" ht="12" x14ac:dyDescent="0.25">
      <c r="A2490" s="22">
        <v>2500008259</v>
      </c>
      <c r="B2490" s="23" t="s">
        <v>4258</v>
      </c>
      <c r="C2490" s="24" t="s">
        <v>1996</v>
      </c>
      <c r="D2490" s="23" t="s">
        <v>2025</v>
      </c>
      <c r="E2490" s="23">
        <v>141.86000000000001</v>
      </c>
      <c r="F2490" s="23">
        <v>1</v>
      </c>
      <c r="G2490" s="23">
        <v>1</v>
      </c>
      <c r="H2490" s="23">
        <v>0</v>
      </c>
      <c r="I2490" s="23" t="s">
        <v>5</v>
      </c>
      <c r="J2490" s="23" t="s">
        <v>1993</v>
      </c>
    </row>
    <row r="2491" spans="1:10" s="20" customFormat="1" ht="12" x14ac:dyDescent="0.25">
      <c r="A2491" s="22">
        <v>1000098589</v>
      </c>
      <c r="B2491" s="23" t="s">
        <v>1596</v>
      </c>
      <c r="C2491" s="24" t="s">
        <v>4</v>
      </c>
      <c r="D2491" s="23" t="s">
        <v>2090</v>
      </c>
      <c r="E2491" s="23">
        <v>141.34666666666601</v>
      </c>
      <c r="F2491" s="23">
        <v>1</v>
      </c>
      <c r="G2491" s="23">
        <v>1</v>
      </c>
      <c r="H2491" s="23">
        <v>0</v>
      </c>
      <c r="I2491" s="23" t="s">
        <v>5</v>
      </c>
      <c r="J2491" s="23" t="s">
        <v>327</v>
      </c>
    </row>
    <row r="2492" spans="1:10" s="20" customFormat="1" ht="12" x14ac:dyDescent="0.25">
      <c r="A2492" s="22">
        <v>1000098960</v>
      </c>
      <c r="B2492" s="23" t="s">
        <v>4259</v>
      </c>
      <c r="C2492" s="24" t="s">
        <v>4</v>
      </c>
      <c r="D2492" s="23" t="s">
        <v>2056</v>
      </c>
      <c r="E2492" s="23">
        <v>140.61820576131601</v>
      </c>
      <c r="F2492" s="23">
        <v>10</v>
      </c>
      <c r="G2492" s="23">
        <v>10</v>
      </c>
      <c r="H2492" s="23">
        <v>0</v>
      </c>
      <c r="I2492" s="23" t="s">
        <v>5</v>
      </c>
      <c r="J2492" s="23" t="s">
        <v>1844</v>
      </c>
    </row>
    <row r="2493" spans="1:10" s="20" customFormat="1" ht="12" x14ac:dyDescent="0.25">
      <c r="A2493" s="22">
        <v>1000020668</v>
      </c>
      <c r="B2493" s="23" t="s">
        <v>881</v>
      </c>
      <c r="C2493" s="24" t="s">
        <v>4</v>
      </c>
      <c r="D2493" s="23" t="s">
        <v>2090</v>
      </c>
      <c r="E2493" s="23">
        <v>139.980213732062</v>
      </c>
      <c r="F2493" s="23">
        <v>3</v>
      </c>
      <c r="G2493" s="23">
        <v>0</v>
      </c>
      <c r="H2493" s="23">
        <v>3</v>
      </c>
      <c r="I2493" s="23" t="s">
        <v>44</v>
      </c>
      <c r="J2493" s="23" t="s">
        <v>327</v>
      </c>
    </row>
    <row r="2494" spans="1:10" s="20" customFormat="1" ht="12" x14ac:dyDescent="0.25">
      <c r="A2494" s="22">
        <v>1000020385</v>
      </c>
      <c r="B2494" s="23" t="s">
        <v>615</v>
      </c>
      <c r="C2494" s="24" t="s">
        <v>4</v>
      </c>
      <c r="D2494" s="23" t="s">
        <v>2090</v>
      </c>
      <c r="E2494" s="23">
        <v>139.4</v>
      </c>
      <c r="F2494" s="23">
        <v>10</v>
      </c>
      <c r="G2494" s="23">
        <v>10</v>
      </c>
      <c r="H2494" s="23">
        <v>0</v>
      </c>
      <c r="I2494" s="23" t="s">
        <v>5</v>
      </c>
      <c r="J2494" s="23" t="s">
        <v>327</v>
      </c>
    </row>
    <row r="2495" spans="1:10" s="20" customFormat="1" ht="12" x14ac:dyDescent="0.25">
      <c r="A2495" s="22">
        <v>2500008250</v>
      </c>
      <c r="B2495" s="23" t="s">
        <v>4261</v>
      </c>
      <c r="C2495" s="24" t="s">
        <v>1996</v>
      </c>
      <c r="D2495" s="23" t="s">
        <v>2025</v>
      </c>
      <c r="E2495" s="23">
        <v>138.6455</v>
      </c>
      <c r="F2495" s="23">
        <v>2</v>
      </c>
      <c r="G2495" s="23">
        <v>2</v>
      </c>
      <c r="H2495" s="23">
        <v>0</v>
      </c>
      <c r="I2495" s="23" t="s">
        <v>5</v>
      </c>
      <c r="J2495" s="23" t="s">
        <v>1993</v>
      </c>
    </row>
    <row r="2496" spans="1:10" s="20" customFormat="1" ht="12" x14ac:dyDescent="0.25">
      <c r="A2496" s="22">
        <v>1000021082</v>
      </c>
      <c r="B2496" s="23" t="s">
        <v>1244</v>
      </c>
      <c r="C2496" s="24" t="s">
        <v>4</v>
      </c>
      <c r="D2496" s="23" t="s">
        <v>2090</v>
      </c>
      <c r="E2496" s="23">
        <v>138.4</v>
      </c>
      <c r="F2496" s="23">
        <v>2</v>
      </c>
      <c r="G2496" s="23">
        <v>2</v>
      </c>
      <c r="H2496" s="23">
        <v>0</v>
      </c>
      <c r="I2496" s="23" t="s">
        <v>5</v>
      </c>
      <c r="J2496" s="23" t="s">
        <v>327</v>
      </c>
    </row>
    <row r="2497" spans="1:10" s="20" customFormat="1" ht="12" x14ac:dyDescent="0.25">
      <c r="A2497" s="22">
        <v>1000020897</v>
      </c>
      <c r="B2497" s="23" t="s">
        <v>1079</v>
      </c>
      <c r="C2497" s="24" t="s">
        <v>4</v>
      </c>
      <c r="D2497" s="23" t="s">
        <v>2090</v>
      </c>
      <c r="E2497" s="23">
        <v>137.35</v>
      </c>
      <c r="F2497" s="23">
        <v>1</v>
      </c>
      <c r="G2497" s="23">
        <v>1</v>
      </c>
      <c r="H2497" s="23">
        <v>0</v>
      </c>
      <c r="I2497" s="23" t="s">
        <v>5</v>
      </c>
      <c r="J2497" s="23" t="s">
        <v>327</v>
      </c>
    </row>
    <row r="2498" spans="1:10" s="20" customFormat="1" ht="12" x14ac:dyDescent="0.25">
      <c r="A2498" s="22">
        <v>1000100396</v>
      </c>
      <c r="B2498" s="23" t="s">
        <v>1724</v>
      </c>
      <c r="C2498" s="24" t="s">
        <v>4</v>
      </c>
      <c r="D2498" s="23" t="s">
        <v>2090</v>
      </c>
      <c r="E2498" s="23">
        <v>136.94999999999999</v>
      </c>
      <c r="F2498" s="23">
        <v>1</v>
      </c>
      <c r="G2498" s="23">
        <v>1</v>
      </c>
      <c r="H2498" s="23">
        <v>0</v>
      </c>
      <c r="I2498" s="23" t="s">
        <v>5</v>
      </c>
      <c r="J2498" s="23" t="s">
        <v>327</v>
      </c>
    </row>
    <row r="2499" spans="1:10" s="20" customFormat="1" ht="12" x14ac:dyDescent="0.25">
      <c r="A2499" s="22">
        <v>2700000166</v>
      </c>
      <c r="B2499" s="23" t="s">
        <v>275</v>
      </c>
      <c r="C2499" s="24" t="s">
        <v>2037</v>
      </c>
      <c r="D2499" s="23" t="s">
        <v>2038</v>
      </c>
      <c r="E2499" s="23">
        <v>136.71</v>
      </c>
      <c r="F2499" s="23">
        <v>3</v>
      </c>
      <c r="G2499" s="23">
        <v>3</v>
      </c>
      <c r="H2499" s="23">
        <v>0</v>
      </c>
      <c r="I2499" s="23" t="s">
        <v>5</v>
      </c>
      <c r="J2499" s="23" t="s">
        <v>146</v>
      </c>
    </row>
    <row r="2500" spans="1:10" s="20" customFormat="1" ht="12" x14ac:dyDescent="0.25">
      <c r="A2500" s="22">
        <v>1000020294</v>
      </c>
      <c r="B2500" s="23" t="s">
        <v>530</v>
      </c>
      <c r="C2500" s="24" t="s">
        <v>4</v>
      </c>
      <c r="D2500" s="23" t="s">
        <v>2090</v>
      </c>
      <c r="E2500" s="23">
        <v>136.22</v>
      </c>
      <c r="F2500" s="23">
        <v>2</v>
      </c>
      <c r="G2500" s="23">
        <v>2</v>
      </c>
      <c r="H2500" s="23">
        <v>0</v>
      </c>
      <c r="I2500" s="23" t="s">
        <v>5</v>
      </c>
      <c r="J2500" s="23" t="s">
        <v>327</v>
      </c>
    </row>
    <row r="2501" spans="1:10" s="20" customFormat="1" ht="12" x14ac:dyDescent="0.25">
      <c r="A2501" s="22">
        <v>1000096899</v>
      </c>
      <c r="B2501" s="23" t="s">
        <v>4262</v>
      </c>
      <c r="C2501" s="24" t="s">
        <v>4</v>
      </c>
      <c r="D2501" s="23" t="s">
        <v>2056</v>
      </c>
      <c r="E2501" s="23">
        <v>136</v>
      </c>
      <c r="F2501" s="23">
        <v>1</v>
      </c>
      <c r="G2501" s="23">
        <v>1</v>
      </c>
      <c r="H2501" s="23">
        <v>0</v>
      </c>
      <c r="I2501" s="23" t="s">
        <v>5</v>
      </c>
      <c r="J2501" s="23" t="s">
        <v>1844</v>
      </c>
    </row>
    <row r="2502" spans="1:10" s="20" customFormat="1" ht="12" x14ac:dyDescent="0.25">
      <c r="A2502" s="22">
        <v>1000093599</v>
      </c>
      <c r="B2502" s="23" t="s">
        <v>4264</v>
      </c>
      <c r="C2502" s="24" t="s">
        <v>4</v>
      </c>
      <c r="D2502" s="23" t="s">
        <v>2056</v>
      </c>
      <c r="E2502" s="23">
        <v>135.28215720758001</v>
      </c>
      <c r="F2502" s="23">
        <v>4</v>
      </c>
      <c r="G2502" s="23">
        <v>4</v>
      </c>
      <c r="H2502" s="23">
        <v>0</v>
      </c>
      <c r="I2502" s="23" t="s">
        <v>5</v>
      </c>
      <c r="J2502" s="23" t="s">
        <v>1844</v>
      </c>
    </row>
    <row r="2503" spans="1:10" s="20" customFormat="1" ht="12" x14ac:dyDescent="0.25">
      <c r="A2503" s="22">
        <v>1000109367</v>
      </c>
      <c r="B2503" s="23" t="s">
        <v>4265</v>
      </c>
      <c r="C2503" s="24" t="s">
        <v>4</v>
      </c>
      <c r="D2503" s="23" t="s">
        <v>2043</v>
      </c>
      <c r="E2503" s="23">
        <v>135.24</v>
      </c>
      <c r="F2503" s="23">
        <v>3</v>
      </c>
      <c r="G2503" s="23">
        <v>0</v>
      </c>
      <c r="H2503" s="23">
        <v>3</v>
      </c>
      <c r="I2503" s="23" t="s">
        <v>71</v>
      </c>
      <c r="J2503" s="23" t="s">
        <v>33</v>
      </c>
    </row>
    <row r="2504" spans="1:10" s="20" customFormat="1" ht="12" x14ac:dyDescent="0.25">
      <c r="A2504" s="22">
        <v>1000097186</v>
      </c>
      <c r="B2504" s="23" t="s">
        <v>4267</v>
      </c>
      <c r="C2504" s="24" t="s">
        <v>4</v>
      </c>
      <c r="D2504" s="23" t="s">
        <v>2090</v>
      </c>
      <c r="E2504" s="23">
        <v>134.38</v>
      </c>
      <c r="F2504" s="23">
        <v>2</v>
      </c>
      <c r="G2504" s="23">
        <v>2</v>
      </c>
      <c r="H2504" s="23">
        <v>0</v>
      </c>
      <c r="I2504" s="23" t="s">
        <v>5</v>
      </c>
      <c r="J2504" s="23" t="s">
        <v>327</v>
      </c>
    </row>
    <row r="2505" spans="1:10" s="20" customFormat="1" ht="12" x14ac:dyDescent="0.25">
      <c r="A2505" s="22">
        <v>1000020027</v>
      </c>
      <c r="B2505" s="23" t="s">
        <v>4268</v>
      </c>
      <c r="C2505" s="24" t="s">
        <v>4</v>
      </c>
      <c r="D2505" s="23" t="s">
        <v>2090</v>
      </c>
      <c r="E2505" s="23">
        <v>134.274</v>
      </c>
      <c r="F2505" s="23">
        <v>15</v>
      </c>
      <c r="G2505" s="23">
        <v>15</v>
      </c>
      <c r="H2505" s="23">
        <v>0</v>
      </c>
      <c r="I2505" s="23" t="s">
        <v>5</v>
      </c>
      <c r="J2505" s="23" t="s">
        <v>327</v>
      </c>
    </row>
    <row r="2506" spans="1:10" s="20" customFormat="1" ht="12" x14ac:dyDescent="0.25">
      <c r="A2506" s="22">
        <v>1000096171</v>
      </c>
      <c r="B2506" s="23" t="s">
        <v>4269</v>
      </c>
      <c r="C2506" s="24" t="s">
        <v>4</v>
      </c>
      <c r="D2506" s="23" t="s">
        <v>2090</v>
      </c>
      <c r="E2506" s="23">
        <v>133.97999999999999</v>
      </c>
      <c r="F2506" s="23">
        <v>4</v>
      </c>
      <c r="G2506" s="23">
        <v>4</v>
      </c>
      <c r="H2506" s="23">
        <v>0</v>
      </c>
      <c r="I2506" s="23" t="s">
        <v>5</v>
      </c>
      <c r="J2506" s="23" t="s">
        <v>327</v>
      </c>
    </row>
    <row r="2507" spans="1:10" s="20" customFormat="1" ht="12" x14ac:dyDescent="0.25">
      <c r="A2507" s="22">
        <v>1000103747</v>
      </c>
      <c r="B2507" s="23" t="s">
        <v>1885</v>
      </c>
      <c r="C2507" s="24" t="s">
        <v>4</v>
      </c>
      <c r="D2507" s="23" t="s">
        <v>2056</v>
      </c>
      <c r="E2507" s="23">
        <v>133.58000000000001</v>
      </c>
      <c r="F2507" s="23">
        <v>50</v>
      </c>
      <c r="G2507" s="23">
        <v>50</v>
      </c>
      <c r="H2507" s="23">
        <v>0</v>
      </c>
      <c r="I2507" s="23" t="s">
        <v>5</v>
      </c>
      <c r="J2507" s="23" t="s">
        <v>1844</v>
      </c>
    </row>
    <row r="2508" spans="1:10" s="20" customFormat="1" ht="12" x14ac:dyDescent="0.25">
      <c r="A2508" s="22">
        <v>1000010224</v>
      </c>
      <c r="B2508" s="23" t="s">
        <v>4270</v>
      </c>
      <c r="C2508" s="24" t="s">
        <v>4</v>
      </c>
      <c r="D2508" s="23" t="s">
        <v>2161</v>
      </c>
      <c r="E2508" s="23">
        <v>133.46010000000001</v>
      </c>
      <c r="F2508" s="23">
        <v>3</v>
      </c>
      <c r="G2508" s="23">
        <v>3</v>
      </c>
      <c r="H2508" s="23">
        <v>0</v>
      </c>
      <c r="I2508" s="23" t="s">
        <v>5</v>
      </c>
      <c r="J2508" s="23" t="s">
        <v>111</v>
      </c>
    </row>
    <row r="2509" spans="1:10" s="20" customFormat="1" ht="12" x14ac:dyDescent="0.25">
      <c r="A2509" s="22">
        <v>1000096245</v>
      </c>
      <c r="B2509" s="23" t="s">
        <v>4271</v>
      </c>
      <c r="C2509" s="24" t="s">
        <v>4</v>
      </c>
      <c r="D2509" s="23" t="s">
        <v>2090</v>
      </c>
      <c r="E2509" s="23">
        <v>133.40600000000001</v>
      </c>
      <c r="F2509" s="23">
        <v>13</v>
      </c>
      <c r="G2509" s="23">
        <v>13</v>
      </c>
      <c r="H2509" s="23">
        <v>0</v>
      </c>
      <c r="I2509" s="23" t="s">
        <v>5</v>
      </c>
      <c r="J2509" s="23" t="s">
        <v>327</v>
      </c>
    </row>
    <row r="2510" spans="1:10" s="20" customFormat="1" ht="12" x14ac:dyDescent="0.25">
      <c r="A2510" s="22">
        <v>1000020366</v>
      </c>
      <c r="B2510" s="23" t="s">
        <v>598</v>
      </c>
      <c r="C2510" s="24" t="s">
        <v>4</v>
      </c>
      <c r="D2510" s="23" t="s">
        <v>2090</v>
      </c>
      <c r="E2510" s="23">
        <v>133.37</v>
      </c>
      <c r="F2510" s="23">
        <v>1</v>
      </c>
      <c r="G2510" s="23">
        <v>1</v>
      </c>
      <c r="H2510" s="23">
        <v>0</v>
      </c>
      <c r="I2510" s="23" t="s">
        <v>5</v>
      </c>
      <c r="J2510" s="23" t="s">
        <v>327</v>
      </c>
    </row>
    <row r="2511" spans="1:10" s="20" customFormat="1" ht="12" x14ac:dyDescent="0.25">
      <c r="A2511" s="22">
        <v>1000107652</v>
      </c>
      <c r="B2511" s="23" t="s">
        <v>4272</v>
      </c>
      <c r="C2511" s="24" t="s">
        <v>4</v>
      </c>
      <c r="D2511" s="23" t="s">
        <v>2056</v>
      </c>
      <c r="E2511" s="23">
        <v>133</v>
      </c>
      <c r="F2511" s="23">
        <v>25</v>
      </c>
      <c r="G2511" s="23">
        <v>25</v>
      </c>
      <c r="H2511" s="23">
        <v>0</v>
      </c>
      <c r="I2511" s="23" t="s">
        <v>5</v>
      </c>
      <c r="J2511" s="23" t="s">
        <v>1844</v>
      </c>
    </row>
    <row r="2512" spans="1:10" s="20" customFormat="1" ht="12" x14ac:dyDescent="0.25">
      <c r="A2512" s="22">
        <v>1000097873</v>
      </c>
      <c r="B2512" s="23" t="s">
        <v>4273</v>
      </c>
      <c r="C2512" s="24" t="s">
        <v>2257</v>
      </c>
      <c r="D2512" s="23" t="s">
        <v>2070</v>
      </c>
      <c r="E2512" s="23">
        <v>132.79872222222201</v>
      </c>
      <c r="F2512" s="23">
        <v>12</v>
      </c>
      <c r="G2512" s="23">
        <v>12</v>
      </c>
      <c r="H2512" s="23">
        <v>0</v>
      </c>
      <c r="I2512" s="23" t="s">
        <v>5</v>
      </c>
      <c r="J2512" s="23" t="s">
        <v>6</v>
      </c>
    </row>
    <row r="2513" spans="1:10" s="20" customFormat="1" ht="12" x14ac:dyDescent="0.25">
      <c r="A2513" s="22">
        <v>1000020439</v>
      </c>
      <c r="B2513" s="23" t="s">
        <v>666</v>
      </c>
      <c r="C2513" s="24" t="s">
        <v>4</v>
      </c>
      <c r="D2513" s="23" t="s">
        <v>2090</v>
      </c>
      <c r="E2513" s="23">
        <v>132.71250000000001</v>
      </c>
      <c r="F2513" s="23">
        <v>11</v>
      </c>
      <c r="G2513" s="23">
        <v>11</v>
      </c>
      <c r="H2513" s="23">
        <v>0</v>
      </c>
      <c r="I2513" s="23" t="s">
        <v>5</v>
      </c>
      <c r="J2513" s="23" t="s">
        <v>327</v>
      </c>
    </row>
    <row r="2514" spans="1:10" s="20" customFormat="1" ht="12" x14ac:dyDescent="0.25">
      <c r="A2514" s="22">
        <v>1000100350</v>
      </c>
      <c r="B2514" s="23" t="s">
        <v>4274</v>
      </c>
      <c r="C2514" s="24" t="s">
        <v>4</v>
      </c>
      <c r="D2514" s="23" t="s">
        <v>2090</v>
      </c>
      <c r="E2514" s="23">
        <v>132.30000000000001</v>
      </c>
      <c r="F2514" s="23">
        <v>4</v>
      </c>
      <c r="G2514" s="23">
        <v>4</v>
      </c>
      <c r="H2514" s="23">
        <v>0</v>
      </c>
      <c r="I2514" s="23" t="s">
        <v>5</v>
      </c>
      <c r="J2514" s="23" t="s">
        <v>327</v>
      </c>
    </row>
    <row r="2515" spans="1:10" s="20" customFormat="1" ht="12" x14ac:dyDescent="0.25">
      <c r="A2515" s="22">
        <v>1000020594</v>
      </c>
      <c r="B2515" s="23" t="s">
        <v>810</v>
      </c>
      <c r="C2515" s="24" t="s">
        <v>4</v>
      </c>
      <c r="D2515" s="23" t="s">
        <v>2090</v>
      </c>
      <c r="E2515" s="23">
        <v>132</v>
      </c>
      <c r="F2515" s="23">
        <v>25</v>
      </c>
      <c r="G2515" s="23">
        <v>25</v>
      </c>
      <c r="H2515" s="23">
        <v>0</v>
      </c>
      <c r="I2515" s="23" t="s">
        <v>5</v>
      </c>
      <c r="J2515" s="23" t="s">
        <v>327</v>
      </c>
    </row>
    <row r="2516" spans="1:10" s="20" customFormat="1" ht="12" x14ac:dyDescent="0.25">
      <c r="A2516" s="22">
        <v>1000020588</v>
      </c>
      <c r="B2516" s="23" t="s">
        <v>804</v>
      </c>
      <c r="C2516" s="24" t="s">
        <v>4</v>
      </c>
      <c r="D2516" s="23" t="s">
        <v>2090</v>
      </c>
      <c r="E2516" s="23">
        <v>132</v>
      </c>
      <c r="F2516" s="23">
        <v>25</v>
      </c>
      <c r="G2516" s="23">
        <v>25</v>
      </c>
      <c r="H2516" s="23">
        <v>0</v>
      </c>
      <c r="I2516" s="23" t="s">
        <v>5</v>
      </c>
      <c r="J2516" s="23" t="s">
        <v>327</v>
      </c>
    </row>
    <row r="2517" spans="1:10" s="20" customFormat="1" ht="12" x14ac:dyDescent="0.25">
      <c r="A2517" s="22">
        <v>1000100383</v>
      </c>
      <c r="B2517" s="23" t="s">
        <v>1713</v>
      </c>
      <c r="C2517" s="24" t="s">
        <v>4</v>
      </c>
      <c r="D2517" s="23" t="s">
        <v>2090</v>
      </c>
      <c r="E2517" s="23">
        <v>131.95966666666601</v>
      </c>
      <c r="F2517" s="23">
        <v>29</v>
      </c>
      <c r="G2517" s="23">
        <v>29</v>
      </c>
      <c r="H2517" s="23">
        <v>0</v>
      </c>
      <c r="I2517" s="23" t="s">
        <v>5</v>
      </c>
      <c r="J2517" s="23" t="s">
        <v>327</v>
      </c>
    </row>
    <row r="2518" spans="1:10" s="20" customFormat="1" ht="12" x14ac:dyDescent="0.25">
      <c r="A2518" s="22">
        <v>1000020307</v>
      </c>
      <c r="B2518" s="23" t="s">
        <v>543</v>
      </c>
      <c r="C2518" s="24" t="s">
        <v>4</v>
      </c>
      <c r="D2518" s="23" t="s">
        <v>2090</v>
      </c>
      <c r="E2518" s="23">
        <v>131.92500000000001</v>
      </c>
      <c r="F2518" s="23">
        <v>1</v>
      </c>
      <c r="G2518" s="23">
        <v>1</v>
      </c>
      <c r="H2518" s="23">
        <v>0</v>
      </c>
      <c r="I2518" s="23" t="s">
        <v>5</v>
      </c>
      <c r="J2518" s="23" t="s">
        <v>327</v>
      </c>
    </row>
    <row r="2519" spans="1:10" s="20" customFormat="1" ht="12" x14ac:dyDescent="0.25">
      <c r="A2519" s="22">
        <v>1000020469</v>
      </c>
      <c r="B2519" s="23" t="s">
        <v>695</v>
      </c>
      <c r="C2519" s="24" t="s">
        <v>4</v>
      </c>
      <c r="D2519" s="23" t="s">
        <v>2090</v>
      </c>
      <c r="E2519" s="23">
        <v>131.52000000000001</v>
      </c>
      <c r="F2519" s="23">
        <v>4</v>
      </c>
      <c r="G2519" s="23">
        <v>4</v>
      </c>
      <c r="H2519" s="23">
        <v>0</v>
      </c>
      <c r="I2519" s="23" t="s">
        <v>5</v>
      </c>
      <c r="J2519" s="23" t="s">
        <v>327</v>
      </c>
    </row>
    <row r="2520" spans="1:10" s="20" customFormat="1" ht="12" x14ac:dyDescent="0.25">
      <c r="A2520" s="22">
        <v>1000021100</v>
      </c>
      <c r="B2520" s="23" t="s">
        <v>1261</v>
      </c>
      <c r="C2520" s="24" t="s">
        <v>4</v>
      </c>
      <c r="D2520" s="23" t="s">
        <v>2090</v>
      </c>
      <c r="E2520" s="23">
        <v>131.26</v>
      </c>
      <c r="F2520" s="23">
        <v>1</v>
      </c>
      <c r="G2520" s="23">
        <v>1</v>
      </c>
      <c r="H2520" s="23">
        <v>0</v>
      </c>
      <c r="I2520" s="23" t="s">
        <v>5</v>
      </c>
      <c r="J2520" s="23" t="s">
        <v>327</v>
      </c>
    </row>
    <row r="2521" spans="1:10" s="20" customFormat="1" ht="12" x14ac:dyDescent="0.25">
      <c r="A2521" s="22">
        <v>1000020672</v>
      </c>
      <c r="B2521" s="23" t="s">
        <v>885</v>
      </c>
      <c r="C2521" s="24" t="s">
        <v>4</v>
      </c>
      <c r="D2521" s="23" t="s">
        <v>2090</v>
      </c>
      <c r="E2521" s="23">
        <v>131.25</v>
      </c>
      <c r="F2521" s="23">
        <v>3</v>
      </c>
      <c r="G2521" s="23">
        <v>3</v>
      </c>
      <c r="H2521" s="23">
        <v>0</v>
      </c>
      <c r="I2521" s="23" t="s">
        <v>5</v>
      </c>
      <c r="J2521" s="23" t="s">
        <v>327</v>
      </c>
    </row>
    <row r="2522" spans="1:10" s="20" customFormat="1" ht="12" x14ac:dyDescent="0.25">
      <c r="A2522" s="22">
        <v>1000097873</v>
      </c>
      <c r="B2522" s="23" t="s">
        <v>4273</v>
      </c>
      <c r="C2522" s="24" t="s">
        <v>2109</v>
      </c>
      <c r="D2522" s="23" t="s">
        <v>2070</v>
      </c>
      <c r="E2522" s="23">
        <v>131.02500000000001</v>
      </c>
      <c r="F2522" s="23">
        <v>5</v>
      </c>
      <c r="G2522" s="23">
        <v>5</v>
      </c>
      <c r="H2522" s="23">
        <v>0</v>
      </c>
      <c r="I2522" s="23" t="s">
        <v>5</v>
      </c>
      <c r="J2522" s="23" t="s">
        <v>6</v>
      </c>
    </row>
    <row r="2523" spans="1:10" s="20" customFormat="1" ht="12" x14ac:dyDescent="0.25">
      <c r="A2523" s="22">
        <v>1000110824</v>
      </c>
      <c r="B2523" s="23" t="s">
        <v>4276</v>
      </c>
      <c r="C2523" s="24" t="s">
        <v>4</v>
      </c>
      <c r="D2523" s="23" t="s">
        <v>2056</v>
      </c>
      <c r="E2523" s="23">
        <v>130.07320000000001</v>
      </c>
      <c r="F2523" s="23">
        <v>4</v>
      </c>
      <c r="G2523" s="23">
        <v>4</v>
      </c>
      <c r="H2523" s="23">
        <v>0</v>
      </c>
      <c r="I2523" s="23" t="s">
        <v>5</v>
      </c>
      <c r="J2523" s="23" t="s">
        <v>1844</v>
      </c>
    </row>
    <row r="2524" spans="1:10" s="20" customFormat="1" ht="12" x14ac:dyDescent="0.25">
      <c r="A2524" s="22">
        <v>2500008456</v>
      </c>
      <c r="B2524" s="23" t="s">
        <v>4277</v>
      </c>
      <c r="C2524" s="24" t="s">
        <v>1996</v>
      </c>
      <c r="D2524" s="23" t="s">
        <v>2025</v>
      </c>
      <c r="E2524" s="23">
        <v>129.9375</v>
      </c>
      <c r="F2524" s="23">
        <v>1</v>
      </c>
      <c r="G2524" s="23">
        <v>1</v>
      </c>
      <c r="H2524" s="23">
        <v>0</v>
      </c>
      <c r="I2524" s="23" t="s">
        <v>5</v>
      </c>
      <c r="J2524" s="23" t="s">
        <v>1993</v>
      </c>
    </row>
    <row r="2525" spans="1:10" s="20" customFormat="1" ht="12" x14ac:dyDescent="0.25">
      <c r="A2525" s="22">
        <v>1000099505</v>
      </c>
      <c r="B2525" s="23" t="s">
        <v>4278</v>
      </c>
      <c r="C2525" s="24" t="s">
        <v>4</v>
      </c>
      <c r="D2525" s="23" t="s">
        <v>2090</v>
      </c>
      <c r="E2525" s="23">
        <v>129.88</v>
      </c>
      <c r="F2525" s="23">
        <v>29</v>
      </c>
      <c r="G2525" s="23">
        <v>29</v>
      </c>
      <c r="H2525" s="23">
        <v>0</v>
      </c>
      <c r="I2525" s="23" t="s">
        <v>5</v>
      </c>
      <c r="J2525" s="23" t="s">
        <v>327</v>
      </c>
    </row>
    <row r="2526" spans="1:10" s="20" customFormat="1" ht="12" x14ac:dyDescent="0.25">
      <c r="A2526" s="22">
        <v>1000020997</v>
      </c>
      <c r="B2526" s="23" t="s">
        <v>1170</v>
      </c>
      <c r="C2526" s="24" t="s">
        <v>4</v>
      </c>
      <c r="D2526" s="23" t="s">
        <v>2090</v>
      </c>
      <c r="E2526" s="23">
        <v>129.47615384615301</v>
      </c>
      <c r="F2526" s="23">
        <v>1</v>
      </c>
      <c r="G2526" s="23">
        <v>1</v>
      </c>
      <c r="H2526" s="23">
        <v>0</v>
      </c>
      <c r="I2526" s="23" t="s">
        <v>5</v>
      </c>
      <c r="J2526" s="23" t="s">
        <v>327</v>
      </c>
    </row>
    <row r="2527" spans="1:10" s="20" customFormat="1" ht="12" x14ac:dyDescent="0.25">
      <c r="A2527" s="22">
        <v>1000020921</v>
      </c>
      <c r="B2527" s="23" t="s">
        <v>1101</v>
      </c>
      <c r="C2527" s="24" t="s">
        <v>4</v>
      </c>
      <c r="D2527" s="23" t="s">
        <v>2090</v>
      </c>
      <c r="E2527" s="23">
        <v>129.22</v>
      </c>
      <c r="F2527" s="23">
        <v>1</v>
      </c>
      <c r="G2527" s="23">
        <v>1</v>
      </c>
      <c r="H2527" s="23">
        <v>0</v>
      </c>
      <c r="I2527" s="23" t="s">
        <v>5</v>
      </c>
      <c r="J2527" s="23" t="s">
        <v>327</v>
      </c>
    </row>
    <row r="2528" spans="1:10" s="20" customFormat="1" ht="12" x14ac:dyDescent="0.25">
      <c r="A2528" s="22">
        <v>1000100311</v>
      </c>
      <c r="B2528" s="23" t="s">
        <v>4279</v>
      </c>
      <c r="C2528" s="24" t="s">
        <v>4</v>
      </c>
      <c r="D2528" s="23" t="s">
        <v>2090</v>
      </c>
      <c r="E2528" s="23">
        <v>129.15</v>
      </c>
      <c r="F2528" s="23">
        <v>12</v>
      </c>
      <c r="G2528" s="23">
        <v>12</v>
      </c>
      <c r="H2528" s="23">
        <v>0</v>
      </c>
      <c r="I2528" s="23" t="s">
        <v>5</v>
      </c>
      <c r="J2528" s="23" t="s">
        <v>327</v>
      </c>
    </row>
    <row r="2529" spans="1:10" s="20" customFormat="1" ht="12" x14ac:dyDescent="0.25">
      <c r="A2529" s="22">
        <v>2500008446</v>
      </c>
      <c r="B2529" s="23" t="s">
        <v>4280</v>
      </c>
      <c r="C2529" s="24" t="s">
        <v>1996</v>
      </c>
      <c r="D2529" s="23" t="s">
        <v>2025</v>
      </c>
      <c r="E2529" s="23">
        <v>129.107143169642</v>
      </c>
      <c r="F2529" s="23">
        <v>5</v>
      </c>
      <c r="G2529" s="23">
        <v>5</v>
      </c>
      <c r="H2529" s="23">
        <v>0</v>
      </c>
      <c r="I2529" s="23" t="s">
        <v>5</v>
      </c>
      <c r="J2529" s="23" t="s">
        <v>1993</v>
      </c>
    </row>
    <row r="2530" spans="1:10" s="20" customFormat="1" ht="12" x14ac:dyDescent="0.25">
      <c r="A2530" s="22">
        <v>1000096411</v>
      </c>
      <c r="B2530" s="23" t="s">
        <v>4281</v>
      </c>
      <c r="C2530" s="24" t="s">
        <v>4</v>
      </c>
      <c r="D2530" s="23" t="s">
        <v>2056</v>
      </c>
      <c r="E2530" s="23">
        <v>128.69</v>
      </c>
      <c r="F2530" s="23">
        <v>1</v>
      </c>
      <c r="G2530" s="23">
        <v>1</v>
      </c>
      <c r="H2530" s="23">
        <v>0</v>
      </c>
      <c r="I2530" s="23" t="s">
        <v>5</v>
      </c>
      <c r="J2530" s="23" t="s">
        <v>1844</v>
      </c>
    </row>
    <row r="2531" spans="1:10" s="20" customFormat="1" ht="12" x14ac:dyDescent="0.25">
      <c r="A2531" s="22">
        <v>1000020226</v>
      </c>
      <c r="B2531" s="23" t="s">
        <v>466</v>
      </c>
      <c r="C2531" s="24" t="s">
        <v>4</v>
      </c>
      <c r="D2531" s="23" t="s">
        <v>2090</v>
      </c>
      <c r="E2531" s="23">
        <v>127.84</v>
      </c>
      <c r="F2531" s="23">
        <v>20</v>
      </c>
      <c r="G2531" s="23">
        <v>20</v>
      </c>
      <c r="H2531" s="23">
        <v>0</v>
      </c>
      <c r="I2531" s="23" t="s">
        <v>5</v>
      </c>
      <c r="J2531" s="23" t="s">
        <v>327</v>
      </c>
    </row>
    <row r="2532" spans="1:10" s="20" customFormat="1" ht="12" x14ac:dyDescent="0.25">
      <c r="A2532" s="22">
        <v>1000099723</v>
      </c>
      <c r="B2532" s="23" t="s">
        <v>4282</v>
      </c>
      <c r="C2532" s="24" t="s">
        <v>4</v>
      </c>
      <c r="D2532" s="23" t="s">
        <v>2090</v>
      </c>
      <c r="E2532" s="23">
        <v>127.84</v>
      </c>
      <c r="F2532" s="23">
        <v>1</v>
      </c>
      <c r="G2532" s="23">
        <v>1</v>
      </c>
      <c r="H2532" s="23">
        <v>0</v>
      </c>
      <c r="I2532" s="23" t="s">
        <v>5</v>
      </c>
      <c r="J2532" s="23" t="s">
        <v>327</v>
      </c>
    </row>
    <row r="2533" spans="1:10" s="20" customFormat="1" ht="12" x14ac:dyDescent="0.25">
      <c r="A2533" s="22">
        <v>2500008371</v>
      </c>
      <c r="B2533" s="23" t="s">
        <v>4283</v>
      </c>
      <c r="C2533" s="24" t="s">
        <v>1996</v>
      </c>
      <c r="D2533" s="23" t="s">
        <v>2025</v>
      </c>
      <c r="E2533" s="23">
        <v>127.67</v>
      </c>
      <c r="F2533" s="23">
        <v>2</v>
      </c>
      <c r="G2533" s="23">
        <v>2</v>
      </c>
      <c r="H2533" s="23">
        <v>0</v>
      </c>
      <c r="I2533" s="23" t="s">
        <v>5</v>
      </c>
      <c r="J2533" s="23" t="s">
        <v>1993</v>
      </c>
    </row>
    <row r="2534" spans="1:10" s="20" customFormat="1" ht="12" x14ac:dyDescent="0.25">
      <c r="A2534" s="22">
        <v>1000095832</v>
      </c>
      <c r="B2534" s="23" t="s">
        <v>4284</v>
      </c>
      <c r="C2534" s="24" t="s">
        <v>4</v>
      </c>
      <c r="D2534" s="23" t="s">
        <v>2056</v>
      </c>
      <c r="E2534" s="23">
        <v>127.5</v>
      </c>
      <c r="F2534" s="23">
        <v>1</v>
      </c>
      <c r="G2534" s="23">
        <v>1</v>
      </c>
      <c r="H2534" s="23">
        <v>0</v>
      </c>
      <c r="I2534" s="23" t="s">
        <v>5</v>
      </c>
      <c r="J2534" s="23" t="s">
        <v>1844</v>
      </c>
    </row>
    <row r="2535" spans="1:10" s="20" customFormat="1" ht="12" x14ac:dyDescent="0.25">
      <c r="A2535" s="22">
        <v>2500009420</v>
      </c>
      <c r="B2535" s="23" t="s">
        <v>4285</v>
      </c>
      <c r="C2535" s="24" t="s">
        <v>1996</v>
      </c>
      <c r="D2535" s="23" t="s">
        <v>2289</v>
      </c>
      <c r="E2535" s="23">
        <v>127.5</v>
      </c>
      <c r="F2535" s="23">
        <v>1</v>
      </c>
      <c r="G2535" s="23">
        <v>1</v>
      </c>
      <c r="H2535" s="23">
        <v>0</v>
      </c>
      <c r="I2535" s="23" t="s">
        <v>5</v>
      </c>
      <c r="J2535" s="23" t="s">
        <v>1993</v>
      </c>
    </row>
    <row r="2536" spans="1:10" s="20" customFormat="1" ht="12" x14ac:dyDescent="0.25">
      <c r="A2536" s="22">
        <v>2500009340</v>
      </c>
      <c r="B2536" s="23" t="s">
        <v>4287</v>
      </c>
      <c r="C2536" s="24" t="s">
        <v>1996</v>
      </c>
      <c r="D2536" s="23" t="s">
        <v>2289</v>
      </c>
      <c r="E2536" s="23">
        <v>127.5</v>
      </c>
      <c r="F2536" s="23">
        <v>2</v>
      </c>
      <c r="G2536" s="23">
        <v>2</v>
      </c>
      <c r="H2536" s="23">
        <v>0</v>
      </c>
      <c r="I2536" s="23" t="s">
        <v>5</v>
      </c>
      <c r="J2536" s="23" t="s">
        <v>1993</v>
      </c>
    </row>
    <row r="2537" spans="1:10" s="20" customFormat="1" ht="12" x14ac:dyDescent="0.25">
      <c r="A2537" s="22">
        <v>1000095771</v>
      </c>
      <c r="B2537" s="23" t="s">
        <v>4289</v>
      </c>
      <c r="C2537" s="24" t="s">
        <v>4</v>
      </c>
      <c r="D2537" s="23" t="s">
        <v>2056</v>
      </c>
      <c r="E2537" s="23">
        <v>127.49</v>
      </c>
      <c r="F2537" s="23">
        <v>50</v>
      </c>
      <c r="G2537" s="23">
        <v>50</v>
      </c>
      <c r="H2537" s="23">
        <v>0</v>
      </c>
      <c r="I2537" s="23" t="s">
        <v>5</v>
      </c>
      <c r="J2537" s="23" t="s">
        <v>1844</v>
      </c>
    </row>
    <row r="2538" spans="1:10" s="20" customFormat="1" ht="12" x14ac:dyDescent="0.25">
      <c r="A2538" s="22">
        <v>1000110661</v>
      </c>
      <c r="B2538" s="23" t="s">
        <v>4290</v>
      </c>
      <c r="C2538" s="24" t="s">
        <v>4</v>
      </c>
      <c r="D2538" s="23" t="s">
        <v>2090</v>
      </c>
      <c r="E2538" s="23">
        <v>126.9</v>
      </c>
      <c r="F2538" s="23">
        <v>6</v>
      </c>
      <c r="G2538" s="23">
        <v>0</v>
      </c>
      <c r="H2538" s="23">
        <v>6</v>
      </c>
      <c r="I2538" s="23" t="s">
        <v>71</v>
      </c>
      <c r="J2538" s="23" t="s">
        <v>327</v>
      </c>
    </row>
    <row r="2539" spans="1:10" s="20" customFormat="1" ht="12" x14ac:dyDescent="0.25">
      <c r="A2539" s="22">
        <v>1000020057</v>
      </c>
      <c r="B2539" s="23" t="s">
        <v>4291</v>
      </c>
      <c r="C2539" s="24" t="s">
        <v>4</v>
      </c>
      <c r="D2539" s="23" t="s">
        <v>2090</v>
      </c>
      <c r="E2539" s="23">
        <v>126.627519230769</v>
      </c>
      <c r="F2539" s="23">
        <v>9</v>
      </c>
      <c r="G2539" s="23">
        <v>0</v>
      </c>
      <c r="H2539" s="23">
        <v>9</v>
      </c>
      <c r="I2539" s="23" t="s">
        <v>44</v>
      </c>
      <c r="J2539" s="23" t="s">
        <v>327</v>
      </c>
    </row>
    <row r="2540" spans="1:10" s="20" customFormat="1" ht="12" x14ac:dyDescent="0.25">
      <c r="A2540" s="22">
        <v>1000096300</v>
      </c>
      <c r="B2540" s="23" t="s">
        <v>4292</v>
      </c>
      <c r="C2540" s="24" t="s">
        <v>4</v>
      </c>
      <c r="D2540" s="23" t="s">
        <v>2056</v>
      </c>
      <c r="E2540" s="23">
        <v>126.0252</v>
      </c>
      <c r="F2540" s="23">
        <v>9</v>
      </c>
      <c r="G2540" s="23">
        <v>9</v>
      </c>
      <c r="H2540" s="23">
        <v>0</v>
      </c>
      <c r="I2540" s="23" t="s">
        <v>5</v>
      </c>
      <c r="J2540" s="23" t="s">
        <v>1844</v>
      </c>
    </row>
    <row r="2541" spans="1:10" s="20" customFormat="1" ht="12" x14ac:dyDescent="0.25">
      <c r="A2541" s="22">
        <v>1000020167</v>
      </c>
      <c r="B2541" s="23" t="s">
        <v>413</v>
      </c>
      <c r="C2541" s="24" t="s">
        <v>4</v>
      </c>
      <c r="D2541" s="23" t="s">
        <v>2090</v>
      </c>
      <c r="E2541" s="23">
        <v>125.85</v>
      </c>
      <c r="F2541" s="23">
        <v>5</v>
      </c>
      <c r="G2541" s="23">
        <v>5</v>
      </c>
      <c r="H2541" s="23">
        <v>0</v>
      </c>
      <c r="I2541" s="23" t="s">
        <v>5</v>
      </c>
      <c r="J2541" s="23" t="s">
        <v>327</v>
      </c>
    </row>
    <row r="2542" spans="1:10" s="20" customFormat="1" ht="12" x14ac:dyDescent="0.25">
      <c r="A2542" s="22">
        <v>1000102228</v>
      </c>
      <c r="B2542" s="23" t="s">
        <v>1780</v>
      </c>
      <c r="C2542" s="24" t="s">
        <v>4</v>
      </c>
      <c r="D2542" s="23" t="s">
        <v>2090</v>
      </c>
      <c r="E2542" s="23">
        <v>125.85</v>
      </c>
      <c r="F2542" s="23">
        <v>6</v>
      </c>
      <c r="G2542" s="23">
        <v>6</v>
      </c>
      <c r="H2542" s="23">
        <v>0</v>
      </c>
      <c r="I2542" s="23" t="s">
        <v>5</v>
      </c>
      <c r="J2542" s="23" t="s">
        <v>327</v>
      </c>
    </row>
    <row r="2543" spans="1:10" s="20" customFormat="1" ht="12" x14ac:dyDescent="0.25">
      <c r="A2543" s="22">
        <v>1000020466</v>
      </c>
      <c r="B2543" s="23" t="s">
        <v>692</v>
      </c>
      <c r="C2543" s="24" t="s">
        <v>4</v>
      </c>
      <c r="D2543" s="23" t="s">
        <v>2090</v>
      </c>
      <c r="E2543" s="23">
        <v>125.67</v>
      </c>
      <c r="F2543" s="23">
        <v>3</v>
      </c>
      <c r="G2543" s="23">
        <v>3</v>
      </c>
      <c r="H2543" s="23">
        <v>0</v>
      </c>
      <c r="I2543" s="23" t="s">
        <v>5</v>
      </c>
      <c r="J2543" s="23" t="s">
        <v>327</v>
      </c>
    </row>
    <row r="2544" spans="1:10" s="20" customFormat="1" ht="12" x14ac:dyDescent="0.25">
      <c r="A2544" s="22">
        <v>1000020787</v>
      </c>
      <c r="B2544" s="23" t="s">
        <v>991</v>
      </c>
      <c r="C2544" s="24" t="s">
        <v>4</v>
      </c>
      <c r="D2544" s="23" t="s">
        <v>2090</v>
      </c>
      <c r="E2544" s="23">
        <v>125.46</v>
      </c>
      <c r="F2544" s="23">
        <v>2</v>
      </c>
      <c r="G2544" s="23">
        <v>2</v>
      </c>
      <c r="H2544" s="23">
        <v>0</v>
      </c>
      <c r="I2544" s="23" t="s">
        <v>5</v>
      </c>
      <c r="J2544" s="23" t="s">
        <v>327</v>
      </c>
    </row>
    <row r="2545" spans="1:10" s="20" customFormat="1" ht="12" x14ac:dyDescent="0.25">
      <c r="A2545" s="22">
        <v>1000020364</v>
      </c>
      <c r="B2545" s="23" t="s">
        <v>596</v>
      </c>
      <c r="C2545" s="24" t="s">
        <v>4</v>
      </c>
      <c r="D2545" s="23" t="s">
        <v>2090</v>
      </c>
      <c r="E2545" s="23">
        <v>124.89</v>
      </c>
      <c r="F2545" s="23">
        <v>1</v>
      </c>
      <c r="G2545" s="23">
        <v>1</v>
      </c>
      <c r="H2545" s="23">
        <v>0</v>
      </c>
      <c r="I2545" s="23" t="s">
        <v>5</v>
      </c>
      <c r="J2545" s="23" t="s">
        <v>327</v>
      </c>
    </row>
    <row r="2546" spans="1:10" s="20" customFormat="1" ht="12" x14ac:dyDescent="0.25">
      <c r="A2546" s="22">
        <v>2500009163</v>
      </c>
      <c r="B2546" s="23" t="s">
        <v>1982</v>
      </c>
      <c r="C2546" s="24" t="s">
        <v>1996</v>
      </c>
      <c r="D2546" s="23" t="s">
        <v>2025</v>
      </c>
      <c r="E2546" s="23">
        <v>124.88</v>
      </c>
      <c r="F2546" s="23">
        <v>1</v>
      </c>
      <c r="G2546" s="23">
        <v>1</v>
      </c>
      <c r="H2546" s="23">
        <v>0</v>
      </c>
      <c r="I2546" s="23" t="s">
        <v>5</v>
      </c>
      <c r="J2546" s="23" t="s">
        <v>1993</v>
      </c>
    </row>
    <row r="2547" spans="1:10" s="20" customFormat="1" ht="12" x14ac:dyDescent="0.25">
      <c r="A2547" s="22">
        <v>1000020651</v>
      </c>
      <c r="B2547" s="23" t="s">
        <v>865</v>
      </c>
      <c r="C2547" s="24" t="s">
        <v>4</v>
      </c>
      <c r="D2547" s="23" t="s">
        <v>2090</v>
      </c>
      <c r="E2547" s="23">
        <v>124.76</v>
      </c>
      <c r="F2547" s="23">
        <v>4</v>
      </c>
      <c r="G2547" s="23">
        <v>4</v>
      </c>
      <c r="H2547" s="23">
        <v>0</v>
      </c>
      <c r="I2547" s="23" t="s">
        <v>5</v>
      </c>
      <c r="J2547" s="23" t="s">
        <v>327</v>
      </c>
    </row>
    <row r="2548" spans="1:10" s="20" customFormat="1" ht="12" x14ac:dyDescent="0.25">
      <c r="A2548" s="22">
        <v>2200001952</v>
      </c>
      <c r="B2548" s="23" t="s">
        <v>4294</v>
      </c>
      <c r="C2548" s="24" t="s">
        <v>2037</v>
      </c>
      <c r="D2548" s="23" t="s">
        <v>2038</v>
      </c>
      <c r="E2548" s="23">
        <v>124.74</v>
      </c>
      <c r="F2548" s="23">
        <v>5</v>
      </c>
      <c r="G2548" s="23">
        <v>5</v>
      </c>
      <c r="H2548" s="23">
        <v>0</v>
      </c>
      <c r="I2548" s="23" t="s">
        <v>5</v>
      </c>
      <c r="J2548" s="23" t="s">
        <v>138</v>
      </c>
    </row>
    <row r="2549" spans="1:10" s="20" customFormat="1" ht="12" x14ac:dyDescent="0.25">
      <c r="A2549" s="22">
        <v>1000020348</v>
      </c>
      <c r="B2549" s="23" t="s">
        <v>580</v>
      </c>
      <c r="C2549" s="24" t="s">
        <v>4</v>
      </c>
      <c r="D2549" s="23" t="s">
        <v>2090</v>
      </c>
      <c r="E2549" s="23">
        <v>124.25</v>
      </c>
      <c r="F2549" s="23">
        <v>5</v>
      </c>
      <c r="G2549" s="23">
        <v>5</v>
      </c>
      <c r="H2549" s="23">
        <v>0</v>
      </c>
      <c r="I2549" s="23" t="s">
        <v>5</v>
      </c>
      <c r="J2549" s="23" t="s">
        <v>327</v>
      </c>
    </row>
    <row r="2550" spans="1:10" s="20" customFormat="1" ht="12" x14ac:dyDescent="0.25">
      <c r="A2550" s="22">
        <v>1000094819</v>
      </c>
      <c r="B2550" s="23" t="s">
        <v>4067</v>
      </c>
      <c r="C2550" s="24" t="s">
        <v>2844</v>
      </c>
      <c r="D2550" s="23" t="s">
        <v>2161</v>
      </c>
      <c r="E2550" s="23">
        <v>123.92462500000001</v>
      </c>
      <c r="F2550" s="23">
        <v>1</v>
      </c>
      <c r="G2550" s="23">
        <v>1</v>
      </c>
      <c r="H2550" s="23">
        <v>0</v>
      </c>
      <c r="I2550" s="23" t="s">
        <v>5</v>
      </c>
      <c r="J2550" s="23" t="s">
        <v>111</v>
      </c>
    </row>
    <row r="2551" spans="1:10" s="20" customFormat="1" ht="12" x14ac:dyDescent="0.25">
      <c r="A2551" s="22">
        <v>1000095005</v>
      </c>
      <c r="B2551" s="23" t="s">
        <v>4295</v>
      </c>
      <c r="C2551" s="24" t="s">
        <v>4</v>
      </c>
      <c r="D2551" s="23" t="s">
        <v>2056</v>
      </c>
      <c r="E2551" s="23">
        <v>123.84</v>
      </c>
      <c r="F2551" s="23">
        <v>8</v>
      </c>
      <c r="G2551" s="23">
        <v>8</v>
      </c>
      <c r="H2551" s="23">
        <v>0</v>
      </c>
      <c r="I2551" s="23" t="s">
        <v>5</v>
      </c>
      <c r="J2551" s="23" t="s">
        <v>1844</v>
      </c>
    </row>
    <row r="2552" spans="1:10" s="20" customFormat="1" ht="12" x14ac:dyDescent="0.25">
      <c r="A2552" s="22">
        <v>1000103740</v>
      </c>
      <c r="B2552" s="23" t="s">
        <v>1880</v>
      </c>
      <c r="C2552" s="24" t="s">
        <v>4</v>
      </c>
      <c r="D2552" s="23" t="s">
        <v>2056</v>
      </c>
      <c r="E2552" s="23">
        <v>123.65600000000001</v>
      </c>
      <c r="F2552" s="23">
        <v>8</v>
      </c>
      <c r="G2552" s="23">
        <v>8</v>
      </c>
      <c r="H2552" s="23">
        <v>0</v>
      </c>
      <c r="I2552" s="23" t="s">
        <v>5</v>
      </c>
      <c r="J2552" s="23" t="s">
        <v>1844</v>
      </c>
    </row>
    <row r="2553" spans="1:10" s="20" customFormat="1" ht="12" x14ac:dyDescent="0.25">
      <c r="A2553" s="22">
        <v>1000020088</v>
      </c>
      <c r="B2553" s="23" t="s">
        <v>347</v>
      </c>
      <c r="C2553" s="24" t="s">
        <v>4</v>
      </c>
      <c r="D2553" s="23" t="s">
        <v>2090</v>
      </c>
      <c r="E2553" s="23">
        <v>123.62</v>
      </c>
      <c r="F2553" s="23">
        <v>1</v>
      </c>
      <c r="G2553" s="23">
        <v>1</v>
      </c>
      <c r="H2553" s="23">
        <v>0</v>
      </c>
      <c r="I2553" s="23" t="s">
        <v>5</v>
      </c>
      <c r="J2553" s="23" t="s">
        <v>327</v>
      </c>
    </row>
    <row r="2554" spans="1:10" s="20" customFormat="1" ht="12" x14ac:dyDescent="0.25">
      <c r="A2554" s="22">
        <v>1000001398</v>
      </c>
      <c r="B2554" s="23" t="s">
        <v>9</v>
      </c>
      <c r="C2554" s="24" t="s">
        <v>2109</v>
      </c>
      <c r="D2554" s="23" t="s">
        <v>2070</v>
      </c>
      <c r="E2554" s="23">
        <v>123.42683270944001</v>
      </c>
      <c r="F2554" s="23">
        <v>8</v>
      </c>
      <c r="G2554" s="23">
        <v>8</v>
      </c>
      <c r="H2554" s="23">
        <v>0</v>
      </c>
      <c r="I2554" s="23" t="s">
        <v>5</v>
      </c>
      <c r="J2554" s="23" t="s">
        <v>6</v>
      </c>
    </row>
    <row r="2555" spans="1:10" s="20" customFormat="1" ht="12" x14ac:dyDescent="0.25">
      <c r="A2555" s="22">
        <v>1000101493</v>
      </c>
      <c r="B2555" s="23" t="s">
        <v>4300</v>
      </c>
      <c r="C2555" s="24" t="s">
        <v>4</v>
      </c>
      <c r="D2555" s="23" t="s">
        <v>2056</v>
      </c>
      <c r="E2555" s="23">
        <v>123.38581000000001</v>
      </c>
      <c r="F2555" s="23">
        <v>114</v>
      </c>
      <c r="G2555" s="23">
        <v>114</v>
      </c>
      <c r="H2555" s="23">
        <v>0</v>
      </c>
      <c r="I2555" s="23" t="s">
        <v>5</v>
      </c>
      <c r="J2555" s="23" t="s">
        <v>1844</v>
      </c>
    </row>
    <row r="2556" spans="1:10" s="20" customFormat="1" ht="12" x14ac:dyDescent="0.25">
      <c r="A2556" s="22">
        <v>1000098686</v>
      </c>
      <c r="B2556" s="23" t="s">
        <v>1639</v>
      </c>
      <c r="C2556" s="24" t="s">
        <v>4</v>
      </c>
      <c r="D2556" s="23" t="s">
        <v>2090</v>
      </c>
      <c r="E2556" s="23">
        <v>123.07</v>
      </c>
      <c r="F2556" s="23">
        <v>2</v>
      </c>
      <c r="G2556" s="23">
        <v>2</v>
      </c>
      <c r="H2556" s="23">
        <v>0</v>
      </c>
      <c r="I2556" s="23" t="s">
        <v>5</v>
      </c>
      <c r="J2556" s="23" t="s">
        <v>327</v>
      </c>
    </row>
    <row r="2557" spans="1:10" s="20" customFormat="1" ht="12" x14ac:dyDescent="0.25">
      <c r="A2557" s="22">
        <v>1000020711</v>
      </c>
      <c r="B2557" s="23" t="s">
        <v>920</v>
      </c>
      <c r="C2557" s="24" t="s">
        <v>4</v>
      </c>
      <c r="D2557" s="23" t="s">
        <v>2090</v>
      </c>
      <c r="E2557" s="23">
        <v>122.411428571428</v>
      </c>
      <c r="F2557" s="23">
        <v>1</v>
      </c>
      <c r="G2557" s="23">
        <v>1</v>
      </c>
      <c r="H2557" s="23">
        <v>0</v>
      </c>
      <c r="I2557" s="23" t="s">
        <v>5</v>
      </c>
      <c r="J2557" s="23" t="s">
        <v>327</v>
      </c>
    </row>
    <row r="2558" spans="1:10" s="20" customFormat="1" ht="12" x14ac:dyDescent="0.25">
      <c r="A2558" s="22">
        <v>1000093594</v>
      </c>
      <c r="B2558" s="23" t="s">
        <v>4302</v>
      </c>
      <c r="C2558" s="24" t="s">
        <v>4</v>
      </c>
      <c r="D2558" s="23" t="s">
        <v>2056</v>
      </c>
      <c r="E2558" s="23">
        <v>122.276</v>
      </c>
      <c r="F2558" s="23">
        <v>7</v>
      </c>
      <c r="G2558" s="23">
        <v>7</v>
      </c>
      <c r="H2558" s="23">
        <v>0</v>
      </c>
      <c r="I2558" s="23" t="s">
        <v>5</v>
      </c>
      <c r="J2558" s="23" t="s">
        <v>1844</v>
      </c>
    </row>
    <row r="2559" spans="1:10" s="20" customFormat="1" ht="12" x14ac:dyDescent="0.25">
      <c r="A2559" s="22">
        <v>1000020599</v>
      </c>
      <c r="B2559" s="23" t="s">
        <v>815</v>
      </c>
      <c r="C2559" s="24" t="s">
        <v>4</v>
      </c>
      <c r="D2559" s="23" t="s">
        <v>2090</v>
      </c>
      <c r="E2559" s="23">
        <v>122.25</v>
      </c>
      <c r="F2559" s="23">
        <v>25</v>
      </c>
      <c r="G2559" s="23">
        <v>25</v>
      </c>
      <c r="H2559" s="23">
        <v>0</v>
      </c>
      <c r="I2559" s="23" t="s">
        <v>5</v>
      </c>
      <c r="J2559" s="23" t="s">
        <v>327</v>
      </c>
    </row>
    <row r="2560" spans="1:10" s="20" customFormat="1" ht="12" x14ac:dyDescent="0.25">
      <c r="A2560" s="22">
        <v>1000095225</v>
      </c>
      <c r="B2560" s="23" t="s">
        <v>4303</v>
      </c>
      <c r="C2560" s="24" t="s">
        <v>4</v>
      </c>
      <c r="D2560" s="23" t="s">
        <v>2056</v>
      </c>
      <c r="E2560" s="23">
        <v>122.247</v>
      </c>
      <c r="F2560" s="23">
        <v>204</v>
      </c>
      <c r="G2560" s="23">
        <v>204</v>
      </c>
      <c r="H2560" s="23">
        <v>0</v>
      </c>
      <c r="I2560" s="23" t="s">
        <v>5</v>
      </c>
      <c r="J2560" s="23" t="s">
        <v>1844</v>
      </c>
    </row>
    <row r="2561" spans="1:10" s="20" customFormat="1" ht="12" x14ac:dyDescent="0.25">
      <c r="A2561" s="22">
        <v>1000020213</v>
      </c>
      <c r="B2561" s="23" t="s">
        <v>453</v>
      </c>
      <c r="C2561" s="24" t="s">
        <v>4</v>
      </c>
      <c r="D2561" s="23" t="s">
        <v>2090</v>
      </c>
      <c r="E2561" s="23">
        <v>121.56</v>
      </c>
      <c r="F2561" s="23">
        <v>3</v>
      </c>
      <c r="G2561" s="23">
        <v>3</v>
      </c>
      <c r="H2561" s="23">
        <v>0</v>
      </c>
      <c r="I2561" s="23" t="s">
        <v>5</v>
      </c>
      <c r="J2561" s="23" t="s">
        <v>327</v>
      </c>
    </row>
    <row r="2562" spans="1:10" s="20" customFormat="1" ht="12" x14ac:dyDescent="0.25">
      <c r="A2562" s="22">
        <v>1000097355</v>
      </c>
      <c r="B2562" s="23" t="s">
        <v>1508</v>
      </c>
      <c r="C2562" s="24" t="s">
        <v>4</v>
      </c>
      <c r="D2562" s="23" t="s">
        <v>2090</v>
      </c>
      <c r="E2562" s="23">
        <v>120.600666666666</v>
      </c>
      <c r="F2562" s="23">
        <v>14</v>
      </c>
      <c r="G2562" s="23">
        <v>14</v>
      </c>
      <c r="H2562" s="23">
        <v>0</v>
      </c>
      <c r="I2562" s="23" t="s">
        <v>5</v>
      </c>
      <c r="J2562" s="23" t="s">
        <v>327</v>
      </c>
    </row>
    <row r="2563" spans="1:10" s="20" customFormat="1" ht="12" x14ac:dyDescent="0.25">
      <c r="A2563" s="22">
        <v>1000020074</v>
      </c>
      <c r="B2563" s="23" t="s">
        <v>4305</v>
      </c>
      <c r="C2563" s="24" t="s">
        <v>4</v>
      </c>
      <c r="D2563" s="23" t="s">
        <v>2090</v>
      </c>
      <c r="E2563" s="23">
        <v>120.534545454545</v>
      </c>
      <c r="F2563" s="23">
        <v>24</v>
      </c>
      <c r="G2563" s="23">
        <v>24</v>
      </c>
      <c r="H2563" s="23">
        <v>0</v>
      </c>
      <c r="I2563" s="23" t="s">
        <v>5</v>
      </c>
      <c r="J2563" s="23" t="s">
        <v>327</v>
      </c>
    </row>
    <row r="2564" spans="1:10" s="20" customFormat="1" ht="12" x14ac:dyDescent="0.25">
      <c r="A2564" s="22">
        <v>1000020365</v>
      </c>
      <c r="B2564" s="23" t="s">
        <v>597</v>
      </c>
      <c r="C2564" s="24" t="s">
        <v>4</v>
      </c>
      <c r="D2564" s="23" t="s">
        <v>2090</v>
      </c>
      <c r="E2564" s="23">
        <v>120.24</v>
      </c>
      <c r="F2564" s="23">
        <v>1</v>
      </c>
      <c r="G2564" s="23">
        <v>1</v>
      </c>
      <c r="H2564" s="23">
        <v>0</v>
      </c>
      <c r="I2564" s="23" t="s">
        <v>5</v>
      </c>
      <c r="J2564" s="23" t="s">
        <v>327</v>
      </c>
    </row>
    <row r="2565" spans="1:10" s="20" customFormat="1" ht="12" x14ac:dyDescent="0.25">
      <c r="A2565" s="22">
        <v>1000010066</v>
      </c>
      <c r="B2565" s="23" t="s">
        <v>4306</v>
      </c>
      <c r="C2565" s="24" t="s">
        <v>4</v>
      </c>
      <c r="D2565" s="23" t="s">
        <v>2161</v>
      </c>
      <c r="E2565" s="23">
        <v>120.07838333333299</v>
      </c>
      <c r="F2565" s="23">
        <v>1</v>
      </c>
      <c r="G2565" s="23">
        <v>1</v>
      </c>
      <c r="H2565" s="23">
        <v>0</v>
      </c>
      <c r="I2565" s="23" t="s">
        <v>5</v>
      </c>
      <c r="J2565" s="23" t="s">
        <v>111</v>
      </c>
    </row>
    <row r="2566" spans="1:10" s="20" customFormat="1" ht="12" x14ac:dyDescent="0.25">
      <c r="A2566" s="22">
        <v>1000020022</v>
      </c>
      <c r="B2566" s="23" t="s">
        <v>4307</v>
      </c>
      <c r="C2566" s="24" t="s">
        <v>4</v>
      </c>
      <c r="D2566" s="23" t="s">
        <v>2090</v>
      </c>
      <c r="E2566" s="23">
        <v>120.028793311999</v>
      </c>
      <c r="F2566" s="23">
        <v>55</v>
      </c>
      <c r="G2566" s="23">
        <v>55</v>
      </c>
      <c r="H2566" s="23">
        <v>0</v>
      </c>
      <c r="I2566" s="23" t="s">
        <v>5</v>
      </c>
      <c r="J2566" s="23" t="s">
        <v>327</v>
      </c>
    </row>
    <row r="2567" spans="1:10" s="20" customFormat="1" ht="12" x14ac:dyDescent="0.25">
      <c r="A2567" s="22">
        <v>2500008231</v>
      </c>
      <c r="B2567" s="23" t="s">
        <v>4309</v>
      </c>
      <c r="C2567" s="24" t="s">
        <v>1996</v>
      </c>
      <c r="D2567" s="23" t="s">
        <v>2025</v>
      </c>
      <c r="E2567" s="23">
        <v>120</v>
      </c>
      <c r="F2567" s="23">
        <v>10</v>
      </c>
      <c r="G2567" s="23">
        <v>10</v>
      </c>
      <c r="H2567" s="23">
        <v>0</v>
      </c>
      <c r="I2567" s="23" t="s">
        <v>5</v>
      </c>
      <c r="J2567" s="23" t="s">
        <v>1993</v>
      </c>
    </row>
    <row r="2568" spans="1:10" s="20" customFormat="1" ht="12" x14ac:dyDescent="0.25">
      <c r="A2568" s="22">
        <v>1000020141</v>
      </c>
      <c r="B2568" s="23" t="s">
        <v>394</v>
      </c>
      <c r="C2568" s="24" t="s">
        <v>4</v>
      </c>
      <c r="D2568" s="23" t="s">
        <v>2090</v>
      </c>
      <c r="E2568" s="23">
        <v>119.85</v>
      </c>
      <c r="F2568" s="23">
        <v>3</v>
      </c>
      <c r="G2568" s="23">
        <v>3</v>
      </c>
      <c r="H2568" s="23">
        <v>0</v>
      </c>
      <c r="I2568" s="23" t="s">
        <v>5</v>
      </c>
      <c r="J2568" s="23" t="s">
        <v>327</v>
      </c>
    </row>
    <row r="2569" spans="1:10" s="20" customFormat="1" ht="12" x14ac:dyDescent="0.25">
      <c r="A2569" s="22">
        <v>1000020791</v>
      </c>
      <c r="B2569" s="23" t="s">
        <v>995</v>
      </c>
      <c r="C2569" s="24" t="s">
        <v>4</v>
      </c>
      <c r="D2569" s="23" t="s">
        <v>2090</v>
      </c>
      <c r="E2569" s="23">
        <v>119.46</v>
      </c>
      <c r="F2569" s="23">
        <v>2</v>
      </c>
      <c r="G2569" s="23">
        <v>2</v>
      </c>
      <c r="H2569" s="23">
        <v>0</v>
      </c>
      <c r="I2569" s="23" t="s">
        <v>5</v>
      </c>
      <c r="J2569" s="23" t="s">
        <v>327</v>
      </c>
    </row>
    <row r="2570" spans="1:10" s="20" customFormat="1" ht="12" x14ac:dyDescent="0.25">
      <c r="A2570" s="22">
        <v>1000020177</v>
      </c>
      <c r="B2570" s="23" t="s">
        <v>421</v>
      </c>
      <c r="C2570" s="24" t="s">
        <v>4</v>
      </c>
      <c r="D2570" s="23" t="s">
        <v>2090</v>
      </c>
      <c r="E2570" s="23">
        <v>119.34</v>
      </c>
      <c r="F2570" s="23">
        <v>3</v>
      </c>
      <c r="G2570" s="23">
        <v>3</v>
      </c>
      <c r="H2570" s="23">
        <v>0</v>
      </c>
      <c r="I2570" s="23" t="s">
        <v>5</v>
      </c>
      <c r="J2570" s="23" t="s">
        <v>327</v>
      </c>
    </row>
    <row r="2571" spans="1:10" s="20" customFormat="1" ht="12" x14ac:dyDescent="0.25">
      <c r="A2571" s="22">
        <v>1000021384</v>
      </c>
      <c r="B2571" s="23" t="s">
        <v>1467</v>
      </c>
      <c r="C2571" s="24" t="s">
        <v>4</v>
      </c>
      <c r="D2571" s="23" t="s">
        <v>2090</v>
      </c>
      <c r="E2571" s="23">
        <v>119.0625</v>
      </c>
      <c r="F2571" s="23">
        <v>5</v>
      </c>
      <c r="G2571" s="23">
        <v>5</v>
      </c>
      <c r="H2571" s="23">
        <v>0</v>
      </c>
      <c r="I2571" s="23" t="s">
        <v>5</v>
      </c>
      <c r="J2571" s="23" t="s">
        <v>327</v>
      </c>
    </row>
    <row r="2572" spans="1:10" s="20" customFormat="1" ht="12" x14ac:dyDescent="0.25">
      <c r="A2572" s="22">
        <v>1000021379</v>
      </c>
      <c r="B2572" s="23" t="s">
        <v>1463</v>
      </c>
      <c r="C2572" s="24" t="s">
        <v>4</v>
      </c>
      <c r="D2572" s="23" t="s">
        <v>2090</v>
      </c>
      <c r="E2572" s="23">
        <v>118.6512</v>
      </c>
      <c r="F2572" s="23">
        <v>96</v>
      </c>
      <c r="G2572" s="23">
        <v>96</v>
      </c>
      <c r="H2572" s="23">
        <v>0</v>
      </c>
      <c r="I2572" s="23" t="s">
        <v>5</v>
      </c>
      <c r="J2572" s="23" t="s">
        <v>327</v>
      </c>
    </row>
    <row r="2573" spans="1:10" s="20" customFormat="1" ht="12" x14ac:dyDescent="0.25">
      <c r="A2573" s="22">
        <v>1000099434</v>
      </c>
      <c r="B2573" s="23" t="s">
        <v>4311</v>
      </c>
      <c r="C2573" s="24" t="s">
        <v>4</v>
      </c>
      <c r="D2573" s="23" t="s">
        <v>2090</v>
      </c>
      <c r="E2573" s="23">
        <v>118.46</v>
      </c>
      <c r="F2573" s="23">
        <v>3</v>
      </c>
      <c r="G2573" s="23">
        <v>3</v>
      </c>
      <c r="H2573" s="23">
        <v>0</v>
      </c>
      <c r="I2573" s="23" t="s">
        <v>5</v>
      </c>
      <c r="J2573" s="23" t="s">
        <v>327</v>
      </c>
    </row>
    <row r="2574" spans="1:10" s="20" customFormat="1" ht="12" x14ac:dyDescent="0.25">
      <c r="A2574" s="22">
        <v>1000102641</v>
      </c>
      <c r="B2574" s="23" t="s">
        <v>4312</v>
      </c>
      <c r="C2574" s="24" t="s">
        <v>4</v>
      </c>
      <c r="D2574" s="23" t="s">
        <v>2056</v>
      </c>
      <c r="E2574" s="23">
        <v>118.36799999999999</v>
      </c>
      <c r="F2574" s="23">
        <v>90</v>
      </c>
      <c r="G2574" s="23">
        <v>90</v>
      </c>
      <c r="H2574" s="23">
        <v>0</v>
      </c>
      <c r="I2574" s="23" t="s">
        <v>5</v>
      </c>
      <c r="J2574" s="23" t="s">
        <v>1844</v>
      </c>
    </row>
    <row r="2575" spans="1:10" s="20" customFormat="1" ht="12" x14ac:dyDescent="0.25">
      <c r="A2575" s="22">
        <v>1000020984</v>
      </c>
      <c r="B2575" s="23" t="s">
        <v>1158</v>
      </c>
      <c r="C2575" s="24" t="s">
        <v>4</v>
      </c>
      <c r="D2575" s="23" t="s">
        <v>2090</v>
      </c>
      <c r="E2575" s="23">
        <v>118.13</v>
      </c>
      <c r="F2575" s="23">
        <v>2</v>
      </c>
      <c r="G2575" s="23">
        <v>2</v>
      </c>
      <c r="H2575" s="23">
        <v>0</v>
      </c>
      <c r="I2575" s="23" t="s">
        <v>5</v>
      </c>
      <c r="J2575" s="23" t="s">
        <v>327</v>
      </c>
    </row>
    <row r="2576" spans="1:10" s="20" customFormat="1" ht="12" x14ac:dyDescent="0.25">
      <c r="A2576" s="22">
        <v>1000020916</v>
      </c>
      <c r="B2576" s="23" t="s">
        <v>1096</v>
      </c>
      <c r="C2576" s="24" t="s">
        <v>4</v>
      </c>
      <c r="D2576" s="23" t="s">
        <v>2090</v>
      </c>
      <c r="E2576" s="23">
        <v>118.03</v>
      </c>
      <c r="F2576" s="23">
        <v>1</v>
      </c>
      <c r="G2576" s="23">
        <v>1</v>
      </c>
      <c r="H2576" s="23">
        <v>0</v>
      </c>
      <c r="I2576" s="23" t="s">
        <v>5</v>
      </c>
      <c r="J2576" s="23" t="s">
        <v>327</v>
      </c>
    </row>
    <row r="2577" spans="1:10" s="20" customFormat="1" ht="12" x14ac:dyDescent="0.25">
      <c r="A2577" s="22">
        <v>1000020494</v>
      </c>
      <c r="B2577" s="23" t="s">
        <v>719</v>
      </c>
      <c r="C2577" s="24" t="s">
        <v>4</v>
      </c>
      <c r="D2577" s="23" t="s">
        <v>2090</v>
      </c>
      <c r="E2577" s="23">
        <v>117.97799999999999</v>
      </c>
      <c r="F2577" s="23">
        <v>3</v>
      </c>
      <c r="G2577" s="23">
        <v>3</v>
      </c>
      <c r="H2577" s="23">
        <v>0</v>
      </c>
      <c r="I2577" s="23" t="s">
        <v>5</v>
      </c>
      <c r="J2577" s="23" t="s">
        <v>327</v>
      </c>
    </row>
    <row r="2578" spans="1:10" s="20" customFormat="1" ht="12" x14ac:dyDescent="0.25">
      <c r="A2578" s="22">
        <v>1000020268</v>
      </c>
      <c r="B2578" s="23" t="s">
        <v>506</v>
      </c>
      <c r="C2578" s="24" t="s">
        <v>4</v>
      </c>
      <c r="D2578" s="23" t="s">
        <v>2090</v>
      </c>
      <c r="E2578" s="23">
        <v>117.81</v>
      </c>
      <c r="F2578" s="23">
        <v>7</v>
      </c>
      <c r="G2578" s="23">
        <v>7</v>
      </c>
      <c r="H2578" s="23">
        <v>0</v>
      </c>
      <c r="I2578" s="23" t="s">
        <v>5</v>
      </c>
      <c r="J2578" s="23" t="s">
        <v>327</v>
      </c>
    </row>
    <row r="2579" spans="1:10" s="20" customFormat="1" ht="12" x14ac:dyDescent="0.25">
      <c r="A2579" s="22">
        <v>1000020473</v>
      </c>
      <c r="B2579" s="23" t="s">
        <v>699</v>
      </c>
      <c r="C2579" s="24" t="s">
        <v>4</v>
      </c>
      <c r="D2579" s="23" t="s">
        <v>2090</v>
      </c>
      <c r="E2579" s="23">
        <v>117.75</v>
      </c>
      <c r="F2579" s="23">
        <v>3</v>
      </c>
      <c r="G2579" s="23">
        <v>3</v>
      </c>
      <c r="H2579" s="23">
        <v>0</v>
      </c>
      <c r="I2579" s="23" t="s">
        <v>5</v>
      </c>
      <c r="J2579" s="23" t="s">
        <v>327</v>
      </c>
    </row>
    <row r="2580" spans="1:10" s="20" customFormat="1" ht="12" x14ac:dyDescent="0.25">
      <c r="A2580" s="22">
        <v>1000020917</v>
      </c>
      <c r="B2580" s="23" t="s">
        <v>1097</v>
      </c>
      <c r="C2580" s="24" t="s">
        <v>4</v>
      </c>
      <c r="D2580" s="23" t="s">
        <v>2090</v>
      </c>
      <c r="E2580" s="23">
        <v>117.74</v>
      </c>
      <c r="F2580" s="23">
        <v>1</v>
      </c>
      <c r="G2580" s="23">
        <v>1</v>
      </c>
      <c r="H2580" s="23">
        <v>0</v>
      </c>
      <c r="I2580" s="23" t="s">
        <v>5</v>
      </c>
      <c r="J2580" s="23" t="s">
        <v>327</v>
      </c>
    </row>
    <row r="2581" spans="1:10" s="20" customFormat="1" ht="12" x14ac:dyDescent="0.25">
      <c r="A2581" s="22">
        <v>1000020165</v>
      </c>
      <c r="B2581" s="23" t="s">
        <v>411</v>
      </c>
      <c r="C2581" s="24" t="s">
        <v>4</v>
      </c>
      <c r="D2581" s="23" t="s">
        <v>2090</v>
      </c>
      <c r="E2581" s="23">
        <v>117.05</v>
      </c>
      <c r="F2581" s="23">
        <v>5</v>
      </c>
      <c r="G2581" s="23">
        <v>5</v>
      </c>
      <c r="H2581" s="23">
        <v>0</v>
      </c>
      <c r="I2581" s="23" t="s">
        <v>5</v>
      </c>
      <c r="J2581" s="23" t="s">
        <v>327</v>
      </c>
    </row>
    <row r="2582" spans="1:10" s="20" customFormat="1" ht="12" x14ac:dyDescent="0.25">
      <c r="A2582" s="22">
        <v>1000020363</v>
      </c>
      <c r="B2582" s="23" t="s">
        <v>595</v>
      </c>
      <c r="C2582" s="24" t="s">
        <v>4</v>
      </c>
      <c r="D2582" s="23" t="s">
        <v>2090</v>
      </c>
      <c r="E2582" s="23">
        <v>116.83</v>
      </c>
      <c r="F2582" s="23">
        <v>1</v>
      </c>
      <c r="G2582" s="23">
        <v>1</v>
      </c>
      <c r="H2582" s="23">
        <v>0</v>
      </c>
      <c r="I2582" s="23" t="s">
        <v>5</v>
      </c>
      <c r="J2582" s="23" t="s">
        <v>327</v>
      </c>
    </row>
    <row r="2583" spans="1:10" s="20" customFormat="1" ht="12" x14ac:dyDescent="0.25">
      <c r="A2583" s="22">
        <v>1000093954</v>
      </c>
      <c r="B2583" s="23" t="s">
        <v>4317</v>
      </c>
      <c r="C2583" s="24" t="s">
        <v>4</v>
      </c>
      <c r="D2583" s="23" t="s">
        <v>2090</v>
      </c>
      <c r="E2583" s="23">
        <v>116.506759259259</v>
      </c>
      <c r="F2583" s="23">
        <v>19</v>
      </c>
      <c r="G2583" s="23">
        <v>19</v>
      </c>
      <c r="H2583" s="23">
        <v>0</v>
      </c>
      <c r="I2583" s="23" t="s">
        <v>5</v>
      </c>
      <c r="J2583" s="23" t="s">
        <v>327</v>
      </c>
    </row>
    <row r="2584" spans="1:10" s="20" customFormat="1" ht="12" x14ac:dyDescent="0.25">
      <c r="A2584" s="22">
        <v>1000102225</v>
      </c>
      <c r="B2584" s="23" t="s">
        <v>1778</v>
      </c>
      <c r="C2584" s="24" t="s">
        <v>4</v>
      </c>
      <c r="D2584" s="23" t="s">
        <v>2090</v>
      </c>
      <c r="E2584" s="23">
        <v>116.41</v>
      </c>
      <c r="F2584" s="23">
        <v>2</v>
      </c>
      <c r="G2584" s="23">
        <v>2</v>
      </c>
      <c r="H2584" s="23">
        <v>0</v>
      </c>
      <c r="I2584" s="23" t="s">
        <v>5</v>
      </c>
      <c r="J2584" s="23" t="s">
        <v>327</v>
      </c>
    </row>
    <row r="2585" spans="1:10" s="20" customFormat="1" ht="12" x14ac:dyDescent="0.25">
      <c r="A2585" s="22">
        <v>1000020642</v>
      </c>
      <c r="B2585" s="23" t="s">
        <v>857</v>
      </c>
      <c r="C2585" s="24" t="s">
        <v>4</v>
      </c>
      <c r="D2585" s="23" t="s">
        <v>2090</v>
      </c>
      <c r="E2585" s="23">
        <v>116.35</v>
      </c>
      <c r="F2585" s="23">
        <v>5</v>
      </c>
      <c r="G2585" s="23">
        <v>5</v>
      </c>
      <c r="H2585" s="23">
        <v>0</v>
      </c>
      <c r="I2585" s="23" t="s">
        <v>5</v>
      </c>
      <c r="J2585" s="23" t="s">
        <v>327</v>
      </c>
    </row>
    <row r="2586" spans="1:10" s="20" customFormat="1" ht="12" x14ac:dyDescent="0.25">
      <c r="A2586" s="22">
        <v>1000099379</v>
      </c>
      <c r="B2586" s="23" t="s">
        <v>4319</v>
      </c>
      <c r="C2586" s="24" t="s">
        <v>4</v>
      </c>
      <c r="D2586" s="23" t="s">
        <v>2090</v>
      </c>
      <c r="E2586" s="23">
        <v>115.65</v>
      </c>
      <c r="F2586" s="23">
        <v>1</v>
      </c>
      <c r="G2586" s="23">
        <v>1</v>
      </c>
      <c r="H2586" s="23">
        <v>0</v>
      </c>
      <c r="I2586" s="23" t="s">
        <v>5</v>
      </c>
      <c r="J2586" s="23" t="s">
        <v>327</v>
      </c>
    </row>
    <row r="2587" spans="1:10" s="20" customFormat="1" ht="12" x14ac:dyDescent="0.25">
      <c r="A2587" s="22">
        <v>1000020778</v>
      </c>
      <c r="B2587" s="23" t="s">
        <v>982</v>
      </c>
      <c r="C2587" s="24" t="s">
        <v>4</v>
      </c>
      <c r="D2587" s="23" t="s">
        <v>2090</v>
      </c>
      <c r="E2587" s="23">
        <v>115.32</v>
      </c>
      <c r="F2587" s="23">
        <v>3</v>
      </c>
      <c r="G2587" s="23">
        <v>3</v>
      </c>
      <c r="H2587" s="23">
        <v>0</v>
      </c>
      <c r="I2587" s="23" t="s">
        <v>5</v>
      </c>
      <c r="J2587" s="23" t="s">
        <v>327</v>
      </c>
    </row>
    <row r="2588" spans="1:10" s="20" customFormat="1" ht="12" x14ac:dyDescent="0.25">
      <c r="A2588" s="22">
        <v>1000109596</v>
      </c>
      <c r="B2588" s="23" t="s">
        <v>4320</v>
      </c>
      <c r="C2588" s="24" t="s">
        <v>4</v>
      </c>
      <c r="D2588" s="23" t="s">
        <v>2056</v>
      </c>
      <c r="E2588" s="23">
        <v>114.78740000000001</v>
      </c>
      <c r="F2588" s="23">
        <v>49</v>
      </c>
      <c r="G2588" s="23">
        <v>49</v>
      </c>
      <c r="H2588" s="23">
        <v>0</v>
      </c>
      <c r="I2588" s="23" t="s">
        <v>5</v>
      </c>
      <c r="J2588" s="23" t="s">
        <v>1844</v>
      </c>
    </row>
    <row r="2589" spans="1:10" s="20" customFormat="1" ht="12" x14ac:dyDescent="0.25">
      <c r="A2589" s="22">
        <v>1000020616</v>
      </c>
      <c r="B2589" s="23" t="s">
        <v>832</v>
      </c>
      <c r="C2589" s="24" t="s">
        <v>4</v>
      </c>
      <c r="D2589" s="23" t="s">
        <v>2090</v>
      </c>
      <c r="E2589" s="23">
        <v>114.375</v>
      </c>
      <c r="F2589" s="23">
        <v>10</v>
      </c>
      <c r="G2589" s="23">
        <v>10</v>
      </c>
      <c r="H2589" s="23">
        <v>0</v>
      </c>
      <c r="I2589" s="23" t="s">
        <v>5</v>
      </c>
      <c r="J2589" s="23" t="s">
        <v>327</v>
      </c>
    </row>
    <row r="2590" spans="1:10" s="20" customFormat="1" ht="12" x14ac:dyDescent="0.25">
      <c r="A2590" s="22">
        <v>1000020395</v>
      </c>
      <c r="B2590" s="23" t="s">
        <v>625</v>
      </c>
      <c r="C2590" s="24" t="s">
        <v>4</v>
      </c>
      <c r="D2590" s="23" t="s">
        <v>2090</v>
      </c>
      <c r="E2590" s="23">
        <v>114.26</v>
      </c>
      <c r="F2590" s="23">
        <v>1</v>
      </c>
      <c r="G2590" s="23">
        <v>1</v>
      </c>
      <c r="H2590" s="23">
        <v>0</v>
      </c>
      <c r="I2590" s="23" t="s">
        <v>5</v>
      </c>
      <c r="J2590" s="23" t="s">
        <v>327</v>
      </c>
    </row>
    <row r="2591" spans="1:10" s="20" customFormat="1" ht="12" x14ac:dyDescent="0.25">
      <c r="A2591" s="22">
        <v>1000020766</v>
      </c>
      <c r="B2591" s="23" t="s">
        <v>970</v>
      </c>
      <c r="C2591" s="24" t="s">
        <v>4</v>
      </c>
      <c r="D2591" s="23" t="s">
        <v>2090</v>
      </c>
      <c r="E2591" s="23">
        <v>114.19</v>
      </c>
      <c r="F2591" s="23">
        <v>1</v>
      </c>
      <c r="G2591" s="23">
        <v>1</v>
      </c>
      <c r="H2591" s="23">
        <v>0</v>
      </c>
      <c r="I2591" s="23" t="s">
        <v>5</v>
      </c>
      <c r="J2591" s="23" t="s">
        <v>327</v>
      </c>
    </row>
    <row r="2592" spans="1:10" s="20" customFormat="1" ht="12" x14ac:dyDescent="0.25">
      <c r="A2592" s="22">
        <v>1000020062</v>
      </c>
      <c r="B2592" s="23" t="s">
        <v>4322</v>
      </c>
      <c r="C2592" s="24" t="s">
        <v>4</v>
      </c>
      <c r="D2592" s="23" t="s">
        <v>2090</v>
      </c>
      <c r="E2592" s="23">
        <v>113.439206349682</v>
      </c>
      <c r="F2592" s="23">
        <v>5</v>
      </c>
      <c r="G2592" s="23">
        <v>5</v>
      </c>
      <c r="H2592" s="23">
        <v>0</v>
      </c>
      <c r="I2592" s="23" t="s">
        <v>5</v>
      </c>
      <c r="J2592" s="23" t="s">
        <v>327</v>
      </c>
    </row>
    <row r="2593" spans="1:10" s="20" customFormat="1" ht="12" x14ac:dyDescent="0.25">
      <c r="A2593" s="22">
        <v>1000020952</v>
      </c>
      <c r="B2593" s="23" t="s">
        <v>1130</v>
      </c>
      <c r="C2593" s="24" t="s">
        <v>4</v>
      </c>
      <c r="D2593" s="23" t="s">
        <v>2090</v>
      </c>
      <c r="E2593" s="23">
        <v>113.41</v>
      </c>
      <c r="F2593" s="23">
        <v>1</v>
      </c>
      <c r="G2593" s="23">
        <v>1</v>
      </c>
      <c r="H2593" s="23">
        <v>0</v>
      </c>
      <c r="I2593" s="23" t="s">
        <v>5</v>
      </c>
      <c r="J2593" s="23" t="s">
        <v>327</v>
      </c>
    </row>
    <row r="2594" spans="1:10" s="20" customFormat="1" ht="12" x14ac:dyDescent="0.25">
      <c r="A2594" s="22">
        <v>1000020274</v>
      </c>
      <c r="B2594" s="23" t="s">
        <v>511</v>
      </c>
      <c r="C2594" s="24" t="s">
        <v>4</v>
      </c>
      <c r="D2594" s="23" t="s">
        <v>2090</v>
      </c>
      <c r="E2594" s="23">
        <v>113.28</v>
      </c>
      <c r="F2594" s="23">
        <v>2</v>
      </c>
      <c r="G2594" s="23">
        <v>2</v>
      </c>
      <c r="H2594" s="23">
        <v>0</v>
      </c>
      <c r="I2594" s="23" t="s">
        <v>5</v>
      </c>
      <c r="J2594" s="23" t="s">
        <v>327</v>
      </c>
    </row>
    <row r="2595" spans="1:10" s="20" customFormat="1" ht="12" x14ac:dyDescent="0.25">
      <c r="A2595" s="22">
        <v>1000020362</v>
      </c>
      <c r="B2595" s="23" t="s">
        <v>594</v>
      </c>
      <c r="C2595" s="24" t="s">
        <v>4</v>
      </c>
      <c r="D2595" s="23" t="s">
        <v>2090</v>
      </c>
      <c r="E2595" s="23">
        <v>113.2</v>
      </c>
      <c r="F2595" s="23">
        <v>1</v>
      </c>
      <c r="G2595" s="23">
        <v>1</v>
      </c>
      <c r="H2595" s="23">
        <v>0</v>
      </c>
      <c r="I2595" s="23" t="s">
        <v>5</v>
      </c>
      <c r="J2595" s="23" t="s">
        <v>327</v>
      </c>
    </row>
    <row r="2596" spans="1:10" s="20" customFormat="1" ht="12" x14ac:dyDescent="0.25">
      <c r="A2596" s="22">
        <v>1000095581</v>
      </c>
      <c r="B2596" s="23" t="s">
        <v>4323</v>
      </c>
      <c r="C2596" s="24" t="s">
        <v>4</v>
      </c>
      <c r="D2596" s="23" t="s">
        <v>2090</v>
      </c>
      <c r="E2596" s="23">
        <v>112.8</v>
      </c>
      <c r="F2596" s="23">
        <v>4</v>
      </c>
      <c r="G2596" s="23">
        <v>4</v>
      </c>
      <c r="H2596" s="23">
        <v>0</v>
      </c>
      <c r="I2596" s="23" t="s">
        <v>5</v>
      </c>
      <c r="J2596" s="23" t="s">
        <v>327</v>
      </c>
    </row>
    <row r="2597" spans="1:10" s="20" customFormat="1" ht="12" x14ac:dyDescent="0.25">
      <c r="A2597" s="22">
        <v>2500009077</v>
      </c>
      <c r="B2597" s="23" t="s">
        <v>4326</v>
      </c>
      <c r="C2597" s="24" t="s">
        <v>1996</v>
      </c>
      <c r="D2597" s="23" t="s">
        <v>2289</v>
      </c>
      <c r="E2597" s="23">
        <v>112.5</v>
      </c>
      <c r="F2597" s="23">
        <v>3</v>
      </c>
      <c r="G2597" s="23">
        <v>3</v>
      </c>
      <c r="H2597" s="23">
        <v>0</v>
      </c>
      <c r="I2597" s="23" t="s">
        <v>5</v>
      </c>
      <c r="J2597" s="23" t="s">
        <v>1993</v>
      </c>
    </row>
    <row r="2598" spans="1:10" s="20" customFormat="1" ht="12" x14ac:dyDescent="0.25">
      <c r="A2598" s="22">
        <v>1000104360</v>
      </c>
      <c r="B2598" s="23" t="s">
        <v>4327</v>
      </c>
      <c r="C2598" s="24" t="s">
        <v>4</v>
      </c>
      <c r="D2598" s="23" t="s">
        <v>2090</v>
      </c>
      <c r="E2598" s="23">
        <v>112.2</v>
      </c>
      <c r="F2598" s="23">
        <v>8</v>
      </c>
      <c r="G2598" s="23">
        <v>8</v>
      </c>
      <c r="H2598" s="23">
        <v>0</v>
      </c>
      <c r="I2598" s="23" t="s">
        <v>5</v>
      </c>
      <c r="J2598" s="23" t="s">
        <v>327</v>
      </c>
    </row>
    <row r="2599" spans="1:10" s="20" customFormat="1" ht="12" x14ac:dyDescent="0.25">
      <c r="A2599" s="22">
        <v>1000096818</v>
      </c>
      <c r="B2599" s="23" t="s">
        <v>4328</v>
      </c>
      <c r="C2599" s="24" t="s">
        <v>4</v>
      </c>
      <c r="D2599" s="23" t="s">
        <v>2056</v>
      </c>
      <c r="E2599" s="23">
        <v>111.936353515064</v>
      </c>
      <c r="F2599" s="23">
        <v>4</v>
      </c>
      <c r="G2599" s="23">
        <v>4</v>
      </c>
      <c r="H2599" s="23">
        <v>0</v>
      </c>
      <c r="I2599" s="23" t="s">
        <v>5</v>
      </c>
      <c r="J2599" s="23" t="s">
        <v>1844</v>
      </c>
    </row>
    <row r="2600" spans="1:10" s="20" customFormat="1" ht="12" x14ac:dyDescent="0.25">
      <c r="A2600" s="22">
        <v>1000097022</v>
      </c>
      <c r="B2600" s="23" t="s">
        <v>4331</v>
      </c>
      <c r="C2600" s="24" t="s">
        <v>4</v>
      </c>
      <c r="D2600" s="23" t="s">
        <v>2090</v>
      </c>
      <c r="E2600" s="23">
        <v>110.66500000000001</v>
      </c>
      <c r="F2600" s="23">
        <v>1</v>
      </c>
      <c r="G2600" s="23">
        <v>1</v>
      </c>
      <c r="H2600" s="23">
        <v>0</v>
      </c>
      <c r="I2600" s="23" t="s">
        <v>5</v>
      </c>
      <c r="J2600" s="23" t="s">
        <v>327</v>
      </c>
    </row>
    <row r="2601" spans="1:10" s="20" customFormat="1" ht="12" x14ac:dyDescent="0.25">
      <c r="A2601" s="22">
        <v>1000108817</v>
      </c>
      <c r="B2601" s="23" t="s">
        <v>1895</v>
      </c>
      <c r="C2601" s="24" t="s">
        <v>4</v>
      </c>
      <c r="D2601" s="23" t="s">
        <v>2056</v>
      </c>
      <c r="E2601" s="23">
        <v>110.296363636363</v>
      </c>
      <c r="F2601" s="23">
        <v>10</v>
      </c>
      <c r="G2601" s="23">
        <v>10</v>
      </c>
      <c r="H2601" s="23">
        <v>0</v>
      </c>
      <c r="I2601" s="23" t="s">
        <v>5</v>
      </c>
      <c r="J2601" s="23" t="s">
        <v>1844</v>
      </c>
    </row>
    <row r="2602" spans="1:10" s="20" customFormat="1" ht="12" x14ac:dyDescent="0.25">
      <c r="A2602" s="22">
        <v>1000020302</v>
      </c>
      <c r="B2602" s="23" t="s">
        <v>538</v>
      </c>
      <c r="C2602" s="24" t="s">
        <v>4</v>
      </c>
      <c r="D2602" s="23" t="s">
        <v>2090</v>
      </c>
      <c r="E2602" s="23">
        <v>109.37</v>
      </c>
      <c r="F2602" s="23">
        <v>1</v>
      </c>
      <c r="G2602" s="23">
        <v>1</v>
      </c>
      <c r="H2602" s="23">
        <v>0</v>
      </c>
      <c r="I2602" s="23" t="s">
        <v>5</v>
      </c>
      <c r="J2602" s="23" t="s">
        <v>327</v>
      </c>
    </row>
    <row r="2603" spans="1:10" s="20" customFormat="1" ht="12" x14ac:dyDescent="0.25">
      <c r="A2603" s="22">
        <v>1000102601</v>
      </c>
      <c r="B2603" s="23" t="s">
        <v>4334</v>
      </c>
      <c r="C2603" s="24" t="s">
        <v>4</v>
      </c>
      <c r="D2603" s="23" t="s">
        <v>2056</v>
      </c>
      <c r="E2603" s="23">
        <v>109.11750000000001</v>
      </c>
      <c r="F2603" s="23">
        <v>180</v>
      </c>
      <c r="G2603" s="23">
        <v>180</v>
      </c>
      <c r="H2603" s="23">
        <v>0</v>
      </c>
      <c r="I2603" s="23" t="s">
        <v>5</v>
      </c>
      <c r="J2603" s="23" t="s">
        <v>1844</v>
      </c>
    </row>
    <row r="2604" spans="1:10" s="20" customFormat="1" ht="12" x14ac:dyDescent="0.25">
      <c r="A2604" s="22">
        <v>1000020891</v>
      </c>
      <c r="B2604" s="23" t="s">
        <v>1073</v>
      </c>
      <c r="C2604" s="24" t="s">
        <v>4</v>
      </c>
      <c r="D2604" s="23" t="s">
        <v>2090</v>
      </c>
      <c r="E2604" s="23">
        <v>108.84</v>
      </c>
      <c r="F2604" s="23">
        <v>1</v>
      </c>
      <c r="G2604" s="23">
        <v>1</v>
      </c>
      <c r="H2604" s="23">
        <v>0</v>
      </c>
      <c r="I2604" s="23" t="s">
        <v>5</v>
      </c>
      <c r="J2604" s="23" t="s">
        <v>327</v>
      </c>
    </row>
    <row r="2605" spans="1:10" s="20" customFormat="1" ht="12" x14ac:dyDescent="0.25">
      <c r="A2605" s="22">
        <v>1000020138</v>
      </c>
      <c r="B2605" s="23" t="s">
        <v>392</v>
      </c>
      <c r="C2605" s="24" t="s">
        <v>4</v>
      </c>
      <c r="D2605" s="23" t="s">
        <v>2090</v>
      </c>
      <c r="E2605" s="23">
        <v>108.75</v>
      </c>
      <c r="F2605" s="23">
        <v>5</v>
      </c>
      <c r="G2605" s="23">
        <v>5</v>
      </c>
      <c r="H2605" s="23">
        <v>0</v>
      </c>
      <c r="I2605" s="23" t="s">
        <v>5</v>
      </c>
      <c r="J2605" s="23" t="s">
        <v>327</v>
      </c>
    </row>
    <row r="2606" spans="1:10" s="20" customFormat="1" ht="12" x14ac:dyDescent="0.25">
      <c r="A2606" s="22">
        <v>1000020551</v>
      </c>
      <c r="B2606" s="23" t="s">
        <v>769</v>
      </c>
      <c r="C2606" s="24" t="s">
        <v>4</v>
      </c>
      <c r="D2606" s="23" t="s">
        <v>2090</v>
      </c>
      <c r="E2606" s="23">
        <v>108.6</v>
      </c>
      <c r="F2606" s="23">
        <v>5</v>
      </c>
      <c r="G2606" s="23">
        <v>5</v>
      </c>
      <c r="H2606" s="23">
        <v>0</v>
      </c>
      <c r="I2606" s="23" t="s">
        <v>5</v>
      </c>
      <c r="J2606" s="23" t="s">
        <v>327</v>
      </c>
    </row>
    <row r="2607" spans="1:10" s="20" customFormat="1" ht="12" x14ac:dyDescent="0.25">
      <c r="A2607" s="22">
        <v>1000097117</v>
      </c>
      <c r="B2607" s="23" t="s">
        <v>4336</v>
      </c>
      <c r="C2607" s="24" t="s">
        <v>4</v>
      </c>
      <c r="D2607" s="23" t="s">
        <v>2161</v>
      </c>
      <c r="E2607" s="23">
        <v>108.21</v>
      </c>
      <c r="F2607" s="23">
        <v>5</v>
      </c>
      <c r="G2607" s="23">
        <v>5</v>
      </c>
      <c r="H2607" s="23">
        <v>0</v>
      </c>
      <c r="I2607" s="23" t="s">
        <v>5</v>
      </c>
      <c r="J2607" s="23" t="s">
        <v>111</v>
      </c>
    </row>
    <row r="2608" spans="1:10" s="20" customFormat="1" ht="12" x14ac:dyDescent="0.25">
      <c r="A2608" s="22">
        <v>1000102617</v>
      </c>
      <c r="B2608" s="23" t="s">
        <v>4337</v>
      </c>
      <c r="C2608" s="24" t="s">
        <v>4</v>
      </c>
      <c r="D2608" s="23" t="s">
        <v>2056</v>
      </c>
      <c r="E2608" s="23">
        <v>108.2</v>
      </c>
      <c r="F2608" s="23">
        <v>8</v>
      </c>
      <c r="G2608" s="23">
        <v>8</v>
      </c>
      <c r="H2608" s="23">
        <v>0</v>
      </c>
      <c r="I2608" s="23" t="s">
        <v>5</v>
      </c>
      <c r="J2608" s="23" t="s">
        <v>1844</v>
      </c>
    </row>
    <row r="2609" spans="1:10" s="20" customFormat="1" ht="12" x14ac:dyDescent="0.25">
      <c r="A2609" s="22">
        <v>1000106681</v>
      </c>
      <c r="B2609" s="23" t="s">
        <v>4339</v>
      </c>
      <c r="C2609" s="24" t="s">
        <v>4</v>
      </c>
      <c r="D2609" s="23" t="s">
        <v>2056</v>
      </c>
      <c r="E2609" s="23">
        <v>107.6108</v>
      </c>
      <c r="F2609" s="23">
        <v>2</v>
      </c>
      <c r="G2609" s="23">
        <v>2</v>
      </c>
      <c r="H2609" s="23">
        <v>0</v>
      </c>
      <c r="I2609" s="23" t="s">
        <v>5</v>
      </c>
      <c r="J2609" s="23" t="s">
        <v>1844</v>
      </c>
    </row>
    <row r="2610" spans="1:10" s="20" customFormat="1" ht="12" x14ac:dyDescent="0.25">
      <c r="A2610" s="22">
        <v>1000094969</v>
      </c>
      <c r="B2610" s="23" t="s">
        <v>4340</v>
      </c>
      <c r="C2610" s="24" t="s">
        <v>2109</v>
      </c>
      <c r="D2610" s="23" t="s">
        <v>2070</v>
      </c>
      <c r="E2610" s="23">
        <v>107.440406999426</v>
      </c>
      <c r="F2610" s="23">
        <v>9</v>
      </c>
      <c r="G2610" s="23">
        <v>9</v>
      </c>
      <c r="H2610" s="23">
        <v>0</v>
      </c>
      <c r="I2610" s="23" t="s">
        <v>5</v>
      </c>
      <c r="J2610" s="23" t="s">
        <v>6</v>
      </c>
    </row>
    <row r="2611" spans="1:10" s="20" customFormat="1" ht="12" x14ac:dyDescent="0.25">
      <c r="A2611" s="22">
        <v>1000098463</v>
      </c>
      <c r="B2611" s="23" t="s">
        <v>1538</v>
      </c>
      <c r="C2611" s="24" t="s">
        <v>4</v>
      </c>
      <c r="D2611" s="23" t="s">
        <v>2090</v>
      </c>
      <c r="E2611" s="23">
        <v>107.22799999999999</v>
      </c>
      <c r="F2611" s="23">
        <v>1</v>
      </c>
      <c r="G2611" s="23">
        <v>1</v>
      </c>
      <c r="H2611" s="23">
        <v>0</v>
      </c>
      <c r="I2611" s="23" t="s">
        <v>5</v>
      </c>
      <c r="J2611" s="23" t="s">
        <v>327</v>
      </c>
    </row>
    <row r="2612" spans="1:10" s="20" customFormat="1" ht="12" x14ac:dyDescent="0.25">
      <c r="A2612" s="22">
        <v>1000021198</v>
      </c>
      <c r="B2612" s="23" t="s">
        <v>1345</v>
      </c>
      <c r="C2612" s="24" t="s">
        <v>4</v>
      </c>
      <c r="D2612" s="23" t="s">
        <v>2090</v>
      </c>
      <c r="E2612" s="23">
        <v>107</v>
      </c>
      <c r="F2612" s="23">
        <v>4</v>
      </c>
      <c r="G2612" s="23">
        <v>4</v>
      </c>
      <c r="H2612" s="23">
        <v>0</v>
      </c>
      <c r="I2612" s="23" t="s">
        <v>5</v>
      </c>
      <c r="J2612" s="23" t="s">
        <v>327</v>
      </c>
    </row>
    <row r="2613" spans="1:10" s="20" customFormat="1" ht="12" x14ac:dyDescent="0.25">
      <c r="A2613" s="22">
        <v>1000020794</v>
      </c>
      <c r="B2613" s="23" t="s">
        <v>998</v>
      </c>
      <c r="C2613" s="24" t="s">
        <v>4</v>
      </c>
      <c r="D2613" s="23" t="s">
        <v>2090</v>
      </c>
      <c r="E2613" s="23">
        <v>106.94</v>
      </c>
      <c r="F2613" s="23">
        <v>1</v>
      </c>
      <c r="G2613" s="23">
        <v>1</v>
      </c>
      <c r="H2613" s="23">
        <v>0</v>
      </c>
      <c r="I2613" s="23" t="s">
        <v>5</v>
      </c>
      <c r="J2613" s="23" t="s">
        <v>327</v>
      </c>
    </row>
    <row r="2614" spans="1:10" s="20" customFormat="1" ht="12" x14ac:dyDescent="0.25">
      <c r="A2614" s="22">
        <v>1000020957</v>
      </c>
      <c r="B2614" s="23" t="s">
        <v>1135</v>
      </c>
      <c r="C2614" s="24" t="s">
        <v>4</v>
      </c>
      <c r="D2614" s="23" t="s">
        <v>2090</v>
      </c>
      <c r="E2614" s="23">
        <v>106.83</v>
      </c>
      <c r="F2614" s="23">
        <v>1</v>
      </c>
      <c r="G2614" s="23">
        <v>1</v>
      </c>
      <c r="H2614" s="23">
        <v>0</v>
      </c>
      <c r="I2614" s="23" t="s">
        <v>5</v>
      </c>
      <c r="J2614" s="23" t="s">
        <v>327</v>
      </c>
    </row>
    <row r="2615" spans="1:10" s="20" customFormat="1" ht="12" x14ac:dyDescent="0.25">
      <c r="A2615" s="22">
        <v>1000020918</v>
      </c>
      <c r="B2615" s="23" t="s">
        <v>1098</v>
      </c>
      <c r="C2615" s="24" t="s">
        <v>4</v>
      </c>
      <c r="D2615" s="23" t="s">
        <v>2090</v>
      </c>
      <c r="E2615" s="23">
        <v>106.83</v>
      </c>
      <c r="F2615" s="23">
        <v>1</v>
      </c>
      <c r="G2615" s="23">
        <v>1</v>
      </c>
      <c r="H2615" s="23">
        <v>0</v>
      </c>
      <c r="I2615" s="23" t="s">
        <v>5</v>
      </c>
      <c r="J2615" s="23" t="s">
        <v>327</v>
      </c>
    </row>
    <row r="2616" spans="1:10" s="20" customFormat="1" ht="12" x14ac:dyDescent="0.25">
      <c r="A2616" s="22">
        <v>1000020304</v>
      </c>
      <c r="B2616" s="23" t="s">
        <v>540</v>
      </c>
      <c r="C2616" s="24" t="s">
        <v>4</v>
      </c>
      <c r="D2616" s="23" t="s">
        <v>2090</v>
      </c>
      <c r="E2616" s="23">
        <v>106.48</v>
      </c>
      <c r="F2616" s="23">
        <v>1</v>
      </c>
      <c r="G2616" s="23">
        <v>1</v>
      </c>
      <c r="H2616" s="23">
        <v>0</v>
      </c>
      <c r="I2616" s="23" t="s">
        <v>5</v>
      </c>
      <c r="J2616" s="23" t="s">
        <v>327</v>
      </c>
    </row>
    <row r="2617" spans="1:10" s="20" customFormat="1" ht="12" x14ac:dyDescent="0.25">
      <c r="A2617" s="22">
        <v>1000106638</v>
      </c>
      <c r="B2617" s="23" t="s">
        <v>4342</v>
      </c>
      <c r="C2617" s="24" t="s">
        <v>4</v>
      </c>
      <c r="D2617" s="23" t="s">
        <v>2056</v>
      </c>
      <c r="E2617" s="23">
        <v>106.07</v>
      </c>
      <c r="F2617" s="23">
        <v>40</v>
      </c>
      <c r="G2617" s="23">
        <v>40</v>
      </c>
      <c r="H2617" s="23">
        <v>0</v>
      </c>
      <c r="I2617" s="23" t="s">
        <v>5</v>
      </c>
      <c r="J2617" s="23" t="s">
        <v>1844</v>
      </c>
    </row>
    <row r="2618" spans="1:10" s="20" customFormat="1" ht="12" x14ac:dyDescent="0.25">
      <c r="A2618" s="22">
        <v>1000102211</v>
      </c>
      <c r="B2618" s="23" t="s">
        <v>4343</v>
      </c>
      <c r="C2618" s="24" t="s">
        <v>4</v>
      </c>
      <c r="D2618" s="23" t="s">
        <v>2090</v>
      </c>
      <c r="E2618" s="23">
        <v>105.75</v>
      </c>
      <c r="F2618" s="23">
        <v>1</v>
      </c>
      <c r="G2618" s="23">
        <v>1</v>
      </c>
      <c r="H2618" s="23">
        <v>0</v>
      </c>
      <c r="I2618" s="23" t="s">
        <v>5</v>
      </c>
      <c r="J2618" s="23" t="s">
        <v>327</v>
      </c>
    </row>
    <row r="2619" spans="1:10" s="20" customFormat="1" ht="12" x14ac:dyDescent="0.25">
      <c r="A2619" s="22">
        <v>1000098443</v>
      </c>
      <c r="B2619" s="23" t="s">
        <v>1523</v>
      </c>
      <c r="C2619" s="24" t="s">
        <v>4</v>
      </c>
      <c r="D2619" s="23" t="s">
        <v>2090</v>
      </c>
      <c r="E2619" s="23">
        <v>105.39</v>
      </c>
      <c r="F2619" s="23">
        <v>2</v>
      </c>
      <c r="G2619" s="23">
        <v>2</v>
      </c>
      <c r="H2619" s="23">
        <v>0</v>
      </c>
      <c r="I2619" s="23" t="s">
        <v>5</v>
      </c>
      <c r="J2619" s="23" t="s">
        <v>327</v>
      </c>
    </row>
    <row r="2620" spans="1:10" s="20" customFormat="1" ht="12" x14ac:dyDescent="0.25">
      <c r="A2620" s="22">
        <v>1000021166</v>
      </c>
      <c r="B2620" s="23" t="s">
        <v>1314</v>
      </c>
      <c r="C2620" s="24" t="s">
        <v>4</v>
      </c>
      <c r="D2620" s="23" t="s">
        <v>2090</v>
      </c>
      <c r="E2620" s="23">
        <v>104.96</v>
      </c>
      <c r="F2620" s="23">
        <v>2</v>
      </c>
      <c r="G2620" s="23">
        <v>2</v>
      </c>
      <c r="H2620" s="23">
        <v>0</v>
      </c>
      <c r="I2620" s="23" t="s">
        <v>5</v>
      </c>
      <c r="J2620" s="23" t="s">
        <v>327</v>
      </c>
    </row>
    <row r="2621" spans="1:10" s="20" customFormat="1" ht="12" x14ac:dyDescent="0.25">
      <c r="A2621" s="22">
        <v>1000020591</v>
      </c>
      <c r="B2621" s="23" t="s">
        <v>807</v>
      </c>
      <c r="C2621" s="24" t="s">
        <v>4</v>
      </c>
      <c r="D2621" s="23" t="s">
        <v>2090</v>
      </c>
      <c r="E2621" s="23">
        <v>104.8</v>
      </c>
      <c r="F2621" s="23">
        <v>20</v>
      </c>
      <c r="G2621" s="23">
        <v>20</v>
      </c>
      <c r="H2621" s="23">
        <v>0</v>
      </c>
      <c r="I2621" s="23" t="s">
        <v>5</v>
      </c>
      <c r="J2621" s="23" t="s">
        <v>327</v>
      </c>
    </row>
    <row r="2622" spans="1:10" s="20" customFormat="1" ht="12" x14ac:dyDescent="0.25">
      <c r="A2622" s="22">
        <v>1000093568</v>
      </c>
      <c r="B2622" s="23" t="s">
        <v>4349</v>
      </c>
      <c r="C2622" s="24" t="s">
        <v>4</v>
      </c>
      <c r="D2622" s="23" t="s">
        <v>2056</v>
      </c>
      <c r="E2622" s="23">
        <v>103.698235294117</v>
      </c>
      <c r="F2622" s="23">
        <v>140</v>
      </c>
      <c r="G2622" s="23">
        <v>140</v>
      </c>
      <c r="H2622" s="23">
        <v>0</v>
      </c>
      <c r="I2622" s="23" t="s">
        <v>5</v>
      </c>
      <c r="J2622" s="23" t="s">
        <v>1844</v>
      </c>
    </row>
    <row r="2623" spans="1:10" s="20" customFormat="1" ht="12" x14ac:dyDescent="0.25">
      <c r="A2623" s="22">
        <v>1000020220</v>
      </c>
      <c r="B2623" s="23" t="s">
        <v>460</v>
      </c>
      <c r="C2623" s="24" t="s">
        <v>4</v>
      </c>
      <c r="D2623" s="23" t="s">
        <v>2090</v>
      </c>
      <c r="E2623" s="23">
        <v>103.32</v>
      </c>
      <c r="F2623" s="23">
        <v>18</v>
      </c>
      <c r="G2623" s="23">
        <v>18</v>
      </c>
      <c r="H2623" s="23">
        <v>0</v>
      </c>
      <c r="I2623" s="23" t="s">
        <v>5</v>
      </c>
      <c r="J2623" s="23" t="s">
        <v>327</v>
      </c>
    </row>
    <row r="2624" spans="1:10" s="20" customFormat="1" ht="12" x14ac:dyDescent="0.25">
      <c r="A2624" s="22">
        <v>1000020382</v>
      </c>
      <c r="B2624" s="23" t="s">
        <v>612</v>
      </c>
      <c r="C2624" s="24" t="s">
        <v>4</v>
      </c>
      <c r="D2624" s="23" t="s">
        <v>2090</v>
      </c>
      <c r="E2624" s="23">
        <v>103.3</v>
      </c>
      <c r="F2624" s="23">
        <v>5</v>
      </c>
      <c r="G2624" s="23">
        <v>5</v>
      </c>
      <c r="H2624" s="23">
        <v>0</v>
      </c>
      <c r="I2624" s="23" t="s">
        <v>5</v>
      </c>
      <c r="J2624" s="23" t="s">
        <v>327</v>
      </c>
    </row>
    <row r="2625" spans="1:10" s="20" customFormat="1" ht="12" x14ac:dyDescent="0.25">
      <c r="A2625" s="22">
        <v>1000020381</v>
      </c>
      <c r="B2625" s="23" t="s">
        <v>611</v>
      </c>
      <c r="C2625" s="24" t="s">
        <v>4</v>
      </c>
      <c r="D2625" s="23" t="s">
        <v>2090</v>
      </c>
      <c r="E2625" s="23">
        <v>103.3</v>
      </c>
      <c r="F2625" s="23">
        <v>5</v>
      </c>
      <c r="G2625" s="23">
        <v>5</v>
      </c>
      <c r="H2625" s="23">
        <v>0</v>
      </c>
      <c r="I2625" s="23" t="s">
        <v>5</v>
      </c>
      <c r="J2625" s="23" t="s">
        <v>327</v>
      </c>
    </row>
    <row r="2626" spans="1:10" s="20" customFormat="1" ht="12" x14ac:dyDescent="0.25">
      <c r="A2626" s="22">
        <v>1000020360</v>
      </c>
      <c r="B2626" s="23" t="s">
        <v>592</v>
      </c>
      <c r="C2626" s="24" t="s">
        <v>4</v>
      </c>
      <c r="D2626" s="23" t="s">
        <v>2090</v>
      </c>
      <c r="E2626" s="23">
        <v>103.24</v>
      </c>
      <c r="F2626" s="23">
        <v>1</v>
      </c>
      <c r="G2626" s="23">
        <v>1</v>
      </c>
      <c r="H2626" s="23">
        <v>0</v>
      </c>
      <c r="I2626" s="23" t="s">
        <v>5</v>
      </c>
      <c r="J2626" s="23" t="s">
        <v>327</v>
      </c>
    </row>
    <row r="2627" spans="1:10" s="20" customFormat="1" ht="12" x14ac:dyDescent="0.25">
      <c r="A2627" s="22">
        <v>1000020035</v>
      </c>
      <c r="B2627" s="23" t="s">
        <v>4350</v>
      </c>
      <c r="C2627" s="24" t="s">
        <v>4</v>
      </c>
      <c r="D2627" s="23" t="s">
        <v>2090</v>
      </c>
      <c r="E2627" s="23">
        <v>102.91840000000001</v>
      </c>
      <c r="F2627" s="23">
        <v>16</v>
      </c>
      <c r="G2627" s="23">
        <v>16</v>
      </c>
      <c r="H2627" s="23">
        <v>0</v>
      </c>
      <c r="I2627" s="23" t="s">
        <v>5</v>
      </c>
      <c r="J2627" s="23" t="s">
        <v>327</v>
      </c>
    </row>
    <row r="2628" spans="1:10" s="20" customFormat="1" ht="12" x14ac:dyDescent="0.25">
      <c r="A2628" s="22">
        <v>1000020163</v>
      </c>
      <c r="B2628" s="23" t="s">
        <v>410</v>
      </c>
      <c r="C2628" s="24" t="s">
        <v>4</v>
      </c>
      <c r="D2628" s="23" t="s">
        <v>2090</v>
      </c>
      <c r="E2628" s="23">
        <v>102.8</v>
      </c>
      <c r="F2628" s="23">
        <v>5</v>
      </c>
      <c r="G2628" s="23">
        <v>5</v>
      </c>
      <c r="H2628" s="23">
        <v>0</v>
      </c>
      <c r="I2628" s="23" t="s">
        <v>5</v>
      </c>
      <c r="J2628" s="23" t="s">
        <v>327</v>
      </c>
    </row>
    <row r="2629" spans="1:10" s="20" customFormat="1" ht="12" x14ac:dyDescent="0.25">
      <c r="A2629" s="22">
        <v>1000100420</v>
      </c>
      <c r="B2629" s="23" t="s">
        <v>1732</v>
      </c>
      <c r="C2629" s="24" t="s">
        <v>4</v>
      </c>
      <c r="D2629" s="23" t="s">
        <v>2090</v>
      </c>
      <c r="E2629" s="23">
        <v>102.68</v>
      </c>
      <c r="F2629" s="23">
        <v>2</v>
      </c>
      <c r="G2629" s="23">
        <v>2</v>
      </c>
      <c r="H2629" s="23">
        <v>0</v>
      </c>
      <c r="I2629" s="23" t="s">
        <v>5</v>
      </c>
      <c r="J2629" s="23" t="s">
        <v>327</v>
      </c>
    </row>
    <row r="2630" spans="1:10" s="20" customFormat="1" ht="12" x14ac:dyDescent="0.25">
      <c r="A2630" s="22">
        <v>1000020249</v>
      </c>
      <c r="B2630" s="23" t="s">
        <v>488</v>
      </c>
      <c r="C2630" s="24" t="s">
        <v>4</v>
      </c>
      <c r="D2630" s="23" t="s">
        <v>2090</v>
      </c>
      <c r="E2630" s="23">
        <v>102.6</v>
      </c>
      <c r="F2630" s="23">
        <v>5</v>
      </c>
      <c r="G2630" s="23">
        <v>5</v>
      </c>
      <c r="H2630" s="23">
        <v>0</v>
      </c>
      <c r="I2630" s="23" t="s">
        <v>5</v>
      </c>
      <c r="J2630" s="23" t="s">
        <v>327</v>
      </c>
    </row>
    <row r="2631" spans="1:10" s="20" customFormat="1" ht="12" x14ac:dyDescent="0.25">
      <c r="A2631" s="22">
        <v>2500009193</v>
      </c>
      <c r="B2631" s="23" t="s">
        <v>1985</v>
      </c>
      <c r="C2631" s="24" t="s">
        <v>1996</v>
      </c>
      <c r="D2631" s="23" t="s">
        <v>2025</v>
      </c>
      <c r="E2631" s="23">
        <v>102.6</v>
      </c>
      <c r="F2631" s="23">
        <v>2</v>
      </c>
      <c r="G2631" s="23">
        <v>2</v>
      </c>
      <c r="H2631" s="23">
        <v>0</v>
      </c>
      <c r="I2631" s="23" t="s">
        <v>5</v>
      </c>
      <c r="J2631" s="23" t="s">
        <v>1993</v>
      </c>
    </row>
    <row r="2632" spans="1:10" s="20" customFormat="1" ht="12" x14ac:dyDescent="0.25">
      <c r="A2632" s="22">
        <v>1000021168</v>
      </c>
      <c r="B2632" s="23" t="s">
        <v>1316</v>
      </c>
      <c r="C2632" s="24" t="s">
        <v>4</v>
      </c>
      <c r="D2632" s="23" t="s">
        <v>2090</v>
      </c>
      <c r="E2632" s="23">
        <v>102.261666666666</v>
      </c>
      <c r="F2632" s="23">
        <v>2</v>
      </c>
      <c r="G2632" s="23">
        <v>2</v>
      </c>
      <c r="H2632" s="23">
        <v>0</v>
      </c>
      <c r="I2632" s="23" t="s">
        <v>5</v>
      </c>
      <c r="J2632" s="23" t="s">
        <v>327</v>
      </c>
    </row>
    <row r="2633" spans="1:10" s="20" customFormat="1" ht="12" x14ac:dyDescent="0.25">
      <c r="A2633" s="22">
        <v>1000097510</v>
      </c>
      <c r="B2633" s="23" t="s">
        <v>16</v>
      </c>
      <c r="C2633" s="24" t="s">
        <v>2109</v>
      </c>
      <c r="D2633" s="23" t="s">
        <v>2070</v>
      </c>
      <c r="E2633" s="23">
        <v>102</v>
      </c>
      <c r="F2633" s="23">
        <v>2</v>
      </c>
      <c r="G2633" s="23">
        <v>2</v>
      </c>
      <c r="H2633" s="23">
        <v>0</v>
      </c>
      <c r="I2633" s="23" t="s">
        <v>5</v>
      </c>
      <c r="J2633" s="23" t="s">
        <v>6</v>
      </c>
    </row>
    <row r="2634" spans="1:10" s="20" customFormat="1" ht="12" x14ac:dyDescent="0.25">
      <c r="A2634" s="22">
        <v>1000021186</v>
      </c>
      <c r="B2634" s="23" t="s">
        <v>1333</v>
      </c>
      <c r="C2634" s="24" t="s">
        <v>4</v>
      </c>
      <c r="D2634" s="23" t="s">
        <v>2090</v>
      </c>
      <c r="E2634" s="23">
        <v>101.73</v>
      </c>
      <c r="F2634" s="23">
        <v>1</v>
      </c>
      <c r="G2634" s="23">
        <v>1</v>
      </c>
      <c r="H2634" s="23">
        <v>0</v>
      </c>
      <c r="I2634" s="23" t="s">
        <v>5</v>
      </c>
      <c r="J2634" s="23" t="s">
        <v>327</v>
      </c>
    </row>
    <row r="2635" spans="1:10" s="20" customFormat="1" ht="12" x14ac:dyDescent="0.25">
      <c r="A2635" s="22">
        <v>1000021184</v>
      </c>
      <c r="B2635" s="23" t="s">
        <v>1331</v>
      </c>
      <c r="C2635" s="24" t="s">
        <v>4</v>
      </c>
      <c r="D2635" s="23" t="s">
        <v>2090</v>
      </c>
      <c r="E2635" s="23">
        <v>101.73</v>
      </c>
      <c r="F2635" s="23">
        <v>1</v>
      </c>
      <c r="G2635" s="23">
        <v>1</v>
      </c>
      <c r="H2635" s="23">
        <v>0</v>
      </c>
      <c r="I2635" s="23" t="s">
        <v>5</v>
      </c>
      <c r="J2635" s="23" t="s">
        <v>327</v>
      </c>
    </row>
    <row r="2636" spans="1:10" s="20" customFormat="1" ht="12" x14ac:dyDescent="0.25">
      <c r="A2636" s="22">
        <v>1000020222</v>
      </c>
      <c r="B2636" s="23" t="s">
        <v>462</v>
      </c>
      <c r="C2636" s="24" t="s">
        <v>4</v>
      </c>
      <c r="D2636" s="23" t="s">
        <v>2218</v>
      </c>
      <c r="E2636" s="23">
        <v>101.4</v>
      </c>
      <c r="F2636" s="23">
        <v>20</v>
      </c>
      <c r="G2636" s="23">
        <v>20</v>
      </c>
      <c r="H2636" s="23">
        <v>0</v>
      </c>
      <c r="I2636" s="23" t="s">
        <v>5</v>
      </c>
      <c r="J2636" s="23" t="s">
        <v>327</v>
      </c>
    </row>
    <row r="2637" spans="1:10" s="20" customFormat="1" ht="12" x14ac:dyDescent="0.25">
      <c r="A2637" s="22">
        <v>1000020181</v>
      </c>
      <c r="B2637" s="23" t="s">
        <v>424</v>
      </c>
      <c r="C2637" s="24" t="s">
        <v>4</v>
      </c>
      <c r="D2637" s="23" t="s">
        <v>2090</v>
      </c>
      <c r="E2637" s="23">
        <v>101.31</v>
      </c>
      <c r="F2637" s="23">
        <v>1</v>
      </c>
      <c r="G2637" s="23">
        <v>1</v>
      </c>
      <c r="H2637" s="23">
        <v>0</v>
      </c>
      <c r="I2637" s="23" t="s">
        <v>5</v>
      </c>
      <c r="J2637" s="23" t="s">
        <v>327</v>
      </c>
    </row>
    <row r="2638" spans="1:10" s="20" customFormat="1" ht="12" x14ac:dyDescent="0.25">
      <c r="A2638" s="22">
        <v>1000001222</v>
      </c>
      <c r="B2638" s="23" t="s">
        <v>7</v>
      </c>
      <c r="C2638" s="24" t="s">
        <v>2109</v>
      </c>
      <c r="D2638" s="23" t="s">
        <v>2070</v>
      </c>
      <c r="E2638" s="23">
        <v>101.255</v>
      </c>
      <c r="F2638" s="23">
        <v>2</v>
      </c>
      <c r="G2638" s="23">
        <v>2</v>
      </c>
      <c r="H2638" s="23">
        <v>0</v>
      </c>
      <c r="I2638" s="23" t="s">
        <v>5</v>
      </c>
      <c r="J2638" s="23" t="s">
        <v>6</v>
      </c>
    </row>
    <row r="2639" spans="1:10" s="20" customFormat="1" ht="12" x14ac:dyDescent="0.25">
      <c r="A2639" s="22">
        <v>2500009335</v>
      </c>
      <c r="B2639" s="23" t="s">
        <v>4352</v>
      </c>
      <c r="C2639" s="24" t="s">
        <v>1996</v>
      </c>
      <c r="D2639" s="23" t="s">
        <v>2289</v>
      </c>
      <c r="E2639" s="23">
        <v>101.25</v>
      </c>
      <c r="F2639" s="23">
        <v>3</v>
      </c>
      <c r="G2639" s="23">
        <v>3</v>
      </c>
      <c r="H2639" s="23">
        <v>0</v>
      </c>
      <c r="I2639" s="23" t="s">
        <v>5</v>
      </c>
      <c r="J2639" s="23" t="s">
        <v>1993</v>
      </c>
    </row>
    <row r="2640" spans="1:10" s="20" customFormat="1" ht="12" x14ac:dyDescent="0.25">
      <c r="A2640" s="22">
        <v>1000105809</v>
      </c>
      <c r="B2640" s="23" t="s">
        <v>4355</v>
      </c>
      <c r="C2640" s="24" t="s">
        <v>4</v>
      </c>
      <c r="D2640" s="23" t="s">
        <v>2056</v>
      </c>
      <c r="E2640" s="23">
        <v>101.2</v>
      </c>
      <c r="F2640" s="23">
        <v>25</v>
      </c>
      <c r="G2640" s="23">
        <v>25</v>
      </c>
      <c r="H2640" s="23">
        <v>0</v>
      </c>
      <c r="I2640" s="23" t="s">
        <v>5</v>
      </c>
      <c r="J2640" s="23" t="s">
        <v>1844</v>
      </c>
    </row>
    <row r="2641" spans="1:10" s="20" customFormat="1" ht="12" x14ac:dyDescent="0.25">
      <c r="A2641" s="22">
        <v>1000020379</v>
      </c>
      <c r="B2641" s="23" t="s">
        <v>609</v>
      </c>
      <c r="C2641" s="24" t="s">
        <v>4</v>
      </c>
      <c r="D2641" s="23" t="s">
        <v>2090</v>
      </c>
      <c r="E2641" s="23">
        <v>100.85</v>
      </c>
      <c r="F2641" s="23">
        <v>5</v>
      </c>
      <c r="G2641" s="23">
        <v>5</v>
      </c>
      <c r="H2641" s="23">
        <v>0</v>
      </c>
      <c r="I2641" s="23" t="s">
        <v>5</v>
      </c>
      <c r="J2641" s="23" t="s">
        <v>327</v>
      </c>
    </row>
    <row r="2642" spans="1:10" s="20" customFormat="1" ht="12" x14ac:dyDescent="0.25">
      <c r="A2642" s="22">
        <v>1000020894</v>
      </c>
      <c r="B2642" s="23" t="s">
        <v>1076</v>
      </c>
      <c r="C2642" s="24" t="s">
        <v>4</v>
      </c>
      <c r="D2642" s="23" t="s">
        <v>2090</v>
      </c>
      <c r="E2642" s="23">
        <v>100.71</v>
      </c>
      <c r="F2642" s="23">
        <v>1</v>
      </c>
      <c r="G2642" s="23">
        <v>1</v>
      </c>
      <c r="H2642" s="23">
        <v>0</v>
      </c>
      <c r="I2642" s="23" t="s">
        <v>5</v>
      </c>
      <c r="J2642" s="23" t="s">
        <v>327</v>
      </c>
    </row>
    <row r="2643" spans="1:10" s="20" customFormat="1" ht="12" x14ac:dyDescent="0.25">
      <c r="A2643" s="22">
        <v>1000093330</v>
      </c>
      <c r="B2643" s="23" t="s">
        <v>4357</v>
      </c>
      <c r="C2643" s="24" t="s">
        <v>4</v>
      </c>
      <c r="D2643" s="23" t="s">
        <v>2090</v>
      </c>
      <c r="E2643" s="23">
        <v>100.575</v>
      </c>
      <c r="F2643" s="23">
        <v>2</v>
      </c>
      <c r="G2643" s="23">
        <v>0</v>
      </c>
      <c r="H2643" s="23">
        <v>2</v>
      </c>
      <c r="I2643" s="23" t="s">
        <v>44</v>
      </c>
      <c r="J2643" s="23" t="s">
        <v>327</v>
      </c>
    </row>
    <row r="2644" spans="1:10" s="20" customFormat="1" ht="12" x14ac:dyDescent="0.25">
      <c r="A2644" s="22">
        <v>1000020676</v>
      </c>
      <c r="B2644" s="23" t="s">
        <v>889</v>
      </c>
      <c r="C2644" s="24" t="s">
        <v>4</v>
      </c>
      <c r="D2644" s="23" t="s">
        <v>2090</v>
      </c>
      <c r="E2644" s="23">
        <v>100.54</v>
      </c>
      <c r="F2644" s="23">
        <v>2</v>
      </c>
      <c r="G2644" s="23">
        <v>2</v>
      </c>
      <c r="H2644" s="23">
        <v>0</v>
      </c>
      <c r="I2644" s="23" t="s">
        <v>5</v>
      </c>
      <c r="J2644" s="23" t="s">
        <v>327</v>
      </c>
    </row>
    <row r="2645" spans="1:10" s="20" customFormat="1" ht="12" x14ac:dyDescent="0.25">
      <c r="A2645" s="22">
        <v>1000094724</v>
      </c>
      <c r="B2645" s="23" t="s">
        <v>4358</v>
      </c>
      <c r="C2645" s="24" t="s">
        <v>4</v>
      </c>
      <c r="D2645" s="23" t="s">
        <v>2218</v>
      </c>
      <c r="E2645" s="23">
        <v>100.008333333333</v>
      </c>
      <c r="F2645" s="23">
        <v>4</v>
      </c>
      <c r="G2645" s="23">
        <v>4</v>
      </c>
      <c r="H2645" s="23">
        <v>0</v>
      </c>
      <c r="I2645" s="23" t="s">
        <v>5</v>
      </c>
      <c r="J2645" s="23" t="s">
        <v>327</v>
      </c>
    </row>
    <row r="2646" spans="1:10" s="20" customFormat="1" ht="12" x14ac:dyDescent="0.25">
      <c r="A2646" s="22">
        <v>1000020774</v>
      </c>
      <c r="B2646" s="23" t="s">
        <v>978</v>
      </c>
      <c r="C2646" s="24" t="s">
        <v>4</v>
      </c>
      <c r="D2646" s="23" t="s">
        <v>2090</v>
      </c>
      <c r="E2646" s="23">
        <v>99.8</v>
      </c>
      <c r="F2646" s="23">
        <v>5</v>
      </c>
      <c r="G2646" s="23">
        <v>5</v>
      </c>
      <c r="H2646" s="23">
        <v>0</v>
      </c>
      <c r="I2646" s="23" t="s">
        <v>5</v>
      </c>
      <c r="J2646" s="23" t="s">
        <v>327</v>
      </c>
    </row>
    <row r="2647" spans="1:10" s="20" customFormat="1" ht="12" x14ac:dyDescent="0.25">
      <c r="A2647" s="22">
        <v>1000020980</v>
      </c>
      <c r="B2647" s="23" t="s">
        <v>1154</v>
      </c>
      <c r="C2647" s="24" t="s">
        <v>4</v>
      </c>
      <c r="D2647" s="23" t="s">
        <v>2090</v>
      </c>
      <c r="E2647" s="23">
        <v>99.68</v>
      </c>
      <c r="F2647" s="23">
        <v>2</v>
      </c>
      <c r="G2647" s="23">
        <v>2</v>
      </c>
      <c r="H2647" s="23">
        <v>0</v>
      </c>
      <c r="I2647" s="23" t="s">
        <v>5</v>
      </c>
      <c r="J2647" s="23" t="s">
        <v>327</v>
      </c>
    </row>
    <row r="2648" spans="1:10" s="20" customFormat="1" ht="12" x14ac:dyDescent="0.25">
      <c r="A2648" s="22">
        <v>1000020150</v>
      </c>
      <c r="B2648" s="23" t="s">
        <v>401</v>
      </c>
      <c r="C2648" s="24" t="s">
        <v>4</v>
      </c>
      <c r="D2648" s="23" t="s">
        <v>2090</v>
      </c>
      <c r="E2648" s="23">
        <v>99.48</v>
      </c>
      <c r="F2648" s="23">
        <v>2</v>
      </c>
      <c r="G2648" s="23">
        <v>2</v>
      </c>
      <c r="H2648" s="23">
        <v>0</v>
      </c>
      <c r="I2648" s="23" t="s">
        <v>5</v>
      </c>
      <c r="J2648" s="23" t="s">
        <v>327</v>
      </c>
    </row>
    <row r="2649" spans="1:10" s="20" customFormat="1" ht="12" x14ac:dyDescent="0.25">
      <c r="A2649" s="22">
        <v>1000020414</v>
      </c>
      <c r="B2649" s="23" t="s">
        <v>643</v>
      </c>
      <c r="C2649" s="24" t="s">
        <v>4</v>
      </c>
      <c r="D2649" s="23" t="s">
        <v>2090</v>
      </c>
      <c r="E2649" s="23">
        <v>98.922352941176399</v>
      </c>
      <c r="F2649" s="23">
        <v>14</v>
      </c>
      <c r="G2649" s="23">
        <v>14</v>
      </c>
      <c r="H2649" s="23">
        <v>0</v>
      </c>
      <c r="I2649" s="23" t="s">
        <v>5</v>
      </c>
      <c r="J2649" s="23" t="s">
        <v>327</v>
      </c>
    </row>
    <row r="2650" spans="1:10" s="20" customFormat="1" ht="12" x14ac:dyDescent="0.25">
      <c r="A2650" s="22">
        <v>1000020137</v>
      </c>
      <c r="B2650" s="23" t="s">
        <v>391</v>
      </c>
      <c r="C2650" s="24" t="s">
        <v>4</v>
      </c>
      <c r="D2650" s="23" t="s">
        <v>2090</v>
      </c>
      <c r="E2650" s="23">
        <v>98.9</v>
      </c>
      <c r="F2650" s="23">
        <v>5</v>
      </c>
      <c r="G2650" s="23">
        <v>5</v>
      </c>
      <c r="H2650" s="23">
        <v>0</v>
      </c>
      <c r="I2650" s="23" t="s">
        <v>5</v>
      </c>
      <c r="J2650" s="23" t="s">
        <v>327</v>
      </c>
    </row>
    <row r="2651" spans="1:10" s="20" customFormat="1" ht="12" x14ac:dyDescent="0.25">
      <c r="A2651" s="22">
        <v>1000104754</v>
      </c>
      <c r="B2651" s="23" t="s">
        <v>4364</v>
      </c>
      <c r="C2651" s="24" t="s">
        <v>4</v>
      </c>
      <c r="D2651" s="23" t="s">
        <v>2161</v>
      </c>
      <c r="E2651" s="23">
        <v>98.64</v>
      </c>
      <c r="F2651" s="23">
        <v>4</v>
      </c>
      <c r="G2651" s="23">
        <v>4</v>
      </c>
      <c r="H2651" s="23">
        <v>0</v>
      </c>
      <c r="I2651" s="23" t="s">
        <v>5</v>
      </c>
      <c r="J2651" s="23" t="s">
        <v>111</v>
      </c>
    </row>
    <row r="2652" spans="1:10" s="20" customFormat="1" ht="12" x14ac:dyDescent="0.25">
      <c r="A2652" s="22">
        <v>1000021178</v>
      </c>
      <c r="B2652" s="23" t="s">
        <v>1325</v>
      </c>
      <c r="C2652" s="24" t="s">
        <v>4</v>
      </c>
      <c r="D2652" s="23" t="s">
        <v>2090</v>
      </c>
      <c r="E2652" s="23">
        <v>98.52</v>
      </c>
      <c r="F2652" s="23">
        <v>1</v>
      </c>
      <c r="G2652" s="23">
        <v>1</v>
      </c>
      <c r="H2652" s="23">
        <v>0</v>
      </c>
      <c r="I2652" s="23" t="s">
        <v>5</v>
      </c>
      <c r="J2652" s="23" t="s">
        <v>327</v>
      </c>
    </row>
    <row r="2653" spans="1:10" s="20" customFormat="1" ht="12" x14ac:dyDescent="0.25">
      <c r="A2653" s="22">
        <v>1000020632</v>
      </c>
      <c r="B2653" s="23" t="s">
        <v>847</v>
      </c>
      <c r="C2653" s="24" t="s">
        <v>4</v>
      </c>
      <c r="D2653" s="23" t="s">
        <v>2090</v>
      </c>
      <c r="E2653" s="23">
        <v>97.85</v>
      </c>
      <c r="F2653" s="23">
        <v>5</v>
      </c>
      <c r="G2653" s="23">
        <v>5</v>
      </c>
      <c r="H2653" s="23">
        <v>0</v>
      </c>
      <c r="I2653" s="23" t="s">
        <v>5</v>
      </c>
      <c r="J2653" s="23" t="s">
        <v>327</v>
      </c>
    </row>
    <row r="2654" spans="1:10" s="20" customFormat="1" ht="12" x14ac:dyDescent="0.25">
      <c r="A2654" s="22">
        <v>1000021182</v>
      </c>
      <c r="B2654" s="23" t="s">
        <v>1329</v>
      </c>
      <c r="C2654" s="24" t="s">
        <v>4</v>
      </c>
      <c r="D2654" s="23" t="s">
        <v>2090</v>
      </c>
      <c r="E2654" s="23">
        <v>97.64</v>
      </c>
      <c r="F2654" s="23">
        <v>1</v>
      </c>
      <c r="G2654" s="23">
        <v>1</v>
      </c>
      <c r="H2654" s="23">
        <v>0</v>
      </c>
      <c r="I2654" s="23" t="s">
        <v>5</v>
      </c>
      <c r="J2654" s="23" t="s">
        <v>327</v>
      </c>
    </row>
    <row r="2655" spans="1:10" s="20" customFormat="1" ht="12" x14ac:dyDescent="0.25">
      <c r="A2655" s="22">
        <v>1000100419</v>
      </c>
      <c r="B2655" s="23" t="s">
        <v>1731</v>
      </c>
      <c r="C2655" s="24" t="s">
        <v>4</v>
      </c>
      <c r="D2655" s="23" t="s">
        <v>2218</v>
      </c>
      <c r="E2655" s="23">
        <v>97.474999999999994</v>
      </c>
      <c r="F2655" s="23">
        <v>14</v>
      </c>
      <c r="G2655" s="23">
        <v>14</v>
      </c>
      <c r="H2655" s="23">
        <v>0</v>
      </c>
      <c r="I2655" s="23" t="s">
        <v>5</v>
      </c>
      <c r="J2655" s="23" t="s">
        <v>327</v>
      </c>
    </row>
    <row r="2656" spans="1:10" s="20" customFormat="1" ht="12" x14ac:dyDescent="0.25">
      <c r="A2656" s="22">
        <v>1000095694</v>
      </c>
      <c r="B2656" s="23" t="s">
        <v>1503</v>
      </c>
      <c r="C2656" s="24" t="s">
        <v>4</v>
      </c>
      <c r="D2656" s="23" t="s">
        <v>2090</v>
      </c>
      <c r="E2656" s="23">
        <v>97.442250000000001</v>
      </c>
      <c r="F2656" s="23">
        <v>3</v>
      </c>
      <c r="G2656" s="23">
        <v>3</v>
      </c>
      <c r="H2656" s="23">
        <v>0</v>
      </c>
      <c r="I2656" s="23" t="s">
        <v>5</v>
      </c>
      <c r="J2656" s="23" t="s">
        <v>327</v>
      </c>
    </row>
    <row r="2657" spans="1:10" s="20" customFormat="1" ht="12" x14ac:dyDescent="0.25">
      <c r="A2657" s="22">
        <v>1000020343</v>
      </c>
      <c r="B2657" s="23" t="s">
        <v>575</v>
      </c>
      <c r="C2657" s="24" t="s">
        <v>4</v>
      </c>
      <c r="D2657" s="23" t="s">
        <v>2090</v>
      </c>
      <c r="E2657" s="23">
        <v>97.2</v>
      </c>
      <c r="F2657" s="23">
        <v>20</v>
      </c>
      <c r="G2657" s="23">
        <v>20</v>
      </c>
      <c r="H2657" s="23">
        <v>0</v>
      </c>
      <c r="I2657" s="23" t="s">
        <v>5</v>
      </c>
      <c r="J2657" s="23" t="s">
        <v>327</v>
      </c>
    </row>
    <row r="2658" spans="1:10" s="20" customFormat="1" ht="12" x14ac:dyDescent="0.25">
      <c r="A2658" s="22">
        <v>1000020280</v>
      </c>
      <c r="B2658" s="23" t="s">
        <v>516</v>
      </c>
      <c r="C2658" s="24" t="s">
        <v>4</v>
      </c>
      <c r="D2658" s="23" t="s">
        <v>2090</v>
      </c>
      <c r="E2658" s="23">
        <v>97.05</v>
      </c>
      <c r="F2658" s="23">
        <v>3</v>
      </c>
      <c r="G2658" s="23">
        <v>3</v>
      </c>
      <c r="H2658" s="23">
        <v>0</v>
      </c>
      <c r="I2658" s="23" t="s">
        <v>5</v>
      </c>
      <c r="J2658" s="23" t="s">
        <v>327</v>
      </c>
    </row>
    <row r="2659" spans="1:10" s="20" customFormat="1" ht="12" x14ac:dyDescent="0.25">
      <c r="A2659" s="22">
        <v>1000094123</v>
      </c>
      <c r="B2659" s="23" t="s">
        <v>4366</v>
      </c>
      <c r="C2659" s="24" t="s">
        <v>4</v>
      </c>
      <c r="D2659" s="23" t="s">
        <v>2090</v>
      </c>
      <c r="E2659" s="23">
        <v>96.855000000000004</v>
      </c>
      <c r="F2659" s="23">
        <v>2</v>
      </c>
      <c r="G2659" s="23">
        <v>2</v>
      </c>
      <c r="H2659" s="23">
        <v>0</v>
      </c>
      <c r="I2659" s="23" t="s">
        <v>5</v>
      </c>
      <c r="J2659" s="23" t="s">
        <v>327</v>
      </c>
    </row>
    <row r="2660" spans="1:10" s="20" customFormat="1" ht="12" x14ac:dyDescent="0.25">
      <c r="A2660" s="22">
        <v>1000020915</v>
      </c>
      <c r="B2660" s="23" t="s">
        <v>1095</v>
      </c>
      <c r="C2660" s="24" t="s">
        <v>4</v>
      </c>
      <c r="D2660" s="23" t="s">
        <v>2090</v>
      </c>
      <c r="E2660" s="23">
        <v>96.66</v>
      </c>
      <c r="F2660" s="23">
        <v>1</v>
      </c>
      <c r="G2660" s="23">
        <v>1</v>
      </c>
      <c r="H2660" s="23">
        <v>0</v>
      </c>
      <c r="I2660" s="23" t="s">
        <v>5</v>
      </c>
      <c r="J2660" s="23" t="s">
        <v>327</v>
      </c>
    </row>
    <row r="2661" spans="1:10" s="20" customFormat="1" ht="12" x14ac:dyDescent="0.25">
      <c r="A2661" s="22">
        <v>1000020914</v>
      </c>
      <c r="B2661" s="23" t="s">
        <v>1094</v>
      </c>
      <c r="C2661" s="24" t="s">
        <v>4</v>
      </c>
      <c r="D2661" s="23" t="s">
        <v>2090</v>
      </c>
      <c r="E2661" s="23">
        <v>96.66</v>
      </c>
      <c r="F2661" s="23">
        <v>1</v>
      </c>
      <c r="G2661" s="23">
        <v>1</v>
      </c>
      <c r="H2661" s="23">
        <v>0</v>
      </c>
      <c r="I2661" s="23" t="s">
        <v>5</v>
      </c>
      <c r="J2661" s="23" t="s">
        <v>327</v>
      </c>
    </row>
    <row r="2662" spans="1:10" s="20" customFormat="1" ht="12" x14ac:dyDescent="0.25">
      <c r="A2662" s="22">
        <v>1000100425</v>
      </c>
      <c r="B2662" s="23" t="s">
        <v>1736</v>
      </c>
      <c r="C2662" s="24" t="s">
        <v>4</v>
      </c>
      <c r="D2662" s="23" t="s">
        <v>2090</v>
      </c>
      <c r="E2662" s="23">
        <v>96.6</v>
      </c>
      <c r="F2662" s="23">
        <v>2</v>
      </c>
      <c r="G2662" s="23">
        <v>2</v>
      </c>
      <c r="H2662" s="23">
        <v>0</v>
      </c>
      <c r="I2662" s="23" t="s">
        <v>5</v>
      </c>
      <c r="J2662" s="23" t="s">
        <v>327</v>
      </c>
    </row>
    <row r="2663" spans="1:10" s="20" customFormat="1" ht="12" x14ac:dyDescent="0.25">
      <c r="A2663" s="22">
        <v>1000020380</v>
      </c>
      <c r="B2663" s="23" t="s">
        <v>610</v>
      </c>
      <c r="C2663" s="24" t="s">
        <v>4</v>
      </c>
      <c r="D2663" s="23" t="s">
        <v>2090</v>
      </c>
      <c r="E2663" s="23">
        <v>96.45</v>
      </c>
      <c r="F2663" s="23">
        <v>5</v>
      </c>
      <c r="G2663" s="23">
        <v>5</v>
      </c>
      <c r="H2663" s="23">
        <v>0</v>
      </c>
      <c r="I2663" s="23" t="s">
        <v>5</v>
      </c>
      <c r="J2663" s="23" t="s">
        <v>327</v>
      </c>
    </row>
    <row r="2664" spans="1:10" s="20" customFormat="1" ht="12" x14ac:dyDescent="0.25">
      <c r="A2664" s="22">
        <v>1000101360</v>
      </c>
      <c r="B2664" s="23" t="s">
        <v>4369</v>
      </c>
      <c r="C2664" s="24" t="s">
        <v>4</v>
      </c>
      <c r="D2664" s="23" t="s">
        <v>2056</v>
      </c>
      <c r="E2664" s="23">
        <v>96.038829688421004</v>
      </c>
      <c r="F2664" s="23">
        <v>42</v>
      </c>
      <c r="G2664" s="23">
        <v>42</v>
      </c>
      <c r="H2664" s="23">
        <v>0</v>
      </c>
      <c r="I2664" s="23" t="s">
        <v>5</v>
      </c>
      <c r="J2664" s="23" t="s">
        <v>1844</v>
      </c>
    </row>
    <row r="2665" spans="1:10" s="20" customFormat="1" ht="12" x14ac:dyDescent="0.25">
      <c r="A2665" s="22">
        <v>1000020561</v>
      </c>
      <c r="B2665" s="23" t="s">
        <v>778</v>
      </c>
      <c r="C2665" s="24" t="s">
        <v>4</v>
      </c>
      <c r="D2665" s="23" t="s">
        <v>2090</v>
      </c>
      <c r="E2665" s="23">
        <v>96.02</v>
      </c>
      <c r="F2665" s="23">
        <v>2</v>
      </c>
      <c r="G2665" s="23">
        <v>2</v>
      </c>
      <c r="H2665" s="23">
        <v>0</v>
      </c>
      <c r="I2665" s="23" t="s">
        <v>5</v>
      </c>
      <c r="J2665" s="23" t="s">
        <v>327</v>
      </c>
    </row>
    <row r="2666" spans="1:10" s="20" customFormat="1" ht="12" x14ac:dyDescent="0.25">
      <c r="A2666" s="22">
        <v>1000020455</v>
      </c>
      <c r="B2666" s="23" t="s">
        <v>681</v>
      </c>
      <c r="C2666" s="24" t="s">
        <v>4</v>
      </c>
      <c r="D2666" s="23" t="s">
        <v>2090</v>
      </c>
      <c r="E2666" s="23">
        <v>95.729413514662099</v>
      </c>
      <c r="F2666" s="23">
        <v>6</v>
      </c>
      <c r="G2666" s="23">
        <v>6</v>
      </c>
      <c r="H2666" s="23">
        <v>0</v>
      </c>
      <c r="I2666" s="23" t="s">
        <v>5</v>
      </c>
      <c r="J2666" s="23" t="s">
        <v>327</v>
      </c>
    </row>
    <row r="2667" spans="1:10" s="20" customFormat="1" ht="12" x14ac:dyDescent="0.25">
      <c r="A2667" s="22">
        <v>1000020792</v>
      </c>
      <c r="B2667" s="23" t="s">
        <v>996</v>
      </c>
      <c r="C2667" s="24" t="s">
        <v>4</v>
      </c>
      <c r="D2667" s="23" t="s">
        <v>2090</v>
      </c>
      <c r="E2667" s="23">
        <v>95.197500000000005</v>
      </c>
      <c r="F2667" s="23">
        <v>1</v>
      </c>
      <c r="G2667" s="23">
        <v>1</v>
      </c>
      <c r="H2667" s="23">
        <v>0</v>
      </c>
      <c r="I2667" s="23" t="s">
        <v>5</v>
      </c>
      <c r="J2667" s="23" t="s">
        <v>327</v>
      </c>
    </row>
    <row r="2668" spans="1:10" s="20" customFormat="1" ht="12" x14ac:dyDescent="0.25">
      <c r="A2668" s="22">
        <v>1000099285</v>
      </c>
      <c r="B2668" s="23" t="s">
        <v>4370</v>
      </c>
      <c r="C2668" s="24" t="s">
        <v>4</v>
      </c>
      <c r="D2668" s="23" t="s">
        <v>2090</v>
      </c>
      <c r="E2668" s="23">
        <v>95.14</v>
      </c>
      <c r="F2668" s="23">
        <v>1</v>
      </c>
      <c r="G2668" s="23">
        <v>1</v>
      </c>
      <c r="H2668" s="23">
        <v>0</v>
      </c>
      <c r="I2668" s="23" t="s">
        <v>5</v>
      </c>
      <c r="J2668" s="23" t="s">
        <v>327</v>
      </c>
    </row>
    <row r="2669" spans="1:10" s="20" customFormat="1" ht="12" x14ac:dyDescent="0.25">
      <c r="A2669" s="22">
        <v>1000020358</v>
      </c>
      <c r="B2669" s="23" t="s">
        <v>590</v>
      </c>
      <c r="C2669" s="24" t="s">
        <v>4</v>
      </c>
      <c r="D2669" s="23" t="s">
        <v>2090</v>
      </c>
      <c r="E2669" s="23">
        <v>94.86</v>
      </c>
      <c r="F2669" s="23">
        <v>1</v>
      </c>
      <c r="G2669" s="23">
        <v>1</v>
      </c>
      <c r="H2669" s="23">
        <v>0</v>
      </c>
      <c r="I2669" s="23" t="s">
        <v>5</v>
      </c>
      <c r="J2669" s="23" t="s">
        <v>327</v>
      </c>
    </row>
    <row r="2670" spans="1:10" s="20" customFormat="1" ht="12" x14ac:dyDescent="0.25">
      <c r="A2670" s="22">
        <v>1000098601</v>
      </c>
      <c r="B2670" s="23" t="s">
        <v>1606</v>
      </c>
      <c r="C2670" s="24" t="s">
        <v>4</v>
      </c>
      <c r="D2670" s="23" t="s">
        <v>2090</v>
      </c>
      <c r="E2670" s="23">
        <v>94.61</v>
      </c>
      <c r="F2670" s="23">
        <v>2</v>
      </c>
      <c r="G2670" s="23">
        <v>2</v>
      </c>
      <c r="H2670" s="23">
        <v>0</v>
      </c>
      <c r="I2670" s="23" t="s">
        <v>5</v>
      </c>
      <c r="J2670" s="23" t="s">
        <v>327</v>
      </c>
    </row>
    <row r="2671" spans="1:10" s="20" customFormat="1" ht="12" x14ac:dyDescent="0.25">
      <c r="A2671" s="22">
        <v>1000020239</v>
      </c>
      <c r="B2671" s="23" t="s">
        <v>478</v>
      </c>
      <c r="C2671" s="24" t="s">
        <v>4</v>
      </c>
      <c r="D2671" s="23" t="s">
        <v>2090</v>
      </c>
      <c r="E2671" s="23">
        <v>93.8</v>
      </c>
      <c r="F2671" s="23">
        <v>5</v>
      </c>
      <c r="G2671" s="23">
        <v>5</v>
      </c>
      <c r="H2671" s="23">
        <v>0</v>
      </c>
      <c r="I2671" s="23" t="s">
        <v>5</v>
      </c>
      <c r="J2671" s="23" t="s">
        <v>327</v>
      </c>
    </row>
    <row r="2672" spans="1:10" s="20" customFormat="1" ht="12" x14ac:dyDescent="0.25">
      <c r="A2672" s="22">
        <v>2500009459</v>
      </c>
      <c r="B2672" s="23" t="s">
        <v>4372</v>
      </c>
      <c r="C2672" s="24" t="s">
        <v>1996</v>
      </c>
      <c r="D2672" s="23" t="s">
        <v>2289</v>
      </c>
      <c r="E2672" s="23">
        <v>93.75</v>
      </c>
      <c r="F2672" s="23">
        <v>1</v>
      </c>
      <c r="G2672" s="23">
        <v>1</v>
      </c>
      <c r="H2672" s="23">
        <v>0</v>
      </c>
      <c r="I2672" s="23" t="s">
        <v>5</v>
      </c>
      <c r="J2672" s="23" t="s">
        <v>1993</v>
      </c>
    </row>
    <row r="2673" spans="1:10" s="20" customFormat="1" ht="12" x14ac:dyDescent="0.25">
      <c r="A2673" s="22">
        <v>2500005579</v>
      </c>
      <c r="B2673" s="23" t="s">
        <v>1904</v>
      </c>
      <c r="C2673" s="24" t="s">
        <v>1996</v>
      </c>
      <c r="D2673" s="23" t="s">
        <v>2025</v>
      </c>
      <c r="E2673" s="23">
        <v>93.64</v>
      </c>
      <c r="F2673" s="23">
        <v>6</v>
      </c>
      <c r="G2673" s="23">
        <v>6</v>
      </c>
      <c r="H2673" s="23">
        <v>0</v>
      </c>
      <c r="I2673" s="23" t="s">
        <v>5</v>
      </c>
      <c r="J2673" s="23" t="s">
        <v>1993</v>
      </c>
    </row>
    <row r="2674" spans="1:10" s="20" customFormat="1" ht="12" x14ac:dyDescent="0.25">
      <c r="A2674" s="22">
        <v>1000098734</v>
      </c>
      <c r="B2674" s="23" t="s">
        <v>1674</v>
      </c>
      <c r="C2674" s="24" t="s">
        <v>4</v>
      </c>
      <c r="D2674" s="23" t="s">
        <v>2090</v>
      </c>
      <c r="E2674" s="23">
        <v>93.487499999999997</v>
      </c>
      <c r="F2674" s="23">
        <v>3</v>
      </c>
      <c r="G2674" s="23">
        <v>3</v>
      </c>
      <c r="H2674" s="23">
        <v>0</v>
      </c>
      <c r="I2674" s="23" t="s">
        <v>5</v>
      </c>
      <c r="J2674" s="23" t="s">
        <v>327</v>
      </c>
    </row>
    <row r="2675" spans="1:10" s="20" customFormat="1" ht="12" x14ac:dyDescent="0.25">
      <c r="A2675" s="22">
        <v>1000020346</v>
      </c>
      <c r="B2675" s="23" t="s">
        <v>578</v>
      </c>
      <c r="C2675" s="24" t="s">
        <v>4</v>
      </c>
      <c r="D2675" s="23" t="s">
        <v>2090</v>
      </c>
      <c r="E2675" s="23">
        <v>93.1</v>
      </c>
      <c r="F2675" s="23">
        <v>5</v>
      </c>
      <c r="G2675" s="23">
        <v>5</v>
      </c>
      <c r="H2675" s="23">
        <v>0</v>
      </c>
      <c r="I2675" s="23" t="s">
        <v>5</v>
      </c>
      <c r="J2675" s="23" t="s">
        <v>327</v>
      </c>
    </row>
    <row r="2676" spans="1:10" s="20" customFormat="1" ht="12" x14ac:dyDescent="0.25">
      <c r="A2676" s="22">
        <v>1000107869</v>
      </c>
      <c r="B2676" s="23" t="s">
        <v>4373</v>
      </c>
      <c r="C2676" s="24" t="s">
        <v>4</v>
      </c>
      <c r="D2676" s="23" t="s">
        <v>2056</v>
      </c>
      <c r="E2676" s="23">
        <v>92.88</v>
      </c>
      <c r="F2676" s="23">
        <v>10</v>
      </c>
      <c r="G2676" s="23">
        <v>10</v>
      </c>
      <c r="H2676" s="23">
        <v>0</v>
      </c>
      <c r="I2676" s="23" t="s">
        <v>5</v>
      </c>
      <c r="J2676" s="23" t="s">
        <v>1844</v>
      </c>
    </row>
    <row r="2677" spans="1:10" s="20" customFormat="1" ht="12" x14ac:dyDescent="0.25">
      <c r="A2677" s="22">
        <v>1000103068</v>
      </c>
      <c r="B2677" s="23" t="s">
        <v>4374</v>
      </c>
      <c r="C2677" s="24" t="s">
        <v>4</v>
      </c>
      <c r="D2677" s="23" t="s">
        <v>2090</v>
      </c>
      <c r="E2677" s="23">
        <v>92.822000044250004</v>
      </c>
      <c r="F2677" s="23">
        <v>8</v>
      </c>
      <c r="G2677" s="23">
        <v>8</v>
      </c>
      <c r="H2677" s="23">
        <v>0</v>
      </c>
      <c r="I2677" s="23" t="s">
        <v>5</v>
      </c>
      <c r="J2677" s="23" t="s">
        <v>327</v>
      </c>
    </row>
    <row r="2678" spans="1:10" s="20" customFormat="1" ht="12" x14ac:dyDescent="0.25">
      <c r="A2678" s="22">
        <v>1000102427</v>
      </c>
      <c r="B2678" s="23" t="s">
        <v>4375</v>
      </c>
      <c r="C2678" s="24" t="s">
        <v>4</v>
      </c>
      <c r="D2678" s="23" t="s">
        <v>2056</v>
      </c>
      <c r="E2678" s="23">
        <v>92.81635</v>
      </c>
      <c r="F2678" s="23">
        <v>11</v>
      </c>
      <c r="G2678" s="23">
        <v>11</v>
      </c>
      <c r="H2678" s="23">
        <v>0</v>
      </c>
      <c r="I2678" s="23" t="s">
        <v>5</v>
      </c>
      <c r="J2678" s="23" t="s">
        <v>1844</v>
      </c>
    </row>
    <row r="2679" spans="1:10" s="20" customFormat="1" ht="12" x14ac:dyDescent="0.25">
      <c r="A2679" s="22">
        <v>1000020449</v>
      </c>
      <c r="B2679" s="23" t="s">
        <v>675</v>
      </c>
      <c r="C2679" s="24" t="s">
        <v>4</v>
      </c>
      <c r="D2679" s="23" t="s">
        <v>2090</v>
      </c>
      <c r="E2679" s="23">
        <v>92.73</v>
      </c>
      <c r="F2679" s="23">
        <v>3</v>
      </c>
      <c r="G2679" s="23">
        <v>3</v>
      </c>
      <c r="H2679" s="23">
        <v>0</v>
      </c>
      <c r="I2679" s="23" t="s">
        <v>5</v>
      </c>
      <c r="J2679" s="23" t="s">
        <v>327</v>
      </c>
    </row>
    <row r="2680" spans="1:10" s="20" customFormat="1" ht="12" x14ac:dyDescent="0.25">
      <c r="A2680" s="22">
        <v>1000020243</v>
      </c>
      <c r="B2680" s="23" t="s">
        <v>482</v>
      </c>
      <c r="C2680" s="24" t="s">
        <v>4</v>
      </c>
      <c r="D2680" s="23" t="s">
        <v>2090</v>
      </c>
      <c r="E2680" s="23">
        <v>92.4</v>
      </c>
      <c r="F2680" s="23">
        <v>5</v>
      </c>
      <c r="G2680" s="23">
        <v>5</v>
      </c>
      <c r="H2680" s="23">
        <v>0</v>
      </c>
      <c r="I2680" s="23" t="s">
        <v>5</v>
      </c>
      <c r="J2680" s="23" t="s">
        <v>327</v>
      </c>
    </row>
    <row r="2681" spans="1:10" s="20" customFormat="1" ht="12" x14ac:dyDescent="0.25">
      <c r="A2681" s="22">
        <v>1000102600</v>
      </c>
      <c r="B2681" s="23" t="s">
        <v>4376</v>
      </c>
      <c r="C2681" s="24" t="s">
        <v>4</v>
      </c>
      <c r="D2681" s="23" t="s">
        <v>2056</v>
      </c>
      <c r="E2681" s="23">
        <v>92.39</v>
      </c>
      <c r="F2681" s="23">
        <v>180</v>
      </c>
      <c r="G2681" s="23">
        <v>180</v>
      </c>
      <c r="H2681" s="23">
        <v>0</v>
      </c>
      <c r="I2681" s="23" t="s">
        <v>5</v>
      </c>
      <c r="J2681" s="23" t="s">
        <v>1844</v>
      </c>
    </row>
    <row r="2682" spans="1:10" s="20" customFormat="1" ht="12" x14ac:dyDescent="0.25">
      <c r="A2682" s="22">
        <v>1000020007</v>
      </c>
      <c r="B2682" s="23" t="s">
        <v>4377</v>
      </c>
      <c r="C2682" s="24" t="s">
        <v>4</v>
      </c>
      <c r="D2682" s="23" t="s">
        <v>2090</v>
      </c>
      <c r="E2682" s="23">
        <v>92.2173913043478</v>
      </c>
      <c r="F2682" s="23">
        <v>14</v>
      </c>
      <c r="G2682" s="23">
        <v>14</v>
      </c>
      <c r="H2682" s="23">
        <v>0</v>
      </c>
      <c r="I2682" s="23" t="s">
        <v>5</v>
      </c>
      <c r="J2682" s="23" t="s">
        <v>327</v>
      </c>
    </row>
    <row r="2683" spans="1:10" s="20" customFormat="1" ht="12" x14ac:dyDescent="0.25">
      <c r="A2683" s="22">
        <v>1000020377</v>
      </c>
      <c r="B2683" s="23" t="s">
        <v>608</v>
      </c>
      <c r="C2683" s="24" t="s">
        <v>4</v>
      </c>
      <c r="D2683" s="23" t="s">
        <v>2090</v>
      </c>
      <c r="E2683" s="23">
        <v>92.2</v>
      </c>
      <c r="F2683" s="23">
        <v>5</v>
      </c>
      <c r="G2683" s="23">
        <v>5</v>
      </c>
      <c r="H2683" s="23">
        <v>0</v>
      </c>
      <c r="I2683" s="23" t="s">
        <v>5</v>
      </c>
      <c r="J2683" s="23" t="s">
        <v>327</v>
      </c>
    </row>
    <row r="2684" spans="1:10" s="20" customFormat="1" ht="12" x14ac:dyDescent="0.25">
      <c r="A2684" s="22">
        <v>1000101100</v>
      </c>
      <c r="B2684" s="23" t="s">
        <v>4378</v>
      </c>
      <c r="C2684" s="24" t="s">
        <v>4</v>
      </c>
      <c r="D2684" s="23" t="s">
        <v>2284</v>
      </c>
      <c r="E2684" s="23">
        <v>92.18</v>
      </c>
      <c r="F2684" s="23">
        <v>1</v>
      </c>
      <c r="G2684" s="23">
        <v>1</v>
      </c>
      <c r="H2684" s="23">
        <v>0</v>
      </c>
      <c r="I2684" s="23" t="s">
        <v>5</v>
      </c>
      <c r="J2684" s="23" t="s">
        <v>1844</v>
      </c>
    </row>
    <row r="2685" spans="1:10" s="20" customFormat="1" ht="12" x14ac:dyDescent="0.25">
      <c r="A2685" s="22">
        <v>1000093562</v>
      </c>
      <c r="B2685" s="23" t="s">
        <v>4379</v>
      </c>
      <c r="C2685" s="24" t="s">
        <v>4</v>
      </c>
      <c r="D2685" s="23" t="s">
        <v>2056</v>
      </c>
      <c r="E2685" s="23">
        <v>91.941821759999996</v>
      </c>
      <c r="F2685" s="23">
        <v>2</v>
      </c>
      <c r="G2685" s="23">
        <v>2</v>
      </c>
      <c r="H2685" s="23">
        <v>0</v>
      </c>
      <c r="I2685" s="23" t="s">
        <v>5</v>
      </c>
      <c r="J2685" s="23" t="s">
        <v>1844</v>
      </c>
    </row>
    <row r="2686" spans="1:10" s="20" customFormat="1" ht="12" x14ac:dyDescent="0.25">
      <c r="A2686" s="22">
        <v>1000103238</v>
      </c>
      <c r="B2686" s="23" t="s">
        <v>4380</v>
      </c>
      <c r="C2686" s="24" t="s">
        <v>4</v>
      </c>
      <c r="D2686" s="23" t="s">
        <v>2056</v>
      </c>
      <c r="E2686" s="23">
        <v>91.84</v>
      </c>
      <c r="F2686" s="23">
        <v>20</v>
      </c>
      <c r="G2686" s="23">
        <v>20</v>
      </c>
      <c r="H2686" s="23">
        <v>0</v>
      </c>
      <c r="I2686" s="23" t="s">
        <v>5</v>
      </c>
      <c r="J2686" s="23" t="s">
        <v>1844</v>
      </c>
    </row>
    <row r="2687" spans="1:10" s="20" customFormat="1" ht="12" x14ac:dyDescent="0.25">
      <c r="A2687" s="22">
        <v>1000097610</v>
      </c>
      <c r="B2687" s="23" t="s">
        <v>4381</v>
      </c>
      <c r="C2687" s="24" t="s">
        <v>4</v>
      </c>
      <c r="D2687" s="23" t="s">
        <v>2056</v>
      </c>
      <c r="E2687" s="23">
        <v>91.8</v>
      </c>
      <c r="F2687" s="23">
        <v>500</v>
      </c>
      <c r="G2687" s="23">
        <v>500</v>
      </c>
      <c r="H2687" s="23">
        <v>0</v>
      </c>
      <c r="I2687" s="23" t="s">
        <v>5</v>
      </c>
      <c r="J2687" s="23" t="s">
        <v>1844</v>
      </c>
    </row>
    <row r="2688" spans="1:10" s="20" customFormat="1" ht="12" x14ac:dyDescent="0.25">
      <c r="A2688" s="22">
        <v>1000101148</v>
      </c>
      <c r="B2688" s="23" t="s">
        <v>4382</v>
      </c>
      <c r="C2688" s="24" t="s">
        <v>4</v>
      </c>
      <c r="D2688" s="23" t="s">
        <v>2284</v>
      </c>
      <c r="E2688" s="23">
        <v>91.2</v>
      </c>
      <c r="F2688" s="23">
        <v>2</v>
      </c>
      <c r="G2688" s="23">
        <v>2</v>
      </c>
      <c r="H2688" s="23">
        <v>0</v>
      </c>
      <c r="I2688" s="23" t="s">
        <v>5</v>
      </c>
      <c r="J2688" s="23" t="s">
        <v>1844</v>
      </c>
    </row>
    <row r="2689" spans="1:10" s="20" customFormat="1" ht="12" x14ac:dyDescent="0.25">
      <c r="A2689" s="22">
        <v>1000095838</v>
      </c>
      <c r="B2689" s="23" t="s">
        <v>4384</v>
      </c>
      <c r="C2689" s="24" t="s">
        <v>4</v>
      </c>
      <c r="D2689" s="23" t="s">
        <v>2056</v>
      </c>
      <c r="E2689" s="23">
        <v>91.048297096188705</v>
      </c>
      <c r="F2689" s="23">
        <v>1</v>
      </c>
      <c r="G2689" s="23">
        <v>1</v>
      </c>
      <c r="H2689" s="23">
        <v>0</v>
      </c>
      <c r="I2689" s="23" t="s">
        <v>5</v>
      </c>
      <c r="J2689" s="23" t="s">
        <v>1844</v>
      </c>
    </row>
    <row r="2690" spans="1:10" s="20" customFormat="1" ht="12" x14ac:dyDescent="0.25">
      <c r="A2690" s="22">
        <v>1000021163</v>
      </c>
      <c r="B2690" s="23" t="s">
        <v>1311</v>
      </c>
      <c r="C2690" s="24" t="s">
        <v>4</v>
      </c>
      <c r="D2690" s="23" t="s">
        <v>2090</v>
      </c>
      <c r="E2690" s="23">
        <v>90.46</v>
      </c>
      <c r="F2690" s="23">
        <v>2</v>
      </c>
      <c r="G2690" s="23">
        <v>2</v>
      </c>
      <c r="H2690" s="23">
        <v>0</v>
      </c>
      <c r="I2690" s="23" t="s">
        <v>5</v>
      </c>
      <c r="J2690" s="23" t="s">
        <v>327</v>
      </c>
    </row>
    <row r="2691" spans="1:10" s="20" customFormat="1" ht="12" x14ac:dyDescent="0.25">
      <c r="A2691" s="22">
        <v>2500008380</v>
      </c>
      <c r="B2691" s="23" t="s">
        <v>4385</v>
      </c>
      <c r="C2691" s="24" t="s">
        <v>1996</v>
      </c>
      <c r="D2691" s="23" t="s">
        <v>2025</v>
      </c>
      <c r="E2691" s="23">
        <v>90.12</v>
      </c>
      <c r="F2691" s="23">
        <v>1</v>
      </c>
      <c r="G2691" s="23">
        <v>1</v>
      </c>
      <c r="H2691" s="23">
        <v>0</v>
      </c>
      <c r="I2691" s="23" t="s">
        <v>5</v>
      </c>
      <c r="J2691" s="23" t="s">
        <v>1993</v>
      </c>
    </row>
    <row r="2692" spans="1:10" s="20" customFormat="1" ht="12" x14ac:dyDescent="0.25">
      <c r="A2692" s="22">
        <v>2500009407</v>
      </c>
      <c r="B2692" s="23" t="s">
        <v>4386</v>
      </c>
      <c r="C2692" s="24" t="s">
        <v>1996</v>
      </c>
      <c r="D2692" s="23" t="s">
        <v>2289</v>
      </c>
      <c r="E2692" s="23">
        <v>90</v>
      </c>
      <c r="F2692" s="23">
        <v>8</v>
      </c>
      <c r="G2692" s="23">
        <v>8</v>
      </c>
      <c r="H2692" s="23">
        <v>0</v>
      </c>
      <c r="I2692" s="23" t="s">
        <v>5</v>
      </c>
      <c r="J2692" s="23" t="s">
        <v>1993</v>
      </c>
    </row>
    <row r="2693" spans="1:10" s="20" customFormat="1" ht="12" x14ac:dyDescent="0.25">
      <c r="A2693" s="22">
        <v>2500009415</v>
      </c>
      <c r="B2693" s="23" t="s">
        <v>4386</v>
      </c>
      <c r="C2693" s="24" t="s">
        <v>1996</v>
      </c>
      <c r="D2693" s="23" t="s">
        <v>2289</v>
      </c>
      <c r="E2693" s="23">
        <v>90</v>
      </c>
      <c r="F2693" s="23">
        <v>8</v>
      </c>
      <c r="G2693" s="23">
        <v>8</v>
      </c>
      <c r="H2693" s="23">
        <v>0</v>
      </c>
      <c r="I2693" s="23" t="s">
        <v>5</v>
      </c>
      <c r="J2693" s="23" t="s">
        <v>1993</v>
      </c>
    </row>
    <row r="2694" spans="1:10" s="20" customFormat="1" ht="12" x14ac:dyDescent="0.25">
      <c r="A2694" s="22">
        <v>1000095900</v>
      </c>
      <c r="B2694" s="23" t="s">
        <v>1506</v>
      </c>
      <c r="C2694" s="24" t="s">
        <v>4</v>
      </c>
      <c r="D2694" s="23" t="s">
        <v>2090</v>
      </c>
      <c r="E2694" s="23">
        <v>89.59</v>
      </c>
      <c r="F2694" s="23">
        <v>1</v>
      </c>
      <c r="G2694" s="23">
        <v>1</v>
      </c>
      <c r="H2694" s="23">
        <v>0</v>
      </c>
      <c r="I2694" s="23" t="s">
        <v>5</v>
      </c>
      <c r="J2694" s="23" t="s">
        <v>327</v>
      </c>
    </row>
    <row r="2695" spans="1:10" s="20" customFormat="1" ht="12" x14ac:dyDescent="0.25">
      <c r="A2695" s="22">
        <v>1000020396</v>
      </c>
      <c r="B2695" s="23" t="s">
        <v>626</v>
      </c>
      <c r="C2695" s="24" t="s">
        <v>4</v>
      </c>
      <c r="D2695" s="23" t="s">
        <v>2090</v>
      </c>
      <c r="E2695" s="23">
        <v>88.04</v>
      </c>
      <c r="F2695" s="23">
        <v>1</v>
      </c>
      <c r="G2695" s="23">
        <v>1</v>
      </c>
      <c r="H2695" s="23">
        <v>0</v>
      </c>
      <c r="I2695" s="23" t="s">
        <v>5</v>
      </c>
      <c r="J2695" s="23" t="s">
        <v>327</v>
      </c>
    </row>
    <row r="2696" spans="1:10" s="20" customFormat="1" ht="12" x14ac:dyDescent="0.25">
      <c r="A2696" s="22">
        <v>1000108046</v>
      </c>
      <c r="B2696" s="23" t="s">
        <v>4389</v>
      </c>
      <c r="C2696" s="24" t="s">
        <v>4</v>
      </c>
      <c r="D2696" s="23" t="s">
        <v>2056</v>
      </c>
      <c r="E2696" s="23">
        <v>87.676666666666605</v>
      </c>
      <c r="F2696" s="23">
        <v>50</v>
      </c>
      <c r="G2696" s="23">
        <v>50</v>
      </c>
      <c r="H2696" s="23">
        <v>0</v>
      </c>
      <c r="I2696" s="23" t="s">
        <v>5</v>
      </c>
      <c r="J2696" s="23" t="s">
        <v>1844</v>
      </c>
    </row>
    <row r="2697" spans="1:10" s="20" customFormat="1" ht="12" x14ac:dyDescent="0.25">
      <c r="A2697" s="22">
        <v>1000100325</v>
      </c>
      <c r="B2697" s="23" t="s">
        <v>4390</v>
      </c>
      <c r="C2697" s="24" t="s">
        <v>4</v>
      </c>
      <c r="D2697" s="23" t="s">
        <v>2090</v>
      </c>
      <c r="E2697" s="23">
        <v>87.5625</v>
      </c>
      <c r="F2697" s="23">
        <v>1</v>
      </c>
      <c r="G2697" s="23">
        <v>1</v>
      </c>
      <c r="H2697" s="23">
        <v>0</v>
      </c>
      <c r="I2697" s="23" t="s">
        <v>5</v>
      </c>
      <c r="J2697" s="23" t="s">
        <v>327</v>
      </c>
    </row>
    <row r="2698" spans="1:10" s="20" customFormat="1" ht="12" x14ac:dyDescent="0.25">
      <c r="A2698" s="22">
        <v>1000098584</v>
      </c>
      <c r="B2698" s="23" t="s">
        <v>333</v>
      </c>
      <c r="C2698" s="24" t="s">
        <v>4</v>
      </c>
      <c r="D2698" s="23" t="s">
        <v>2090</v>
      </c>
      <c r="E2698" s="23">
        <v>87.34</v>
      </c>
      <c r="F2698" s="23">
        <v>2</v>
      </c>
      <c r="G2698" s="23">
        <v>2</v>
      </c>
      <c r="H2698" s="23">
        <v>0</v>
      </c>
      <c r="I2698" s="23" t="s">
        <v>5</v>
      </c>
      <c r="J2698" s="23" t="s">
        <v>327</v>
      </c>
    </row>
    <row r="2699" spans="1:10" s="20" customFormat="1" ht="12" x14ac:dyDescent="0.25">
      <c r="A2699" s="22">
        <v>1000093026</v>
      </c>
      <c r="B2699" s="23" t="s">
        <v>4391</v>
      </c>
      <c r="C2699" s="24" t="s">
        <v>4</v>
      </c>
      <c r="D2699" s="23" t="s">
        <v>2090</v>
      </c>
      <c r="E2699" s="23">
        <v>87.08</v>
      </c>
      <c r="F2699" s="23">
        <v>25</v>
      </c>
      <c r="G2699" s="23">
        <v>25</v>
      </c>
      <c r="H2699" s="23">
        <v>0</v>
      </c>
      <c r="I2699" s="23" t="s">
        <v>5</v>
      </c>
      <c r="J2699" s="23" t="s">
        <v>327</v>
      </c>
    </row>
    <row r="2700" spans="1:10" s="20" customFormat="1" ht="12" x14ac:dyDescent="0.25">
      <c r="A2700" s="22">
        <v>1000105909</v>
      </c>
      <c r="B2700" s="23" t="s">
        <v>4393</v>
      </c>
      <c r="C2700" s="24" t="s">
        <v>4</v>
      </c>
      <c r="D2700" s="23" t="s">
        <v>2056</v>
      </c>
      <c r="E2700" s="23">
        <v>86.6115921090733</v>
      </c>
      <c r="F2700" s="23">
        <v>5</v>
      </c>
      <c r="G2700" s="23">
        <v>5</v>
      </c>
      <c r="H2700" s="23">
        <v>0</v>
      </c>
      <c r="I2700" s="23" t="s">
        <v>5</v>
      </c>
      <c r="J2700" s="23" t="s">
        <v>1844</v>
      </c>
    </row>
    <row r="2701" spans="1:10" s="20" customFormat="1" ht="12" x14ac:dyDescent="0.25">
      <c r="A2701" s="22">
        <v>1000021165</v>
      </c>
      <c r="B2701" s="23" t="s">
        <v>1313</v>
      </c>
      <c r="C2701" s="24" t="s">
        <v>4</v>
      </c>
      <c r="D2701" s="23" t="s">
        <v>2090</v>
      </c>
      <c r="E2701" s="23">
        <v>86.24</v>
      </c>
      <c r="F2701" s="23">
        <v>2</v>
      </c>
      <c r="G2701" s="23">
        <v>2</v>
      </c>
      <c r="H2701" s="23">
        <v>0</v>
      </c>
      <c r="I2701" s="23" t="s">
        <v>5</v>
      </c>
      <c r="J2701" s="23" t="s">
        <v>327</v>
      </c>
    </row>
    <row r="2702" spans="1:10" s="20" customFormat="1" ht="12" x14ac:dyDescent="0.25">
      <c r="A2702" s="22">
        <v>2500001185</v>
      </c>
      <c r="B2702" s="23" t="s">
        <v>4394</v>
      </c>
      <c r="C2702" s="24" t="s">
        <v>1996</v>
      </c>
      <c r="D2702" s="23" t="s">
        <v>2025</v>
      </c>
      <c r="E2702" s="23">
        <v>85.394943819199995</v>
      </c>
      <c r="F2702" s="23">
        <v>2</v>
      </c>
      <c r="G2702" s="23">
        <v>2</v>
      </c>
      <c r="H2702" s="23">
        <v>0</v>
      </c>
      <c r="I2702" s="23" t="s">
        <v>5</v>
      </c>
      <c r="J2702" s="23" t="s">
        <v>1993</v>
      </c>
    </row>
    <row r="2703" spans="1:10" s="20" customFormat="1" ht="12" x14ac:dyDescent="0.25">
      <c r="A2703" s="22">
        <v>1000093561</v>
      </c>
      <c r="B2703" s="23" t="s">
        <v>4395</v>
      </c>
      <c r="C2703" s="24" t="s">
        <v>4</v>
      </c>
      <c r="D2703" s="23" t="s">
        <v>2056</v>
      </c>
      <c r="E2703" s="23">
        <v>85.19</v>
      </c>
      <c r="F2703" s="23">
        <v>2</v>
      </c>
      <c r="G2703" s="23">
        <v>2</v>
      </c>
      <c r="H2703" s="23">
        <v>0</v>
      </c>
      <c r="I2703" s="23" t="s">
        <v>5</v>
      </c>
      <c r="J2703" s="23" t="s">
        <v>1844</v>
      </c>
    </row>
    <row r="2704" spans="1:10" s="20" customFormat="1" ht="12" x14ac:dyDescent="0.25">
      <c r="A2704" s="22">
        <v>1000020349</v>
      </c>
      <c r="B2704" s="23" t="s">
        <v>581</v>
      </c>
      <c r="C2704" s="24" t="s">
        <v>4</v>
      </c>
      <c r="D2704" s="23" t="s">
        <v>2090</v>
      </c>
      <c r="E2704" s="23">
        <v>85.11</v>
      </c>
      <c r="F2704" s="23">
        <v>3</v>
      </c>
      <c r="G2704" s="23">
        <v>3</v>
      </c>
      <c r="H2704" s="23">
        <v>0</v>
      </c>
      <c r="I2704" s="23" t="s">
        <v>5</v>
      </c>
      <c r="J2704" s="23" t="s">
        <v>327</v>
      </c>
    </row>
    <row r="2705" spans="1:10" s="20" customFormat="1" ht="12" x14ac:dyDescent="0.25">
      <c r="A2705" s="22">
        <v>1000020215</v>
      </c>
      <c r="B2705" s="23" t="s">
        <v>455</v>
      </c>
      <c r="C2705" s="24" t="s">
        <v>4</v>
      </c>
      <c r="D2705" s="23" t="s">
        <v>2090</v>
      </c>
      <c r="E2705" s="23">
        <v>85.08</v>
      </c>
      <c r="F2705" s="23">
        <v>1</v>
      </c>
      <c r="G2705" s="23">
        <v>1</v>
      </c>
      <c r="H2705" s="23">
        <v>0</v>
      </c>
      <c r="I2705" s="23" t="s">
        <v>5</v>
      </c>
      <c r="J2705" s="23" t="s">
        <v>327</v>
      </c>
    </row>
    <row r="2706" spans="1:10" s="20" customFormat="1" ht="12" x14ac:dyDescent="0.25">
      <c r="A2706" s="22">
        <v>1000020660</v>
      </c>
      <c r="B2706" s="23" t="s">
        <v>873</v>
      </c>
      <c r="C2706" s="24" t="s">
        <v>4</v>
      </c>
      <c r="D2706" s="23" t="s">
        <v>2090</v>
      </c>
      <c r="E2706" s="23">
        <v>84.68</v>
      </c>
      <c r="F2706" s="23">
        <v>2</v>
      </c>
      <c r="G2706" s="23">
        <v>2</v>
      </c>
      <c r="H2706" s="23">
        <v>0</v>
      </c>
      <c r="I2706" s="23" t="s">
        <v>5</v>
      </c>
      <c r="J2706" s="23" t="s">
        <v>327</v>
      </c>
    </row>
    <row r="2707" spans="1:10" s="20" customFormat="1" ht="12" x14ac:dyDescent="0.25">
      <c r="A2707" s="22">
        <v>1000100308</v>
      </c>
      <c r="B2707" s="23" t="s">
        <v>1696</v>
      </c>
      <c r="C2707" s="24" t="s">
        <v>4</v>
      </c>
      <c r="D2707" s="23" t="s">
        <v>2090</v>
      </c>
      <c r="E2707" s="23">
        <v>84.6</v>
      </c>
      <c r="F2707" s="23">
        <v>2</v>
      </c>
      <c r="G2707" s="23">
        <v>2</v>
      </c>
      <c r="H2707" s="23">
        <v>0</v>
      </c>
      <c r="I2707" s="23" t="s">
        <v>5</v>
      </c>
      <c r="J2707" s="23" t="s">
        <v>327</v>
      </c>
    </row>
    <row r="2708" spans="1:10" s="20" customFormat="1" ht="12" x14ac:dyDescent="0.25">
      <c r="A2708" s="22">
        <v>1000099381</v>
      </c>
      <c r="B2708" s="23" t="s">
        <v>4397</v>
      </c>
      <c r="C2708" s="24" t="s">
        <v>4</v>
      </c>
      <c r="D2708" s="23" t="s">
        <v>2090</v>
      </c>
      <c r="E2708" s="23">
        <v>84.42</v>
      </c>
      <c r="F2708" s="23">
        <v>7</v>
      </c>
      <c r="G2708" s="23">
        <v>7</v>
      </c>
      <c r="H2708" s="23">
        <v>0</v>
      </c>
      <c r="I2708" s="23" t="s">
        <v>5</v>
      </c>
      <c r="J2708" s="23" t="s">
        <v>327</v>
      </c>
    </row>
    <row r="2709" spans="1:10" s="20" customFormat="1" ht="12" x14ac:dyDescent="0.25">
      <c r="A2709" s="22">
        <v>2300010064</v>
      </c>
      <c r="B2709" s="23" t="s">
        <v>4398</v>
      </c>
      <c r="C2709" s="24" t="s">
        <v>2030</v>
      </c>
      <c r="D2709" s="23" t="s">
        <v>2031</v>
      </c>
      <c r="E2709" s="23">
        <v>84.373333333333306</v>
      </c>
      <c r="F2709" s="23">
        <v>4</v>
      </c>
      <c r="G2709" s="23">
        <v>4</v>
      </c>
      <c r="H2709" s="23">
        <v>0</v>
      </c>
      <c r="I2709" s="23" t="s">
        <v>5</v>
      </c>
      <c r="J2709" s="23" t="s">
        <v>138</v>
      </c>
    </row>
    <row r="2710" spans="1:10" s="20" customFormat="1" ht="12" x14ac:dyDescent="0.25">
      <c r="A2710" s="22">
        <v>1000020646</v>
      </c>
      <c r="B2710" s="23" t="s">
        <v>860</v>
      </c>
      <c r="C2710" s="24" t="s">
        <v>4</v>
      </c>
      <c r="D2710" s="23" t="s">
        <v>2090</v>
      </c>
      <c r="E2710" s="23">
        <v>84.34</v>
      </c>
      <c r="F2710" s="23">
        <v>2</v>
      </c>
      <c r="G2710" s="23">
        <v>2</v>
      </c>
      <c r="H2710" s="23">
        <v>0</v>
      </c>
      <c r="I2710" s="23" t="s">
        <v>5</v>
      </c>
      <c r="J2710" s="23" t="s">
        <v>327</v>
      </c>
    </row>
    <row r="2711" spans="1:10" s="20" customFormat="1" ht="12" x14ac:dyDescent="0.25">
      <c r="A2711" s="22">
        <v>1000101704</v>
      </c>
      <c r="B2711" s="23" t="s">
        <v>4399</v>
      </c>
      <c r="C2711" s="24" t="s">
        <v>4</v>
      </c>
      <c r="D2711" s="23" t="s">
        <v>2056</v>
      </c>
      <c r="E2711" s="23">
        <v>84.23</v>
      </c>
      <c r="F2711" s="23">
        <v>5</v>
      </c>
      <c r="G2711" s="23">
        <v>5</v>
      </c>
      <c r="H2711" s="23">
        <v>0</v>
      </c>
      <c r="I2711" s="23" t="s">
        <v>5</v>
      </c>
      <c r="J2711" s="23" t="s">
        <v>1844</v>
      </c>
    </row>
    <row r="2712" spans="1:10" s="20" customFormat="1" ht="12" x14ac:dyDescent="0.25">
      <c r="A2712" s="22">
        <v>1000104019</v>
      </c>
      <c r="B2712" s="23" t="s">
        <v>4400</v>
      </c>
      <c r="C2712" s="24" t="s">
        <v>4</v>
      </c>
      <c r="D2712" s="23" t="s">
        <v>2056</v>
      </c>
      <c r="E2712" s="23">
        <v>84.132790296228094</v>
      </c>
      <c r="F2712" s="23">
        <v>440</v>
      </c>
      <c r="G2712" s="23">
        <v>440</v>
      </c>
      <c r="H2712" s="23">
        <v>0</v>
      </c>
      <c r="I2712" s="23" t="s">
        <v>5</v>
      </c>
      <c r="J2712" s="23" t="s">
        <v>1844</v>
      </c>
    </row>
    <row r="2713" spans="1:10" s="20" customFormat="1" ht="12" x14ac:dyDescent="0.25">
      <c r="A2713" s="22">
        <v>1000107156</v>
      </c>
      <c r="B2713" s="23" t="s">
        <v>4401</v>
      </c>
      <c r="C2713" s="24" t="s">
        <v>4</v>
      </c>
      <c r="D2713" s="23" t="s">
        <v>2090</v>
      </c>
      <c r="E2713" s="23">
        <v>84</v>
      </c>
      <c r="F2713" s="23">
        <v>20</v>
      </c>
      <c r="G2713" s="23">
        <v>20</v>
      </c>
      <c r="H2713" s="23">
        <v>0</v>
      </c>
      <c r="I2713" s="23" t="s">
        <v>5</v>
      </c>
      <c r="J2713" s="23" t="s">
        <v>327</v>
      </c>
    </row>
    <row r="2714" spans="1:10" s="20" customFormat="1" ht="12" x14ac:dyDescent="0.25">
      <c r="A2714" s="22">
        <v>1000020166</v>
      </c>
      <c r="B2714" s="23" t="s">
        <v>412</v>
      </c>
      <c r="C2714" s="24" t="s">
        <v>4</v>
      </c>
      <c r="D2714" s="23" t="s">
        <v>2090</v>
      </c>
      <c r="E2714" s="23">
        <v>83.64</v>
      </c>
      <c r="F2714" s="23">
        <v>2</v>
      </c>
      <c r="G2714" s="23">
        <v>2</v>
      </c>
      <c r="H2714" s="23">
        <v>0</v>
      </c>
      <c r="I2714" s="23" t="s">
        <v>5</v>
      </c>
      <c r="J2714" s="23" t="s">
        <v>327</v>
      </c>
    </row>
    <row r="2715" spans="1:10" s="20" customFormat="1" ht="12" x14ac:dyDescent="0.25">
      <c r="A2715" s="22">
        <v>1000020386</v>
      </c>
      <c r="B2715" s="23" t="s">
        <v>616</v>
      </c>
      <c r="C2715" s="24" t="s">
        <v>4</v>
      </c>
      <c r="D2715" s="23" t="s">
        <v>2090</v>
      </c>
      <c r="E2715" s="23">
        <v>83.05</v>
      </c>
      <c r="F2715" s="23">
        <v>5</v>
      </c>
      <c r="G2715" s="23">
        <v>5</v>
      </c>
      <c r="H2715" s="23">
        <v>0</v>
      </c>
      <c r="I2715" s="23" t="s">
        <v>5</v>
      </c>
      <c r="J2715" s="23" t="s">
        <v>327</v>
      </c>
    </row>
    <row r="2716" spans="1:10" s="20" customFormat="1" ht="12" x14ac:dyDescent="0.25">
      <c r="A2716" s="22">
        <v>1000020072</v>
      </c>
      <c r="B2716" s="23" t="s">
        <v>4404</v>
      </c>
      <c r="C2716" s="24" t="s">
        <v>4</v>
      </c>
      <c r="D2716" s="23" t="s">
        <v>2090</v>
      </c>
      <c r="E2716" s="23">
        <v>82.795000000000002</v>
      </c>
      <c r="F2716" s="23">
        <v>3</v>
      </c>
      <c r="G2716" s="23">
        <v>3</v>
      </c>
      <c r="H2716" s="23">
        <v>0</v>
      </c>
      <c r="I2716" s="23" t="s">
        <v>5</v>
      </c>
      <c r="J2716" s="23" t="s">
        <v>327</v>
      </c>
    </row>
    <row r="2717" spans="1:10" s="20" customFormat="1" ht="12" x14ac:dyDescent="0.25">
      <c r="A2717" s="22">
        <v>1000020912</v>
      </c>
      <c r="B2717" s="23" t="s">
        <v>1092</v>
      </c>
      <c r="C2717" s="24" t="s">
        <v>4</v>
      </c>
      <c r="D2717" s="23" t="s">
        <v>2090</v>
      </c>
      <c r="E2717" s="23">
        <v>82.4</v>
      </c>
      <c r="F2717" s="23">
        <v>1</v>
      </c>
      <c r="G2717" s="23">
        <v>1</v>
      </c>
      <c r="H2717" s="23">
        <v>0</v>
      </c>
      <c r="I2717" s="23" t="s">
        <v>5</v>
      </c>
      <c r="J2717" s="23" t="s">
        <v>327</v>
      </c>
    </row>
    <row r="2718" spans="1:10" s="20" customFormat="1" ht="12" x14ac:dyDescent="0.25">
      <c r="A2718" s="22">
        <v>1000020043</v>
      </c>
      <c r="B2718" s="23" t="s">
        <v>4405</v>
      </c>
      <c r="C2718" s="24" t="s">
        <v>4</v>
      </c>
      <c r="D2718" s="23" t="s">
        <v>2090</v>
      </c>
      <c r="E2718" s="23">
        <v>81.963333333333296</v>
      </c>
      <c r="F2718" s="23">
        <v>1</v>
      </c>
      <c r="G2718" s="23">
        <v>1</v>
      </c>
      <c r="H2718" s="23">
        <v>0</v>
      </c>
      <c r="I2718" s="23" t="s">
        <v>5</v>
      </c>
      <c r="J2718" s="23" t="s">
        <v>327</v>
      </c>
    </row>
    <row r="2719" spans="1:10" s="20" customFormat="1" ht="12" x14ac:dyDescent="0.25">
      <c r="A2719" s="22">
        <v>1000020757</v>
      </c>
      <c r="B2719" s="23" t="s">
        <v>962</v>
      </c>
      <c r="C2719" s="24" t="s">
        <v>4</v>
      </c>
      <c r="D2719" s="23" t="s">
        <v>2090</v>
      </c>
      <c r="E2719" s="23">
        <v>81.599999999999994</v>
      </c>
      <c r="F2719" s="23">
        <v>2</v>
      </c>
      <c r="G2719" s="23">
        <v>2</v>
      </c>
      <c r="H2719" s="23">
        <v>0</v>
      </c>
      <c r="I2719" s="23" t="s">
        <v>5</v>
      </c>
      <c r="J2719" s="23" t="s">
        <v>327</v>
      </c>
    </row>
    <row r="2720" spans="1:10" s="20" customFormat="1" ht="12" x14ac:dyDescent="0.25">
      <c r="A2720" s="22">
        <v>1000109991</v>
      </c>
      <c r="B2720" s="23" t="s">
        <v>4406</v>
      </c>
      <c r="C2720" s="24" t="s">
        <v>4</v>
      </c>
      <c r="D2720" s="23" t="s">
        <v>2056</v>
      </c>
      <c r="E2720" s="23">
        <v>81.400000000000006</v>
      </c>
      <c r="F2720" s="23">
        <v>50</v>
      </c>
      <c r="G2720" s="23">
        <v>50</v>
      </c>
      <c r="H2720" s="23">
        <v>0</v>
      </c>
      <c r="I2720" s="23" t="s">
        <v>5</v>
      </c>
      <c r="J2720" s="23" t="s">
        <v>1844</v>
      </c>
    </row>
    <row r="2721" spans="1:10" s="20" customFormat="1" ht="12" x14ac:dyDescent="0.25">
      <c r="A2721" s="22">
        <v>1000109992</v>
      </c>
      <c r="B2721" s="23" t="s">
        <v>4407</v>
      </c>
      <c r="C2721" s="24" t="s">
        <v>4</v>
      </c>
      <c r="D2721" s="23" t="s">
        <v>2056</v>
      </c>
      <c r="E2721" s="23">
        <v>81.400000000000006</v>
      </c>
      <c r="F2721" s="23">
        <v>50</v>
      </c>
      <c r="G2721" s="23">
        <v>50</v>
      </c>
      <c r="H2721" s="23">
        <v>0</v>
      </c>
      <c r="I2721" s="23" t="s">
        <v>5</v>
      </c>
      <c r="J2721" s="23" t="s">
        <v>1844</v>
      </c>
    </row>
    <row r="2722" spans="1:10" s="20" customFormat="1" ht="12" x14ac:dyDescent="0.25">
      <c r="A2722" s="22">
        <v>1000020689</v>
      </c>
      <c r="B2722" s="23" t="s">
        <v>901</v>
      </c>
      <c r="C2722" s="24" t="s">
        <v>4</v>
      </c>
      <c r="D2722" s="23" t="s">
        <v>2090</v>
      </c>
      <c r="E2722" s="23">
        <v>80.680000000000007</v>
      </c>
      <c r="F2722" s="23">
        <v>1</v>
      </c>
      <c r="G2722" s="23">
        <v>1</v>
      </c>
      <c r="H2722" s="23">
        <v>0</v>
      </c>
      <c r="I2722" s="23" t="s">
        <v>5</v>
      </c>
      <c r="J2722" s="23" t="s">
        <v>327</v>
      </c>
    </row>
    <row r="2723" spans="1:10" s="20" customFormat="1" ht="12" x14ac:dyDescent="0.25">
      <c r="A2723" s="22">
        <v>1000101149</v>
      </c>
      <c r="B2723" s="23" t="s">
        <v>4409</v>
      </c>
      <c r="C2723" s="24" t="s">
        <v>4</v>
      </c>
      <c r="D2723" s="23" t="s">
        <v>2284</v>
      </c>
      <c r="E2723" s="23">
        <v>80.510000000000005</v>
      </c>
      <c r="F2723" s="23">
        <v>1</v>
      </c>
      <c r="G2723" s="23">
        <v>1</v>
      </c>
      <c r="H2723" s="23">
        <v>0</v>
      </c>
      <c r="I2723" s="23" t="s">
        <v>5</v>
      </c>
      <c r="J2723" s="23" t="s">
        <v>1844</v>
      </c>
    </row>
    <row r="2724" spans="1:10" s="20" customFormat="1" ht="12" x14ac:dyDescent="0.25">
      <c r="A2724" s="22">
        <v>2500008147</v>
      </c>
      <c r="B2724" s="23" t="s">
        <v>1918</v>
      </c>
      <c r="C2724" s="24" t="s">
        <v>1996</v>
      </c>
      <c r="D2724" s="23" t="s">
        <v>2025</v>
      </c>
      <c r="E2724" s="23">
        <v>80.34</v>
      </c>
      <c r="F2724" s="23">
        <v>2</v>
      </c>
      <c r="G2724" s="23">
        <v>2</v>
      </c>
      <c r="H2724" s="23">
        <v>0</v>
      </c>
      <c r="I2724" s="23" t="s">
        <v>5</v>
      </c>
      <c r="J2724" s="23" t="s">
        <v>1993</v>
      </c>
    </row>
    <row r="2725" spans="1:10" s="20" customFormat="1" ht="12" x14ac:dyDescent="0.25">
      <c r="A2725" s="22">
        <v>1000020250</v>
      </c>
      <c r="B2725" s="23" t="s">
        <v>489</v>
      </c>
      <c r="C2725" s="24" t="s">
        <v>4</v>
      </c>
      <c r="D2725" s="23" t="s">
        <v>2090</v>
      </c>
      <c r="E2725" s="23">
        <v>79.900000000000006</v>
      </c>
      <c r="F2725" s="23">
        <v>10</v>
      </c>
      <c r="G2725" s="23">
        <v>10</v>
      </c>
      <c r="H2725" s="23">
        <v>0</v>
      </c>
      <c r="I2725" s="23" t="s">
        <v>5</v>
      </c>
      <c r="J2725" s="23" t="s">
        <v>327</v>
      </c>
    </row>
    <row r="2726" spans="1:10" s="20" customFormat="1" ht="12" x14ac:dyDescent="0.25">
      <c r="A2726" s="22">
        <v>1000106343</v>
      </c>
      <c r="B2726" s="23" t="s">
        <v>4411</v>
      </c>
      <c r="C2726" s="24" t="s">
        <v>4</v>
      </c>
      <c r="D2726" s="23" t="s">
        <v>2056</v>
      </c>
      <c r="E2726" s="23">
        <v>79.704800000000006</v>
      </c>
      <c r="F2726" s="23">
        <v>14</v>
      </c>
      <c r="G2726" s="23">
        <v>14</v>
      </c>
      <c r="H2726" s="23">
        <v>0</v>
      </c>
      <c r="I2726" s="23" t="s">
        <v>5</v>
      </c>
      <c r="J2726" s="23" t="s">
        <v>1844</v>
      </c>
    </row>
    <row r="2727" spans="1:10" s="20" customFormat="1" ht="12" x14ac:dyDescent="0.25">
      <c r="A2727" s="22">
        <v>1000020357</v>
      </c>
      <c r="B2727" s="23" t="s">
        <v>589</v>
      </c>
      <c r="C2727" s="24" t="s">
        <v>4</v>
      </c>
      <c r="D2727" s="23" t="s">
        <v>2090</v>
      </c>
      <c r="E2727" s="23">
        <v>77.97</v>
      </c>
      <c r="F2727" s="23">
        <v>1</v>
      </c>
      <c r="G2727" s="23">
        <v>1</v>
      </c>
      <c r="H2727" s="23">
        <v>0</v>
      </c>
      <c r="I2727" s="23" t="s">
        <v>5</v>
      </c>
      <c r="J2727" s="23" t="s">
        <v>327</v>
      </c>
    </row>
    <row r="2728" spans="1:10" s="20" customFormat="1" ht="12" x14ac:dyDescent="0.25">
      <c r="A2728" s="22">
        <v>1000099507</v>
      </c>
      <c r="B2728" s="23" t="s">
        <v>4415</v>
      </c>
      <c r="C2728" s="24" t="s">
        <v>4</v>
      </c>
      <c r="D2728" s="23" t="s">
        <v>2090</v>
      </c>
      <c r="E2728" s="23">
        <v>76.69</v>
      </c>
      <c r="F2728" s="23">
        <v>1</v>
      </c>
      <c r="G2728" s="23">
        <v>1</v>
      </c>
      <c r="H2728" s="23">
        <v>0</v>
      </c>
      <c r="I2728" s="23" t="s">
        <v>5</v>
      </c>
      <c r="J2728" s="23" t="s">
        <v>327</v>
      </c>
    </row>
    <row r="2729" spans="1:10" s="20" customFormat="1" ht="12" x14ac:dyDescent="0.25">
      <c r="A2729" s="22">
        <v>1000020887</v>
      </c>
      <c r="B2729" s="23" t="s">
        <v>1069</v>
      </c>
      <c r="C2729" s="24" t="s">
        <v>4</v>
      </c>
      <c r="D2729" s="23" t="s">
        <v>2090</v>
      </c>
      <c r="E2729" s="23">
        <v>76.31</v>
      </c>
      <c r="F2729" s="23">
        <v>1</v>
      </c>
      <c r="G2729" s="23">
        <v>1</v>
      </c>
      <c r="H2729" s="23">
        <v>0</v>
      </c>
      <c r="I2729" s="23" t="s">
        <v>5</v>
      </c>
      <c r="J2729" s="23" t="s">
        <v>327</v>
      </c>
    </row>
    <row r="2730" spans="1:10" s="20" customFormat="1" ht="12" x14ac:dyDescent="0.25">
      <c r="A2730" s="22">
        <v>1000020950</v>
      </c>
      <c r="B2730" s="23" t="s">
        <v>1128</v>
      </c>
      <c r="C2730" s="24" t="s">
        <v>4</v>
      </c>
      <c r="D2730" s="23" t="s">
        <v>2090</v>
      </c>
      <c r="E2730" s="23">
        <v>76.31</v>
      </c>
      <c r="F2730" s="23">
        <v>1</v>
      </c>
      <c r="G2730" s="23">
        <v>1</v>
      </c>
      <c r="H2730" s="23">
        <v>0</v>
      </c>
      <c r="I2730" s="23" t="s">
        <v>5</v>
      </c>
      <c r="J2730" s="23" t="s">
        <v>327</v>
      </c>
    </row>
    <row r="2731" spans="1:10" s="20" customFormat="1" ht="12" x14ac:dyDescent="0.25">
      <c r="A2731" s="22">
        <v>1000093782</v>
      </c>
      <c r="B2731" s="23" t="s">
        <v>4416</v>
      </c>
      <c r="C2731" s="24" t="s">
        <v>4</v>
      </c>
      <c r="D2731" s="23" t="s">
        <v>2090</v>
      </c>
      <c r="E2731" s="23">
        <v>76.034045652773003</v>
      </c>
      <c r="F2731" s="23">
        <v>3</v>
      </c>
      <c r="G2731" s="23">
        <v>3</v>
      </c>
      <c r="H2731" s="23">
        <v>0</v>
      </c>
      <c r="I2731" s="23" t="s">
        <v>5</v>
      </c>
      <c r="J2731" s="23" t="s">
        <v>327</v>
      </c>
    </row>
    <row r="2732" spans="1:10" s="20" customFormat="1" ht="12" x14ac:dyDescent="0.25">
      <c r="A2732" s="22">
        <v>1000020344</v>
      </c>
      <c r="B2732" s="23" t="s">
        <v>576</v>
      </c>
      <c r="C2732" s="24" t="s">
        <v>4</v>
      </c>
      <c r="D2732" s="23" t="s">
        <v>2090</v>
      </c>
      <c r="E2732" s="23">
        <v>75.7</v>
      </c>
      <c r="F2732" s="23">
        <v>5</v>
      </c>
      <c r="G2732" s="23">
        <v>5</v>
      </c>
      <c r="H2732" s="23">
        <v>0</v>
      </c>
      <c r="I2732" s="23" t="s">
        <v>5</v>
      </c>
      <c r="J2732" s="23" t="s">
        <v>327</v>
      </c>
    </row>
    <row r="2733" spans="1:10" s="20" customFormat="1" ht="12" x14ac:dyDescent="0.25">
      <c r="A2733" s="22">
        <v>1000020246</v>
      </c>
      <c r="B2733" s="23" t="s">
        <v>485</v>
      </c>
      <c r="C2733" s="24" t="s">
        <v>4</v>
      </c>
      <c r="D2733" s="23" t="s">
        <v>2090</v>
      </c>
      <c r="E2733" s="23">
        <v>75.5</v>
      </c>
      <c r="F2733" s="23">
        <v>5</v>
      </c>
      <c r="G2733" s="23">
        <v>5</v>
      </c>
      <c r="H2733" s="23">
        <v>0</v>
      </c>
      <c r="I2733" s="23" t="s">
        <v>5</v>
      </c>
      <c r="J2733" s="23" t="s">
        <v>327</v>
      </c>
    </row>
    <row r="2734" spans="1:10" s="20" customFormat="1" ht="12" x14ac:dyDescent="0.25">
      <c r="A2734" s="22">
        <v>1000098736</v>
      </c>
      <c r="B2734" s="23" t="s">
        <v>1676</v>
      </c>
      <c r="C2734" s="24" t="s">
        <v>4</v>
      </c>
      <c r="D2734" s="23" t="s">
        <v>2090</v>
      </c>
      <c r="E2734" s="23">
        <v>75.13</v>
      </c>
      <c r="F2734" s="23">
        <v>2</v>
      </c>
      <c r="G2734" s="23">
        <v>2</v>
      </c>
      <c r="H2734" s="23">
        <v>0</v>
      </c>
      <c r="I2734" s="23" t="s">
        <v>5</v>
      </c>
      <c r="J2734" s="23" t="s">
        <v>327</v>
      </c>
    </row>
    <row r="2735" spans="1:10" s="20" customFormat="1" ht="12" x14ac:dyDescent="0.25">
      <c r="A2735" s="22">
        <v>1000020430</v>
      </c>
      <c r="B2735" s="23" t="s">
        <v>657</v>
      </c>
      <c r="C2735" s="24" t="s">
        <v>4</v>
      </c>
      <c r="D2735" s="23" t="s">
        <v>2090</v>
      </c>
      <c r="E2735" s="23">
        <v>74.760000000000005</v>
      </c>
      <c r="F2735" s="23">
        <v>4</v>
      </c>
      <c r="G2735" s="23">
        <v>4</v>
      </c>
      <c r="H2735" s="23">
        <v>0</v>
      </c>
      <c r="I2735" s="23" t="s">
        <v>5</v>
      </c>
      <c r="J2735" s="23" t="s">
        <v>327</v>
      </c>
    </row>
    <row r="2736" spans="1:10" s="20" customFormat="1" ht="12" x14ac:dyDescent="0.25">
      <c r="A2736" s="22">
        <v>1000020565</v>
      </c>
      <c r="B2736" s="23" t="s">
        <v>782</v>
      </c>
      <c r="C2736" s="24" t="s">
        <v>4</v>
      </c>
      <c r="D2736" s="23" t="s">
        <v>2090</v>
      </c>
      <c r="E2736" s="23">
        <v>74.06</v>
      </c>
      <c r="F2736" s="23">
        <v>1</v>
      </c>
      <c r="G2736" s="23">
        <v>1</v>
      </c>
      <c r="H2736" s="23">
        <v>0</v>
      </c>
      <c r="I2736" s="23" t="s">
        <v>5</v>
      </c>
      <c r="J2736" s="23" t="s">
        <v>327</v>
      </c>
    </row>
    <row r="2737" spans="1:10" s="20" customFormat="1" ht="12" x14ac:dyDescent="0.25">
      <c r="A2737" s="22">
        <v>1000020383</v>
      </c>
      <c r="B2737" s="23" t="s">
        <v>613</v>
      </c>
      <c r="C2737" s="24" t="s">
        <v>4</v>
      </c>
      <c r="D2737" s="23" t="s">
        <v>2090</v>
      </c>
      <c r="E2737" s="23">
        <v>74.040000000000006</v>
      </c>
      <c r="F2737" s="23">
        <v>3</v>
      </c>
      <c r="G2737" s="23">
        <v>3</v>
      </c>
      <c r="H2737" s="23">
        <v>0</v>
      </c>
      <c r="I2737" s="23" t="s">
        <v>5</v>
      </c>
      <c r="J2737" s="23" t="s">
        <v>327</v>
      </c>
    </row>
    <row r="2738" spans="1:10" s="20" customFormat="1" ht="12" x14ac:dyDescent="0.25">
      <c r="A2738" s="22">
        <v>1000020375</v>
      </c>
      <c r="B2738" s="23" t="s">
        <v>606</v>
      </c>
      <c r="C2738" s="24" t="s">
        <v>4</v>
      </c>
      <c r="D2738" s="23" t="s">
        <v>2090</v>
      </c>
      <c r="E2738" s="23">
        <v>73.900000000000006</v>
      </c>
      <c r="F2738" s="23">
        <v>5</v>
      </c>
      <c r="G2738" s="23">
        <v>5</v>
      </c>
      <c r="H2738" s="23">
        <v>0</v>
      </c>
      <c r="I2738" s="23" t="s">
        <v>5</v>
      </c>
      <c r="J2738" s="23" t="s">
        <v>327</v>
      </c>
    </row>
    <row r="2739" spans="1:10" s="20" customFormat="1" ht="12" x14ac:dyDescent="0.25">
      <c r="A2739" s="22">
        <v>1000110981</v>
      </c>
      <c r="B2739" s="23" t="s">
        <v>4421</v>
      </c>
      <c r="C2739" s="24" t="s">
        <v>4</v>
      </c>
      <c r="D2739" s="23" t="s">
        <v>2090</v>
      </c>
      <c r="E2739" s="23">
        <v>73.650000000000006</v>
      </c>
      <c r="F2739" s="23">
        <v>2</v>
      </c>
      <c r="G2739" s="23">
        <v>2</v>
      </c>
      <c r="H2739" s="23">
        <v>0</v>
      </c>
      <c r="I2739" s="23" t="s">
        <v>5</v>
      </c>
      <c r="J2739" s="23" t="s">
        <v>327</v>
      </c>
    </row>
    <row r="2740" spans="1:10" s="20" customFormat="1" ht="12" x14ac:dyDescent="0.25">
      <c r="A2740" s="22">
        <v>1000021393</v>
      </c>
      <c r="B2740" s="23" t="s">
        <v>1471</v>
      </c>
      <c r="C2740" s="24" t="s">
        <v>4</v>
      </c>
      <c r="D2740" s="23" t="s">
        <v>2090</v>
      </c>
      <c r="E2740" s="23">
        <v>73.459999999999994</v>
      </c>
      <c r="F2740" s="23">
        <v>2</v>
      </c>
      <c r="G2740" s="23">
        <v>2</v>
      </c>
      <c r="H2740" s="23">
        <v>0</v>
      </c>
      <c r="I2740" s="23" t="s">
        <v>5</v>
      </c>
      <c r="J2740" s="23" t="s">
        <v>327</v>
      </c>
    </row>
    <row r="2741" spans="1:10" s="20" customFormat="1" ht="12" x14ac:dyDescent="0.25">
      <c r="A2741" s="22">
        <v>1000020605</v>
      </c>
      <c r="B2741" s="23" t="s">
        <v>821</v>
      </c>
      <c r="C2741" s="24" t="s">
        <v>4</v>
      </c>
      <c r="D2741" s="23" t="s">
        <v>2090</v>
      </c>
      <c r="E2741" s="23">
        <v>73.36</v>
      </c>
      <c r="F2741" s="23">
        <v>4</v>
      </c>
      <c r="G2741" s="23">
        <v>4</v>
      </c>
      <c r="H2741" s="23">
        <v>0</v>
      </c>
      <c r="I2741" s="23" t="s">
        <v>5</v>
      </c>
      <c r="J2741" s="23" t="s">
        <v>327</v>
      </c>
    </row>
    <row r="2742" spans="1:10" s="20" customFormat="1" ht="12" x14ac:dyDescent="0.25">
      <c r="A2742" s="22">
        <v>1000020392</v>
      </c>
      <c r="B2742" s="23" t="s">
        <v>622</v>
      </c>
      <c r="C2742" s="24" t="s">
        <v>4</v>
      </c>
      <c r="D2742" s="23" t="s">
        <v>2090</v>
      </c>
      <c r="E2742" s="23">
        <v>73.040000000000006</v>
      </c>
      <c r="F2742" s="23">
        <v>1</v>
      </c>
      <c r="G2742" s="23">
        <v>1</v>
      </c>
      <c r="H2742" s="23">
        <v>0</v>
      </c>
      <c r="I2742" s="23" t="s">
        <v>5</v>
      </c>
      <c r="J2742" s="23" t="s">
        <v>327</v>
      </c>
    </row>
    <row r="2743" spans="1:10" s="20" customFormat="1" ht="12" x14ac:dyDescent="0.25">
      <c r="A2743" s="22">
        <v>1000020633</v>
      </c>
      <c r="B2743" s="23" t="s">
        <v>848</v>
      </c>
      <c r="C2743" s="24" t="s">
        <v>4</v>
      </c>
      <c r="D2743" s="23" t="s">
        <v>2090</v>
      </c>
      <c r="E2743" s="23">
        <v>72.535384615384601</v>
      </c>
      <c r="F2743" s="23">
        <v>4</v>
      </c>
      <c r="G2743" s="23">
        <v>4</v>
      </c>
      <c r="H2743" s="23">
        <v>0</v>
      </c>
      <c r="I2743" s="23" t="s">
        <v>5</v>
      </c>
      <c r="J2743" s="23" t="s">
        <v>327</v>
      </c>
    </row>
    <row r="2744" spans="1:10" s="20" customFormat="1" ht="12" x14ac:dyDescent="0.25">
      <c r="A2744" s="22">
        <v>1000020890</v>
      </c>
      <c r="B2744" s="23" t="s">
        <v>1072</v>
      </c>
      <c r="C2744" s="24" t="s">
        <v>4</v>
      </c>
      <c r="D2744" s="23" t="s">
        <v>2090</v>
      </c>
      <c r="E2744" s="23">
        <v>72.23</v>
      </c>
      <c r="F2744" s="23">
        <v>1</v>
      </c>
      <c r="G2744" s="23">
        <v>1</v>
      </c>
      <c r="H2744" s="23">
        <v>0</v>
      </c>
      <c r="I2744" s="23" t="s">
        <v>5</v>
      </c>
      <c r="J2744" s="23" t="s">
        <v>327</v>
      </c>
    </row>
    <row r="2745" spans="1:10" s="20" customFormat="1" ht="12" x14ac:dyDescent="0.25">
      <c r="A2745" s="22">
        <v>1000021381</v>
      </c>
      <c r="B2745" s="23" t="s">
        <v>1465</v>
      </c>
      <c r="C2745" s="24" t="s">
        <v>4</v>
      </c>
      <c r="D2745" s="23" t="s">
        <v>2090</v>
      </c>
      <c r="E2745" s="23">
        <v>72.114000000000004</v>
      </c>
      <c r="F2745" s="23">
        <v>3</v>
      </c>
      <c r="G2745" s="23">
        <v>3</v>
      </c>
      <c r="H2745" s="23">
        <v>0</v>
      </c>
      <c r="I2745" s="23" t="s">
        <v>5</v>
      </c>
      <c r="J2745" s="23" t="s">
        <v>327</v>
      </c>
    </row>
    <row r="2746" spans="1:10" s="20" customFormat="1" ht="12" x14ac:dyDescent="0.25">
      <c r="A2746" s="22">
        <v>1000020390</v>
      </c>
      <c r="B2746" s="23" t="s">
        <v>620</v>
      </c>
      <c r="C2746" s="24" t="s">
        <v>4</v>
      </c>
      <c r="D2746" s="23" t="s">
        <v>2090</v>
      </c>
      <c r="E2746" s="23">
        <v>72.05</v>
      </c>
      <c r="F2746" s="23">
        <v>1</v>
      </c>
      <c r="G2746" s="23">
        <v>1</v>
      </c>
      <c r="H2746" s="23">
        <v>0</v>
      </c>
      <c r="I2746" s="23" t="s">
        <v>5</v>
      </c>
      <c r="J2746" s="23" t="s">
        <v>327</v>
      </c>
    </row>
    <row r="2747" spans="1:10" s="20" customFormat="1" ht="12" x14ac:dyDescent="0.25">
      <c r="A2747" s="22">
        <v>1000021174</v>
      </c>
      <c r="B2747" s="23" t="s">
        <v>1321</v>
      </c>
      <c r="C2747" s="24" t="s">
        <v>4</v>
      </c>
      <c r="D2747" s="23" t="s">
        <v>2090</v>
      </c>
      <c r="E2747" s="23">
        <v>71.91</v>
      </c>
      <c r="F2747" s="23">
        <v>1</v>
      </c>
      <c r="G2747" s="23">
        <v>1</v>
      </c>
      <c r="H2747" s="23">
        <v>0</v>
      </c>
      <c r="I2747" s="23" t="s">
        <v>5</v>
      </c>
      <c r="J2747" s="23" t="s">
        <v>327</v>
      </c>
    </row>
    <row r="2748" spans="1:10" s="20" customFormat="1" ht="12" x14ac:dyDescent="0.25">
      <c r="A2748" s="22">
        <v>1000020024</v>
      </c>
      <c r="B2748" s="23" t="s">
        <v>4422</v>
      </c>
      <c r="C2748" s="24" t="s">
        <v>4</v>
      </c>
      <c r="D2748" s="23" t="s">
        <v>2090</v>
      </c>
      <c r="E2748" s="23">
        <v>71.474999999999994</v>
      </c>
      <c r="F2748" s="23">
        <v>1</v>
      </c>
      <c r="G2748" s="23">
        <v>1</v>
      </c>
      <c r="H2748" s="23">
        <v>0</v>
      </c>
      <c r="I2748" s="23" t="s">
        <v>5</v>
      </c>
      <c r="J2748" s="23" t="s">
        <v>327</v>
      </c>
    </row>
    <row r="2749" spans="1:10" s="20" customFormat="1" ht="12" x14ac:dyDescent="0.25">
      <c r="A2749" s="22">
        <v>1000093977</v>
      </c>
      <c r="B2749" s="23" t="s">
        <v>4423</v>
      </c>
      <c r="C2749" s="24" t="s">
        <v>4</v>
      </c>
      <c r="D2749" s="23" t="s">
        <v>2090</v>
      </c>
      <c r="E2749" s="23">
        <v>71.311999999999998</v>
      </c>
      <c r="F2749" s="23">
        <v>4</v>
      </c>
      <c r="G2749" s="23">
        <v>4</v>
      </c>
      <c r="H2749" s="23">
        <v>0</v>
      </c>
      <c r="I2749" s="23" t="s">
        <v>14</v>
      </c>
      <c r="J2749" s="23" t="s">
        <v>327</v>
      </c>
    </row>
    <row r="2750" spans="1:10" s="20" customFormat="1" ht="12" x14ac:dyDescent="0.25">
      <c r="A2750" s="22">
        <v>1000021368</v>
      </c>
      <c r="B2750" s="23" t="s">
        <v>1462</v>
      </c>
      <c r="C2750" s="24" t="s">
        <v>4</v>
      </c>
      <c r="D2750" s="23" t="s">
        <v>2090</v>
      </c>
      <c r="E2750" s="23">
        <v>71.099999999999994</v>
      </c>
      <c r="F2750" s="23">
        <v>3</v>
      </c>
      <c r="G2750" s="23">
        <v>3</v>
      </c>
      <c r="H2750" s="23">
        <v>0</v>
      </c>
      <c r="I2750" s="23" t="s">
        <v>5</v>
      </c>
      <c r="J2750" s="23" t="s">
        <v>327</v>
      </c>
    </row>
    <row r="2751" spans="1:10" s="20" customFormat="1" ht="12" x14ac:dyDescent="0.25">
      <c r="A2751" s="22">
        <v>1000105722</v>
      </c>
      <c r="B2751" s="23" t="s">
        <v>1889</v>
      </c>
      <c r="C2751" s="24" t="s">
        <v>4</v>
      </c>
      <c r="D2751" s="23" t="s">
        <v>2056</v>
      </c>
      <c r="E2751" s="23">
        <v>70.204392989690703</v>
      </c>
      <c r="F2751" s="23">
        <v>123</v>
      </c>
      <c r="G2751" s="23">
        <v>123</v>
      </c>
      <c r="H2751" s="23">
        <v>0</v>
      </c>
      <c r="I2751" s="23" t="s">
        <v>5</v>
      </c>
      <c r="J2751" s="23" t="s">
        <v>1844</v>
      </c>
    </row>
    <row r="2752" spans="1:10" s="20" customFormat="1" ht="12" x14ac:dyDescent="0.25">
      <c r="A2752" s="22">
        <v>1000020595</v>
      </c>
      <c r="B2752" s="23" t="s">
        <v>811</v>
      </c>
      <c r="C2752" s="24" t="s">
        <v>4</v>
      </c>
      <c r="D2752" s="23" t="s">
        <v>2090</v>
      </c>
      <c r="E2752" s="23">
        <v>68.7</v>
      </c>
      <c r="F2752" s="23">
        <v>15</v>
      </c>
      <c r="G2752" s="23">
        <v>15</v>
      </c>
      <c r="H2752" s="23">
        <v>0</v>
      </c>
      <c r="I2752" s="23" t="s">
        <v>5</v>
      </c>
      <c r="J2752" s="23" t="s">
        <v>327</v>
      </c>
    </row>
    <row r="2753" spans="1:10" s="20" customFormat="1" ht="12" x14ac:dyDescent="0.25">
      <c r="A2753" s="22">
        <v>1000098583</v>
      </c>
      <c r="B2753" s="23" t="s">
        <v>1591</v>
      </c>
      <c r="C2753" s="24" t="s">
        <v>4</v>
      </c>
      <c r="D2753" s="23" t="s">
        <v>2090</v>
      </c>
      <c r="E2753" s="23">
        <v>68.688000000000002</v>
      </c>
      <c r="F2753" s="23">
        <v>2</v>
      </c>
      <c r="G2753" s="23">
        <v>2</v>
      </c>
      <c r="H2753" s="23">
        <v>0</v>
      </c>
      <c r="I2753" s="23" t="s">
        <v>5</v>
      </c>
      <c r="J2753" s="23" t="s">
        <v>327</v>
      </c>
    </row>
    <row r="2754" spans="1:10" s="20" customFormat="1" ht="12" x14ac:dyDescent="0.25">
      <c r="A2754" s="22">
        <v>1000020376</v>
      </c>
      <c r="B2754" s="23" t="s">
        <v>607</v>
      </c>
      <c r="C2754" s="24" t="s">
        <v>4</v>
      </c>
      <c r="D2754" s="23" t="s">
        <v>2090</v>
      </c>
      <c r="E2754" s="23">
        <v>68.650000000000006</v>
      </c>
      <c r="F2754" s="23">
        <v>5</v>
      </c>
      <c r="G2754" s="23">
        <v>5</v>
      </c>
      <c r="H2754" s="23">
        <v>0</v>
      </c>
      <c r="I2754" s="23" t="s">
        <v>5</v>
      </c>
      <c r="J2754" s="23" t="s">
        <v>327</v>
      </c>
    </row>
    <row r="2755" spans="1:10" s="20" customFormat="1" ht="12" x14ac:dyDescent="0.25">
      <c r="A2755" s="22">
        <v>1000020356</v>
      </c>
      <c r="B2755" s="23" t="s">
        <v>588</v>
      </c>
      <c r="C2755" s="24" t="s">
        <v>4</v>
      </c>
      <c r="D2755" s="23" t="s">
        <v>2090</v>
      </c>
      <c r="E2755" s="23">
        <v>68.5</v>
      </c>
      <c r="F2755" s="23">
        <v>1</v>
      </c>
      <c r="G2755" s="23">
        <v>1</v>
      </c>
      <c r="H2755" s="23">
        <v>0</v>
      </c>
      <c r="I2755" s="23" t="s">
        <v>5</v>
      </c>
      <c r="J2755" s="23" t="s">
        <v>327</v>
      </c>
    </row>
    <row r="2756" spans="1:10" s="20" customFormat="1" ht="12" x14ac:dyDescent="0.25">
      <c r="A2756" s="22">
        <v>1000093983</v>
      </c>
      <c r="B2756" s="23" t="s">
        <v>4427</v>
      </c>
      <c r="C2756" s="24" t="s">
        <v>4</v>
      </c>
      <c r="D2756" s="23" t="s">
        <v>2090</v>
      </c>
      <c r="E2756" s="23">
        <v>68.424857142857107</v>
      </c>
      <c r="F2756" s="23">
        <v>3</v>
      </c>
      <c r="G2756" s="23">
        <v>3</v>
      </c>
      <c r="H2756" s="23">
        <v>0</v>
      </c>
      <c r="I2756" s="23" t="s">
        <v>5</v>
      </c>
      <c r="J2756" s="23" t="s">
        <v>327</v>
      </c>
    </row>
    <row r="2757" spans="1:10" s="20" customFormat="1" ht="12" x14ac:dyDescent="0.25">
      <c r="A2757" s="22">
        <v>2500008892</v>
      </c>
      <c r="B2757" s="23" t="s">
        <v>4429</v>
      </c>
      <c r="C2757" s="24" t="s">
        <v>1996</v>
      </c>
      <c r="D2757" s="23" t="s">
        <v>2025</v>
      </c>
      <c r="E2757" s="23">
        <v>67.5</v>
      </c>
      <c r="F2757" s="23">
        <v>4</v>
      </c>
      <c r="G2757" s="23">
        <v>4</v>
      </c>
      <c r="H2757" s="23">
        <v>0</v>
      </c>
      <c r="I2757" s="23" t="s">
        <v>5</v>
      </c>
      <c r="J2757" s="23" t="s">
        <v>1993</v>
      </c>
    </row>
    <row r="2758" spans="1:10" s="20" customFormat="1" ht="12" x14ac:dyDescent="0.25">
      <c r="A2758" s="22">
        <v>1000098082</v>
      </c>
      <c r="B2758" s="23" t="s">
        <v>4431</v>
      </c>
      <c r="C2758" s="24" t="s">
        <v>4</v>
      </c>
      <c r="D2758" s="23" t="s">
        <v>2090</v>
      </c>
      <c r="E2758" s="23">
        <v>67.263999999999996</v>
      </c>
      <c r="F2758" s="23">
        <v>4</v>
      </c>
      <c r="G2758" s="23">
        <v>4</v>
      </c>
      <c r="H2758" s="23">
        <v>0</v>
      </c>
      <c r="I2758" s="23" t="s">
        <v>5</v>
      </c>
      <c r="J2758" s="23" t="s">
        <v>327</v>
      </c>
    </row>
    <row r="2759" spans="1:10" s="20" customFormat="1" ht="12" x14ac:dyDescent="0.25">
      <c r="A2759" s="22">
        <v>1000096882</v>
      </c>
      <c r="B2759" s="23" t="s">
        <v>4432</v>
      </c>
      <c r="C2759" s="24" t="s">
        <v>4</v>
      </c>
      <c r="D2759" s="23" t="s">
        <v>2056</v>
      </c>
      <c r="E2759" s="23">
        <v>66.73</v>
      </c>
      <c r="F2759" s="23">
        <v>2</v>
      </c>
      <c r="G2759" s="23">
        <v>2</v>
      </c>
      <c r="H2759" s="23">
        <v>0</v>
      </c>
      <c r="I2759" s="23" t="s">
        <v>5</v>
      </c>
      <c r="J2759" s="23" t="s">
        <v>1844</v>
      </c>
    </row>
    <row r="2760" spans="1:10" s="20" customFormat="1" ht="12" x14ac:dyDescent="0.25">
      <c r="A2760" s="22">
        <v>1000102217</v>
      </c>
      <c r="B2760" s="23" t="s">
        <v>4434</v>
      </c>
      <c r="C2760" s="24" t="s">
        <v>4</v>
      </c>
      <c r="D2760" s="23" t="s">
        <v>2090</v>
      </c>
      <c r="E2760" s="23">
        <v>66.23</v>
      </c>
      <c r="F2760" s="23">
        <v>2</v>
      </c>
      <c r="G2760" s="23">
        <v>2</v>
      </c>
      <c r="H2760" s="23">
        <v>0</v>
      </c>
      <c r="I2760" s="23" t="s">
        <v>5</v>
      </c>
      <c r="J2760" s="23" t="s">
        <v>327</v>
      </c>
    </row>
    <row r="2761" spans="1:10" s="20" customFormat="1" ht="12" x14ac:dyDescent="0.25">
      <c r="A2761" s="22">
        <v>1000020948</v>
      </c>
      <c r="B2761" s="23" t="s">
        <v>1126</v>
      </c>
      <c r="C2761" s="24" t="s">
        <v>4</v>
      </c>
      <c r="D2761" s="23" t="s">
        <v>2090</v>
      </c>
      <c r="E2761" s="23">
        <v>66.14</v>
      </c>
      <c r="F2761" s="23">
        <v>1</v>
      </c>
      <c r="G2761" s="23">
        <v>1</v>
      </c>
      <c r="H2761" s="23">
        <v>0</v>
      </c>
      <c r="I2761" s="23" t="s">
        <v>5</v>
      </c>
      <c r="J2761" s="23" t="s">
        <v>327</v>
      </c>
    </row>
    <row r="2762" spans="1:10" s="20" customFormat="1" ht="12" x14ac:dyDescent="0.25">
      <c r="A2762" s="22">
        <v>1000020058</v>
      </c>
      <c r="B2762" s="23" t="s">
        <v>4435</v>
      </c>
      <c r="C2762" s="24" t="s">
        <v>4</v>
      </c>
      <c r="D2762" s="23" t="s">
        <v>2090</v>
      </c>
      <c r="E2762" s="23">
        <v>66.03</v>
      </c>
      <c r="F2762" s="23">
        <v>3</v>
      </c>
      <c r="G2762" s="23">
        <v>3</v>
      </c>
      <c r="H2762" s="23">
        <v>0</v>
      </c>
      <c r="I2762" s="23" t="s">
        <v>5</v>
      </c>
      <c r="J2762" s="23" t="s">
        <v>327</v>
      </c>
    </row>
    <row r="2763" spans="1:10" s="20" customFormat="1" ht="12" x14ac:dyDescent="0.25">
      <c r="A2763" s="22">
        <v>1000110028</v>
      </c>
      <c r="B2763" s="23" t="s">
        <v>4436</v>
      </c>
      <c r="C2763" s="24" t="s">
        <v>4</v>
      </c>
      <c r="D2763" s="23" t="s">
        <v>2056</v>
      </c>
      <c r="E2763" s="23">
        <v>66</v>
      </c>
      <c r="F2763" s="23">
        <v>500</v>
      </c>
      <c r="G2763" s="23">
        <v>500</v>
      </c>
      <c r="H2763" s="23">
        <v>0</v>
      </c>
      <c r="I2763" s="23" t="s">
        <v>5</v>
      </c>
      <c r="J2763" s="23" t="s">
        <v>1844</v>
      </c>
    </row>
    <row r="2764" spans="1:10" s="20" customFormat="1" ht="12" x14ac:dyDescent="0.25">
      <c r="A2764" s="22">
        <v>1000110026</v>
      </c>
      <c r="B2764" s="23" t="s">
        <v>4437</v>
      </c>
      <c r="C2764" s="24" t="s">
        <v>4</v>
      </c>
      <c r="D2764" s="23" t="s">
        <v>2056</v>
      </c>
      <c r="E2764" s="23">
        <v>66</v>
      </c>
      <c r="F2764" s="23">
        <v>500</v>
      </c>
      <c r="G2764" s="23">
        <v>500</v>
      </c>
      <c r="H2764" s="23">
        <v>0</v>
      </c>
      <c r="I2764" s="23" t="s">
        <v>5</v>
      </c>
      <c r="J2764" s="23" t="s">
        <v>1844</v>
      </c>
    </row>
    <row r="2765" spans="1:10" s="20" customFormat="1" ht="12" x14ac:dyDescent="0.25">
      <c r="A2765" s="22">
        <v>1000110029</v>
      </c>
      <c r="B2765" s="23" t="s">
        <v>4438</v>
      </c>
      <c r="C2765" s="24" t="s">
        <v>4</v>
      </c>
      <c r="D2765" s="23" t="s">
        <v>2056</v>
      </c>
      <c r="E2765" s="23">
        <v>66</v>
      </c>
      <c r="F2765" s="23">
        <v>500</v>
      </c>
      <c r="G2765" s="23">
        <v>500</v>
      </c>
      <c r="H2765" s="23">
        <v>0</v>
      </c>
      <c r="I2765" s="23" t="s">
        <v>5</v>
      </c>
      <c r="J2765" s="23" t="s">
        <v>1844</v>
      </c>
    </row>
    <row r="2766" spans="1:10" s="20" customFormat="1" ht="12" x14ac:dyDescent="0.25">
      <c r="A2766" s="22">
        <v>1000110027</v>
      </c>
      <c r="B2766" s="23" t="s">
        <v>4439</v>
      </c>
      <c r="C2766" s="24" t="s">
        <v>4</v>
      </c>
      <c r="D2766" s="23" t="s">
        <v>2056</v>
      </c>
      <c r="E2766" s="23">
        <v>66</v>
      </c>
      <c r="F2766" s="23">
        <v>500</v>
      </c>
      <c r="G2766" s="23">
        <v>500</v>
      </c>
      <c r="H2766" s="23">
        <v>0</v>
      </c>
      <c r="I2766" s="23" t="s">
        <v>5</v>
      </c>
      <c r="J2766" s="23" t="s">
        <v>1844</v>
      </c>
    </row>
    <row r="2767" spans="1:10" s="20" customFormat="1" ht="12" x14ac:dyDescent="0.25">
      <c r="A2767" s="22">
        <v>1000102283</v>
      </c>
      <c r="B2767" s="23" t="s">
        <v>4440</v>
      </c>
      <c r="C2767" s="24" t="s">
        <v>4</v>
      </c>
      <c r="D2767" s="23" t="s">
        <v>2056</v>
      </c>
      <c r="E2767" s="23">
        <v>65.97</v>
      </c>
      <c r="F2767" s="23">
        <v>2</v>
      </c>
      <c r="G2767" s="23">
        <v>2</v>
      </c>
      <c r="H2767" s="23">
        <v>0</v>
      </c>
      <c r="I2767" s="23" t="s">
        <v>5</v>
      </c>
      <c r="J2767" s="23" t="s">
        <v>1844</v>
      </c>
    </row>
    <row r="2768" spans="1:10" s="20" customFormat="1" ht="12" x14ac:dyDescent="0.25">
      <c r="A2768" s="22">
        <v>1000020270</v>
      </c>
      <c r="B2768" s="23" t="s">
        <v>508</v>
      </c>
      <c r="C2768" s="24" t="s">
        <v>4</v>
      </c>
      <c r="D2768" s="23" t="s">
        <v>2090</v>
      </c>
      <c r="E2768" s="23">
        <v>65.58</v>
      </c>
      <c r="F2768" s="23">
        <v>3</v>
      </c>
      <c r="G2768" s="23">
        <v>3</v>
      </c>
      <c r="H2768" s="23">
        <v>0</v>
      </c>
      <c r="I2768" s="23" t="s">
        <v>5</v>
      </c>
      <c r="J2768" s="23" t="s">
        <v>327</v>
      </c>
    </row>
    <row r="2769" spans="1:10" s="20" customFormat="1" ht="12" x14ac:dyDescent="0.25">
      <c r="A2769" s="22">
        <v>1000020491</v>
      </c>
      <c r="B2769" s="23" t="s">
        <v>716</v>
      </c>
      <c r="C2769" s="24" t="s">
        <v>4</v>
      </c>
      <c r="D2769" s="23" t="s">
        <v>2218</v>
      </c>
      <c r="E2769" s="23">
        <v>65.184090909090898</v>
      </c>
      <c r="F2769" s="23">
        <v>1</v>
      </c>
      <c r="G2769" s="23">
        <v>1</v>
      </c>
      <c r="H2769" s="23">
        <v>0</v>
      </c>
      <c r="I2769" s="23" t="s">
        <v>5</v>
      </c>
      <c r="J2769" s="23" t="s">
        <v>327</v>
      </c>
    </row>
    <row r="2770" spans="1:10" s="20" customFormat="1" ht="12" x14ac:dyDescent="0.25">
      <c r="A2770" s="22">
        <v>2500008257</v>
      </c>
      <c r="B2770" s="23" t="s">
        <v>4441</v>
      </c>
      <c r="C2770" s="24" t="s">
        <v>1996</v>
      </c>
      <c r="D2770" s="23" t="s">
        <v>2025</v>
      </c>
      <c r="E2770" s="23">
        <v>64.8</v>
      </c>
      <c r="F2770" s="23">
        <v>1</v>
      </c>
      <c r="G2770" s="23">
        <v>1</v>
      </c>
      <c r="H2770" s="23">
        <v>0</v>
      </c>
      <c r="I2770" s="23" t="s">
        <v>5</v>
      </c>
      <c r="J2770" s="23" t="s">
        <v>1993</v>
      </c>
    </row>
    <row r="2771" spans="1:10" s="20" customFormat="1" ht="12" x14ac:dyDescent="0.25">
      <c r="A2771" s="22">
        <v>1000020691</v>
      </c>
      <c r="B2771" s="23" t="s">
        <v>903</v>
      </c>
      <c r="C2771" s="24" t="s">
        <v>4</v>
      </c>
      <c r="D2771" s="23" t="s">
        <v>2090</v>
      </c>
      <c r="E2771" s="23">
        <v>64.708571428571403</v>
      </c>
      <c r="F2771" s="23">
        <v>1</v>
      </c>
      <c r="G2771" s="23">
        <v>1</v>
      </c>
      <c r="H2771" s="23">
        <v>0</v>
      </c>
      <c r="I2771" s="23" t="s">
        <v>5</v>
      </c>
      <c r="J2771" s="23" t="s">
        <v>327</v>
      </c>
    </row>
    <row r="2772" spans="1:10" s="20" customFormat="1" ht="12" x14ac:dyDescent="0.25">
      <c r="A2772" s="22">
        <v>1000105233</v>
      </c>
      <c r="B2772" s="23" t="s">
        <v>4442</v>
      </c>
      <c r="C2772" s="24" t="s">
        <v>4</v>
      </c>
      <c r="D2772" s="23" t="s">
        <v>2056</v>
      </c>
      <c r="E2772" s="23">
        <v>64.290000000000006</v>
      </c>
      <c r="F2772" s="23">
        <v>49</v>
      </c>
      <c r="G2772" s="23">
        <v>49</v>
      </c>
      <c r="H2772" s="23">
        <v>0</v>
      </c>
      <c r="I2772" s="23" t="s">
        <v>5</v>
      </c>
      <c r="J2772" s="23" t="s">
        <v>1844</v>
      </c>
    </row>
    <row r="2773" spans="1:10" s="20" customFormat="1" ht="12" x14ac:dyDescent="0.25">
      <c r="A2773" s="22">
        <v>1000103212</v>
      </c>
      <c r="B2773" s="23" t="s">
        <v>1819</v>
      </c>
      <c r="C2773" s="24" t="s">
        <v>4</v>
      </c>
      <c r="D2773" s="23" t="s">
        <v>2090</v>
      </c>
      <c r="E2773" s="23">
        <v>64.064999999999998</v>
      </c>
      <c r="F2773" s="23">
        <v>5</v>
      </c>
      <c r="G2773" s="23">
        <v>5</v>
      </c>
      <c r="H2773" s="23">
        <v>0</v>
      </c>
      <c r="I2773" s="23" t="s">
        <v>5</v>
      </c>
      <c r="J2773" s="23" t="s">
        <v>327</v>
      </c>
    </row>
    <row r="2774" spans="1:10" s="20" customFormat="1" ht="12" x14ac:dyDescent="0.25">
      <c r="A2774" s="22">
        <v>1000098649</v>
      </c>
      <c r="B2774" s="23" t="s">
        <v>1626</v>
      </c>
      <c r="C2774" s="24" t="s">
        <v>4</v>
      </c>
      <c r="D2774" s="23" t="s">
        <v>2090</v>
      </c>
      <c r="E2774" s="23">
        <v>63.67</v>
      </c>
      <c r="F2774" s="23">
        <v>2</v>
      </c>
      <c r="G2774" s="23">
        <v>2</v>
      </c>
      <c r="H2774" s="23">
        <v>0</v>
      </c>
      <c r="I2774" s="23" t="s">
        <v>5</v>
      </c>
      <c r="J2774" s="23" t="s">
        <v>327</v>
      </c>
    </row>
    <row r="2775" spans="1:10" s="20" customFormat="1" ht="12" x14ac:dyDescent="0.25">
      <c r="A2775" s="22">
        <v>1000020624</v>
      </c>
      <c r="B2775" s="23" t="s">
        <v>839</v>
      </c>
      <c r="C2775" s="24" t="s">
        <v>4</v>
      </c>
      <c r="D2775" s="23" t="s">
        <v>2090</v>
      </c>
      <c r="E2775" s="23">
        <v>62.08</v>
      </c>
      <c r="F2775" s="23">
        <v>4</v>
      </c>
      <c r="G2775" s="23">
        <v>4</v>
      </c>
      <c r="H2775" s="23">
        <v>0</v>
      </c>
      <c r="I2775" s="23" t="s">
        <v>5</v>
      </c>
      <c r="J2775" s="23" t="s">
        <v>327</v>
      </c>
    </row>
    <row r="2776" spans="1:10" s="20" customFormat="1" ht="12" x14ac:dyDescent="0.25">
      <c r="A2776" s="22">
        <v>1000020059</v>
      </c>
      <c r="B2776" s="23" t="s">
        <v>4445</v>
      </c>
      <c r="C2776" s="24" t="s">
        <v>4</v>
      </c>
      <c r="D2776" s="23" t="s">
        <v>2090</v>
      </c>
      <c r="E2776" s="23">
        <v>62.061999999999998</v>
      </c>
      <c r="F2776" s="23">
        <v>7</v>
      </c>
      <c r="G2776" s="23">
        <v>7</v>
      </c>
      <c r="H2776" s="23">
        <v>0</v>
      </c>
      <c r="I2776" s="23" t="s">
        <v>5</v>
      </c>
      <c r="J2776" s="23" t="s">
        <v>327</v>
      </c>
    </row>
    <row r="2777" spans="1:10" s="20" customFormat="1" ht="12" x14ac:dyDescent="0.25">
      <c r="A2777" s="22">
        <v>1000020664</v>
      </c>
      <c r="B2777" s="23" t="s">
        <v>877</v>
      </c>
      <c r="C2777" s="24" t="s">
        <v>4</v>
      </c>
      <c r="D2777" s="23" t="s">
        <v>2090</v>
      </c>
      <c r="E2777" s="23">
        <v>61.88</v>
      </c>
      <c r="F2777" s="23">
        <v>1</v>
      </c>
      <c r="G2777" s="23">
        <v>1</v>
      </c>
      <c r="H2777" s="23">
        <v>0</v>
      </c>
      <c r="I2777" s="23" t="s">
        <v>5</v>
      </c>
      <c r="J2777" s="23" t="s">
        <v>327</v>
      </c>
    </row>
    <row r="2778" spans="1:10" s="20" customFormat="1" ht="12" x14ac:dyDescent="0.25">
      <c r="A2778" s="22">
        <v>1000020659</v>
      </c>
      <c r="B2778" s="23" t="s">
        <v>872</v>
      </c>
      <c r="C2778" s="24" t="s">
        <v>4</v>
      </c>
      <c r="D2778" s="23" t="s">
        <v>2090</v>
      </c>
      <c r="E2778" s="23">
        <v>61.46</v>
      </c>
      <c r="F2778" s="23">
        <v>1</v>
      </c>
      <c r="G2778" s="23">
        <v>1</v>
      </c>
      <c r="H2778" s="23">
        <v>0</v>
      </c>
      <c r="I2778" s="23" t="s">
        <v>5</v>
      </c>
      <c r="J2778" s="23" t="s">
        <v>327</v>
      </c>
    </row>
    <row r="2779" spans="1:10" s="20" customFormat="1" ht="12" x14ac:dyDescent="0.25">
      <c r="A2779" s="22">
        <v>2500008143</v>
      </c>
      <c r="B2779" s="23" t="s">
        <v>4448</v>
      </c>
      <c r="C2779" s="24" t="s">
        <v>1996</v>
      </c>
      <c r="D2779" s="23" t="s">
        <v>2025</v>
      </c>
      <c r="E2779" s="23">
        <v>60.56</v>
      </c>
      <c r="F2779" s="23">
        <v>1</v>
      </c>
      <c r="G2779" s="23">
        <v>1</v>
      </c>
      <c r="H2779" s="23">
        <v>0</v>
      </c>
      <c r="I2779" s="23" t="s">
        <v>5</v>
      </c>
      <c r="J2779" s="23" t="s">
        <v>1993</v>
      </c>
    </row>
    <row r="2780" spans="1:10" s="20" customFormat="1" ht="12" x14ac:dyDescent="0.25">
      <c r="A2780" s="22">
        <v>2500008369</v>
      </c>
      <c r="B2780" s="23" t="s">
        <v>4449</v>
      </c>
      <c r="C2780" s="24" t="s">
        <v>1996</v>
      </c>
      <c r="D2780" s="23" t="s">
        <v>2025</v>
      </c>
      <c r="E2780" s="23">
        <v>60.08</v>
      </c>
      <c r="F2780" s="23">
        <v>2</v>
      </c>
      <c r="G2780" s="23">
        <v>2</v>
      </c>
      <c r="H2780" s="23">
        <v>0</v>
      </c>
      <c r="I2780" s="23" t="s">
        <v>5</v>
      </c>
      <c r="J2780" s="23" t="s">
        <v>1993</v>
      </c>
    </row>
    <row r="2781" spans="1:10" s="20" customFormat="1" ht="12" x14ac:dyDescent="0.25">
      <c r="A2781" s="22">
        <v>1000020946</v>
      </c>
      <c r="B2781" s="23" t="s">
        <v>1125</v>
      </c>
      <c r="C2781" s="24" t="s">
        <v>4</v>
      </c>
      <c r="D2781" s="23" t="s">
        <v>2090</v>
      </c>
      <c r="E2781" s="23">
        <v>60.02</v>
      </c>
      <c r="F2781" s="23">
        <v>1</v>
      </c>
      <c r="G2781" s="23">
        <v>1</v>
      </c>
      <c r="H2781" s="23">
        <v>0</v>
      </c>
      <c r="I2781" s="23" t="s">
        <v>5</v>
      </c>
      <c r="J2781" s="23" t="s">
        <v>327</v>
      </c>
    </row>
    <row r="2782" spans="1:10" s="20" customFormat="1" ht="12" x14ac:dyDescent="0.25">
      <c r="A2782" s="22">
        <v>2500009339</v>
      </c>
      <c r="B2782" s="23" t="s">
        <v>4450</v>
      </c>
      <c r="C2782" s="24" t="s">
        <v>1996</v>
      </c>
      <c r="D2782" s="23" t="s">
        <v>2289</v>
      </c>
      <c r="E2782" s="23">
        <v>60</v>
      </c>
      <c r="F2782" s="23">
        <v>2</v>
      </c>
      <c r="G2782" s="23">
        <v>2</v>
      </c>
      <c r="H2782" s="23">
        <v>0</v>
      </c>
      <c r="I2782" s="23" t="s">
        <v>5</v>
      </c>
      <c r="J2782" s="23" t="s">
        <v>1993</v>
      </c>
    </row>
    <row r="2783" spans="1:10" s="20" customFormat="1" ht="12" x14ac:dyDescent="0.25">
      <c r="A2783" s="22">
        <v>2500008600</v>
      </c>
      <c r="B2783" s="23" t="s">
        <v>1944</v>
      </c>
      <c r="C2783" s="24" t="s">
        <v>1996</v>
      </c>
      <c r="D2783" s="23" t="s">
        <v>2025</v>
      </c>
      <c r="E2783" s="23">
        <v>60</v>
      </c>
      <c r="F2783" s="23">
        <v>4</v>
      </c>
      <c r="G2783" s="23">
        <v>4</v>
      </c>
      <c r="H2783" s="23">
        <v>0</v>
      </c>
      <c r="I2783" s="23" t="s">
        <v>5</v>
      </c>
      <c r="J2783" s="23" t="s">
        <v>1993</v>
      </c>
    </row>
    <row r="2784" spans="1:10" s="20" customFormat="1" ht="12" x14ac:dyDescent="0.25">
      <c r="A2784" s="22">
        <v>1000099659</v>
      </c>
      <c r="B2784" s="23" t="s">
        <v>4451</v>
      </c>
      <c r="C2784" s="24" t="s">
        <v>4</v>
      </c>
      <c r="D2784" s="23" t="s">
        <v>2056</v>
      </c>
      <c r="E2784" s="23">
        <v>59.972727272727198</v>
      </c>
      <c r="F2784" s="23">
        <v>10</v>
      </c>
      <c r="G2784" s="23">
        <v>10</v>
      </c>
      <c r="H2784" s="23">
        <v>0</v>
      </c>
      <c r="I2784" s="23" t="s">
        <v>5</v>
      </c>
      <c r="J2784" s="23" t="s">
        <v>1844</v>
      </c>
    </row>
    <row r="2785" spans="1:10" s="20" customFormat="1" ht="12" x14ac:dyDescent="0.25">
      <c r="A2785" s="22">
        <v>1000020052</v>
      </c>
      <c r="B2785" s="23" t="s">
        <v>4452</v>
      </c>
      <c r="C2785" s="24" t="s">
        <v>4</v>
      </c>
      <c r="D2785" s="23" t="s">
        <v>2090</v>
      </c>
      <c r="E2785" s="23">
        <v>59.76</v>
      </c>
      <c r="F2785" s="23">
        <v>10</v>
      </c>
      <c r="G2785" s="23">
        <v>10</v>
      </c>
      <c r="H2785" s="23">
        <v>0</v>
      </c>
      <c r="I2785" s="23" t="s">
        <v>5</v>
      </c>
      <c r="J2785" s="23" t="s">
        <v>327</v>
      </c>
    </row>
    <row r="2786" spans="1:10" s="20" customFormat="1" ht="12" x14ac:dyDescent="0.25">
      <c r="A2786" s="22">
        <v>1000096783</v>
      </c>
      <c r="B2786" s="23" t="s">
        <v>4453</v>
      </c>
      <c r="C2786" s="24" t="s">
        <v>2109</v>
      </c>
      <c r="D2786" s="23" t="s">
        <v>2070</v>
      </c>
      <c r="E2786" s="23">
        <v>59.633333333333297</v>
      </c>
      <c r="F2786" s="23">
        <v>3</v>
      </c>
      <c r="G2786" s="23">
        <v>3</v>
      </c>
      <c r="H2786" s="23">
        <v>0</v>
      </c>
      <c r="I2786" s="23" t="s">
        <v>5</v>
      </c>
      <c r="J2786" s="23" t="s">
        <v>6</v>
      </c>
    </row>
    <row r="2787" spans="1:10" s="20" customFormat="1" ht="12" x14ac:dyDescent="0.25">
      <c r="A2787" s="22">
        <v>1000093332</v>
      </c>
      <c r="B2787" s="23" t="s">
        <v>4454</v>
      </c>
      <c r="C2787" s="24" t="s">
        <v>4</v>
      </c>
      <c r="D2787" s="23" t="s">
        <v>2090</v>
      </c>
      <c r="E2787" s="23">
        <v>59.3</v>
      </c>
      <c r="F2787" s="23">
        <v>7</v>
      </c>
      <c r="G2787" s="23">
        <v>7</v>
      </c>
      <c r="H2787" s="23">
        <v>0</v>
      </c>
      <c r="I2787" s="23" t="s">
        <v>5</v>
      </c>
      <c r="J2787" s="23" t="s">
        <v>327</v>
      </c>
    </row>
    <row r="2788" spans="1:10" s="20" customFormat="1" ht="12" x14ac:dyDescent="0.25">
      <c r="A2788" s="22">
        <v>1000020013</v>
      </c>
      <c r="B2788" s="23" t="s">
        <v>4455</v>
      </c>
      <c r="C2788" s="24" t="s">
        <v>4</v>
      </c>
      <c r="D2788" s="23" t="s">
        <v>2090</v>
      </c>
      <c r="E2788" s="23">
        <v>59.292749999999998</v>
      </c>
      <c r="F2788" s="23">
        <v>11</v>
      </c>
      <c r="G2788" s="23">
        <v>11</v>
      </c>
      <c r="H2788" s="23">
        <v>0</v>
      </c>
      <c r="I2788" s="23" t="s">
        <v>5</v>
      </c>
      <c r="J2788" s="23" t="s">
        <v>327</v>
      </c>
    </row>
    <row r="2789" spans="1:10" s="20" customFormat="1" ht="12" x14ac:dyDescent="0.25">
      <c r="A2789" s="22">
        <v>1000096799</v>
      </c>
      <c r="B2789" s="23" t="s">
        <v>4456</v>
      </c>
      <c r="C2789" s="24" t="s">
        <v>4</v>
      </c>
      <c r="D2789" s="23" t="s">
        <v>2056</v>
      </c>
      <c r="E2789" s="23">
        <v>59.086273970925703</v>
      </c>
      <c r="F2789" s="23">
        <v>7</v>
      </c>
      <c r="G2789" s="23">
        <v>7</v>
      </c>
      <c r="H2789" s="23">
        <v>0</v>
      </c>
      <c r="I2789" s="23" t="s">
        <v>5</v>
      </c>
      <c r="J2789" s="23" t="s">
        <v>1844</v>
      </c>
    </row>
    <row r="2790" spans="1:10" s="20" customFormat="1" ht="12" x14ac:dyDescent="0.25">
      <c r="A2790" s="22">
        <v>2100006471</v>
      </c>
      <c r="B2790" s="23" t="s">
        <v>142</v>
      </c>
      <c r="C2790" s="24" t="s">
        <v>2037</v>
      </c>
      <c r="D2790" s="23" t="s">
        <v>2031</v>
      </c>
      <c r="E2790" s="23">
        <v>58.87</v>
      </c>
      <c r="F2790" s="23">
        <v>12</v>
      </c>
      <c r="G2790" s="23">
        <v>12</v>
      </c>
      <c r="H2790" s="23">
        <v>0</v>
      </c>
      <c r="I2790" s="23" t="s">
        <v>5</v>
      </c>
      <c r="J2790" s="23" t="s">
        <v>138</v>
      </c>
    </row>
    <row r="2791" spans="1:10" s="20" customFormat="1" ht="12" x14ac:dyDescent="0.25">
      <c r="A2791" s="22">
        <v>1000101361</v>
      </c>
      <c r="B2791" s="23" t="s">
        <v>4457</v>
      </c>
      <c r="C2791" s="24" t="s">
        <v>4</v>
      </c>
      <c r="D2791" s="23" t="s">
        <v>2056</v>
      </c>
      <c r="E2791" s="23">
        <v>58.253279999999997</v>
      </c>
      <c r="F2791" s="23">
        <v>6</v>
      </c>
      <c r="G2791" s="23">
        <v>6</v>
      </c>
      <c r="H2791" s="23">
        <v>0</v>
      </c>
      <c r="I2791" s="23" t="s">
        <v>5</v>
      </c>
      <c r="J2791" s="23" t="s">
        <v>1844</v>
      </c>
    </row>
    <row r="2792" spans="1:10" s="20" customFormat="1" ht="12" x14ac:dyDescent="0.25">
      <c r="A2792" s="22">
        <v>1000102430</v>
      </c>
      <c r="B2792" s="23" t="s">
        <v>4459</v>
      </c>
      <c r="C2792" s="24" t="s">
        <v>4</v>
      </c>
      <c r="D2792" s="23" t="s">
        <v>2056</v>
      </c>
      <c r="E2792" s="23">
        <v>57.9054</v>
      </c>
      <c r="F2792" s="23">
        <v>35</v>
      </c>
      <c r="G2792" s="23">
        <v>35</v>
      </c>
      <c r="H2792" s="23">
        <v>0</v>
      </c>
      <c r="I2792" s="23" t="s">
        <v>5</v>
      </c>
      <c r="J2792" s="23" t="s">
        <v>1844</v>
      </c>
    </row>
    <row r="2793" spans="1:10" s="20" customFormat="1" ht="12" x14ac:dyDescent="0.25">
      <c r="A2793" s="22">
        <v>1000020135</v>
      </c>
      <c r="B2793" s="23" t="s">
        <v>389</v>
      </c>
      <c r="C2793" s="24" t="s">
        <v>4</v>
      </c>
      <c r="D2793" s="23" t="s">
        <v>2090</v>
      </c>
      <c r="E2793" s="23">
        <v>57.75</v>
      </c>
      <c r="F2793" s="23">
        <v>3</v>
      </c>
      <c r="G2793" s="23">
        <v>3</v>
      </c>
      <c r="H2793" s="23">
        <v>0</v>
      </c>
      <c r="I2793" s="23" t="s">
        <v>5</v>
      </c>
      <c r="J2793" s="23" t="s">
        <v>327</v>
      </c>
    </row>
    <row r="2794" spans="1:10" s="20" customFormat="1" ht="12" x14ac:dyDescent="0.25">
      <c r="A2794" s="22">
        <v>2500008214</v>
      </c>
      <c r="B2794" s="23" t="s">
        <v>4463</v>
      </c>
      <c r="C2794" s="24" t="s">
        <v>1996</v>
      </c>
      <c r="D2794" s="23" t="s">
        <v>2025</v>
      </c>
      <c r="E2794" s="23">
        <v>56.25</v>
      </c>
      <c r="F2794" s="23">
        <v>4</v>
      </c>
      <c r="G2794" s="23">
        <v>4</v>
      </c>
      <c r="H2794" s="23">
        <v>0</v>
      </c>
      <c r="I2794" s="23" t="s">
        <v>5</v>
      </c>
      <c r="J2794" s="23" t="s">
        <v>1993</v>
      </c>
    </row>
    <row r="2795" spans="1:10" s="20" customFormat="1" ht="12" x14ac:dyDescent="0.25">
      <c r="A2795" s="22">
        <v>2500009461</v>
      </c>
      <c r="B2795" s="23" t="s">
        <v>4464</v>
      </c>
      <c r="C2795" s="24" t="s">
        <v>1996</v>
      </c>
      <c r="D2795" s="23" t="s">
        <v>2289</v>
      </c>
      <c r="E2795" s="23">
        <v>56.25</v>
      </c>
      <c r="F2795" s="23">
        <v>3</v>
      </c>
      <c r="G2795" s="23">
        <v>3</v>
      </c>
      <c r="H2795" s="23">
        <v>0</v>
      </c>
      <c r="I2795" s="23" t="s">
        <v>5</v>
      </c>
      <c r="J2795" s="23" t="s">
        <v>1993</v>
      </c>
    </row>
    <row r="2796" spans="1:10" s="20" customFormat="1" ht="12" x14ac:dyDescent="0.25">
      <c r="A2796" s="22">
        <v>1000020427</v>
      </c>
      <c r="B2796" s="23" t="s">
        <v>655</v>
      </c>
      <c r="C2796" s="24" t="s">
        <v>4</v>
      </c>
      <c r="D2796" s="23" t="s">
        <v>2090</v>
      </c>
      <c r="E2796" s="23">
        <v>56.04</v>
      </c>
      <c r="F2796" s="23">
        <v>4</v>
      </c>
      <c r="G2796" s="23">
        <v>4</v>
      </c>
      <c r="H2796" s="23">
        <v>0</v>
      </c>
      <c r="I2796" s="23" t="s">
        <v>5</v>
      </c>
      <c r="J2796" s="23" t="s">
        <v>327</v>
      </c>
    </row>
    <row r="2797" spans="1:10" s="20" customFormat="1" ht="12" x14ac:dyDescent="0.25">
      <c r="A2797" s="22">
        <v>1000099197</v>
      </c>
      <c r="B2797" s="23" t="s">
        <v>4465</v>
      </c>
      <c r="C2797" s="24" t="s">
        <v>4</v>
      </c>
      <c r="D2797" s="23" t="s">
        <v>2056</v>
      </c>
      <c r="E2797" s="23">
        <v>56.04</v>
      </c>
      <c r="F2797" s="23">
        <v>640</v>
      </c>
      <c r="G2797" s="23">
        <v>640</v>
      </c>
      <c r="H2797" s="23">
        <v>0</v>
      </c>
      <c r="I2797" s="23" t="s">
        <v>5</v>
      </c>
      <c r="J2797" s="23" t="s">
        <v>1844</v>
      </c>
    </row>
    <row r="2798" spans="1:10" s="20" customFormat="1" ht="12" x14ac:dyDescent="0.25">
      <c r="A2798" s="22">
        <v>1000109177</v>
      </c>
      <c r="B2798" s="23" t="s">
        <v>1839</v>
      </c>
      <c r="C2798" s="24" t="s">
        <v>4</v>
      </c>
      <c r="D2798" s="23" t="s">
        <v>2090</v>
      </c>
      <c r="E2798" s="23">
        <v>56.02</v>
      </c>
      <c r="F2798" s="23">
        <v>9</v>
      </c>
      <c r="G2798" s="23">
        <v>9</v>
      </c>
      <c r="H2798" s="23">
        <v>0</v>
      </c>
      <c r="I2798" s="23" t="s">
        <v>5</v>
      </c>
      <c r="J2798" s="23" t="s">
        <v>327</v>
      </c>
    </row>
    <row r="2799" spans="1:10" s="20" customFormat="1" ht="12" x14ac:dyDescent="0.25">
      <c r="A2799" s="22">
        <v>1000020151</v>
      </c>
      <c r="B2799" s="23" t="s">
        <v>402</v>
      </c>
      <c r="C2799" s="24" t="s">
        <v>4</v>
      </c>
      <c r="D2799" s="23" t="s">
        <v>2090</v>
      </c>
      <c r="E2799" s="23">
        <v>55.55</v>
      </c>
      <c r="F2799" s="23">
        <v>1</v>
      </c>
      <c r="G2799" s="23">
        <v>1</v>
      </c>
      <c r="H2799" s="23">
        <v>0</v>
      </c>
      <c r="I2799" s="23" t="s">
        <v>5</v>
      </c>
      <c r="J2799" s="23" t="s">
        <v>327</v>
      </c>
    </row>
    <row r="2800" spans="1:10" s="20" customFormat="1" ht="12" x14ac:dyDescent="0.25">
      <c r="A2800" s="22">
        <v>1000094033</v>
      </c>
      <c r="B2800" s="23" t="s">
        <v>4467</v>
      </c>
      <c r="C2800" s="24" t="s">
        <v>4</v>
      </c>
      <c r="D2800" s="23" t="s">
        <v>2090</v>
      </c>
      <c r="E2800" s="23">
        <v>55.42</v>
      </c>
      <c r="F2800" s="23">
        <v>2</v>
      </c>
      <c r="G2800" s="23">
        <v>2</v>
      </c>
      <c r="H2800" s="23">
        <v>0</v>
      </c>
      <c r="I2800" s="23" t="s">
        <v>5</v>
      </c>
      <c r="J2800" s="23" t="s">
        <v>327</v>
      </c>
    </row>
    <row r="2801" spans="1:10" s="20" customFormat="1" ht="12" x14ac:dyDescent="0.25">
      <c r="A2801" s="22">
        <v>1000102404</v>
      </c>
      <c r="B2801" s="23" t="s">
        <v>4468</v>
      </c>
      <c r="C2801" s="24" t="s">
        <v>4</v>
      </c>
      <c r="D2801" s="23" t="s">
        <v>2090</v>
      </c>
      <c r="E2801" s="23">
        <v>55.271578947368397</v>
      </c>
      <c r="F2801" s="23">
        <v>16</v>
      </c>
      <c r="G2801" s="23">
        <v>16</v>
      </c>
      <c r="H2801" s="23">
        <v>0</v>
      </c>
      <c r="I2801" s="23" t="s">
        <v>5</v>
      </c>
      <c r="J2801" s="23" t="s">
        <v>327</v>
      </c>
    </row>
    <row r="2802" spans="1:10" s="20" customFormat="1" ht="12" x14ac:dyDescent="0.25">
      <c r="A2802" s="22">
        <v>1000020073</v>
      </c>
      <c r="B2802" s="23" t="s">
        <v>4469</v>
      </c>
      <c r="C2802" s="24" t="s">
        <v>4</v>
      </c>
      <c r="D2802" s="23" t="s">
        <v>2090</v>
      </c>
      <c r="E2802" s="23">
        <v>54.408000000000001</v>
      </c>
      <c r="F2802" s="23">
        <v>3</v>
      </c>
      <c r="G2802" s="23">
        <v>3</v>
      </c>
      <c r="H2802" s="23">
        <v>0</v>
      </c>
      <c r="I2802" s="23" t="s">
        <v>5</v>
      </c>
      <c r="J2802" s="23" t="s">
        <v>327</v>
      </c>
    </row>
    <row r="2803" spans="1:10" s="20" customFormat="1" ht="12" x14ac:dyDescent="0.25">
      <c r="A2803" s="22">
        <v>1000020481</v>
      </c>
      <c r="B2803" s="23" t="s">
        <v>707</v>
      </c>
      <c r="C2803" s="24" t="s">
        <v>4</v>
      </c>
      <c r="D2803" s="23" t="s">
        <v>2090</v>
      </c>
      <c r="E2803" s="23">
        <v>54.35</v>
      </c>
      <c r="F2803" s="23">
        <v>1</v>
      </c>
      <c r="G2803" s="23">
        <v>1</v>
      </c>
      <c r="H2803" s="23">
        <v>0</v>
      </c>
      <c r="I2803" s="23" t="s">
        <v>5</v>
      </c>
      <c r="J2803" s="23" t="s">
        <v>327</v>
      </c>
    </row>
    <row r="2804" spans="1:10" s="20" customFormat="1" ht="12" x14ac:dyDescent="0.25">
      <c r="A2804" s="22">
        <v>1000101098</v>
      </c>
      <c r="B2804" s="23" t="s">
        <v>4470</v>
      </c>
      <c r="C2804" s="24" t="s">
        <v>4</v>
      </c>
      <c r="D2804" s="23" t="s">
        <v>2284</v>
      </c>
      <c r="E2804" s="23">
        <v>53.7</v>
      </c>
      <c r="F2804" s="23">
        <v>2</v>
      </c>
      <c r="G2804" s="23">
        <v>2</v>
      </c>
      <c r="H2804" s="23">
        <v>0</v>
      </c>
      <c r="I2804" s="23" t="s">
        <v>5</v>
      </c>
      <c r="J2804" s="23" t="s">
        <v>1844</v>
      </c>
    </row>
    <row r="2805" spans="1:10" s="20" customFormat="1" ht="12" x14ac:dyDescent="0.25">
      <c r="A2805" s="22">
        <v>1000020589</v>
      </c>
      <c r="B2805" s="23" t="s">
        <v>805</v>
      </c>
      <c r="C2805" s="24" t="s">
        <v>4</v>
      </c>
      <c r="D2805" s="23" t="s">
        <v>2090</v>
      </c>
      <c r="E2805" s="23">
        <v>53.2</v>
      </c>
      <c r="F2805" s="23">
        <v>10</v>
      </c>
      <c r="G2805" s="23">
        <v>10</v>
      </c>
      <c r="H2805" s="23">
        <v>0</v>
      </c>
      <c r="I2805" s="23" t="s">
        <v>5</v>
      </c>
      <c r="J2805" s="23" t="s">
        <v>327</v>
      </c>
    </row>
    <row r="2806" spans="1:10" s="20" customFormat="1" ht="12" x14ac:dyDescent="0.25">
      <c r="A2806" s="22">
        <v>1000020258</v>
      </c>
      <c r="B2806" s="23" t="s">
        <v>497</v>
      </c>
      <c r="C2806" s="24" t="s">
        <v>4</v>
      </c>
      <c r="D2806" s="23" t="s">
        <v>2090</v>
      </c>
      <c r="E2806" s="23">
        <v>53</v>
      </c>
      <c r="F2806" s="23">
        <v>5</v>
      </c>
      <c r="G2806" s="23">
        <v>5</v>
      </c>
      <c r="H2806" s="23">
        <v>0</v>
      </c>
      <c r="I2806" s="23" t="s">
        <v>5</v>
      </c>
      <c r="J2806" s="23" t="s">
        <v>327</v>
      </c>
    </row>
    <row r="2807" spans="1:10" s="20" customFormat="1" ht="12" x14ac:dyDescent="0.25">
      <c r="A2807" s="22">
        <v>1000103213</v>
      </c>
      <c r="B2807" s="23" t="s">
        <v>1820</v>
      </c>
      <c r="C2807" s="24" t="s">
        <v>4</v>
      </c>
      <c r="D2807" s="23" t="s">
        <v>2090</v>
      </c>
      <c r="E2807" s="23">
        <v>52.88</v>
      </c>
      <c r="F2807" s="23">
        <v>5</v>
      </c>
      <c r="G2807" s="23">
        <v>5</v>
      </c>
      <c r="H2807" s="23">
        <v>0</v>
      </c>
      <c r="I2807" s="23" t="s">
        <v>5</v>
      </c>
      <c r="J2807" s="23" t="s">
        <v>327</v>
      </c>
    </row>
    <row r="2808" spans="1:10" s="20" customFormat="1" ht="12" x14ac:dyDescent="0.25">
      <c r="A2808" s="22">
        <v>1000098609</v>
      </c>
      <c r="B2808" s="23" t="s">
        <v>1612</v>
      </c>
      <c r="C2808" s="24" t="s">
        <v>4</v>
      </c>
      <c r="D2808" s="23" t="s">
        <v>2090</v>
      </c>
      <c r="E2808" s="23">
        <v>52.808888888888802</v>
      </c>
      <c r="F2808" s="23">
        <v>10</v>
      </c>
      <c r="G2808" s="23">
        <v>10</v>
      </c>
      <c r="H2808" s="23">
        <v>0</v>
      </c>
      <c r="I2808" s="23" t="s">
        <v>5</v>
      </c>
      <c r="J2808" s="23" t="s">
        <v>327</v>
      </c>
    </row>
    <row r="2809" spans="1:10" s="20" customFormat="1" ht="12" x14ac:dyDescent="0.25">
      <c r="A2809" s="22">
        <v>1000020760</v>
      </c>
      <c r="B2809" s="23" t="s">
        <v>965</v>
      </c>
      <c r="C2809" s="24" t="s">
        <v>4</v>
      </c>
      <c r="D2809" s="23" t="s">
        <v>2090</v>
      </c>
      <c r="E2809" s="23">
        <v>52.8</v>
      </c>
      <c r="F2809" s="23">
        <v>1</v>
      </c>
      <c r="G2809" s="23">
        <v>1</v>
      </c>
      <c r="H2809" s="23">
        <v>0</v>
      </c>
      <c r="I2809" s="23" t="s">
        <v>5</v>
      </c>
      <c r="J2809" s="23" t="s">
        <v>327</v>
      </c>
    </row>
    <row r="2810" spans="1:10" s="20" customFormat="1" ht="12" x14ac:dyDescent="0.25">
      <c r="A2810" s="22">
        <v>1000020666</v>
      </c>
      <c r="B2810" s="23" t="s">
        <v>879</v>
      </c>
      <c r="C2810" s="24" t="s">
        <v>4</v>
      </c>
      <c r="D2810" s="23" t="s">
        <v>2090</v>
      </c>
      <c r="E2810" s="23">
        <v>52.76</v>
      </c>
      <c r="F2810" s="23">
        <v>1</v>
      </c>
      <c r="G2810" s="23">
        <v>1</v>
      </c>
      <c r="H2810" s="23">
        <v>0</v>
      </c>
      <c r="I2810" s="23" t="s">
        <v>5</v>
      </c>
      <c r="J2810" s="23" t="s">
        <v>327</v>
      </c>
    </row>
    <row r="2811" spans="1:10" s="20" customFormat="1" ht="12" x14ac:dyDescent="0.25">
      <c r="A2811" s="22">
        <v>2500008370</v>
      </c>
      <c r="B2811" s="23" t="s">
        <v>4471</v>
      </c>
      <c r="C2811" s="24" t="s">
        <v>1996</v>
      </c>
      <c r="D2811" s="23" t="s">
        <v>2025</v>
      </c>
      <c r="E2811" s="23">
        <v>52.57</v>
      </c>
      <c r="F2811" s="23">
        <v>2</v>
      </c>
      <c r="G2811" s="23">
        <v>2</v>
      </c>
      <c r="H2811" s="23">
        <v>0</v>
      </c>
      <c r="I2811" s="23" t="s">
        <v>5</v>
      </c>
      <c r="J2811" s="23" t="s">
        <v>1993</v>
      </c>
    </row>
    <row r="2812" spans="1:10" s="20" customFormat="1" ht="12" x14ac:dyDescent="0.25">
      <c r="A2812" s="22">
        <v>2500008329</v>
      </c>
      <c r="B2812" s="23" t="s">
        <v>4472</v>
      </c>
      <c r="C2812" s="24" t="s">
        <v>1996</v>
      </c>
      <c r="D2812" s="23" t="s">
        <v>2025</v>
      </c>
      <c r="E2812" s="23">
        <v>52.503333333333302</v>
      </c>
      <c r="F2812" s="23">
        <v>3</v>
      </c>
      <c r="G2812" s="23">
        <v>3</v>
      </c>
      <c r="H2812" s="23">
        <v>0</v>
      </c>
      <c r="I2812" s="23" t="s">
        <v>5</v>
      </c>
      <c r="J2812" s="23" t="s">
        <v>1993</v>
      </c>
    </row>
    <row r="2813" spans="1:10" s="20" customFormat="1" ht="12" x14ac:dyDescent="0.25">
      <c r="A2813" s="22">
        <v>2500009457</v>
      </c>
      <c r="B2813" s="23" t="s">
        <v>4473</v>
      </c>
      <c r="C2813" s="24" t="s">
        <v>1996</v>
      </c>
      <c r="D2813" s="23" t="s">
        <v>2289</v>
      </c>
      <c r="E2813" s="23">
        <v>52.5</v>
      </c>
      <c r="F2813" s="23">
        <v>1</v>
      </c>
      <c r="G2813" s="23">
        <v>1</v>
      </c>
      <c r="H2813" s="23">
        <v>0</v>
      </c>
      <c r="I2813" s="23" t="s">
        <v>5</v>
      </c>
      <c r="J2813" s="23" t="s">
        <v>1993</v>
      </c>
    </row>
    <row r="2814" spans="1:10" s="20" customFormat="1" ht="12" x14ac:dyDescent="0.25">
      <c r="A2814" s="22">
        <v>1000021169</v>
      </c>
      <c r="B2814" s="23" t="s">
        <v>1317</v>
      </c>
      <c r="C2814" s="24" t="s">
        <v>4</v>
      </c>
      <c r="D2814" s="23" t="s">
        <v>2090</v>
      </c>
      <c r="E2814" s="23">
        <v>52.48</v>
      </c>
      <c r="F2814" s="23">
        <v>1</v>
      </c>
      <c r="G2814" s="23">
        <v>1</v>
      </c>
      <c r="H2814" s="23">
        <v>0</v>
      </c>
      <c r="I2814" s="23" t="s">
        <v>5</v>
      </c>
      <c r="J2814" s="23" t="s">
        <v>327</v>
      </c>
    </row>
    <row r="2815" spans="1:10" s="20" customFormat="1" ht="12" x14ac:dyDescent="0.25">
      <c r="A2815" s="22">
        <v>1000020641</v>
      </c>
      <c r="B2815" s="23" t="s">
        <v>856</v>
      </c>
      <c r="C2815" s="24" t="s">
        <v>4</v>
      </c>
      <c r="D2815" s="23" t="s">
        <v>2090</v>
      </c>
      <c r="E2815" s="23">
        <v>52.44</v>
      </c>
      <c r="F2815" s="23">
        <v>2</v>
      </c>
      <c r="G2815" s="23">
        <v>2</v>
      </c>
      <c r="H2815" s="23">
        <v>0</v>
      </c>
      <c r="I2815" s="23" t="s">
        <v>5</v>
      </c>
      <c r="J2815" s="23" t="s">
        <v>327</v>
      </c>
    </row>
    <row r="2816" spans="1:10" s="20" customFormat="1" ht="12" x14ac:dyDescent="0.25">
      <c r="A2816" s="22">
        <v>1000020006</v>
      </c>
      <c r="B2816" s="23" t="s">
        <v>4475</v>
      </c>
      <c r="C2816" s="24" t="s">
        <v>4</v>
      </c>
      <c r="D2816" s="23" t="s">
        <v>2090</v>
      </c>
      <c r="E2816" s="23">
        <v>52.3333333333333</v>
      </c>
      <c r="F2816" s="23">
        <v>5</v>
      </c>
      <c r="G2816" s="23">
        <v>5</v>
      </c>
      <c r="H2816" s="23">
        <v>0</v>
      </c>
      <c r="I2816" s="23" t="s">
        <v>5</v>
      </c>
      <c r="J2816" s="23" t="s">
        <v>327</v>
      </c>
    </row>
    <row r="2817" spans="1:10" s="20" customFormat="1" ht="12" x14ac:dyDescent="0.25">
      <c r="A2817" s="22">
        <v>1000101698</v>
      </c>
      <c r="B2817" s="23" t="s">
        <v>4476</v>
      </c>
      <c r="C2817" s="24" t="s">
        <v>4</v>
      </c>
      <c r="D2817" s="23" t="s">
        <v>2056</v>
      </c>
      <c r="E2817" s="23">
        <v>52.047499999999999</v>
      </c>
      <c r="F2817" s="23">
        <v>40</v>
      </c>
      <c r="G2817" s="23">
        <v>40</v>
      </c>
      <c r="H2817" s="23">
        <v>0</v>
      </c>
      <c r="I2817" s="23" t="s">
        <v>5</v>
      </c>
      <c r="J2817" s="23" t="s">
        <v>1844</v>
      </c>
    </row>
    <row r="2818" spans="1:10" s="20" customFormat="1" ht="12" x14ac:dyDescent="0.25">
      <c r="A2818" s="22">
        <v>1000103787</v>
      </c>
      <c r="B2818" s="23" t="s">
        <v>4477</v>
      </c>
      <c r="C2818" s="24" t="s">
        <v>4</v>
      </c>
      <c r="D2818" s="23" t="s">
        <v>2056</v>
      </c>
      <c r="E2818" s="23">
        <v>51.95</v>
      </c>
      <c r="F2818" s="23">
        <v>8</v>
      </c>
      <c r="G2818" s="23">
        <v>8</v>
      </c>
      <c r="H2818" s="23">
        <v>0</v>
      </c>
      <c r="I2818" s="23" t="s">
        <v>5</v>
      </c>
      <c r="J2818" s="23" t="s">
        <v>1844</v>
      </c>
    </row>
    <row r="2819" spans="1:10" s="20" customFormat="1" ht="12" x14ac:dyDescent="0.25">
      <c r="A2819" s="22">
        <v>1000020262</v>
      </c>
      <c r="B2819" s="23" t="s">
        <v>501</v>
      </c>
      <c r="C2819" s="24" t="s">
        <v>4</v>
      </c>
      <c r="D2819" s="23" t="s">
        <v>2090</v>
      </c>
      <c r="E2819" s="23">
        <v>51.8</v>
      </c>
      <c r="F2819" s="23">
        <v>4</v>
      </c>
      <c r="G2819" s="23">
        <v>4</v>
      </c>
      <c r="H2819" s="23">
        <v>0</v>
      </c>
      <c r="I2819" s="23" t="s">
        <v>5</v>
      </c>
      <c r="J2819" s="23" t="s">
        <v>327</v>
      </c>
    </row>
    <row r="2820" spans="1:10" s="20" customFormat="1" ht="12" x14ac:dyDescent="0.25">
      <c r="A2820" s="22">
        <v>1000020652</v>
      </c>
      <c r="B2820" s="23" t="s">
        <v>866</v>
      </c>
      <c r="C2820" s="24" t="s">
        <v>4</v>
      </c>
      <c r="D2820" s="23" t="s">
        <v>2090</v>
      </c>
      <c r="E2820" s="23">
        <v>51.497999999999998</v>
      </c>
      <c r="F2820" s="23">
        <v>1</v>
      </c>
      <c r="G2820" s="23">
        <v>1</v>
      </c>
      <c r="H2820" s="23">
        <v>0</v>
      </c>
      <c r="I2820" s="23" t="s">
        <v>5</v>
      </c>
      <c r="J2820" s="23" t="s">
        <v>327</v>
      </c>
    </row>
    <row r="2821" spans="1:10" s="20" customFormat="1" ht="12" x14ac:dyDescent="0.25">
      <c r="A2821" s="22">
        <v>2500008139</v>
      </c>
      <c r="B2821" s="23" t="s">
        <v>4478</v>
      </c>
      <c r="C2821" s="24" t="s">
        <v>1996</v>
      </c>
      <c r="D2821" s="23" t="s">
        <v>2025</v>
      </c>
      <c r="E2821" s="23">
        <v>51.125</v>
      </c>
      <c r="F2821" s="23">
        <v>2</v>
      </c>
      <c r="G2821" s="23">
        <v>2</v>
      </c>
      <c r="H2821" s="23">
        <v>0</v>
      </c>
      <c r="I2821" s="23" t="s">
        <v>5</v>
      </c>
      <c r="J2821" s="23" t="s">
        <v>1993</v>
      </c>
    </row>
    <row r="2822" spans="1:10" s="20" customFormat="1" ht="12" x14ac:dyDescent="0.25">
      <c r="A2822" s="22">
        <v>1000020252</v>
      </c>
      <c r="B2822" s="23" t="s">
        <v>491</v>
      </c>
      <c r="C2822" s="24" t="s">
        <v>4</v>
      </c>
      <c r="D2822" s="23" t="s">
        <v>2090</v>
      </c>
      <c r="E2822" s="23">
        <v>51.12</v>
      </c>
      <c r="F2822" s="23">
        <v>6</v>
      </c>
      <c r="G2822" s="23">
        <v>6</v>
      </c>
      <c r="H2822" s="23">
        <v>0</v>
      </c>
      <c r="I2822" s="23" t="s">
        <v>5</v>
      </c>
      <c r="J2822" s="23" t="s">
        <v>327</v>
      </c>
    </row>
    <row r="2823" spans="1:10" s="20" customFormat="1" ht="12" x14ac:dyDescent="0.25">
      <c r="A2823" s="22">
        <v>1000108972</v>
      </c>
      <c r="B2823" s="23" t="s">
        <v>4479</v>
      </c>
      <c r="C2823" s="24" t="s">
        <v>4</v>
      </c>
      <c r="D2823" s="23" t="s">
        <v>2056</v>
      </c>
      <c r="E2823" s="23">
        <v>50.963721476266599</v>
      </c>
      <c r="F2823" s="23">
        <v>3</v>
      </c>
      <c r="G2823" s="23">
        <v>3</v>
      </c>
      <c r="H2823" s="23">
        <v>0</v>
      </c>
      <c r="I2823" s="23" t="s">
        <v>5</v>
      </c>
      <c r="J2823" s="23" t="s">
        <v>1844</v>
      </c>
    </row>
    <row r="2824" spans="1:10" s="20" customFormat="1" ht="12" x14ac:dyDescent="0.25">
      <c r="A2824" s="22">
        <v>1000095812</v>
      </c>
      <c r="B2824" s="23" t="s">
        <v>4484</v>
      </c>
      <c r="C2824" s="24" t="s">
        <v>4</v>
      </c>
      <c r="D2824" s="23" t="s">
        <v>2056</v>
      </c>
      <c r="E2824" s="23">
        <v>49.951666666666597</v>
      </c>
      <c r="F2824" s="23">
        <v>20</v>
      </c>
      <c r="G2824" s="23">
        <v>20</v>
      </c>
      <c r="H2824" s="23">
        <v>0</v>
      </c>
      <c r="I2824" s="23" t="s">
        <v>5</v>
      </c>
      <c r="J2824" s="23" t="s">
        <v>1844</v>
      </c>
    </row>
    <row r="2825" spans="1:10" s="20" customFormat="1" ht="12" x14ac:dyDescent="0.25">
      <c r="A2825" s="22">
        <v>1000099812</v>
      </c>
      <c r="B2825" s="23" t="s">
        <v>4485</v>
      </c>
      <c r="C2825" s="24" t="s">
        <v>4</v>
      </c>
      <c r="D2825" s="23" t="s">
        <v>2090</v>
      </c>
      <c r="E2825" s="23">
        <v>49.89</v>
      </c>
      <c r="F2825" s="23">
        <v>7</v>
      </c>
      <c r="G2825" s="23">
        <v>7</v>
      </c>
      <c r="H2825" s="23">
        <v>0</v>
      </c>
      <c r="I2825" s="23" t="s">
        <v>5</v>
      </c>
      <c r="J2825" s="23" t="s">
        <v>327</v>
      </c>
    </row>
    <row r="2826" spans="1:10" s="20" customFormat="1" ht="12" x14ac:dyDescent="0.25">
      <c r="A2826" s="22">
        <v>1000100779</v>
      </c>
      <c r="B2826" s="23" t="s">
        <v>1750</v>
      </c>
      <c r="C2826" s="24" t="s">
        <v>4</v>
      </c>
      <c r="D2826" s="23" t="s">
        <v>2090</v>
      </c>
      <c r="E2826" s="23">
        <v>49.618749999999999</v>
      </c>
      <c r="F2826" s="23">
        <v>2</v>
      </c>
      <c r="G2826" s="23">
        <v>2</v>
      </c>
      <c r="H2826" s="23">
        <v>0</v>
      </c>
      <c r="I2826" s="23" t="s">
        <v>5</v>
      </c>
      <c r="J2826" s="23" t="s">
        <v>327</v>
      </c>
    </row>
    <row r="2827" spans="1:10" s="20" customFormat="1" ht="12" x14ac:dyDescent="0.25">
      <c r="A2827" s="22">
        <v>1000020548</v>
      </c>
      <c r="B2827" s="23" t="s">
        <v>766</v>
      </c>
      <c r="C2827" s="24" t="s">
        <v>4</v>
      </c>
      <c r="D2827" s="23" t="s">
        <v>2090</v>
      </c>
      <c r="E2827" s="23">
        <v>48.99</v>
      </c>
      <c r="F2827" s="23">
        <v>3</v>
      </c>
      <c r="G2827" s="23">
        <v>3</v>
      </c>
      <c r="H2827" s="23">
        <v>0</v>
      </c>
      <c r="I2827" s="23" t="s">
        <v>5</v>
      </c>
      <c r="J2827" s="23" t="s">
        <v>327</v>
      </c>
    </row>
    <row r="2828" spans="1:10" s="20" customFormat="1" ht="12" x14ac:dyDescent="0.25">
      <c r="A2828" s="22">
        <v>1000020436</v>
      </c>
      <c r="B2828" s="23" t="s">
        <v>663</v>
      </c>
      <c r="C2828" s="24" t="s">
        <v>4</v>
      </c>
      <c r="D2828" s="23" t="s">
        <v>2090</v>
      </c>
      <c r="E2828" s="23">
        <v>48.4557</v>
      </c>
      <c r="F2828" s="23">
        <v>3</v>
      </c>
      <c r="G2828" s="23">
        <v>3</v>
      </c>
      <c r="H2828" s="23">
        <v>0</v>
      </c>
      <c r="I2828" s="23" t="s">
        <v>5</v>
      </c>
      <c r="J2828" s="23" t="s">
        <v>327</v>
      </c>
    </row>
    <row r="2829" spans="1:10" s="20" customFormat="1" ht="12" x14ac:dyDescent="0.25">
      <c r="A2829" s="22">
        <v>1000020669</v>
      </c>
      <c r="B2829" s="23" t="s">
        <v>882</v>
      </c>
      <c r="C2829" s="24" t="s">
        <v>4</v>
      </c>
      <c r="D2829" s="23" t="s">
        <v>2090</v>
      </c>
      <c r="E2829" s="23">
        <v>48.44</v>
      </c>
      <c r="F2829" s="23">
        <v>1</v>
      </c>
      <c r="G2829" s="23">
        <v>1</v>
      </c>
      <c r="H2829" s="23">
        <v>0</v>
      </c>
      <c r="I2829" s="23" t="s">
        <v>5</v>
      </c>
      <c r="J2829" s="23" t="s">
        <v>327</v>
      </c>
    </row>
    <row r="2830" spans="1:10" s="20" customFormat="1" ht="12" x14ac:dyDescent="0.25">
      <c r="A2830" s="22">
        <v>1000020255</v>
      </c>
      <c r="B2830" s="23" t="s">
        <v>494</v>
      </c>
      <c r="C2830" s="24" t="s">
        <v>4</v>
      </c>
      <c r="D2830" s="23" t="s">
        <v>2090</v>
      </c>
      <c r="E2830" s="23">
        <v>48.259374999999999</v>
      </c>
      <c r="F2830" s="23">
        <v>5</v>
      </c>
      <c r="G2830" s="23">
        <v>5</v>
      </c>
      <c r="H2830" s="23">
        <v>0</v>
      </c>
      <c r="I2830" s="23" t="s">
        <v>5</v>
      </c>
      <c r="J2830" s="23" t="s">
        <v>327</v>
      </c>
    </row>
    <row r="2831" spans="1:10" s="20" customFormat="1" ht="12" x14ac:dyDescent="0.25">
      <c r="A2831" s="22">
        <v>1000020678</v>
      </c>
      <c r="B2831" s="23" t="s">
        <v>891</v>
      </c>
      <c r="C2831" s="24" t="s">
        <v>4</v>
      </c>
      <c r="D2831" s="23" t="s">
        <v>2090</v>
      </c>
      <c r="E2831" s="23">
        <v>47.73</v>
      </c>
      <c r="F2831" s="23">
        <v>1</v>
      </c>
      <c r="G2831" s="23">
        <v>1</v>
      </c>
      <c r="H2831" s="23">
        <v>0</v>
      </c>
      <c r="I2831" s="23" t="s">
        <v>5</v>
      </c>
      <c r="J2831" s="23" t="s">
        <v>327</v>
      </c>
    </row>
    <row r="2832" spans="1:10" s="20" customFormat="1" ht="12" x14ac:dyDescent="0.25">
      <c r="A2832" s="22">
        <v>1000020667</v>
      </c>
      <c r="B2832" s="23" t="s">
        <v>880</v>
      </c>
      <c r="C2832" s="24" t="s">
        <v>4</v>
      </c>
      <c r="D2832" s="23" t="s">
        <v>2090</v>
      </c>
      <c r="E2832" s="23">
        <v>47.31</v>
      </c>
      <c r="F2832" s="23">
        <v>1</v>
      </c>
      <c r="G2832" s="23">
        <v>1</v>
      </c>
      <c r="H2832" s="23">
        <v>0</v>
      </c>
      <c r="I2832" s="23" t="s">
        <v>5</v>
      </c>
      <c r="J2832" s="23" t="s">
        <v>327</v>
      </c>
    </row>
    <row r="2833" spans="1:10" s="20" customFormat="1" ht="12" x14ac:dyDescent="0.25">
      <c r="A2833" s="22">
        <v>1000020214</v>
      </c>
      <c r="B2833" s="23" t="s">
        <v>454</v>
      </c>
      <c r="C2833" s="24" t="s">
        <v>4</v>
      </c>
      <c r="D2833" s="23" t="s">
        <v>2090</v>
      </c>
      <c r="E2833" s="23">
        <v>46.85</v>
      </c>
      <c r="F2833" s="23">
        <v>1</v>
      </c>
      <c r="G2833" s="23">
        <v>1</v>
      </c>
      <c r="H2833" s="23">
        <v>0</v>
      </c>
      <c r="I2833" s="23" t="s">
        <v>5</v>
      </c>
      <c r="J2833" s="23" t="s">
        <v>327</v>
      </c>
    </row>
    <row r="2834" spans="1:10" s="20" customFormat="1" ht="12" x14ac:dyDescent="0.25">
      <c r="A2834" s="22">
        <v>1000020389</v>
      </c>
      <c r="B2834" s="23" t="s">
        <v>619</v>
      </c>
      <c r="C2834" s="24" t="s">
        <v>4</v>
      </c>
      <c r="D2834" s="23" t="s">
        <v>2090</v>
      </c>
      <c r="E2834" s="23">
        <v>46.57</v>
      </c>
      <c r="F2834" s="23">
        <v>1</v>
      </c>
      <c r="G2834" s="23">
        <v>1</v>
      </c>
      <c r="H2834" s="23">
        <v>0</v>
      </c>
      <c r="I2834" s="23" t="s">
        <v>5</v>
      </c>
      <c r="J2834" s="23" t="s">
        <v>327</v>
      </c>
    </row>
    <row r="2835" spans="1:10" s="20" customFormat="1" ht="12" x14ac:dyDescent="0.25">
      <c r="A2835" s="22">
        <v>1000093567</v>
      </c>
      <c r="B2835" s="23" t="s">
        <v>4491</v>
      </c>
      <c r="C2835" s="24" t="s">
        <v>4</v>
      </c>
      <c r="D2835" s="23" t="s">
        <v>2056</v>
      </c>
      <c r="E2835" s="23">
        <v>46.411910880000001</v>
      </c>
      <c r="F2835" s="23">
        <v>1</v>
      </c>
      <c r="G2835" s="23">
        <v>1</v>
      </c>
      <c r="H2835" s="23">
        <v>0</v>
      </c>
      <c r="I2835" s="23" t="s">
        <v>5</v>
      </c>
      <c r="J2835" s="23" t="s">
        <v>1844</v>
      </c>
    </row>
    <row r="2836" spans="1:10" s="20" customFormat="1" ht="12" x14ac:dyDescent="0.25">
      <c r="A2836" s="22">
        <v>1000108554</v>
      </c>
      <c r="B2836" s="23" t="s">
        <v>4492</v>
      </c>
      <c r="C2836" s="24" t="s">
        <v>4</v>
      </c>
      <c r="D2836" s="23" t="s">
        <v>2056</v>
      </c>
      <c r="E2836" s="23">
        <v>46.01</v>
      </c>
      <c r="F2836" s="23">
        <v>1</v>
      </c>
      <c r="G2836" s="23">
        <v>1</v>
      </c>
      <c r="H2836" s="23">
        <v>0</v>
      </c>
      <c r="I2836" s="23" t="s">
        <v>5</v>
      </c>
      <c r="J2836" s="23" t="s">
        <v>1844</v>
      </c>
    </row>
    <row r="2837" spans="1:10" s="20" customFormat="1" ht="12" x14ac:dyDescent="0.25">
      <c r="A2837" s="22">
        <v>1000102149</v>
      </c>
      <c r="B2837" s="23" t="s">
        <v>4493</v>
      </c>
      <c r="C2837" s="24" t="s">
        <v>4</v>
      </c>
      <c r="D2837" s="23" t="s">
        <v>2090</v>
      </c>
      <c r="E2837" s="23">
        <v>45.72</v>
      </c>
      <c r="F2837" s="23">
        <v>4</v>
      </c>
      <c r="G2837" s="23">
        <v>4</v>
      </c>
      <c r="H2837" s="23">
        <v>0</v>
      </c>
      <c r="I2837" s="23" t="s">
        <v>5</v>
      </c>
      <c r="J2837" s="23" t="s">
        <v>327</v>
      </c>
    </row>
    <row r="2838" spans="1:10" s="20" customFormat="1" ht="12" x14ac:dyDescent="0.25">
      <c r="A2838" s="22">
        <v>1000020654</v>
      </c>
      <c r="B2838" s="23" t="s">
        <v>867</v>
      </c>
      <c r="C2838" s="24" t="s">
        <v>4</v>
      </c>
      <c r="D2838" s="23" t="s">
        <v>2090</v>
      </c>
      <c r="E2838" s="23">
        <v>45.6175</v>
      </c>
      <c r="F2838" s="23">
        <v>1</v>
      </c>
      <c r="G2838" s="23">
        <v>1</v>
      </c>
      <c r="H2838" s="23">
        <v>0</v>
      </c>
      <c r="I2838" s="23" t="s">
        <v>5</v>
      </c>
      <c r="J2838" s="23" t="s">
        <v>327</v>
      </c>
    </row>
    <row r="2839" spans="1:10" s="20" customFormat="1" ht="12" x14ac:dyDescent="0.25">
      <c r="A2839" s="22">
        <v>1000098890</v>
      </c>
      <c r="B2839" s="23" t="s">
        <v>4494</v>
      </c>
      <c r="C2839" s="24" t="s">
        <v>4</v>
      </c>
      <c r="D2839" s="23" t="s">
        <v>2090</v>
      </c>
      <c r="E2839" s="23">
        <v>45.185000000000002</v>
      </c>
      <c r="F2839" s="23">
        <v>7</v>
      </c>
      <c r="G2839" s="23">
        <v>7</v>
      </c>
      <c r="H2839" s="23">
        <v>0</v>
      </c>
      <c r="I2839" s="23" t="s">
        <v>5</v>
      </c>
      <c r="J2839" s="23" t="s">
        <v>327</v>
      </c>
    </row>
    <row r="2840" spans="1:10" s="20" customFormat="1" ht="12" x14ac:dyDescent="0.25">
      <c r="A2840" s="22">
        <v>1000092378</v>
      </c>
      <c r="B2840" s="23" t="s">
        <v>4497</v>
      </c>
      <c r="C2840" s="24" t="s">
        <v>4</v>
      </c>
      <c r="D2840" s="23" t="s">
        <v>2090</v>
      </c>
      <c r="E2840" s="23">
        <v>44.99</v>
      </c>
      <c r="F2840" s="23">
        <v>2</v>
      </c>
      <c r="G2840" s="23">
        <v>2</v>
      </c>
      <c r="H2840" s="23">
        <v>0</v>
      </c>
      <c r="I2840" s="23" t="s">
        <v>5</v>
      </c>
      <c r="J2840" s="23" t="s">
        <v>327</v>
      </c>
    </row>
    <row r="2841" spans="1:10" s="20" customFormat="1" ht="12" x14ac:dyDescent="0.25">
      <c r="A2841" s="22">
        <v>1000100766</v>
      </c>
      <c r="B2841" s="23" t="s">
        <v>4498</v>
      </c>
      <c r="C2841" s="24" t="s">
        <v>4</v>
      </c>
      <c r="D2841" s="23" t="s">
        <v>2056</v>
      </c>
      <c r="E2841" s="23">
        <v>44.77</v>
      </c>
      <c r="F2841" s="23">
        <v>5</v>
      </c>
      <c r="G2841" s="23">
        <v>5</v>
      </c>
      <c r="H2841" s="23">
        <v>0</v>
      </c>
      <c r="I2841" s="23" t="s">
        <v>5</v>
      </c>
      <c r="J2841" s="23" t="s">
        <v>1844</v>
      </c>
    </row>
    <row r="2842" spans="1:10" s="20" customFormat="1" ht="12" x14ac:dyDescent="0.25">
      <c r="A2842" s="22">
        <v>1000098585</v>
      </c>
      <c r="B2842" s="23" t="s">
        <v>1592</v>
      </c>
      <c r="C2842" s="24" t="s">
        <v>4</v>
      </c>
      <c r="D2842" s="23" t="s">
        <v>2090</v>
      </c>
      <c r="E2842" s="23">
        <v>43.701428571428501</v>
      </c>
      <c r="F2842" s="23">
        <v>1</v>
      </c>
      <c r="G2842" s="23">
        <v>1</v>
      </c>
      <c r="H2842" s="23">
        <v>0</v>
      </c>
      <c r="I2842" s="23" t="s">
        <v>5</v>
      </c>
      <c r="J2842" s="23" t="s">
        <v>327</v>
      </c>
    </row>
    <row r="2843" spans="1:10" s="20" customFormat="1" ht="12" x14ac:dyDescent="0.25">
      <c r="A2843" s="22">
        <v>1000017163</v>
      </c>
      <c r="B2843" s="23" t="s">
        <v>4500</v>
      </c>
      <c r="C2843" s="24" t="s">
        <v>4</v>
      </c>
      <c r="D2843" s="23" t="s">
        <v>2056</v>
      </c>
      <c r="E2843" s="23">
        <v>43.475474791657298</v>
      </c>
      <c r="F2843" s="23">
        <v>47</v>
      </c>
      <c r="G2843" s="23">
        <v>47</v>
      </c>
      <c r="H2843" s="23">
        <v>0</v>
      </c>
      <c r="I2843" s="23" t="s">
        <v>5</v>
      </c>
      <c r="J2843" s="23" t="s">
        <v>1844</v>
      </c>
    </row>
    <row r="2844" spans="1:10" s="20" customFormat="1" ht="12" x14ac:dyDescent="0.25">
      <c r="A2844" s="22">
        <v>1000020550</v>
      </c>
      <c r="B2844" s="23" t="s">
        <v>768</v>
      </c>
      <c r="C2844" s="24" t="s">
        <v>4</v>
      </c>
      <c r="D2844" s="23" t="s">
        <v>2090</v>
      </c>
      <c r="E2844" s="23">
        <v>43.44</v>
      </c>
      <c r="F2844" s="23">
        <v>2</v>
      </c>
      <c r="G2844" s="23">
        <v>2</v>
      </c>
      <c r="H2844" s="23">
        <v>0</v>
      </c>
      <c r="I2844" s="23" t="s">
        <v>5</v>
      </c>
      <c r="J2844" s="23" t="s">
        <v>327</v>
      </c>
    </row>
    <row r="2845" spans="1:10" s="20" customFormat="1" ht="12" x14ac:dyDescent="0.25">
      <c r="A2845" s="22">
        <v>1000101097</v>
      </c>
      <c r="B2845" s="23" t="s">
        <v>4502</v>
      </c>
      <c r="C2845" s="24" t="s">
        <v>4</v>
      </c>
      <c r="D2845" s="23" t="s">
        <v>2284</v>
      </c>
      <c r="E2845" s="23">
        <v>43.13</v>
      </c>
      <c r="F2845" s="23">
        <v>2</v>
      </c>
      <c r="G2845" s="23">
        <v>2</v>
      </c>
      <c r="H2845" s="23">
        <v>0</v>
      </c>
      <c r="I2845" s="23" t="s">
        <v>5</v>
      </c>
      <c r="J2845" s="23" t="s">
        <v>1844</v>
      </c>
    </row>
    <row r="2846" spans="1:10" s="20" customFormat="1" ht="12" x14ac:dyDescent="0.25">
      <c r="A2846" s="22">
        <v>1000021433</v>
      </c>
      <c r="B2846" s="23" t="s">
        <v>1479</v>
      </c>
      <c r="C2846" s="24" t="s">
        <v>4</v>
      </c>
      <c r="D2846" s="23" t="s">
        <v>2090</v>
      </c>
      <c r="E2846" s="23">
        <v>42.975000000000001</v>
      </c>
      <c r="F2846" s="23">
        <v>1</v>
      </c>
      <c r="G2846" s="23">
        <v>1</v>
      </c>
      <c r="H2846" s="23">
        <v>0</v>
      </c>
      <c r="I2846" s="23" t="s">
        <v>5</v>
      </c>
      <c r="J2846" s="23" t="s">
        <v>327</v>
      </c>
    </row>
    <row r="2847" spans="1:10" s="20" customFormat="1" ht="12" x14ac:dyDescent="0.25">
      <c r="A2847" s="22">
        <v>1000102129</v>
      </c>
      <c r="B2847" s="23" t="s">
        <v>4504</v>
      </c>
      <c r="C2847" s="24" t="s">
        <v>4</v>
      </c>
      <c r="D2847" s="23" t="s">
        <v>2056</v>
      </c>
      <c r="E2847" s="23">
        <v>42.376978428800001</v>
      </c>
      <c r="F2847" s="23">
        <v>1</v>
      </c>
      <c r="G2847" s="23">
        <v>1</v>
      </c>
      <c r="H2847" s="23">
        <v>0</v>
      </c>
      <c r="I2847" s="23" t="s">
        <v>5</v>
      </c>
      <c r="J2847" s="23" t="s">
        <v>1844</v>
      </c>
    </row>
    <row r="2848" spans="1:10" s="20" customFormat="1" ht="12" x14ac:dyDescent="0.25">
      <c r="A2848" s="22">
        <v>1000106054</v>
      </c>
      <c r="B2848" s="23" t="s">
        <v>4505</v>
      </c>
      <c r="C2848" s="24" t="s">
        <v>4</v>
      </c>
      <c r="D2848" s="23" t="s">
        <v>2161</v>
      </c>
      <c r="E2848" s="23">
        <v>41.93</v>
      </c>
      <c r="F2848" s="23">
        <v>2</v>
      </c>
      <c r="G2848" s="23">
        <v>2</v>
      </c>
      <c r="H2848" s="23">
        <v>0</v>
      </c>
      <c r="I2848" s="23" t="s">
        <v>5</v>
      </c>
      <c r="J2848" s="23" t="s">
        <v>111</v>
      </c>
    </row>
    <row r="2849" spans="1:10" s="20" customFormat="1" ht="12" x14ac:dyDescent="0.25">
      <c r="A2849" s="22">
        <v>1000101695</v>
      </c>
      <c r="B2849" s="23" t="s">
        <v>4507</v>
      </c>
      <c r="C2849" s="24" t="s">
        <v>4</v>
      </c>
      <c r="D2849" s="23" t="s">
        <v>2056</v>
      </c>
      <c r="E2849" s="23">
        <v>40.954285714285703</v>
      </c>
      <c r="F2849" s="23">
        <v>30</v>
      </c>
      <c r="G2849" s="23">
        <v>30</v>
      </c>
      <c r="H2849" s="23">
        <v>0</v>
      </c>
      <c r="I2849" s="23" t="s">
        <v>5</v>
      </c>
      <c r="J2849" s="23" t="s">
        <v>1844</v>
      </c>
    </row>
    <row r="2850" spans="1:10" s="20" customFormat="1" ht="12" x14ac:dyDescent="0.25">
      <c r="A2850" s="22">
        <v>1000020758</v>
      </c>
      <c r="B2850" s="23" t="s">
        <v>963</v>
      </c>
      <c r="C2850" s="24" t="s">
        <v>4</v>
      </c>
      <c r="D2850" s="23" t="s">
        <v>2090</v>
      </c>
      <c r="E2850" s="23">
        <v>40.799999999999997</v>
      </c>
      <c r="F2850" s="23">
        <v>1</v>
      </c>
      <c r="G2850" s="23">
        <v>1</v>
      </c>
      <c r="H2850" s="23">
        <v>0</v>
      </c>
      <c r="I2850" s="23" t="s">
        <v>5</v>
      </c>
      <c r="J2850" s="23" t="s">
        <v>327</v>
      </c>
    </row>
    <row r="2851" spans="1:10" s="20" customFormat="1" ht="12" x14ac:dyDescent="0.25">
      <c r="A2851" s="22">
        <v>1000098083</v>
      </c>
      <c r="B2851" s="23" t="s">
        <v>4509</v>
      </c>
      <c r="C2851" s="24" t="s">
        <v>4</v>
      </c>
      <c r="D2851" s="23" t="s">
        <v>2090</v>
      </c>
      <c r="E2851" s="23">
        <v>40.6</v>
      </c>
      <c r="F2851" s="23">
        <v>2</v>
      </c>
      <c r="G2851" s="23">
        <v>2</v>
      </c>
      <c r="H2851" s="23">
        <v>0</v>
      </c>
      <c r="I2851" s="23" t="s">
        <v>5</v>
      </c>
      <c r="J2851" s="23" t="s">
        <v>327</v>
      </c>
    </row>
    <row r="2852" spans="1:10" s="20" customFormat="1" ht="12" x14ac:dyDescent="0.25">
      <c r="A2852" s="22">
        <v>1000094099</v>
      </c>
      <c r="B2852" s="23" t="s">
        <v>4510</v>
      </c>
      <c r="C2852" s="24" t="s">
        <v>4</v>
      </c>
      <c r="D2852" s="23" t="s">
        <v>2056</v>
      </c>
      <c r="E2852" s="23">
        <v>39.6</v>
      </c>
      <c r="F2852" s="23">
        <v>300</v>
      </c>
      <c r="G2852" s="23">
        <v>300</v>
      </c>
      <c r="H2852" s="23">
        <v>0</v>
      </c>
      <c r="I2852" s="23" t="s">
        <v>5</v>
      </c>
      <c r="J2852" s="23" t="s">
        <v>1844</v>
      </c>
    </row>
    <row r="2853" spans="1:10" s="20" customFormat="1" ht="12" x14ac:dyDescent="0.25">
      <c r="A2853" s="22">
        <v>1000107559</v>
      </c>
      <c r="B2853" s="23" t="s">
        <v>4511</v>
      </c>
      <c r="C2853" s="24" t="s">
        <v>4</v>
      </c>
      <c r="D2853" s="23" t="s">
        <v>2056</v>
      </c>
      <c r="E2853" s="23">
        <v>39.299999999999997</v>
      </c>
      <c r="F2853" s="23">
        <v>12</v>
      </c>
      <c r="G2853" s="23">
        <v>12</v>
      </c>
      <c r="H2853" s="23">
        <v>0</v>
      </c>
      <c r="I2853" s="23" t="s">
        <v>5</v>
      </c>
      <c r="J2853" s="23" t="s">
        <v>1844</v>
      </c>
    </row>
    <row r="2854" spans="1:10" s="20" customFormat="1" ht="12" x14ac:dyDescent="0.25">
      <c r="A2854" s="22">
        <v>2500008379</v>
      </c>
      <c r="B2854" s="23" t="s">
        <v>4512</v>
      </c>
      <c r="C2854" s="24" t="s">
        <v>1996</v>
      </c>
      <c r="D2854" s="23" t="s">
        <v>2025</v>
      </c>
      <c r="E2854" s="23">
        <v>39.167777777777701</v>
      </c>
      <c r="F2854" s="23">
        <v>4</v>
      </c>
      <c r="G2854" s="23">
        <v>4</v>
      </c>
      <c r="H2854" s="23">
        <v>0</v>
      </c>
      <c r="I2854" s="23" t="s">
        <v>5</v>
      </c>
      <c r="J2854" s="23" t="s">
        <v>1993</v>
      </c>
    </row>
    <row r="2855" spans="1:10" s="20" customFormat="1" ht="12" x14ac:dyDescent="0.25">
      <c r="A2855" s="22">
        <v>1000096704</v>
      </c>
      <c r="B2855" s="23" t="s">
        <v>4513</v>
      </c>
      <c r="C2855" s="24" t="s">
        <v>4</v>
      </c>
      <c r="D2855" s="23" t="s">
        <v>2056</v>
      </c>
      <c r="E2855" s="23">
        <v>38.950000000000003</v>
      </c>
      <c r="F2855" s="23">
        <v>50</v>
      </c>
      <c r="G2855" s="23">
        <v>50</v>
      </c>
      <c r="H2855" s="23">
        <v>0</v>
      </c>
      <c r="I2855" s="23" t="s">
        <v>5</v>
      </c>
      <c r="J2855" s="23" t="s">
        <v>1844</v>
      </c>
    </row>
    <row r="2856" spans="1:10" s="20" customFormat="1" ht="12" x14ac:dyDescent="0.25">
      <c r="A2856" s="22">
        <v>1000093566</v>
      </c>
      <c r="B2856" s="23" t="s">
        <v>4514</v>
      </c>
      <c r="C2856" s="24" t="s">
        <v>4</v>
      </c>
      <c r="D2856" s="23" t="s">
        <v>2056</v>
      </c>
      <c r="E2856" s="23">
        <v>38.651555413333298</v>
      </c>
      <c r="F2856" s="23">
        <v>1</v>
      </c>
      <c r="G2856" s="23">
        <v>1</v>
      </c>
      <c r="H2856" s="23">
        <v>0</v>
      </c>
      <c r="I2856" s="23" t="s">
        <v>5</v>
      </c>
      <c r="J2856" s="23" t="s">
        <v>1844</v>
      </c>
    </row>
    <row r="2857" spans="1:10" s="20" customFormat="1" ht="12" x14ac:dyDescent="0.25">
      <c r="A2857" s="22">
        <v>1000020407</v>
      </c>
      <c r="B2857" s="23" t="s">
        <v>637</v>
      </c>
      <c r="C2857" s="24" t="s">
        <v>4</v>
      </c>
      <c r="D2857" s="23" t="s">
        <v>2090</v>
      </c>
      <c r="E2857" s="23">
        <v>38.4375</v>
      </c>
      <c r="F2857" s="23">
        <v>5</v>
      </c>
      <c r="G2857" s="23">
        <v>5</v>
      </c>
      <c r="H2857" s="23">
        <v>0</v>
      </c>
      <c r="I2857" s="23" t="s">
        <v>5</v>
      </c>
      <c r="J2857" s="23" t="s">
        <v>327</v>
      </c>
    </row>
    <row r="2858" spans="1:10" s="20" customFormat="1" ht="12" x14ac:dyDescent="0.25">
      <c r="A2858" s="22">
        <v>1000107038</v>
      </c>
      <c r="B2858" s="23" t="s">
        <v>4515</v>
      </c>
      <c r="C2858" s="24" t="s">
        <v>4</v>
      </c>
      <c r="D2858" s="23" t="s">
        <v>2056</v>
      </c>
      <c r="E2858" s="23">
        <v>38.277799999999999</v>
      </c>
      <c r="F2858" s="23">
        <v>15</v>
      </c>
      <c r="G2858" s="23">
        <v>15</v>
      </c>
      <c r="H2858" s="23">
        <v>0</v>
      </c>
      <c r="I2858" s="23" t="s">
        <v>5</v>
      </c>
      <c r="J2858" s="23" t="s">
        <v>1844</v>
      </c>
    </row>
    <row r="2859" spans="1:10" s="20" customFormat="1" ht="12" x14ac:dyDescent="0.25">
      <c r="A2859" s="22">
        <v>1000020644</v>
      </c>
      <c r="B2859" s="23" t="s">
        <v>858</v>
      </c>
      <c r="C2859" s="24" t="s">
        <v>4</v>
      </c>
      <c r="D2859" s="23" t="s">
        <v>2090</v>
      </c>
      <c r="E2859" s="23">
        <v>37.6</v>
      </c>
      <c r="F2859" s="23">
        <v>2</v>
      </c>
      <c r="G2859" s="23">
        <v>2</v>
      </c>
      <c r="H2859" s="23">
        <v>0</v>
      </c>
      <c r="I2859" s="23" t="s">
        <v>5</v>
      </c>
      <c r="J2859" s="23" t="s">
        <v>327</v>
      </c>
    </row>
    <row r="2860" spans="1:10" s="20" customFormat="1" ht="12" x14ac:dyDescent="0.25">
      <c r="A2860" s="22">
        <v>2500009416</v>
      </c>
      <c r="B2860" s="23" t="s">
        <v>4516</v>
      </c>
      <c r="C2860" s="24" t="s">
        <v>1996</v>
      </c>
      <c r="D2860" s="23" t="s">
        <v>2289</v>
      </c>
      <c r="E2860" s="23">
        <v>37.5</v>
      </c>
      <c r="F2860" s="23">
        <v>2</v>
      </c>
      <c r="G2860" s="23">
        <v>2</v>
      </c>
      <c r="H2860" s="23">
        <v>0</v>
      </c>
      <c r="I2860" s="23" t="s">
        <v>5</v>
      </c>
      <c r="J2860" s="23" t="s">
        <v>1993</v>
      </c>
    </row>
    <row r="2861" spans="1:10" s="20" customFormat="1" ht="12" x14ac:dyDescent="0.25">
      <c r="A2861" s="22">
        <v>1000096345</v>
      </c>
      <c r="B2861" s="23" t="s">
        <v>2396</v>
      </c>
      <c r="C2861" s="24" t="s">
        <v>4</v>
      </c>
      <c r="D2861" s="23" t="s">
        <v>2056</v>
      </c>
      <c r="E2861" s="23">
        <v>37.49</v>
      </c>
      <c r="F2861" s="23">
        <v>200</v>
      </c>
      <c r="G2861" s="23">
        <v>200</v>
      </c>
      <c r="H2861" s="23">
        <v>0</v>
      </c>
      <c r="I2861" s="23" t="s">
        <v>5</v>
      </c>
      <c r="J2861" s="23" t="s">
        <v>1844</v>
      </c>
    </row>
    <row r="2862" spans="1:10" s="20" customFormat="1" ht="12" x14ac:dyDescent="0.25">
      <c r="A2862" s="22">
        <v>1000106683</v>
      </c>
      <c r="B2862" s="23" t="s">
        <v>4518</v>
      </c>
      <c r="C2862" s="24" t="s">
        <v>4</v>
      </c>
      <c r="D2862" s="23" t="s">
        <v>2056</v>
      </c>
      <c r="E2862" s="23">
        <v>37.380000000000003</v>
      </c>
      <c r="F2862" s="23">
        <v>10</v>
      </c>
      <c r="G2862" s="23">
        <v>10</v>
      </c>
      <c r="H2862" s="23">
        <v>0</v>
      </c>
      <c r="I2862" s="23" t="s">
        <v>5</v>
      </c>
      <c r="J2862" s="23" t="s">
        <v>1844</v>
      </c>
    </row>
    <row r="2863" spans="1:10" s="20" customFormat="1" ht="12" x14ac:dyDescent="0.25">
      <c r="A2863" s="22">
        <v>1000020384</v>
      </c>
      <c r="B2863" s="23" t="s">
        <v>614</v>
      </c>
      <c r="C2863" s="24" t="s">
        <v>4</v>
      </c>
      <c r="D2863" s="23" t="s">
        <v>2090</v>
      </c>
      <c r="E2863" s="23">
        <v>37.08</v>
      </c>
      <c r="F2863" s="23">
        <v>3</v>
      </c>
      <c r="G2863" s="23">
        <v>0</v>
      </c>
      <c r="H2863" s="23">
        <v>3</v>
      </c>
      <c r="I2863" s="23" t="s">
        <v>44</v>
      </c>
      <c r="J2863" s="23" t="s">
        <v>327</v>
      </c>
    </row>
    <row r="2864" spans="1:10" s="20" customFormat="1" ht="12" x14ac:dyDescent="0.25">
      <c r="A2864" s="22">
        <v>1000105591</v>
      </c>
      <c r="B2864" s="23" t="s">
        <v>4519</v>
      </c>
      <c r="C2864" s="24" t="s">
        <v>4</v>
      </c>
      <c r="D2864" s="23" t="s">
        <v>2056</v>
      </c>
      <c r="E2864" s="23">
        <v>36.94</v>
      </c>
      <c r="F2864" s="23">
        <v>300</v>
      </c>
      <c r="G2864" s="23">
        <v>300</v>
      </c>
      <c r="H2864" s="23">
        <v>0</v>
      </c>
      <c r="I2864" s="23" t="s">
        <v>5</v>
      </c>
      <c r="J2864" s="23" t="s">
        <v>1844</v>
      </c>
    </row>
    <row r="2865" spans="1:10" s="20" customFormat="1" ht="12" x14ac:dyDescent="0.25">
      <c r="A2865" s="22">
        <v>1000105777</v>
      </c>
      <c r="B2865" s="23" t="s">
        <v>4521</v>
      </c>
      <c r="C2865" s="24" t="s">
        <v>4</v>
      </c>
      <c r="D2865" s="23" t="s">
        <v>2056</v>
      </c>
      <c r="E2865" s="23">
        <v>36.686666666666603</v>
      </c>
      <c r="F2865" s="23">
        <v>15</v>
      </c>
      <c r="G2865" s="23">
        <v>15</v>
      </c>
      <c r="H2865" s="23">
        <v>0</v>
      </c>
      <c r="I2865" s="23" t="s">
        <v>5</v>
      </c>
      <c r="J2865" s="23" t="s">
        <v>1844</v>
      </c>
    </row>
    <row r="2866" spans="1:10" s="20" customFormat="1" ht="12" x14ac:dyDescent="0.25">
      <c r="A2866" s="22">
        <v>1000093027</v>
      </c>
      <c r="B2866" s="23" t="s">
        <v>4522</v>
      </c>
      <c r="C2866" s="24" t="s">
        <v>4</v>
      </c>
      <c r="D2866" s="23" t="s">
        <v>2090</v>
      </c>
      <c r="E2866" s="23">
        <v>36.46</v>
      </c>
      <c r="F2866" s="23">
        <v>2</v>
      </c>
      <c r="G2866" s="23">
        <v>2</v>
      </c>
      <c r="H2866" s="23">
        <v>0</v>
      </c>
      <c r="I2866" s="23" t="s">
        <v>5</v>
      </c>
      <c r="J2866" s="23" t="s">
        <v>327</v>
      </c>
    </row>
    <row r="2867" spans="1:10" s="20" customFormat="1" ht="12" x14ac:dyDescent="0.25">
      <c r="A2867" s="22">
        <v>1000102198</v>
      </c>
      <c r="B2867" s="23" t="s">
        <v>1761</v>
      </c>
      <c r="C2867" s="24" t="s">
        <v>4</v>
      </c>
      <c r="D2867" s="23" t="s">
        <v>2090</v>
      </c>
      <c r="E2867" s="23">
        <v>36.450000000000003</v>
      </c>
      <c r="F2867" s="23">
        <v>1</v>
      </c>
      <c r="G2867" s="23">
        <v>1</v>
      </c>
      <c r="H2867" s="23">
        <v>0</v>
      </c>
      <c r="I2867" s="23" t="s">
        <v>5</v>
      </c>
      <c r="J2867" s="23" t="s">
        <v>327</v>
      </c>
    </row>
    <row r="2868" spans="1:10" s="20" customFormat="1" ht="12" x14ac:dyDescent="0.25">
      <c r="A2868" s="22">
        <v>1000020428</v>
      </c>
      <c r="B2868" s="23" t="s">
        <v>656</v>
      </c>
      <c r="C2868" s="24" t="s">
        <v>4</v>
      </c>
      <c r="D2868" s="23" t="s">
        <v>2090</v>
      </c>
      <c r="E2868" s="23">
        <v>36.04</v>
      </c>
      <c r="F2868" s="23">
        <v>4</v>
      </c>
      <c r="G2868" s="23">
        <v>4</v>
      </c>
      <c r="H2868" s="23">
        <v>0</v>
      </c>
      <c r="I2868" s="23" t="s">
        <v>5</v>
      </c>
      <c r="J2868" s="23" t="s">
        <v>327</v>
      </c>
    </row>
    <row r="2869" spans="1:10" s="20" customFormat="1" ht="12" x14ac:dyDescent="0.25">
      <c r="A2869" s="22">
        <v>1000101696</v>
      </c>
      <c r="B2869" s="23" t="s">
        <v>4524</v>
      </c>
      <c r="C2869" s="24" t="s">
        <v>4</v>
      </c>
      <c r="D2869" s="23" t="s">
        <v>2056</v>
      </c>
      <c r="E2869" s="23">
        <v>34.826999999999998</v>
      </c>
      <c r="F2869" s="23">
        <v>47</v>
      </c>
      <c r="G2869" s="23">
        <v>47</v>
      </c>
      <c r="H2869" s="23">
        <v>0</v>
      </c>
      <c r="I2869" s="23" t="s">
        <v>5</v>
      </c>
      <c r="J2869" s="23" t="s">
        <v>1844</v>
      </c>
    </row>
    <row r="2870" spans="1:10" s="20" customFormat="1" ht="12" x14ac:dyDescent="0.25">
      <c r="A2870" s="22">
        <v>1000020656</v>
      </c>
      <c r="B2870" s="23" t="s">
        <v>869</v>
      </c>
      <c r="C2870" s="24" t="s">
        <v>4</v>
      </c>
      <c r="D2870" s="23" t="s">
        <v>2090</v>
      </c>
      <c r="E2870" s="23">
        <v>34.71</v>
      </c>
      <c r="F2870" s="23">
        <v>1</v>
      </c>
      <c r="G2870" s="23">
        <v>1</v>
      </c>
      <c r="H2870" s="23">
        <v>0</v>
      </c>
      <c r="I2870" s="23" t="s">
        <v>5</v>
      </c>
      <c r="J2870" s="23" t="s">
        <v>327</v>
      </c>
    </row>
    <row r="2871" spans="1:10" s="20" customFormat="1" ht="12" x14ac:dyDescent="0.25">
      <c r="A2871" s="22">
        <v>1000020283</v>
      </c>
      <c r="B2871" s="23" t="s">
        <v>519</v>
      </c>
      <c r="C2871" s="24" t="s">
        <v>4</v>
      </c>
      <c r="D2871" s="23" t="s">
        <v>2090</v>
      </c>
      <c r="E2871" s="23">
        <v>34.300946629439999</v>
      </c>
      <c r="F2871" s="23">
        <v>1</v>
      </c>
      <c r="G2871" s="23">
        <v>1</v>
      </c>
      <c r="H2871" s="23">
        <v>0</v>
      </c>
      <c r="I2871" s="23" t="s">
        <v>5</v>
      </c>
      <c r="J2871" s="23" t="s">
        <v>327</v>
      </c>
    </row>
    <row r="2872" spans="1:10" s="20" customFormat="1" ht="12" x14ac:dyDescent="0.25">
      <c r="A2872" s="22">
        <v>1000102788</v>
      </c>
      <c r="B2872" s="23" t="s">
        <v>1860</v>
      </c>
      <c r="C2872" s="24" t="s">
        <v>4</v>
      </c>
      <c r="D2872" s="23" t="s">
        <v>2056</v>
      </c>
      <c r="E2872" s="23">
        <v>34.289744865211098</v>
      </c>
      <c r="F2872" s="23">
        <v>7</v>
      </c>
      <c r="G2872" s="23">
        <v>7</v>
      </c>
      <c r="H2872" s="23">
        <v>0</v>
      </c>
      <c r="I2872" s="23" t="s">
        <v>5</v>
      </c>
      <c r="J2872" s="23" t="s">
        <v>1844</v>
      </c>
    </row>
    <row r="2873" spans="1:10" s="20" customFormat="1" ht="12" x14ac:dyDescent="0.25">
      <c r="A2873" s="22">
        <v>1000101147</v>
      </c>
      <c r="B2873" s="23" t="s">
        <v>4527</v>
      </c>
      <c r="C2873" s="24" t="s">
        <v>4</v>
      </c>
      <c r="D2873" s="23" t="s">
        <v>2284</v>
      </c>
      <c r="E2873" s="23">
        <v>34.200000000000003</v>
      </c>
      <c r="F2873" s="23">
        <v>1</v>
      </c>
      <c r="G2873" s="23">
        <v>1</v>
      </c>
      <c r="H2873" s="23">
        <v>0</v>
      </c>
      <c r="I2873" s="23" t="s">
        <v>5</v>
      </c>
      <c r="J2873" s="23" t="s">
        <v>1844</v>
      </c>
    </row>
    <row r="2874" spans="1:10" s="20" customFormat="1" ht="12" x14ac:dyDescent="0.25">
      <c r="A2874" s="22">
        <v>2500009453</v>
      </c>
      <c r="B2874" s="23" t="s">
        <v>4528</v>
      </c>
      <c r="C2874" s="24" t="s">
        <v>1996</v>
      </c>
      <c r="D2874" s="23" t="s">
        <v>2289</v>
      </c>
      <c r="E2874" s="23">
        <v>33.75</v>
      </c>
      <c r="F2874" s="23">
        <v>1</v>
      </c>
      <c r="G2874" s="23">
        <v>1</v>
      </c>
      <c r="H2874" s="23">
        <v>0</v>
      </c>
      <c r="I2874" s="23" t="s">
        <v>5</v>
      </c>
      <c r="J2874" s="23" t="s">
        <v>1993</v>
      </c>
    </row>
    <row r="2875" spans="1:10" s="20" customFormat="1" ht="12" x14ac:dyDescent="0.25">
      <c r="A2875" s="22">
        <v>1000105937</v>
      </c>
      <c r="B2875" s="23" t="s">
        <v>4531</v>
      </c>
      <c r="C2875" s="24" t="s">
        <v>4</v>
      </c>
      <c r="D2875" s="23" t="s">
        <v>2056</v>
      </c>
      <c r="E2875" s="23">
        <v>33.619999999999997</v>
      </c>
      <c r="F2875" s="23">
        <v>20</v>
      </c>
      <c r="G2875" s="23">
        <v>20</v>
      </c>
      <c r="H2875" s="23">
        <v>0</v>
      </c>
      <c r="I2875" s="23" t="s">
        <v>5</v>
      </c>
      <c r="J2875" s="23" t="s">
        <v>1844</v>
      </c>
    </row>
    <row r="2876" spans="1:10" s="20" customFormat="1" ht="12" x14ac:dyDescent="0.25">
      <c r="A2876" s="22">
        <v>2500002325</v>
      </c>
      <c r="B2876" s="23" t="s">
        <v>4532</v>
      </c>
      <c r="C2876" s="24" t="s">
        <v>1996</v>
      </c>
      <c r="D2876" s="23" t="s">
        <v>2025</v>
      </c>
      <c r="E2876" s="23">
        <v>33</v>
      </c>
      <c r="F2876" s="23">
        <v>4</v>
      </c>
      <c r="G2876" s="23">
        <v>4</v>
      </c>
      <c r="H2876" s="23">
        <v>0</v>
      </c>
      <c r="I2876" s="23" t="s">
        <v>5</v>
      </c>
      <c r="J2876" s="23" t="s">
        <v>1993</v>
      </c>
    </row>
    <row r="2877" spans="1:10" s="20" customFormat="1" ht="12" x14ac:dyDescent="0.25">
      <c r="A2877" s="22">
        <v>1000020635</v>
      </c>
      <c r="B2877" s="23" t="s">
        <v>850</v>
      </c>
      <c r="C2877" s="24" t="s">
        <v>4</v>
      </c>
      <c r="D2877" s="23" t="s">
        <v>2090</v>
      </c>
      <c r="E2877" s="23">
        <v>32.49</v>
      </c>
      <c r="F2877" s="23">
        <v>1</v>
      </c>
      <c r="G2877" s="23">
        <v>1</v>
      </c>
      <c r="H2877" s="23">
        <v>0</v>
      </c>
      <c r="I2877" s="23" t="s">
        <v>5</v>
      </c>
      <c r="J2877" s="23" t="s">
        <v>327</v>
      </c>
    </row>
    <row r="2878" spans="1:10" s="20" customFormat="1" ht="12" x14ac:dyDescent="0.25">
      <c r="A2878" s="22">
        <v>1000107411</v>
      </c>
      <c r="B2878" s="23" t="s">
        <v>4534</v>
      </c>
      <c r="C2878" s="24" t="s">
        <v>4</v>
      </c>
      <c r="D2878" s="23" t="s">
        <v>2056</v>
      </c>
      <c r="E2878" s="23">
        <v>32.162500000000001</v>
      </c>
      <c r="F2878" s="23">
        <v>2</v>
      </c>
      <c r="G2878" s="23">
        <v>2</v>
      </c>
      <c r="H2878" s="23">
        <v>0</v>
      </c>
      <c r="I2878" s="23" t="s">
        <v>5</v>
      </c>
      <c r="J2878" s="23" t="s">
        <v>1844</v>
      </c>
    </row>
    <row r="2879" spans="1:10" s="20" customFormat="1" ht="12" x14ac:dyDescent="0.25">
      <c r="A2879" s="22">
        <v>1000010165</v>
      </c>
      <c r="B2879" s="23" t="s">
        <v>4535</v>
      </c>
      <c r="C2879" s="24" t="s">
        <v>4</v>
      </c>
      <c r="D2879" s="23" t="s">
        <v>2161</v>
      </c>
      <c r="E2879" s="23">
        <v>31.934444444444399</v>
      </c>
      <c r="F2879" s="23">
        <v>1</v>
      </c>
      <c r="G2879" s="23">
        <v>1</v>
      </c>
      <c r="H2879" s="23">
        <v>0</v>
      </c>
      <c r="I2879" s="23" t="s">
        <v>5</v>
      </c>
      <c r="J2879" s="23" t="s">
        <v>111</v>
      </c>
    </row>
    <row r="2880" spans="1:10" s="20" customFormat="1" ht="12" x14ac:dyDescent="0.25">
      <c r="A2880" s="22">
        <v>2200000288</v>
      </c>
      <c r="B2880" s="23" t="s">
        <v>4537</v>
      </c>
      <c r="C2880" s="24" t="s">
        <v>2037</v>
      </c>
      <c r="D2880" s="23" t="s">
        <v>2038</v>
      </c>
      <c r="E2880" s="23">
        <v>31.6</v>
      </c>
      <c r="F2880" s="23">
        <v>1</v>
      </c>
      <c r="G2880" s="23">
        <v>1</v>
      </c>
      <c r="H2880" s="23">
        <v>0</v>
      </c>
      <c r="I2880" s="23" t="s">
        <v>5</v>
      </c>
      <c r="J2880" s="23" t="s">
        <v>146</v>
      </c>
    </row>
    <row r="2881" spans="1:10" s="20" customFormat="1" ht="12" x14ac:dyDescent="0.25">
      <c r="A2881" s="22">
        <v>1000101697</v>
      </c>
      <c r="B2881" s="23" t="s">
        <v>4538</v>
      </c>
      <c r="C2881" s="24" t="s">
        <v>4</v>
      </c>
      <c r="D2881" s="23" t="s">
        <v>2056</v>
      </c>
      <c r="E2881" s="23">
        <v>30.781257969999999</v>
      </c>
      <c r="F2881" s="23">
        <v>40</v>
      </c>
      <c r="G2881" s="23">
        <v>40</v>
      </c>
      <c r="H2881" s="23">
        <v>0</v>
      </c>
      <c r="I2881" s="23" t="s">
        <v>5</v>
      </c>
      <c r="J2881" s="23" t="s">
        <v>1844</v>
      </c>
    </row>
    <row r="2882" spans="1:10" s="20" customFormat="1" ht="12" x14ac:dyDescent="0.25">
      <c r="A2882" s="22">
        <v>1000097103</v>
      </c>
      <c r="B2882" s="23" t="s">
        <v>4543</v>
      </c>
      <c r="C2882" s="24" t="s">
        <v>4</v>
      </c>
      <c r="D2882" s="23" t="s">
        <v>2056</v>
      </c>
      <c r="E2882" s="23">
        <v>30.308096424357501</v>
      </c>
      <c r="F2882" s="23">
        <v>15</v>
      </c>
      <c r="G2882" s="23">
        <v>15</v>
      </c>
      <c r="H2882" s="23">
        <v>0</v>
      </c>
      <c r="I2882" s="23" t="s">
        <v>5</v>
      </c>
      <c r="J2882" s="23" t="s">
        <v>1844</v>
      </c>
    </row>
    <row r="2883" spans="1:10" s="20" customFormat="1" ht="12" x14ac:dyDescent="0.25">
      <c r="A2883" s="22">
        <v>1000093750</v>
      </c>
      <c r="B2883" s="23" t="s">
        <v>4544</v>
      </c>
      <c r="C2883" s="24" t="s">
        <v>4</v>
      </c>
      <c r="D2883" s="23" t="s">
        <v>2056</v>
      </c>
      <c r="E2883" s="23">
        <v>30.282341772151899</v>
      </c>
      <c r="F2883" s="23">
        <v>6</v>
      </c>
      <c r="G2883" s="23">
        <v>6</v>
      </c>
      <c r="H2883" s="23">
        <v>0</v>
      </c>
      <c r="I2883" s="23" t="s">
        <v>5</v>
      </c>
      <c r="J2883" s="23" t="s">
        <v>1844</v>
      </c>
    </row>
    <row r="2884" spans="1:10" s="20" customFormat="1" ht="12" x14ac:dyDescent="0.25">
      <c r="A2884" s="22">
        <v>1000021386</v>
      </c>
      <c r="B2884" s="23" t="s">
        <v>1468</v>
      </c>
      <c r="C2884" s="24" t="s">
        <v>4</v>
      </c>
      <c r="D2884" s="23" t="s">
        <v>2090</v>
      </c>
      <c r="E2884" s="23">
        <v>30.26</v>
      </c>
      <c r="F2884" s="23">
        <v>1</v>
      </c>
      <c r="G2884" s="23">
        <v>1</v>
      </c>
      <c r="H2884" s="23">
        <v>0</v>
      </c>
      <c r="I2884" s="23" t="s">
        <v>5</v>
      </c>
      <c r="J2884" s="23" t="s">
        <v>327</v>
      </c>
    </row>
    <row r="2885" spans="1:10" s="20" customFormat="1" ht="12" x14ac:dyDescent="0.25">
      <c r="A2885" s="22">
        <v>1000021435</v>
      </c>
      <c r="B2885" s="23" t="s">
        <v>1481</v>
      </c>
      <c r="C2885" s="24" t="s">
        <v>4</v>
      </c>
      <c r="D2885" s="23" t="s">
        <v>2090</v>
      </c>
      <c r="E2885" s="23">
        <v>30</v>
      </c>
      <c r="F2885" s="23">
        <v>5</v>
      </c>
      <c r="G2885" s="23">
        <v>5</v>
      </c>
      <c r="H2885" s="23">
        <v>0</v>
      </c>
      <c r="I2885" s="23" t="s">
        <v>5</v>
      </c>
      <c r="J2885" s="23" t="s">
        <v>327</v>
      </c>
    </row>
    <row r="2886" spans="1:10" s="20" customFormat="1" ht="12" x14ac:dyDescent="0.25">
      <c r="A2886" s="22">
        <v>2500001763</v>
      </c>
      <c r="B2886" s="23" t="s">
        <v>4549</v>
      </c>
      <c r="C2886" s="24" t="s">
        <v>1996</v>
      </c>
      <c r="D2886" s="23" t="s">
        <v>2025</v>
      </c>
      <c r="E2886" s="23">
        <v>29.760312579200001</v>
      </c>
      <c r="F2886" s="23">
        <v>2</v>
      </c>
      <c r="G2886" s="23">
        <v>2</v>
      </c>
      <c r="H2886" s="23">
        <v>0</v>
      </c>
      <c r="I2886" s="23" t="s">
        <v>5</v>
      </c>
      <c r="J2886" s="23" t="s">
        <v>1993</v>
      </c>
    </row>
    <row r="2887" spans="1:10" s="20" customFormat="1" ht="12" x14ac:dyDescent="0.25">
      <c r="A2887" s="22">
        <v>1000020447</v>
      </c>
      <c r="B2887" s="23" t="s">
        <v>674</v>
      </c>
      <c r="C2887" s="24" t="s">
        <v>4</v>
      </c>
      <c r="D2887" s="23" t="s">
        <v>2090</v>
      </c>
      <c r="E2887" s="23">
        <v>29</v>
      </c>
      <c r="F2887" s="23">
        <v>1</v>
      </c>
      <c r="G2887" s="23">
        <v>1</v>
      </c>
      <c r="H2887" s="23">
        <v>0</v>
      </c>
      <c r="I2887" s="23" t="s">
        <v>5</v>
      </c>
      <c r="J2887" s="23" t="s">
        <v>327</v>
      </c>
    </row>
    <row r="2888" spans="1:10" s="20" customFormat="1" ht="12" x14ac:dyDescent="0.25">
      <c r="A2888" s="22">
        <v>1000101701</v>
      </c>
      <c r="B2888" s="23" t="s">
        <v>4550</v>
      </c>
      <c r="C2888" s="24" t="s">
        <v>4</v>
      </c>
      <c r="D2888" s="23" t="s">
        <v>2056</v>
      </c>
      <c r="E2888" s="23">
        <v>28.9765333333333</v>
      </c>
      <c r="F2888" s="23">
        <v>30</v>
      </c>
      <c r="G2888" s="23">
        <v>30</v>
      </c>
      <c r="H2888" s="23">
        <v>0</v>
      </c>
      <c r="I2888" s="23" t="s">
        <v>5</v>
      </c>
      <c r="J2888" s="23" t="s">
        <v>1844</v>
      </c>
    </row>
    <row r="2889" spans="1:10" s="20" customFormat="1" ht="12" x14ac:dyDescent="0.25">
      <c r="A2889" s="22">
        <v>1000103214</v>
      </c>
      <c r="B2889" s="23" t="s">
        <v>1821</v>
      </c>
      <c r="C2889" s="24" t="s">
        <v>4</v>
      </c>
      <c r="D2889" s="23" t="s">
        <v>2090</v>
      </c>
      <c r="E2889" s="23">
        <v>28.88</v>
      </c>
      <c r="F2889" s="23">
        <v>5</v>
      </c>
      <c r="G2889" s="23">
        <v>5</v>
      </c>
      <c r="H2889" s="23">
        <v>0</v>
      </c>
      <c r="I2889" s="23" t="s">
        <v>5</v>
      </c>
      <c r="J2889" s="23" t="s">
        <v>327</v>
      </c>
    </row>
    <row r="2890" spans="1:10" s="20" customFormat="1" ht="12" x14ac:dyDescent="0.25">
      <c r="A2890" s="22">
        <v>2100004009</v>
      </c>
      <c r="B2890" s="23" t="s">
        <v>4551</v>
      </c>
      <c r="C2890" s="24" t="s">
        <v>2414</v>
      </c>
      <c r="D2890" s="23" t="s">
        <v>4368</v>
      </c>
      <c r="E2890" s="23">
        <v>28.811859999999999</v>
      </c>
      <c r="F2890" s="23">
        <v>2</v>
      </c>
      <c r="G2890" s="23">
        <v>2</v>
      </c>
      <c r="H2890" s="23">
        <v>0</v>
      </c>
      <c r="I2890" s="23" t="s">
        <v>5</v>
      </c>
      <c r="J2890" s="23" t="s">
        <v>138</v>
      </c>
    </row>
    <row r="2891" spans="1:10" s="20" customFormat="1" ht="12" x14ac:dyDescent="0.25">
      <c r="A2891" s="22">
        <v>1000020400</v>
      </c>
      <c r="B2891" s="23" t="s">
        <v>630</v>
      </c>
      <c r="C2891" s="24" t="s">
        <v>4</v>
      </c>
      <c r="D2891" s="23" t="s">
        <v>2090</v>
      </c>
      <c r="E2891" s="23">
        <v>28.7</v>
      </c>
      <c r="F2891" s="23">
        <v>5</v>
      </c>
      <c r="G2891" s="23">
        <v>5</v>
      </c>
      <c r="H2891" s="23">
        <v>0</v>
      </c>
      <c r="I2891" s="23" t="s">
        <v>5</v>
      </c>
      <c r="J2891" s="23" t="s">
        <v>327</v>
      </c>
    </row>
    <row r="2892" spans="1:10" s="20" customFormat="1" ht="12" x14ac:dyDescent="0.25">
      <c r="A2892" s="22">
        <v>2100006120</v>
      </c>
      <c r="B2892" s="23" t="s">
        <v>4552</v>
      </c>
      <c r="C2892" s="24" t="s">
        <v>2030</v>
      </c>
      <c r="D2892" s="23" t="s">
        <v>2031</v>
      </c>
      <c r="E2892" s="23">
        <v>28.56204</v>
      </c>
      <c r="F2892" s="23">
        <v>1</v>
      </c>
      <c r="G2892" s="23">
        <v>1</v>
      </c>
      <c r="H2892" s="23">
        <v>0</v>
      </c>
      <c r="I2892" s="23" t="s">
        <v>5</v>
      </c>
      <c r="J2892" s="23" t="s">
        <v>138</v>
      </c>
    </row>
    <row r="2893" spans="1:10" s="20" customFormat="1" ht="12" x14ac:dyDescent="0.25">
      <c r="A2893" s="22">
        <v>1000020284</v>
      </c>
      <c r="B2893" s="23" t="s">
        <v>520</v>
      </c>
      <c r="C2893" s="24" t="s">
        <v>4</v>
      </c>
      <c r="D2893" s="23" t="s">
        <v>2090</v>
      </c>
      <c r="E2893" s="23">
        <v>28.55</v>
      </c>
      <c r="F2893" s="23">
        <v>1</v>
      </c>
      <c r="G2893" s="23">
        <v>1</v>
      </c>
      <c r="H2893" s="23">
        <v>0</v>
      </c>
      <c r="I2893" s="23" t="s">
        <v>5</v>
      </c>
      <c r="J2893" s="23" t="s">
        <v>327</v>
      </c>
    </row>
    <row r="2894" spans="1:10" s="20" customFormat="1" ht="12" x14ac:dyDescent="0.25">
      <c r="A2894" s="22">
        <v>1000003017</v>
      </c>
      <c r="B2894" s="23" t="s">
        <v>4553</v>
      </c>
      <c r="C2894" s="24" t="s">
        <v>2109</v>
      </c>
      <c r="D2894" s="23" t="s">
        <v>2070</v>
      </c>
      <c r="E2894" s="23">
        <v>28.5</v>
      </c>
      <c r="F2894" s="23">
        <v>2</v>
      </c>
      <c r="G2894" s="23">
        <v>2</v>
      </c>
      <c r="H2894" s="23">
        <v>0</v>
      </c>
      <c r="I2894" s="23" t="s">
        <v>5</v>
      </c>
      <c r="J2894" s="23" t="s">
        <v>6</v>
      </c>
    </row>
    <row r="2895" spans="1:10" s="20" customFormat="1" ht="12" x14ac:dyDescent="0.25">
      <c r="A2895" s="22">
        <v>1000020458</v>
      </c>
      <c r="B2895" s="23" t="s">
        <v>684</v>
      </c>
      <c r="C2895" s="24" t="s">
        <v>4</v>
      </c>
      <c r="D2895" s="23" t="s">
        <v>2090</v>
      </c>
      <c r="E2895" s="23">
        <v>28.05</v>
      </c>
      <c r="F2895" s="23">
        <v>1</v>
      </c>
      <c r="G2895" s="23">
        <v>1</v>
      </c>
      <c r="H2895" s="23">
        <v>0</v>
      </c>
      <c r="I2895" s="23" t="s">
        <v>5</v>
      </c>
      <c r="J2895" s="23" t="s">
        <v>327</v>
      </c>
    </row>
    <row r="2896" spans="1:10" s="20" customFormat="1" ht="12" x14ac:dyDescent="0.25">
      <c r="A2896" s="22">
        <v>1000020788</v>
      </c>
      <c r="B2896" s="23" t="s">
        <v>992</v>
      </c>
      <c r="C2896" s="24" t="s">
        <v>4</v>
      </c>
      <c r="D2896" s="23" t="s">
        <v>2090</v>
      </c>
      <c r="E2896" s="23">
        <v>27.84</v>
      </c>
      <c r="F2896" s="23">
        <v>1</v>
      </c>
      <c r="G2896" s="23">
        <v>1</v>
      </c>
      <c r="H2896" s="23">
        <v>0</v>
      </c>
      <c r="I2896" s="23" t="s">
        <v>5</v>
      </c>
      <c r="J2896" s="23" t="s">
        <v>327</v>
      </c>
    </row>
    <row r="2897" spans="1:10" s="20" customFormat="1" ht="12" x14ac:dyDescent="0.25">
      <c r="A2897" s="22">
        <v>1000020598</v>
      </c>
      <c r="B2897" s="23" t="s">
        <v>814</v>
      </c>
      <c r="C2897" s="24" t="s">
        <v>4</v>
      </c>
      <c r="D2897" s="23" t="s">
        <v>2090</v>
      </c>
      <c r="E2897" s="23">
        <v>27.8</v>
      </c>
      <c r="F2897" s="23">
        <v>5</v>
      </c>
      <c r="G2897" s="23">
        <v>5</v>
      </c>
      <c r="H2897" s="23">
        <v>0</v>
      </c>
      <c r="I2897" s="23" t="s">
        <v>5</v>
      </c>
      <c r="J2897" s="23" t="s">
        <v>327</v>
      </c>
    </row>
    <row r="2898" spans="1:10" s="20" customFormat="1" ht="12" x14ac:dyDescent="0.25">
      <c r="A2898" s="22">
        <v>1000100911</v>
      </c>
      <c r="B2898" s="23" t="s">
        <v>4555</v>
      </c>
      <c r="C2898" s="24" t="s">
        <v>4</v>
      </c>
      <c r="D2898" s="23" t="s">
        <v>2056</v>
      </c>
      <c r="E2898" s="23">
        <v>27.756900000000002</v>
      </c>
      <c r="F2898" s="23">
        <v>1</v>
      </c>
      <c r="G2898" s="23">
        <v>1</v>
      </c>
      <c r="H2898" s="23">
        <v>0</v>
      </c>
      <c r="I2898" s="23" t="s">
        <v>5</v>
      </c>
      <c r="J2898" s="23" t="s">
        <v>1844</v>
      </c>
    </row>
    <row r="2899" spans="1:10" s="20" customFormat="1" ht="12" x14ac:dyDescent="0.25">
      <c r="A2899" s="22">
        <v>1000020457</v>
      </c>
      <c r="B2899" s="23" t="s">
        <v>683</v>
      </c>
      <c r="C2899" s="24" t="s">
        <v>4</v>
      </c>
      <c r="D2899" s="23" t="s">
        <v>2090</v>
      </c>
      <c r="E2899" s="23">
        <v>25.31</v>
      </c>
      <c r="F2899" s="23">
        <v>1</v>
      </c>
      <c r="G2899" s="23">
        <v>1</v>
      </c>
      <c r="H2899" s="23">
        <v>0</v>
      </c>
      <c r="I2899" s="23" t="s">
        <v>5</v>
      </c>
      <c r="J2899" s="23" t="s">
        <v>327</v>
      </c>
    </row>
    <row r="2900" spans="1:10" s="20" customFormat="1" ht="12" x14ac:dyDescent="0.25">
      <c r="A2900" s="22">
        <v>1000093684</v>
      </c>
      <c r="B2900" s="23" t="s">
        <v>4560</v>
      </c>
      <c r="C2900" s="24" t="s">
        <v>4</v>
      </c>
      <c r="D2900" s="23" t="s">
        <v>2056</v>
      </c>
      <c r="E2900" s="23">
        <v>24.643904695000199</v>
      </c>
      <c r="F2900" s="23">
        <v>25</v>
      </c>
      <c r="G2900" s="23">
        <v>25</v>
      </c>
      <c r="H2900" s="23">
        <v>0</v>
      </c>
      <c r="I2900" s="23" t="s">
        <v>5</v>
      </c>
      <c r="J2900" s="23" t="s">
        <v>1844</v>
      </c>
    </row>
    <row r="2901" spans="1:10" s="20" customFormat="1" ht="12" x14ac:dyDescent="0.25">
      <c r="A2901" s="22">
        <v>1000020476</v>
      </c>
      <c r="B2901" s="23" t="s">
        <v>702</v>
      </c>
      <c r="C2901" s="24" t="s">
        <v>4</v>
      </c>
      <c r="D2901" s="23" t="s">
        <v>2090</v>
      </c>
      <c r="E2901" s="23">
        <v>24.43</v>
      </c>
      <c r="F2901" s="23">
        <v>1</v>
      </c>
      <c r="G2901" s="23">
        <v>1</v>
      </c>
      <c r="H2901" s="23">
        <v>0</v>
      </c>
      <c r="I2901" s="23" t="s">
        <v>5</v>
      </c>
      <c r="J2901" s="23" t="s">
        <v>327</v>
      </c>
    </row>
    <row r="2902" spans="1:10" s="20" customFormat="1" ht="12" x14ac:dyDescent="0.25">
      <c r="A2902" s="22">
        <v>2500008144</v>
      </c>
      <c r="B2902" s="23" t="s">
        <v>4561</v>
      </c>
      <c r="C2902" s="24" t="s">
        <v>1996</v>
      </c>
      <c r="D2902" s="23" t="s">
        <v>2025</v>
      </c>
      <c r="E2902" s="23">
        <v>24.184999999999999</v>
      </c>
      <c r="F2902" s="23">
        <v>2</v>
      </c>
      <c r="G2902" s="23">
        <v>2</v>
      </c>
      <c r="H2902" s="23">
        <v>0</v>
      </c>
      <c r="I2902" s="23" t="s">
        <v>5</v>
      </c>
      <c r="J2902" s="23" t="s">
        <v>1993</v>
      </c>
    </row>
    <row r="2903" spans="1:10" s="20" customFormat="1" ht="12" x14ac:dyDescent="0.25">
      <c r="A2903" s="22">
        <v>2200002584</v>
      </c>
      <c r="B2903" s="23" t="s">
        <v>177</v>
      </c>
      <c r="C2903" s="24" t="s">
        <v>2037</v>
      </c>
      <c r="D2903" s="23" t="s">
        <v>2038</v>
      </c>
      <c r="E2903" s="23">
        <v>23.92</v>
      </c>
      <c r="F2903" s="23">
        <v>1</v>
      </c>
      <c r="G2903" s="23">
        <v>1</v>
      </c>
      <c r="H2903" s="23">
        <v>0</v>
      </c>
      <c r="I2903" s="23" t="s">
        <v>5</v>
      </c>
      <c r="J2903" s="23" t="s">
        <v>138</v>
      </c>
    </row>
    <row r="2904" spans="1:10" s="20" customFormat="1" ht="12" x14ac:dyDescent="0.25">
      <c r="A2904" s="22">
        <v>1000020225</v>
      </c>
      <c r="B2904" s="23" t="s">
        <v>465</v>
      </c>
      <c r="C2904" s="24" t="s">
        <v>4</v>
      </c>
      <c r="D2904" s="23" t="s">
        <v>2090</v>
      </c>
      <c r="E2904" s="23">
        <v>23.6</v>
      </c>
      <c r="F2904" s="23">
        <v>5</v>
      </c>
      <c r="G2904" s="23">
        <v>5</v>
      </c>
      <c r="H2904" s="23">
        <v>0</v>
      </c>
      <c r="I2904" s="23" t="s">
        <v>5</v>
      </c>
      <c r="J2904" s="23" t="s">
        <v>327</v>
      </c>
    </row>
    <row r="2905" spans="1:10" s="20" customFormat="1" ht="12" x14ac:dyDescent="0.25">
      <c r="A2905" s="22">
        <v>1000020037</v>
      </c>
      <c r="B2905" s="23" t="s">
        <v>4455</v>
      </c>
      <c r="C2905" s="24" t="s">
        <v>4</v>
      </c>
      <c r="D2905" s="23" t="s">
        <v>2090</v>
      </c>
      <c r="E2905" s="23">
        <v>23.408000000000001</v>
      </c>
      <c r="F2905" s="23">
        <v>4</v>
      </c>
      <c r="G2905" s="23">
        <v>4</v>
      </c>
      <c r="H2905" s="23">
        <v>0</v>
      </c>
      <c r="I2905" s="23" t="s">
        <v>5</v>
      </c>
      <c r="J2905" s="23" t="s">
        <v>327</v>
      </c>
    </row>
    <row r="2906" spans="1:10" s="20" customFormat="1" ht="12" x14ac:dyDescent="0.25">
      <c r="A2906" s="22">
        <v>1000092379</v>
      </c>
      <c r="B2906" s="23" t="s">
        <v>4562</v>
      </c>
      <c r="C2906" s="24" t="s">
        <v>4</v>
      </c>
      <c r="D2906" s="23" t="s">
        <v>2090</v>
      </c>
      <c r="E2906" s="23">
        <v>22.53</v>
      </c>
      <c r="F2906" s="23">
        <v>3</v>
      </c>
      <c r="G2906" s="23">
        <v>3</v>
      </c>
      <c r="H2906" s="23">
        <v>0</v>
      </c>
      <c r="I2906" s="23" t="s">
        <v>5</v>
      </c>
      <c r="J2906" s="23" t="s">
        <v>327</v>
      </c>
    </row>
    <row r="2907" spans="1:10" s="20" customFormat="1" ht="12" x14ac:dyDescent="0.25">
      <c r="A2907" s="22">
        <v>2500008902</v>
      </c>
      <c r="B2907" s="23" t="s">
        <v>4563</v>
      </c>
      <c r="C2907" s="24" t="s">
        <v>1996</v>
      </c>
      <c r="D2907" s="23" t="s">
        <v>2025</v>
      </c>
      <c r="E2907" s="23">
        <v>22.5</v>
      </c>
      <c r="F2907" s="23">
        <v>3</v>
      </c>
      <c r="G2907" s="23">
        <v>3</v>
      </c>
      <c r="H2907" s="23">
        <v>0</v>
      </c>
      <c r="I2907" s="23" t="s">
        <v>5</v>
      </c>
      <c r="J2907" s="23" t="s">
        <v>1993</v>
      </c>
    </row>
    <row r="2908" spans="1:10" s="20" customFormat="1" ht="12" x14ac:dyDescent="0.25">
      <c r="A2908" s="22">
        <v>2500009333</v>
      </c>
      <c r="B2908" s="23" t="s">
        <v>4564</v>
      </c>
      <c r="C2908" s="24" t="s">
        <v>1996</v>
      </c>
      <c r="D2908" s="23" t="s">
        <v>2289</v>
      </c>
      <c r="E2908" s="23">
        <v>22.5</v>
      </c>
      <c r="F2908" s="23">
        <v>1</v>
      </c>
      <c r="G2908" s="23">
        <v>1</v>
      </c>
      <c r="H2908" s="23">
        <v>0</v>
      </c>
      <c r="I2908" s="23" t="s">
        <v>5</v>
      </c>
      <c r="J2908" s="23" t="s">
        <v>1993</v>
      </c>
    </row>
    <row r="2909" spans="1:10" s="20" customFormat="1" ht="12" x14ac:dyDescent="0.25">
      <c r="A2909" s="22">
        <v>1000099617</v>
      </c>
      <c r="B2909" s="23" t="s">
        <v>4567</v>
      </c>
      <c r="C2909" s="24" t="s">
        <v>4</v>
      </c>
      <c r="D2909" s="23" t="s">
        <v>2056</v>
      </c>
      <c r="E2909" s="23">
        <v>22.137909672063</v>
      </c>
      <c r="F2909" s="23">
        <v>16</v>
      </c>
      <c r="G2909" s="23">
        <v>16</v>
      </c>
      <c r="H2909" s="23">
        <v>0</v>
      </c>
      <c r="I2909" s="23" t="s">
        <v>5</v>
      </c>
      <c r="J2909" s="23" t="s">
        <v>1844</v>
      </c>
    </row>
    <row r="2910" spans="1:10" s="20" customFormat="1" ht="12" x14ac:dyDescent="0.25">
      <c r="A2910" s="22">
        <v>1000107188</v>
      </c>
      <c r="B2910" s="23" t="s">
        <v>4568</v>
      </c>
      <c r="C2910" s="24" t="s">
        <v>4</v>
      </c>
      <c r="D2910" s="23" t="s">
        <v>2056</v>
      </c>
      <c r="E2910" s="23">
        <v>22.02</v>
      </c>
      <c r="F2910" s="23">
        <v>240</v>
      </c>
      <c r="G2910" s="23">
        <v>240</v>
      </c>
      <c r="H2910" s="23">
        <v>0</v>
      </c>
      <c r="I2910" s="23" t="s">
        <v>5</v>
      </c>
      <c r="J2910" s="23" t="s">
        <v>1844</v>
      </c>
    </row>
    <row r="2911" spans="1:10" s="20" customFormat="1" ht="12" x14ac:dyDescent="0.25">
      <c r="A2911" s="22">
        <v>1000020438</v>
      </c>
      <c r="B2911" s="23" t="s">
        <v>665</v>
      </c>
      <c r="C2911" s="24" t="s">
        <v>4</v>
      </c>
      <c r="D2911" s="23" t="s">
        <v>2090</v>
      </c>
      <c r="E2911" s="23">
        <v>21.68</v>
      </c>
      <c r="F2911" s="23">
        <v>1</v>
      </c>
      <c r="G2911" s="23">
        <v>1</v>
      </c>
      <c r="H2911" s="23">
        <v>0</v>
      </c>
      <c r="I2911" s="23" t="s">
        <v>5</v>
      </c>
      <c r="J2911" s="23" t="s">
        <v>327</v>
      </c>
    </row>
    <row r="2912" spans="1:10" s="20" customFormat="1" ht="12" x14ac:dyDescent="0.25">
      <c r="A2912" s="22">
        <v>1000097685</v>
      </c>
      <c r="B2912" s="23" t="s">
        <v>4569</v>
      </c>
      <c r="C2912" s="24" t="s">
        <v>4</v>
      </c>
      <c r="D2912" s="23" t="s">
        <v>2056</v>
      </c>
      <c r="E2912" s="23">
        <v>21.373333333333299</v>
      </c>
      <c r="F2912" s="23">
        <v>14</v>
      </c>
      <c r="G2912" s="23">
        <v>14</v>
      </c>
      <c r="H2912" s="23">
        <v>0</v>
      </c>
      <c r="I2912" s="23" t="s">
        <v>5</v>
      </c>
      <c r="J2912" s="23" t="s">
        <v>1844</v>
      </c>
    </row>
    <row r="2913" spans="1:10" s="20" customFormat="1" ht="12" x14ac:dyDescent="0.25">
      <c r="A2913" s="22">
        <v>1000106494</v>
      </c>
      <c r="B2913" s="23" t="s">
        <v>4570</v>
      </c>
      <c r="C2913" s="24" t="s">
        <v>4</v>
      </c>
      <c r="D2913" s="23" t="s">
        <v>2056</v>
      </c>
      <c r="E2913" s="23">
        <v>20.99</v>
      </c>
      <c r="F2913" s="23">
        <v>5</v>
      </c>
      <c r="G2913" s="23">
        <v>5</v>
      </c>
      <c r="H2913" s="23">
        <v>0</v>
      </c>
      <c r="I2913" s="23" t="s">
        <v>5</v>
      </c>
      <c r="J2913" s="23" t="s">
        <v>1844</v>
      </c>
    </row>
    <row r="2914" spans="1:10" s="20" customFormat="1" ht="12" x14ac:dyDescent="0.25">
      <c r="A2914" s="22">
        <v>1000100388</v>
      </c>
      <c r="B2914" s="23" t="s">
        <v>1718</v>
      </c>
      <c r="C2914" s="24" t="s">
        <v>4</v>
      </c>
      <c r="D2914" s="23" t="s">
        <v>2090</v>
      </c>
      <c r="E2914" s="23">
        <v>20.962499999999999</v>
      </c>
      <c r="F2914" s="23">
        <v>6</v>
      </c>
      <c r="G2914" s="23">
        <v>6</v>
      </c>
      <c r="H2914" s="23">
        <v>0</v>
      </c>
      <c r="I2914" s="23" t="s">
        <v>5</v>
      </c>
      <c r="J2914" s="23" t="s">
        <v>327</v>
      </c>
    </row>
    <row r="2915" spans="1:10" s="20" customFormat="1" ht="12" x14ac:dyDescent="0.25">
      <c r="A2915" s="22">
        <v>1000100316</v>
      </c>
      <c r="B2915" s="23" t="s">
        <v>4572</v>
      </c>
      <c r="C2915" s="24" t="s">
        <v>4</v>
      </c>
      <c r="D2915" s="23" t="s">
        <v>2090</v>
      </c>
      <c r="E2915" s="23">
        <v>20.399999999999999</v>
      </c>
      <c r="F2915" s="23">
        <v>2</v>
      </c>
      <c r="G2915" s="23">
        <v>2</v>
      </c>
      <c r="H2915" s="23">
        <v>0</v>
      </c>
      <c r="I2915" s="23" t="s">
        <v>5</v>
      </c>
      <c r="J2915" s="23" t="s">
        <v>327</v>
      </c>
    </row>
    <row r="2916" spans="1:10" s="20" customFormat="1" ht="12" x14ac:dyDescent="0.25">
      <c r="A2916" s="22">
        <v>1000020626</v>
      </c>
      <c r="B2916" s="23" t="s">
        <v>841</v>
      </c>
      <c r="C2916" s="24" t="s">
        <v>4</v>
      </c>
      <c r="D2916" s="23" t="s">
        <v>2090</v>
      </c>
      <c r="E2916" s="23">
        <v>20.28</v>
      </c>
      <c r="F2916" s="23">
        <v>2</v>
      </c>
      <c r="G2916" s="23">
        <v>2</v>
      </c>
      <c r="H2916" s="23">
        <v>0</v>
      </c>
      <c r="I2916" s="23" t="s">
        <v>5</v>
      </c>
      <c r="J2916" s="23" t="s">
        <v>327</v>
      </c>
    </row>
    <row r="2917" spans="1:10" s="20" customFormat="1" ht="12" x14ac:dyDescent="0.25">
      <c r="A2917" s="22">
        <v>1000100333</v>
      </c>
      <c r="B2917" s="23" t="s">
        <v>4576</v>
      </c>
      <c r="C2917" s="24" t="s">
        <v>4</v>
      </c>
      <c r="D2917" s="23" t="s">
        <v>2090</v>
      </c>
      <c r="E2917" s="23">
        <v>19.5</v>
      </c>
      <c r="F2917" s="23">
        <v>4</v>
      </c>
      <c r="G2917" s="23">
        <v>4</v>
      </c>
      <c r="H2917" s="23">
        <v>0</v>
      </c>
      <c r="I2917" s="23" t="s">
        <v>5</v>
      </c>
      <c r="J2917" s="23" t="s">
        <v>327</v>
      </c>
    </row>
    <row r="2918" spans="1:10" s="20" customFormat="1" ht="12" x14ac:dyDescent="0.25">
      <c r="A2918" s="22">
        <v>1000107249</v>
      </c>
      <c r="B2918" s="23" t="s">
        <v>4578</v>
      </c>
      <c r="C2918" s="24" t="s">
        <v>4</v>
      </c>
      <c r="D2918" s="23" t="s">
        <v>2056</v>
      </c>
      <c r="E2918" s="23">
        <v>19.086848644903899</v>
      </c>
      <c r="F2918" s="23">
        <v>1</v>
      </c>
      <c r="G2918" s="23">
        <v>1</v>
      </c>
      <c r="H2918" s="23">
        <v>0</v>
      </c>
      <c r="I2918" s="23" t="s">
        <v>5</v>
      </c>
      <c r="J2918" s="23" t="s">
        <v>1844</v>
      </c>
    </row>
    <row r="2919" spans="1:10" s="20" customFormat="1" ht="12" x14ac:dyDescent="0.25">
      <c r="A2919" s="22">
        <v>1000100434</v>
      </c>
      <c r="B2919" s="23" t="s">
        <v>1745</v>
      </c>
      <c r="C2919" s="24" t="s">
        <v>4</v>
      </c>
      <c r="D2919" s="23" t="s">
        <v>2090</v>
      </c>
      <c r="E2919" s="23">
        <v>18.975000000000001</v>
      </c>
      <c r="F2919" s="23">
        <v>2</v>
      </c>
      <c r="G2919" s="23">
        <v>2</v>
      </c>
      <c r="H2919" s="23">
        <v>0</v>
      </c>
      <c r="I2919" s="23" t="s">
        <v>5</v>
      </c>
      <c r="J2919" s="23" t="s">
        <v>327</v>
      </c>
    </row>
    <row r="2920" spans="1:10" s="20" customFormat="1" ht="12" x14ac:dyDescent="0.25">
      <c r="A2920" s="22">
        <v>2500009462</v>
      </c>
      <c r="B2920" s="23" t="s">
        <v>4579</v>
      </c>
      <c r="C2920" s="24" t="s">
        <v>1996</v>
      </c>
      <c r="D2920" s="23" t="s">
        <v>2289</v>
      </c>
      <c r="E2920" s="23">
        <v>18.75</v>
      </c>
      <c r="F2920" s="23">
        <v>1</v>
      </c>
      <c r="G2920" s="23">
        <v>1</v>
      </c>
      <c r="H2920" s="23">
        <v>0</v>
      </c>
      <c r="I2920" s="23" t="s">
        <v>5</v>
      </c>
      <c r="J2920" s="23" t="s">
        <v>1993</v>
      </c>
    </row>
    <row r="2921" spans="1:10" s="20" customFormat="1" ht="12" x14ac:dyDescent="0.25">
      <c r="A2921" s="22">
        <v>2500009327</v>
      </c>
      <c r="B2921" s="23" t="s">
        <v>4580</v>
      </c>
      <c r="C2921" s="24" t="s">
        <v>1996</v>
      </c>
      <c r="D2921" s="23" t="s">
        <v>2289</v>
      </c>
      <c r="E2921" s="23">
        <v>18.75</v>
      </c>
      <c r="F2921" s="23">
        <v>25</v>
      </c>
      <c r="G2921" s="23">
        <v>25</v>
      </c>
      <c r="H2921" s="23">
        <v>0</v>
      </c>
      <c r="I2921" s="23" t="s">
        <v>5</v>
      </c>
      <c r="J2921" s="23" t="s">
        <v>1993</v>
      </c>
    </row>
    <row r="2922" spans="1:10" s="20" customFormat="1" ht="12" x14ac:dyDescent="0.25">
      <c r="A2922" s="22">
        <v>1000020426</v>
      </c>
      <c r="B2922" s="23" t="s">
        <v>654</v>
      </c>
      <c r="C2922" s="24" t="s">
        <v>4</v>
      </c>
      <c r="D2922" s="23" t="s">
        <v>2090</v>
      </c>
      <c r="E2922" s="23">
        <v>18.38</v>
      </c>
      <c r="F2922" s="23">
        <v>2</v>
      </c>
      <c r="G2922" s="23">
        <v>2</v>
      </c>
      <c r="H2922" s="23">
        <v>0</v>
      </c>
      <c r="I2922" s="23" t="s">
        <v>5</v>
      </c>
      <c r="J2922" s="23" t="s">
        <v>327</v>
      </c>
    </row>
    <row r="2923" spans="1:10" s="20" customFormat="1" ht="12" x14ac:dyDescent="0.25">
      <c r="A2923" s="22">
        <v>1000103703</v>
      </c>
      <c r="B2923" s="23" t="s">
        <v>4581</v>
      </c>
      <c r="C2923" s="24" t="s">
        <v>4</v>
      </c>
      <c r="D2923" s="23" t="s">
        <v>2090</v>
      </c>
      <c r="E2923" s="23">
        <v>17.846834707646099</v>
      </c>
      <c r="F2923" s="23">
        <v>3</v>
      </c>
      <c r="G2923" s="23">
        <v>3</v>
      </c>
      <c r="H2923" s="23">
        <v>0</v>
      </c>
      <c r="I2923" s="23" t="s">
        <v>5</v>
      </c>
      <c r="J2923" s="23" t="s">
        <v>327</v>
      </c>
    </row>
    <row r="2924" spans="1:10" s="20" customFormat="1" ht="12" x14ac:dyDescent="0.25">
      <c r="A2924" s="22">
        <v>1000020219</v>
      </c>
      <c r="B2924" s="23" t="s">
        <v>459</v>
      </c>
      <c r="C2924" s="24" t="s">
        <v>4</v>
      </c>
      <c r="D2924" s="23" t="s">
        <v>2090</v>
      </c>
      <c r="E2924" s="23">
        <v>17.600000000000001</v>
      </c>
      <c r="F2924" s="23">
        <v>4</v>
      </c>
      <c r="G2924" s="23">
        <v>4</v>
      </c>
      <c r="H2924" s="23">
        <v>0</v>
      </c>
      <c r="I2924" s="23" t="s">
        <v>5</v>
      </c>
      <c r="J2924" s="23" t="s">
        <v>327</v>
      </c>
    </row>
    <row r="2925" spans="1:10" s="20" customFormat="1" ht="12" x14ac:dyDescent="0.25">
      <c r="A2925" s="22">
        <v>2500009191</v>
      </c>
      <c r="B2925" s="23" t="s">
        <v>1984</v>
      </c>
      <c r="C2925" s="24" t="s">
        <v>1996</v>
      </c>
      <c r="D2925" s="23" t="s">
        <v>2025</v>
      </c>
      <c r="E2925" s="23">
        <v>16.88</v>
      </c>
      <c r="F2925" s="23">
        <v>1</v>
      </c>
      <c r="G2925" s="23">
        <v>1</v>
      </c>
      <c r="H2925" s="23">
        <v>0</v>
      </c>
      <c r="I2925" s="23" t="s">
        <v>5</v>
      </c>
      <c r="J2925" s="23" t="s">
        <v>1993</v>
      </c>
    </row>
    <row r="2926" spans="1:10" s="20" customFormat="1" ht="12" x14ac:dyDescent="0.25">
      <c r="A2926" s="22">
        <v>1000097686</v>
      </c>
      <c r="B2926" s="23" t="s">
        <v>4582</v>
      </c>
      <c r="C2926" s="24" t="s">
        <v>4</v>
      </c>
      <c r="D2926" s="23" t="s">
        <v>2056</v>
      </c>
      <c r="E2926" s="23">
        <v>16.690000000000001</v>
      </c>
      <c r="F2926" s="23">
        <v>19</v>
      </c>
      <c r="G2926" s="23">
        <v>19</v>
      </c>
      <c r="H2926" s="23">
        <v>0</v>
      </c>
      <c r="I2926" s="23" t="s">
        <v>5</v>
      </c>
      <c r="J2926" s="23" t="s">
        <v>1844</v>
      </c>
    </row>
    <row r="2927" spans="1:10" s="20" customFormat="1" ht="12" x14ac:dyDescent="0.25">
      <c r="A2927" s="22">
        <v>1000020444</v>
      </c>
      <c r="B2927" s="23" t="s">
        <v>671</v>
      </c>
      <c r="C2927" s="24" t="s">
        <v>4</v>
      </c>
      <c r="D2927" s="23" t="s">
        <v>2090</v>
      </c>
      <c r="E2927" s="23">
        <v>16.510000000000002</v>
      </c>
      <c r="F2927" s="23">
        <v>1</v>
      </c>
      <c r="G2927" s="23">
        <v>1</v>
      </c>
      <c r="H2927" s="23">
        <v>0</v>
      </c>
      <c r="I2927" s="23" t="s">
        <v>5</v>
      </c>
      <c r="J2927" s="23" t="s">
        <v>327</v>
      </c>
    </row>
    <row r="2928" spans="1:10" s="20" customFormat="1" ht="12" x14ac:dyDescent="0.25">
      <c r="A2928" s="22">
        <v>1000020233</v>
      </c>
      <c r="B2928" s="23" t="s">
        <v>473</v>
      </c>
      <c r="C2928" s="24" t="s">
        <v>4</v>
      </c>
      <c r="D2928" s="23" t="s">
        <v>2090</v>
      </c>
      <c r="E2928" s="23">
        <v>16.38</v>
      </c>
      <c r="F2928" s="23">
        <v>3</v>
      </c>
      <c r="G2928" s="23">
        <v>3</v>
      </c>
      <c r="H2928" s="23">
        <v>0</v>
      </c>
      <c r="I2928" s="23" t="s">
        <v>5</v>
      </c>
      <c r="J2928" s="23" t="s">
        <v>327</v>
      </c>
    </row>
    <row r="2929" spans="1:10" s="20" customFormat="1" ht="12" x14ac:dyDescent="0.25">
      <c r="A2929" s="22">
        <v>1000093384</v>
      </c>
      <c r="B2929" s="23" t="s">
        <v>4584</v>
      </c>
      <c r="C2929" s="24" t="s">
        <v>4</v>
      </c>
      <c r="D2929" s="23" t="s">
        <v>2090</v>
      </c>
      <c r="E2929" s="23">
        <v>15.91</v>
      </c>
      <c r="F2929" s="23">
        <v>2</v>
      </c>
      <c r="G2929" s="23">
        <v>2</v>
      </c>
      <c r="H2929" s="23">
        <v>0</v>
      </c>
      <c r="I2929" s="23" t="s">
        <v>5</v>
      </c>
      <c r="J2929" s="23" t="s">
        <v>327</v>
      </c>
    </row>
    <row r="2930" spans="1:10" s="20" customFormat="1" ht="12" x14ac:dyDescent="0.25">
      <c r="A2930" s="22">
        <v>1000107039</v>
      </c>
      <c r="B2930" s="23" t="s">
        <v>1890</v>
      </c>
      <c r="C2930" s="24" t="s">
        <v>4</v>
      </c>
      <c r="D2930" s="23" t="s">
        <v>2056</v>
      </c>
      <c r="E2930" s="23">
        <v>14.102</v>
      </c>
      <c r="F2930" s="23">
        <v>10</v>
      </c>
      <c r="G2930" s="23">
        <v>10</v>
      </c>
      <c r="H2930" s="23">
        <v>0</v>
      </c>
      <c r="I2930" s="23" t="s">
        <v>5</v>
      </c>
      <c r="J2930" s="23" t="s">
        <v>1844</v>
      </c>
    </row>
    <row r="2931" spans="1:10" s="20" customFormat="1" ht="12" x14ac:dyDescent="0.25">
      <c r="A2931" s="22">
        <v>1000098301</v>
      </c>
      <c r="B2931" s="23" t="s">
        <v>4588</v>
      </c>
      <c r="C2931" s="24" t="s">
        <v>4</v>
      </c>
      <c r="D2931" s="23" t="s">
        <v>2090</v>
      </c>
      <c r="E2931" s="23">
        <v>13.896599999999999</v>
      </c>
      <c r="F2931" s="23">
        <v>53</v>
      </c>
      <c r="G2931" s="23">
        <v>53</v>
      </c>
      <c r="H2931" s="23">
        <v>0</v>
      </c>
      <c r="I2931" s="23" t="s">
        <v>5</v>
      </c>
      <c r="J2931" s="23" t="s">
        <v>327</v>
      </c>
    </row>
    <row r="2932" spans="1:10" s="20" customFormat="1" ht="12" x14ac:dyDescent="0.25">
      <c r="A2932" s="22">
        <v>2500008966</v>
      </c>
      <c r="B2932" s="23" t="s">
        <v>4589</v>
      </c>
      <c r="C2932" s="24" t="s">
        <v>1996</v>
      </c>
      <c r="D2932" s="23" t="s">
        <v>2025</v>
      </c>
      <c r="E2932" s="23">
        <v>13.5</v>
      </c>
      <c r="F2932" s="23">
        <v>1</v>
      </c>
      <c r="G2932" s="23">
        <v>1</v>
      </c>
      <c r="H2932" s="23">
        <v>0</v>
      </c>
      <c r="I2932" s="23" t="s">
        <v>5</v>
      </c>
      <c r="J2932" s="23" t="s">
        <v>1993</v>
      </c>
    </row>
    <row r="2933" spans="1:10" s="20" customFormat="1" ht="12" x14ac:dyDescent="0.25">
      <c r="A2933" s="22">
        <v>1000020411</v>
      </c>
      <c r="B2933" s="23" t="s">
        <v>641</v>
      </c>
      <c r="C2933" s="24" t="s">
        <v>4</v>
      </c>
      <c r="D2933" s="23" t="s">
        <v>2090</v>
      </c>
      <c r="E2933" s="23">
        <v>13.31</v>
      </c>
      <c r="F2933" s="23">
        <v>1</v>
      </c>
      <c r="G2933" s="23">
        <v>1</v>
      </c>
      <c r="H2933" s="23">
        <v>0</v>
      </c>
      <c r="I2933" s="23" t="s">
        <v>5</v>
      </c>
      <c r="J2933" s="23" t="s">
        <v>327</v>
      </c>
    </row>
    <row r="2934" spans="1:10" s="20" customFormat="1" ht="12" x14ac:dyDescent="0.25">
      <c r="A2934" s="22">
        <v>1000101069</v>
      </c>
      <c r="B2934" s="23" t="s">
        <v>4590</v>
      </c>
      <c r="C2934" s="24" t="s">
        <v>4</v>
      </c>
      <c r="D2934" s="23" t="s">
        <v>2056</v>
      </c>
      <c r="E2934" s="23">
        <v>13.240393939393901</v>
      </c>
      <c r="F2934" s="23">
        <v>28</v>
      </c>
      <c r="G2934" s="23">
        <v>28</v>
      </c>
      <c r="H2934" s="23">
        <v>0</v>
      </c>
      <c r="I2934" s="23" t="s">
        <v>5</v>
      </c>
      <c r="J2934" s="23" t="s">
        <v>1844</v>
      </c>
    </row>
    <row r="2935" spans="1:10" s="20" customFormat="1" ht="12" x14ac:dyDescent="0.25">
      <c r="A2935" s="22">
        <v>1000020003</v>
      </c>
      <c r="B2935" s="23" t="s">
        <v>4591</v>
      </c>
      <c r="C2935" s="24" t="s">
        <v>4</v>
      </c>
      <c r="D2935" s="23" t="s">
        <v>2090</v>
      </c>
      <c r="E2935" s="23">
        <v>13.02</v>
      </c>
      <c r="F2935" s="23">
        <v>2</v>
      </c>
      <c r="G2935" s="23">
        <v>2</v>
      </c>
      <c r="H2935" s="23">
        <v>0</v>
      </c>
      <c r="I2935" s="23" t="s">
        <v>5</v>
      </c>
      <c r="J2935" s="23" t="s">
        <v>327</v>
      </c>
    </row>
    <row r="2936" spans="1:10" s="20" customFormat="1" ht="12" x14ac:dyDescent="0.25">
      <c r="A2936" s="22">
        <v>1000020341</v>
      </c>
      <c r="B2936" s="23" t="s">
        <v>573</v>
      </c>
      <c r="C2936" s="24" t="s">
        <v>4</v>
      </c>
      <c r="D2936" s="23" t="s">
        <v>2090</v>
      </c>
      <c r="E2936" s="23">
        <v>12.68</v>
      </c>
      <c r="F2936" s="23">
        <v>2</v>
      </c>
      <c r="G2936" s="23">
        <v>2</v>
      </c>
      <c r="H2936" s="23">
        <v>0</v>
      </c>
      <c r="I2936" s="23" t="s">
        <v>5</v>
      </c>
      <c r="J2936" s="23" t="s">
        <v>327</v>
      </c>
    </row>
    <row r="2937" spans="1:10" s="20" customFormat="1" ht="12" x14ac:dyDescent="0.25">
      <c r="A2937" s="22">
        <v>1000102221</v>
      </c>
      <c r="B2937" s="23" t="s">
        <v>1776</v>
      </c>
      <c r="C2937" s="24" t="s">
        <v>2844</v>
      </c>
      <c r="D2937" s="23" t="s">
        <v>2218</v>
      </c>
      <c r="E2937" s="23">
        <v>12.5625</v>
      </c>
      <c r="F2937" s="23">
        <v>5</v>
      </c>
      <c r="G2937" s="23">
        <v>5</v>
      </c>
      <c r="H2937" s="23">
        <v>0</v>
      </c>
      <c r="I2937" s="23" t="s">
        <v>5</v>
      </c>
      <c r="J2937" s="23" t="s">
        <v>327</v>
      </c>
    </row>
    <row r="2938" spans="1:10" s="20" customFormat="1" ht="12" x14ac:dyDescent="0.25">
      <c r="A2938" s="22">
        <v>1000104438</v>
      </c>
      <c r="B2938" s="23" t="s">
        <v>4592</v>
      </c>
      <c r="C2938" s="24" t="s">
        <v>4</v>
      </c>
      <c r="D2938" s="23" t="s">
        <v>2090</v>
      </c>
      <c r="E2938" s="23">
        <v>12.38</v>
      </c>
      <c r="F2938" s="23">
        <v>2</v>
      </c>
      <c r="G2938" s="23">
        <v>2</v>
      </c>
      <c r="H2938" s="23">
        <v>0</v>
      </c>
      <c r="I2938" s="23" t="s">
        <v>5</v>
      </c>
      <c r="J2938" s="23" t="s">
        <v>327</v>
      </c>
    </row>
    <row r="2939" spans="1:10" s="20" customFormat="1" ht="12" x14ac:dyDescent="0.25">
      <c r="A2939" s="22">
        <v>1000101345</v>
      </c>
      <c r="B2939" s="23" t="s">
        <v>4593</v>
      </c>
      <c r="C2939" s="24" t="s">
        <v>4</v>
      </c>
      <c r="D2939" s="23" t="s">
        <v>2056</v>
      </c>
      <c r="E2939" s="23">
        <v>12.0745</v>
      </c>
      <c r="F2939" s="23">
        <v>19</v>
      </c>
      <c r="G2939" s="23">
        <v>19</v>
      </c>
      <c r="H2939" s="23">
        <v>0</v>
      </c>
      <c r="I2939" s="23" t="s">
        <v>5</v>
      </c>
      <c r="J2939" s="23" t="s">
        <v>1844</v>
      </c>
    </row>
    <row r="2940" spans="1:10" s="20" customFormat="1" ht="12" x14ac:dyDescent="0.25">
      <c r="A2940" s="22">
        <v>1000097197</v>
      </c>
      <c r="B2940" s="23" t="s">
        <v>4594</v>
      </c>
      <c r="C2940" s="24" t="s">
        <v>4</v>
      </c>
      <c r="D2940" s="23" t="s">
        <v>2056</v>
      </c>
      <c r="E2940" s="23">
        <v>11.692</v>
      </c>
      <c r="F2940" s="23">
        <v>10</v>
      </c>
      <c r="G2940" s="23">
        <v>10</v>
      </c>
      <c r="H2940" s="23">
        <v>0</v>
      </c>
      <c r="I2940" s="23" t="s">
        <v>5</v>
      </c>
      <c r="J2940" s="23" t="s">
        <v>1844</v>
      </c>
    </row>
    <row r="2941" spans="1:10" s="20" customFormat="1" ht="12" x14ac:dyDescent="0.25">
      <c r="A2941" s="22">
        <v>1000109640</v>
      </c>
      <c r="B2941" s="23" t="s">
        <v>4595</v>
      </c>
      <c r="C2941" s="24" t="s">
        <v>4</v>
      </c>
      <c r="D2941" s="23" t="s">
        <v>2056</v>
      </c>
      <c r="E2941" s="23">
        <v>11.484</v>
      </c>
      <c r="F2941" s="23">
        <v>9</v>
      </c>
      <c r="G2941" s="23">
        <v>9</v>
      </c>
      <c r="H2941" s="23">
        <v>0</v>
      </c>
      <c r="I2941" s="23" t="s">
        <v>5</v>
      </c>
      <c r="J2941" s="23" t="s">
        <v>1844</v>
      </c>
    </row>
    <row r="2942" spans="1:10" s="20" customFormat="1" ht="12" x14ac:dyDescent="0.25">
      <c r="A2942" s="22">
        <v>1000103295</v>
      </c>
      <c r="B2942" s="23" t="s">
        <v>1863</v>
      </c>
      <c r="C2942" s="24" t="s">
        <v>4</v>
      </c>
      <c r="D2942" s="23" t="s">
        <v>2056</v>
      </c>
      <c r="E2942" s="23">
        <v>11.48</v>
      </c>
      <c r="F2942" s="23">
        <v>100</v>
      </c>
      <c r="G2942" s="23">
        <v>100</v>
      </c>
      <c r="H2942" s="23">
        <v>0</v>
      </c>
      <c r="I2942" s="23" t="s">
        <v>5</v>
      </c>
      <c r="J2942" s="23" t="s">
        <v>1844</v>
      </c>
    </row>
    <row r="2943" spans="1:10" s="20" customFormat="1" ht="12" x14ac:dyDescent="0.25">
      <c r="A2943" s="22">
        <v>1000101175</v>
      </c>
      <c r="B2943" s="23" t="s">
        <v>4598</v>
      </c>
      <c r="C2943" s="24" t="s">
        <v>4</v>
      </c>
      <c r="D2943" s="23" t="s">
        <v>2090</v>
      </c>
      <c r="E2943" s="23">
        <v>10.95</v>
      </c>
      <c r="F2943" s="23">
        <v>1</v>
      </c>
      <c r="G2943" s="23">
        <v>1</v>
      </c>
      <c r="H2943" s="23">
        <v>0</v>
      </c>
      <c r="I2943" s="23" t="s">
        <v>5</v>
      </c>
      <c r="J2943" s="23" t="s">
        <v>327</v>
      </c>
    </row>
    <row r="2944" spans="1:10" s="20" customFormat="1" ht="12" x14ac:dyDescent="0.25">
      <c r="A2944" s="22">
        <v>1000017143</v>
      </c>
      <c r="B2944" s="23" t="s">
        <v>2181</v>
      </c>
      <c r="C2944" s="24" t="s">
        <v>4</v>
      </c>
      <c r="D2944" s="23" t="s">
        <v>2056</v>
      </c>
      <c r="E2944" s="23">
        <v>10.3746296791443</v>
      </c>
      <c r="F2944" s="23">
        <v>9</v>
      </c>
      <c r="G2944" s="23">
        <v>9</v>
      </c>
      <c r="H2944" s="23">
        <v>0</v>
      </c>
      <c r="I2944" s="23" t="s">
        <v>5</v>
      </c>
      <c r="J2944" s="23" t="s">
        <v>1844</v>
      </c>
    </row>
    <row r="2945" spans="1:10" s="20" customFormat="1" ht="12" x14ac:dyDescent="0.25">
      <c r="A2945" s="22">
        <v>1000100389</v>
      </c>
      <c r="B2945" s="23" t="s">
        <v>1719</v>
      </c>
      <c r="C2945" s="24" t="s">
        <v>4</v>
      </c>
      <c r="D2945" s="23" t="s">
        <v>2090</v>
      </c>
      <c r="E2945" s="23">
        <v>9.83</v>
      </c>
      <c r="F2945" s="23">
        <v>1</v>
      </c>
      <c r="G2945" s="23">
        <v>1</v>
      </c>
      <c r="H2945" s="23">
        <v>0</v>
      </c>
      <c r="I2945" s="23" t="s">
        <v>5</v>
      </c>
      <c r="J2945" s="23" t="s">
        <v>327</v>
      </c>
    </row>
    <row r="2946" spans="1:10" s="20" customFormat="1" ht="12" x14ac:dyDescent="0.25">
      <c r="A2946" s="22">
        <v>1000101865</v>
      </c>
      <c r="B2946" s="23" t="s">
        <v>4602</v>
      </c>
      <c r="C2946" s="24" t="s">
        <v>4</v>
      </c>
      <c r="D2946" s="23" t="s">
        <v>2056</v>
      </c>
      <c r="E2946" s="23">
        <v>7.8120000000000003</v>
      </c>
      <c r="F2946" s="23">
        <v>7</v>
      </c>
      <c r="G2946" s="23">
        <v>7</v>
      </c>
      <c r="H2946" s="23">
        <v>0</v>
      </c>
      <c r="I2946" s="23" t="s">
        <v>5</v>
      </c>
      <c r="J2946" s="23" t="s">
        <v>1844</v>
      </c>
    </row>
    <row r="2947" spans="1:10" s="20" customFormat="1" ht="12" x14ac:dyDescent="0.25">
      <c r="A2947" s="22">
        <v>2500009454</v>
      </c>
      <c r="B2947" s="23" t="s">
        <v>4604</v>
      </c>
      <c r="C2947" s="24" t="s">
        <v>1996</v>
      </c>
      <c r="D2947" s="23" t="s">
        <v>2289</v>
      </c>
      <c r="E2947" s="23">
        <v>7.5</v>
      </c>
      <c r="F2947" s="23">
        <v>1</v>
      </c>
      <c r="G2947" s="23">
        <v>1</v>
      </c>
      <c r="H2947" s="23">
        <v>0</v>
      </c>
      <c r="I2947" s="23" t="s">
        <v>5</v>
      </c>
      <c r="J2947" s="23" t="s">
        <v>1993</v>
      </c>
    </row>
    <row r="2948" spans="1:10" s="20" customFormat="1" ht="12" x14ac:dyDescent="0.25">
      <c r="A2948" s="22">
        <v>1000020238</v>
      </c>
      <c r="B2948" s="23" t="s">
        <v>477</v>
      </c>
      <c r="C2948" s="24" t="s">
        <v>4</v>
      </c>
      <c r="D2948" s="23" t="s">
        <v>2090</v>
      </c>
      <c r="E2948" s="23">
        <v>6.05</v>
      </c>
      <c r="F2948" s="23">
        <v>1</v>
      </c>
      <c r="G2948" s="23">
        <v>1</v>
      </c>
      <c r="H2948" s="23">
        <v>0</v>
      </c>
      <c r="I2948" s="23" t="s">
        <v>5</v>
      </c>
      <c r="J2948" s="23" t="s">
        <v>327</v>
      </c>
    </row>
    <row r="2949" spans="1:10" s="20" customFormat="1" ht="12" x14ac:dyDescent="0.25">
      <c r="A2949" s="22">
        <v>1000103871</v>
      </c>
      <c r="B2949" s="23" t="s">
        <v>4606</v>
      </c>
      <c r="C2949" s="24" t="s">
        <v>4</v>
      </c>
      <c r="D2949" s="23" t="s">
        <v>2056</v>
      </c>
      <c r="E2949" s="23">
        <v>5.7377105826727197</v>
      </c>
      <c r="F2949" s="23">
        <v>30</v>
      </c>
      <c r="G2949" s="23">
        <v>30</v>
      </c>
      <c r="H2949" s="23">
        <v>0</v>
      </c>
      <c r="I2949" s="23" t="s">
        <v>5</v>
      </c>
      <c r="J2949" s="23" t="s">
        <v>1844</v>
      </c>
    </row>
    <row r="2950" spans="1:10" s="20" customFormat="1" ht="12" x14ac:dyDescent="0.25">
      <c r="A2950" s="22">
        <v>1000101544</v>
      </c>
      <c r="B2950" s="23" t="s">
        <v>4607</v>
      </c>
      <c r="C2950" s="24" t="s">
        <v>4</v>
      </c>
      <c r="D2950" s="23" t="s">
        <v>2056</v>
      </c>
      <c r="E2950" s="23">
        <v>4.5149999999999997</v>
      </c>
      <c r="F2950" s="23">
        <v>3</v>
      </c>
      <c r="G2950" s="23">
        <v>3</v>
      </c>
      <c r="H2950" s="23">
        <v>0</v>
      </c>
      <c r="I2950" s="23" t="s">
        <v>5</v>
      </c>
      <c r="J2950" s="23" t="s">
        <v>1844</v>
      </c>
    </row>
    <row r="2951" spans="1:10" s="20" customFormat="1" ht="12" x14ac:dyDescent="0.25">
      <c r="A2951" s="22">
        <v>1000095207</v>
      </c>
      <c r="B2951" s="23" t="s">
        <v>4608</v>
      </c>
      <c r="C2951" s="24" t="s">
        <v>4</v>
      </c>
      <c r="D2951" s="23" t="s">
        <v>2056</v>
      </c>
      <c r="E2951" s="23">
        <v>4.3949804347825996</v>
      </c>
      <c r="F2951" s="23">
        <v>3</v>
      </c>
      <c r="G2951" s="23">
        <v>3</v>
      </c>
      <c r="H2951" s="23">
        <v>0</v>
      </c>
      <c r="I2951" s="23" t="s">
        <v>5</v>
      </c>
      <c r="J2951" s="23" t="s">
        <v>1844</v>
      </c>
    </row>
    <row r="2952" spans="1:10" s="20" customFormat="1" ht="12" x14ac:dyDescent="0.25">
      <c r="A2952" s="22">
        <v>2500009410</v>
      </c>
      <c r="B2952" s="23" t="s">
        <v>4609</v>
      </c>
      <c r="C2952" s="24" t="s">
        <v>1996</v>
      </c>
      <c r="D2952" s="23" t="s">
        <v>2289</v>
      </c>
      <c r="E2952" s="23">
        <v>3.75</v>
      </c>
      <c r="F2952" s="23">
        <v>2</v>
      </c>
      <c r="G2952" s="23">
        <v>2</v>
      </c>
      <c r="H2952" s="23">
        <v>0</v>
      </c>
      <c r="I2952" s="23" t="s">
        <v>5</v>
      </c>
      <c r="J2952" s="23" t="s">
        <v>1993</v>
      </c>
    </row>
    <row r="2953" spans="1:10" s="20" customFormat="1" ht="12" x14ac:dyDescent="0.25">
      <c r="A2953" s="22">
        <v>1000109797</v>
      </c>
      <c r="B2953" s="23" t="s">
        <v>4611</v>
      </c>
      <c r="C2953" s="24" t="s">
        <v>4</v>
      </c>
      <c r="D2953" s="23" t="s">
        <v>2056</v>
      </c>
      <c r="E2953" s="23">
        <v>2.74</v>
      </c>
      <c r="F2953" s="23">
        <v>2</v>
      </c>
      <c r="G2953" s="23">
        <v>2</v>
      </c>
      <c r="H2953" s="23">
        <v>0</v>
      </c>
      <c r="I2953" s="23" t="s">
        <v>5</v>
      </c>
      <c r="J2953" s="23" t="s">
        <v>1844</v>
      </c>
    </row>
    <row r="2954" spans="1:10" s="20" customFormat="1" ht="12" x14ac:dyDescent="0.25">
      <c r="A2954" s="22">
        <v>2500009440</v>
      </c>
      <c r="B2954" s="23" t="s">
        <v>4613</v>
      </c>
      <c r="C2954" s="24" t="s">
        <v>1996</v>
      </c>
      <c r="D2954" s="23" t="s">
        <v>2289</v>
      </c>
      <c r="E2954" s="23">
        <v>1.875</v>
      </c>
      <c r="F2954" s="23">
        <v>1</v>
      </c>
      <c r="G2954" s="23">
        <v>1</v>
      </c>
      <c r="H2954" s="23">
        <v>0</v>
      </c>
      <c r="I2954" s="23" t="s">
        <v>5</v>
      </c>
      <c r="J2954" s="23" t="s">
        <v>1993</v>
      </c>
    </row>
    <row r="2955" spans="1:10" s="20" customFormat="1" ht="12" x14ac:dyDescent="0.25">
      <c r="A2955" s="22">
        <v>1000010240</v>
      </c>
      <c r="B2955" s="23" t="s">
        <v>4614</v>
      </c>
      <c r="C2955" s="24" t="s">
        <v>4</v>
      </c>
      <c r="D2955" s="23" t="s">
        <v>2230</v>
      </c>
      <c r="E2955" s="23">
        <v>0</v>
      </c>
      <c r="F2955" s="23">
        <v>3</v>
      </c>
      <c r="G2955" s="23">
        <v>3</v>
      </c>
      <c r="H2955" s="23">
        <v>0</v>
      </c>
      <c r="I2955" s="23" t="s">
        <v>5</v>
      </c>
      <c r="J2955" s="23" t="s">
        <v>111</v>
      </c>
    </row>
    <row r="2956" spans="1:10" s="20" customFormat="1" ht="12" x14ac:dyDescent="0.25">
      <c r="A2956" s="22">
        <v>1000021220</v>
      </c>
      <c r="B2956" s="23" t="s">
        <v>1366</v>
      </c>
      <c r="C2956" s="24" t="s">
        <v>4</v>
      </c>
      <c r="D2956" s="23" t="s">
        <v>2090</v>
      </c>
      <c r="E2956" s="23">
        <v>0</v>
      </c>
      <c r="F2956" s="23">
        <v>4</v>
      </c>
      <c r="G2956" s="23">
        <v>4</v>
      </c>
      <c r="H2956" s="23">
        <v>0</v>
      </c>
      <c r="I2956" s="23" t="s">
        <v>5</v>
      </c>
      <c r="J2956" s="23" t="s">
        <v>327</v>
      </c>
    </row>
    <row r="2957" spans="1:10" s="20" customFormat="1" ht="12" x14ac:dyDescent="0.25">
      <c r="A2957" s="22">
        <v>1000010108</v>
      </c>
      <c r="B2957" s="23" t="s">
        <v>4618</v>
      </c>
      <c r="C2957" s="24" t="s">
        <v>4</v>
      </c>
      <c r="D2957" s="23" t="s">
        <v>2161</v>
      </c>
      <c r="E2957" s="23">
        <v>0</v>
      </c>
      <c r="F2957" s="23">
        <v>8</v>
      </c>
      <c r="G2957" s="23">
        <v>8</v>
      </c>
      <c r="H2957" s="23">
        <v>0</v>
      </c>
      <c r="I2957" s="23" t="s">
        <v>5</v>
      </c>
      <c r="J2957" s="23" t="s">
        <v>111</v>
      </c>
    </row>
    <row r="2958" spans="1:10" s="20" customFormat="1" ht="12" x14ac:dyDescent="0.25">
      <c r="A2958" s="22">
        <v>1000010134</v>
      </c>
      <c r="B2958" s="23" t="s">
        <v>121</v>
      </c>
      <c r="C2958" s="24" t="s">
        <v>4</v>
      </c>
      <c r="D2958" s="23" t="s">
        <v>2161</v>
      </c>
      <c r="E2958" s="23">
        <v>0</v>
      </c>
      <c r="F2958" s="23">
        <v>8</v>
      </c>
      <c r="G2958" s="23">
        <v>8</v>
      </c>
      <c r="H2958" s="23">
        <v>0</v>
      </c>
      <c r="I2958" s="23" t="s">
        <v>5</v>
      </c>
      <c r="J2958" s="23" t="s">
        <v>111</v>
      </c>
    </row>
    <row r="2959" spans="1:10" s="20" customFormat="1" ht="12" x14ac:dyDescent="0.25">
      <c r="A2959" s="22">
        <v>1000020009</v>
      </c>
      <c r="B2959" s="23" t="s">
        <v>4621</v>
      </c>
      <c r="C2959" s="24" t="s">
        <v>4</v>
      </c>
      <c r="D2959" s="23" t="s">
        <v>2090</v>
      </c>
      <c r="E2959" s="23">
        <v>0</v>
      </c>
      <c r="F2959" s="23">
        <v>2</v>
      </c>
      <c r="G2959" s="23">
        <v>2</v>
      </c>
      <c r="H2959" s="23">
        <v>0</v>
      </c>
      <c r="I2959" s="23" t="s">
        <v>5</v>
      </c>
      <c r="J2959" s="23" t="s">
        <v>327</v>
      </c>
    </row>
    <row r="2960" spans="1:10" s="20" customFormat="1" ht="12" x14ac:dyDescent="0.25">
      <c r="A2960" s="22">
        <v>1000010094</v>
      </c>
      <c r="B2960" s="23" t="s">
        <v>115</v>
      </c>
      <c r="C2960" s="24" t="s">
        <v>4</v>
      </c>
      <c r="D2960" s="23" t="s">
        <v>2161</v>
      </c>
      <c r="E2960" s="23">
        <v>0</v>
      </c>
      <c r="F2960" s="23">
        <v>1</v>
      </c>
      <c r="G2960" s="23">
        <v>1</v>
      </c>
      <c r="H2960" s="23">
        <v>0</v>
      </c>
      <c r="I2960" s="23" t="s">
        <v>5</v>
      </c>
      <c r="J2960" s="23" t="s">
        <v>111</v>
      </c>
    </row>
    <row r="2961" spans="1:10" s="20" customFormat="1" ht="12" x14ac:dyDescent="0.25">
      <c r="A2961" s="22">
        <v>1000010107</v>
      </c>
      <c r="B2961" s="23" t="s">
        <v>4628</v>
      </c>
      <c r="C2961" s="24" t="s">
        <v>4</v>
      </c>
      <c r="D2961" s="23" t="s">
        <v>2161</v>
      </c>
      <c r="E2961" s="23">
        <v>0</v>
      </c>
      <c r="F2961" s="23">
        <v>8</v>
      </c>
      <c r="G2961" s="23">
        <v>8</v>
      </c>
      <c r="H2961" s="23">
        <v>0</v>
      </c>
      <c r="I2961" s="23" t="s">
        <v>5</v>
      </c>
      <c r="J2961" s="23" t="s">
        <v>111</v>
      </c>
    </row>
    <row r="2962" spans="1:10" s="20" customFormat="1" ht="12" x14ac:dyDescent="0.25">
      <c r="A2962" s="22">
        <v>1000010138</v>
      </c>
      <c r="B2962" s="23" t="s">
        <v>4629</v>
      </c>
      <c r="C2962" s="24" t="s">
        <v>4</v>
      </c>
      <c r="D2962" s="23" t="s">
        <v>2161</v>
      </c>
      <c r="E2962" s="23">
        <v>0</v>
      </c>
      <c r="F2962" s="23">
        <v>1</v>
      </c>
      <c r="G2962" s="23">
        <v>1</v>
      </c>
      <c r="H2962" s="23">
        <v>0</v>
      </c>
      <c r="I2962" s="23" t="s">
        <v>5</v>
      </c>
      <c r="J2962" s="23" t="s">
        <v>111</v>
      </c>
    </row>
    <row r="2963" spans="1:10" s="20" customFormat="1" ht="12" x14ac:dyDescent="0.25">
      <c r="A2963" s="22">
        <v>1000021079</v>
      </c>
      <c r="B2963" s="23" t="s">
        <v>1241</v>
      </c>
      <c r="C2963" s="24" t="s">
        <v>4</v>
      </c>
      <c r="D2963" s="23" t="s">
        <v>2090</v>
      </c>
      <c r="E2963" s="23">
        <v>0</v>
      </c>
      <c r="F2963" s="23">
        <v>1</v>
      </c>
      <c r="G2963" s="23">
        <v>1</v>
      </c>
      <c r="H2963" s="23">
        <v>0</v>
      </c>
      <c r="I2963" s="23" t="s">
        <v>5</v>
      </c>
      <c r="J2963" s="23" t="s">
        <v>327</v>
      </c>
    </row>
    <row r="2964" spans="1:10" s="20" customFormat="1" ht="12" x14ac:dyDescent="0.25">
      <c r="A2964" s="22">
        <v>1000020014</v>
      </c>
      <c r="B2964" s="23" t="s">
        <v>4631</v>
      </c>
      <c r="C2964" s="24" t="s">
        <v>4</v>
      </c>
      <c r="D2964" s="23" t="s">
        <v>2090</v>
      </c>
      <c r="E2964" s="23">
        <v>0</v>
      </c>
      <c r="F2964" s="23">
        <v>1</v>
      </c>
      <c r="G2964" s="23">
        <v>1</v>
      </c>
      <c r="H2964" s="23">
        <v>0</v>
      </c>
      <c r="I2964" s="23" t="s">
        <v>5</v>
      </c>
      <c r="J2964" s="23" t="s">
        <v>327</v>
      </c>
    </row>
    <row r="2965" spans="1:10" s="20" customFormat="1" ht="12" x14ac:dyDescent="0.25">
      <c r="A2965" s="22">
        <v>1000095476</v>
      </c>
      <c r="B2965" s="23" t="s">
        <v>4632</v>
      </c>
      <c r="C2965" s="24" t="s">
        <v>4</v>
      </c>
      <c r="D2965" s="23" t="s">
        <v>2056</v>
      </c>
      <c r="E2965" s="23">
        <v>0</v>
      </c>
      <c r="F2965" s="23">
        <v>1</v>
      </c>
      <c r="G2965" s="23">
        <v>1</v>
      </c>
      <c r="H2965" s="23">
        <v>0</v>
      </c>
      <c r="I2965" s="23" t="s">
        <v>5</v>
      </c>
      <c r="J2965" s="23" t="s">
        <v>1844</v>
      </c>
    </row>
    <row r="2966" spans="1:10" s="20" customFormat="1" ht="12" x14ac:dyDescent="0.25">
      <c r="A2966" s="22">
        <v>1000021206</v>
      </c>
      <c r="B2966" s="23" t="s">
        <v>1352</v>
      </c>
      <c r="C2966" s="24" t="s">
        <v>4</v>
      </c>
      <c r="D2966" s="23" t="s">
        <v>2090</v>
      </c>
      <c r="E2966" s="23">
        <v>0</v>
      </c>
      <c r="F2966" s="23">
        <v>6</v>
      </c>
      <c r="G2966" s="23">
        <v>6</v>
      </c>
      <c r="H2966" s="23">
        <v>0</v>
      </c>
      <c r="I2966" s="23" t="s">
        <v>5</v>
      </c>
      <c r="J2966" s="23" t="s">
        <v>327</v>
      </c>
    </row>
    <row r="2967" spans="1:10" s="20" customFormat="1" ht="12" x14ac:dyDescent="0.25">
      <c r="A2967" s="22">
        <v>1000010137</v>
      </c>
      <c r="B2967" s="23" t="s">
        <v>4629</v>
      </c>
      <c r="C2967" s="24" t="s">
        <v>4</v>
      </c>
      <c r="D2967" s="23" t="s">
        <v>2161</v>
      </c>
      <c r="E2967" s="23">
        <v>0</v>
      </c>
      <c r="F2967" s="23">
        <v>1</v>
      </c>
      <c r="G2967" s="23">
        <v>1</v>
      </c>
      <c r="H2967" s="23">
        <v>0</v>
      </c>
      <c r="I2967" s="23" t="s">
        <v>5</v>
      </c>
      <c r="J2967" s="23" t="s">
        <v>111</v>
      </c>
    </row>
    <row r="2968" spans="1:10" s="20" customFormat="1" ht="12" x14ac:dyDescent="0.25">
      <c r="A2968" s="22">
        <v>1000021297</v>
      </c>
      <c r="B2968" s="23" t="s">
        <v>1432</v>
      </c>
      <c r="C2968" s="24" t="s">
        <v>4</v>
      </c>
      <c r="D2968" s="23" t="s">
        <v>2090</v>
      </c>
      <c r="E2968" s="23">
        <v>0</v>
      </c>
      <c r="F2968" s="23">
        <v>4</v>
      </c>
      <c r="G2968" s="23">
        <v>4</v>
      </c>
      <c r="H2968" s="23">
        <v>0</v>
      </c>
      <c r="I2968" s="23" t="s">
        <v>5</v>
      </c>
      <c r="J2968" s="23" t="s">
        <v>327</v>
      </c>
    </row>
    <row r="2969" spans="1:10" s="20" customFormat="1" ht="12" x14ac:dyDescent="0.25">
      <c r="A2969" s="22">
        <v>1000010092</v>
      </c>
      <c r="B2969" s="23" t="s">
        <v>114</v>
      </c>
      <c r="C2969" s="24" t="s">
        <v>4</v>
      </c>
      <c r="D2969" s="23" t="s">
        <v>2161</v>
      </c>
      <c r="E2969" s="23">
        <v>0</v>
      </c>
      <c r="F2969" s="23">
        <v>3</v>
      </c>
      <c r="G2969" s="23">
        <v>3</v>
      </c>
      <c r="H2969" s="23">
        <v>0</v>
      </c>
      <c r="I2969" s="23" t="s">
        <v>5</v>
      </c>
      <c r="J2969" s="23" t="s">
        <v>111</v>
      </c>
    </row>
    <row r="2970" spans="1:10" s="20" customFormat="1" ht="12" x14ac:dyDescent="0.25">
      <c r="A2970" s="22">
        <v>1000020008</v>
      </c>
      <c r="B2970" s="23" t="s">
        <v>4639</v>
      </c>
      <c r="C2970" s="24" t="s">
        <v>4</v>
      </c>
      <c r="D2970" s="23" t="s">
        <v>2090</v>
      </c>
      <c r="E2970" s="23">
        <v>0</v>
      </c>
      <c r="F2970" s="23">
        <v>2</v>
      </c>
      <c r="G2970" s="23">
        <v>2</v>
      </c>
      <c r="H2970" s="23">
        <v>0</v>
      </c>
      <c r="I2970" s="23" t="s">
        <v>5</v>
      </c>
      <c r="J2970" s="23" t="s">
        <v>327</v>
      </c>
    </row>
    <row r="2971" spans="1:10" s="20" customFormat="1" ht="12" x14ac:dyDescent="0.25">
      <c r="A2971" s="22">
        <v>1000021224</v>
      </c>
      <c r="B2971" s="23" t="s">
        <v>1370</v>
      </c>
      <c r="C2971" s="24" t="s">
        <v>4</v>
      </c>
      <c r="D2971" s="23" t="s">
        <v>2090</v>
      </c>
      <c r="E2971" s="23">
        <v>0</v>
      </c>
      <c r="F2971" s="23">
        <v>12</v>
      </c>
      <c r="G2971" s="23">
        <v>12</v>
      </c>
      <c r="H2971" s="23">
        <v>0</v>
      </c>
      <c r="I2971" s="23" t="s">
        <v>5</v>
      </c>
      <c r="J2971" s="23" t="s">
        <v>327</v>
      </c>
    </row>
    <row r="2972" spans="1:10" s="20" customFormat="1" ht="12" x14ac:dyDescent="0.25">
      <c r="A2972" s="22">
        <v>1000021296</v>
      </c>
      <c r="B2972" s="23" t="s">
        <v>1431</v>
      </c>
      <c r="C2972" s="24" t="s">
        <v>4</v>
      </c>
      <c r="D2972" s="23" t="s">
        <v>2090</v>
      </c>
      <c r="E2972" s="23">
        <v>0</v>
      </c>
      <c r="F2972" s="23">
        <v>1</v>
      </c>
      <c r="G2972" s="23">
        <v>1</v>
      </c>
      <c r="H2972" s="23">
        <v>0</v>
      </c>
      <c r="I2972" s="23" t="s">
        <v>5</v>
      </c>
      <c r="J2972" s="23" t="s">
        <v>327</v>
      </c>
    </row>
    <row r="2973" spans="1:10" s="20" customFormat="1" ht="12" x14ac:dyDescent="0.25">
      <c r="A2973" s="22">
        <v>1000010111</v>
      </c>
      <c r="B2973" s="23" t="s">
        <v>119</v>
      </c>
      <c r="C2973" s="24" t="s">
        <v>4</v>
      </c>
      <c r="D2973" s="23" t="s">
        <v>2161</v>
      </c>
      <c r="E2973" s="23">
        <v>0</v>
      </c>
      <c r="F2973" s="23">
        <v>6</v>
      </c>
      <c r="G2973" s="23">
        <v>6</v>
      </c>
      <c r="H2973" s="23">
        <v>0</v>
      </c>
      <c r="I2973" s="23" t="s">
        <v>5</v>
      </c>
      <c r="J2973" s="23" t="s">
        <v>111</v>
      </c>
    </row>
    <row r="2974" spans="1:10" s="20" customFormat="1" ht="12" x14ac:dyDescent="0.25">
      <c r="A2974" s="22">
        <v>1000020924</v>
      </c>
      <c r="B2974" s="23" t="s">
        <v>1104</v>
      </c>
      <c r="C2974" s="24" t="s">
        <v>4</v>
      </c>
      <c r="D2974" s="23" t="s">
        <v>2090</v>
      </c>
      <c r="E2974" s="23">
        <v>0</v>
      </c>
      <c r="F2974" s="23">
        <v>4</v>
      </c>
      <c r="G2974" s="23">
        <v>4</v>
      </c>
      <c r="H2974" s="23">
        <v>0</v>
      </c>
      <c r="I2974" s="23" t="s">
        <v>5</v>
      </c>
      <c r="J2974" s="23" t="s">
        <v>327</v>
      </c>
    </row>
    <row r="2975" spans="1:10" s="20" customFormat="1" ht="12" x14ac:dyDescent="0.25">
      <c r="A2975" s="22">
        <v>1000104237</v>
      </c>
      <c r="B2975" s="23" t="s">
        <v>4644</v>
      </c>
      <c r="C2975" s="24" t="s">
        <v>4</v>
      </c>
      <c r="D2975" s="23" t="s">
        <v>2090</v>
      </c>
      <c r="E2975" s="23">
        <v>0</v>
      </c>
      <c r="F2975" s="23">
        <v>1</v>
      </c>
      <c r="G2975" s="23">
        <v>1</v>
      </c>
      <c r="H2975" s="23">
        <v>0</v>
      </c>
      <c r="I2975" s="23" t="s">
        <v>5</v>
      </c>
      <c r="J2975" s="23" t="s">
        <v>327</v>
      </c>
    </row>
    <row r="2976" spans="1:10" s="20" customFormat="1" ht="12" x14ac:dyDescent="0.25">
      <c r="A2976" s="22">
        <v>1000020913</v>
      </c>
      <c r="B2976" s="23" t="s">
        <v>1093</v>
      </c>
      <c r="C2976" s="24" t="s">
        <v>4</v>
      </c>
      <c r="D2976" s="23" t="s">
        <v>2090</v>
      </c>
      <c r="E2976" s="23">
        <v>0</v>
      </c>
      <c r="F2976" s="23">
        <v>1</v>
      </c>
      <c r="G2976" s="23">
        <v>1</v>
      </c>
      <c r="H2976" s="23">
        <v>0</v>
      </c>
      <c r="I2976" s="23" t="s">
        <v>5</v>
      </c>
      <c r="J2976" s="23" t="s">
        <v>327</v>
      </c>
    </row>
    <row r="2977" spans="1:10" s="20" customFormat="1" ht="12" x14ac:dyDescent="0.25">
      <c r="A2977" s="22">
        <v>1000010090</v>
      </c>
      <c r="B2977" s="23" t="s">
        <v>4645</v>
      </c>
      <c r="C2977" s="24" t="s">
        <v>4</v>
      </c>
      <c r="D2977" s="23" t="s">
        <v>2161</v>
      </c>
      <c r="E2977" s="23">
        <v>0</v>
      </c>
      <c r="F2977" s="23">
        <v>5</v>
      </c>
      <c r="G2977" s="23">
        <v>5</v>
      </c>
      <c r="H2977" s="23">
        <v>0</v>
      </c>
      <c r="I2977" s="23" t="s">
        <v>5</v>
      </c>
      <c r="J2977" s="23" t="s">
        <v>111</v>
      </c>
    </row>
    <row r="2978" spans="1:10" s="20" customFormat="1" ht="12" x14ac:dyDescent="0.25">
      <c r="A2978" s="22">
        <v>1000020015</v>
      </c>
      <c r="B2978" s="23" t="s">
        <v>4646</v>
      </c>
      <c r="C2978" s="24" t="s">
        <v>4</v>
      </c>
      <c r="D2978" s="23" t="s">
        <v>2090</v>
      </c>
      <c r="E2978" s="23">
        <v>0</v>
      </c>
      <c r="F2978" s="23">
        <v>1</v>
      </c>
      <c r="G2978" s="23">
        <v>1</v>
      </c>
      <c r="H2978" s="23">
        <v>0</v>
      </c>
      <c r="I2978" s="23" t="s">
        <v>5</v>
      </c>
      <c r="J2978" s="23" t="s">
        <v>327</v>
      </c>
    </row>
    <row r="2979" spans="1:10" s="20" customFormat="1" ht="12" x14ac:dyDescent="0.25">
      <c r="A2979" s="22">
        <v>1000020369</v>
      </c>
      <c r="B2979" s="23" t="s">
        <v>601</v>
      </c>
      <c r="C2979" s="24" t="s">
        <v>4</v>
      </c>
      <c r="D2979" s="23" t="s">
        <v>2090</v>
      </c>
      <c r="E2979" s="23">
        <v>0</v>
      </c>
      <c r="F2979" s="23">
        <v>2</v>
      </c>
      <c r="G2979" s="23">
        <v>2</v>
      </c>
      <c r="H2979" s="23">
        <v>0</v>
      </c>
      <c r="I2979" s="23" t="s">
        <v>5</v>
      </c>
      <c r="J2979" s="23" t="s">
        <v>327</v>
      </c>
    </row>
    <row r="2980" spans="1:10" s="20" customFormat="1" ht="12" x14ac:dyDescent="0.25">
      <c r="A2980" s="22">
        <v>1000093493</v>
      </c>
      <c r="B2980" s="23" t="s">
        <v>4647</v>
      </c>
      <c r="C2980" s="24" t="s">
        <v>4</v>
      </c>
      <c r="D2980" s="23" t="s">
        <v>2090</v>
      </c>
      <c r="E2980" s="23">
        <v>0</v>
      </c>
      <c r="F2980" s="23">
        <v>1</v>
      </c>
      <c r="G2980" s="23">
        <v>1</v>
      </c>
      <c r="H2980" s="23">
        <v>0</v>
      </c>
      <c r="I2980" s="23" t="s">
        <v>5</v>
      </c>
      <c r="J2980" s="23" t="s">
        <v>327</v>
      </c>
    </row>
    <row r="2981" spans="1:10" s="20" customFormat="1" ht="12" x14ac:dyDescent="0.25">
      <c r="A2981" s="22">
        <v>1000021192</v>
      </c>
      <c r="B2981" s="23" t="s">
        <v>1339</v>
      </c>
      <c r="C2981" s="24" t="s">
        <v>4</v>
      </c>
      <c r="D2981" s="23" t="s">
        <v>2090</v>
      </c>
      <c r="E2981" s="23">
        <v>0</v>
      </c>
      <c r="F2981" s="23">
        <v>2</v>
      </c>
      <c r="G2981" s="23">
        <v>2</v>
      </c>
      <c r="H2981" s="23">
        <v>0</v>
      </c>
      <c r="I2981" s="23" t="s">
        <v>5</v>
      </c>
      <c r="J2981" s="23" t="s">
        <v>327</v>
      </c>
    </row>
    <row r="2982" spans="1:10" s="20" customFormat="1" ht="12" x14ac:dyDescent="0.25">
      <c r="A2982" s="22">
        <v>1000020018</v>
      </c>
      <c r="B2982" s="23" t="s">
        <v>4650</v>
      </c>
      <c r="C2982" s="24" t="s">
        <v>4</v>
      </c>
      <c r="D2982" s="23" t="s">
        <v>2090</v>
      </c>
      <c r="E2982" s="23">
        <v>0</v>
      </c>
      <c r="F2982" s="23">
        <v>2</v>
      </c>
      <c r="G2982" s="23">
        <v>2</v>
      </c>
      <c r="H2982" s="23">
        <v>0</v>
      </c>
      <c r="I2982" s="23" t="s">
        <v>5</v>
      </c>
      <c r="J2982" s="23" t="s">
        <v>327</v>
      </c>
    </row>
    <row r="2983" spans="1:10" s="20" customFormat="1" ht="12" x14ac:dyDescent="0.25">
      <c r="A2983" s="22">
        <v>1000020456</v>
      </c>
      <c r="B2983" s="23" t="s">
        <v>682</v>
      </c>
      <c r="C2983" s="24" t="s">
        <v>4</v>
      </c>
      <c r="D2983" s="23" t="s">
        <v>2090</v>
      </c>
      <c r="E2983" s="23">
        <v>0</v>
      </c>
      <c r="F2983" s="23">
        <v>1</v>
      </c>
      <c r="G2983" s="23">
        <v>1</v>
      </c>
      <c r="H2983" s="23">
        <v>0</v>
      </c>
      <c r="I2983" s="23" t="s">
        <v>5</v>
      </c>
      <c r="J2983" s="23" t="s">
        <v>327</v>
      </c>
    </row>
    <row r="2984" spans="1:10" s="20" customFormat="1" ht="12" x14ac:dyDescent="0.25">
      <c r="A2984" s="22">
        <v>1000020020</v>
      </c>
      <c r="B2984" s="23" t="s">
        <v>4654</v>
      </c>
      <c r="C2984" s="24" t="s">
        <v>4</v>
      </c>
      <c r="D2984" s="23" t="s">
        <v>2090</v>
      </c>
      <c r="E2984" s="23">
        <v>0</v>
      </c>
      <c r="F2984" s="23">
        <v>2</v>
      </c>
      <c r="G2984" s="23">
        <v>2</v>
      </c>
      <c r="H2984" s="23">
        <v>0</v>
      </c>
      <c r="I2984" s="23" t="s">
        <v>5</v>
      </c>
      <c r="J2984" s="23" t="s">
        <v>327</v>
      </c>
    </row>
    <row r="2985" spans="1:10" s="20" customFormat="1" ht="12" x14ac:dyDescent="0.25">
      <c r="A2985" s="22">
        <v>1000021313</v>
      </c>
      <c r="B2985" s="23" t="s">
        <v>1445</v>
      </c>
      <c r="C2985" s="24" t="s">
        <v>4</v>
      </c>
      <c r="D2985" s="23" t="s">
        <v>2090</v>
      </c>
      <c r="E2985" s="23">
        <v>0</v>
      </c>
      <c r="F2985" s="23">
        <v>8</v>
      </c>
      <c r="G2985" s="23">
        <v>8</v>
      </c>
      <c r="H2985" s="23">
        <v>0</v>
      </c>
      <c r="I2985" s="23" t="s">
        <v>5</v>
      </c>
      <c r="J2985" s="23" t="s">
        <v>327</v>
      </c>
    </row>
    <row r="2986" spans="1:10" s="20" customFormat="1" ht="12" x14ac:dyDescent="0.25">
      <c r="A2986" s="22">
        <v>1000010129</v>
      </c>
      <c r="B2986" s="23" t="s">
        <v>4655</v>
      </c>
      <c r="C2986" s="24" t="s">
        <v>4</v>
      </c>
      <c r="D2986" s="23" t="s">
        <v>2161</v>
      </c>
      <c r="E2986" s="23">
        <v>0</v>
      </c>
      <c r="F2986" s="23">
        <v>30</v>
      </c>
      <c r="G2986" s="23">
        <v>30</v>
      </c>
      <c r="H2986" s="23">
        <v>0</v>
      </c>
      <c r="I2986" s="23" t="s">
        <v>5</v>
      </c>
      <c r="J2986" s="23" t="s">
        <v>111</v>
      </c>
    </row>
    <row r="2987" spans="1:10" s="20" customFormat="1" ht="12" x14ac:dyDescent="0.25">
      <c r="A2987" s="22">
        <v>1000020554</v>
      </c>
      <c r="B2987" s="23" t="s">
        <v>772</v>
      </c>
      <c r="C2987" s="24" t="s">
        <v>4</v>
      </c>
      <c r="D2987" s="23" t="s">
        <v>2090</v>
      </c>
      <c r="E2987" s="23">
        <v>0</v>
      </c>
      <c r="F2987" s="23">
        <v>10</v>
      </c>
      <c r="G2987" s="23">
        <v>10</v>
      </c>
      <c r="H2987" s="23">
        <v>0</v>
      </c>
      <c r="I2987" s="23" t="s">
        <v>5</v>
      </c>
      <c r="J2987" s="23" t="s">
        <v>327</v>
      </c>
    </row>
    <row r="2988" spans="1:10" s="20" customFormat="1" ht="12" x14ac:dyDescent="0.25">
      <c r="A2988" s="22">
        <v>1000010104</v>
      </c>
      <c r="B2988" s="23" t="s">
        <v>4657</v>
      </c>
      <c r="C2988" s="24" t="s">
        <v>4</v>
      </c>
      <c r="D2988" s="23" t="s">
        <v>2161</v>
      </c>
      <c r="E2988" s="23">
        <v>0</v>
      </c>
      <c r="F2988" s="23">
        <v>6</v>
      </c>
      <c r="G2988" s="23">
        <v>6</v>
      </c>
      <c r="H2988" s="23">
        <v>0</v>
      </c>
      <c r="I2988" s="23" t="s">
        <v>5</v>
      </c>
      <c r="J2988" s="23" t="s">
        <v>111</v>
      </c>
    </row>
    <row r="2989" spans="1:10" s="20" customFormat="1" ht="12" x14ac:dyDescent="0.25">
      <c r="A2989" s="22">
        <v>1000021298</v>
      </c>
      <c r="B2989" s="23" t="s">
        <v>1433</v>
      </c>
      <c r="C2989" s="24" t="s">
        <v>4</v>
      </c>
      <c r="D2989" s="23" t="s">
        <v>2090</v>
      </c>
      <c r="E2989" s="23">
        <v>0</v>
      </c>
      <c r="F2989" s="23">
        <v>1</v>
      </c>
      <c r="G2989" s="23">
        <v>1</v>
      </c>
      <c r="H2989" s="23">
        <v>0</v>
      </c>
      <c r="I2989" s="23" t="s">
        <v>5</v>
      </c>
      <c r="J2989" s="23" t="s">
        <v>327</v>
      </c>
    </row>
    <row r="2990" spans="1:10" s="20" customFormat="1" ht="12" x14ac:dyDescent="0.25">
      <c r="A2990" s="22">
        <v>1000020610</v>
      </c>
      <c r="B2990" s="23" t="s">
        <v>826</v>
      </c>
      <c r="C2990" s="24" t="s">
        <v>4</v>
      </c>
      <c r="D2990" s="23" t="s">
        <v>2090</v>
      </c>
      <c r="E2990" s="23">
        <v>0</v>
      </c>
      <c r="F2990" s="23">
        <v>1</v>
      </c>
      <c r="G2990" s="23">
        <v>1</v>
      </c>
      <c r="H2990" s="23">
        <v>0</v>
      </c>
      <c r="I2990" s="23" t="s">
        <v>5</v>
      </c>
      <c r="J2990" s="23" t="s">
        <v>327</v>
      </c>
    </row>
    <row r="2991" spans="1:10" s="20" customFormat="1" ht="12" x14ac:dyDescent="0.25">
      <c r="A2991" s="22">
        <v>1000021143</v>
      </c>
      <c r="B2991" s="23" t="s">
        <v>1294</v>
      </c>
      <c r="C2991" s="24" t="s">
        <v>4</v>
      </c>
      <c r="D2991" s="23" t="s">
        <v>2090</v>
      </c>
      <c r="E2991" s="23">
        <v>0</v>
      </c>
      <c r="F2991" s="23">
        <v>2</v>
      </c>
      <c r="G2991" s="23">
        <v>2</v>
      </c>
      <c r="H2991" s="23">
        <v>0</v>
      </c>
      <c r="I2991" s="23" t="s">
        <v>5</v>
      </c>
      <c r="J2991" s="23" t="s">
        <v>327</v>
      </c>
    </row>
    <row r="2992" spans="1:10" s="20" customFormat="1" ht="12" x14ac:dyDescent="0.25">
      <c r="A2992" s="22">
        <v>1000021045</v>
      </c>
      <c r="B2992" s="23" t="s">
        <v>1215</v>
      </c>
      <c r="C2992" s="24" t="s">
        <v>4</v>
      </c>
      <c r="D2992" s="23" t="s">
        <v>2090</v>
      </c>
      <c r="E2992" s="23">
        <v>0</v>
      </c>
      <c r="F2992" s="23">
        <v>4</v>
      </c>
      <c r="G2992" s="23">
        <v>4</v>
      </c>
      <c r="H2992" s="23">
        <v>0</v>
      </c>
      <c r="I2992" s="23" t="s">
        <v>5</v>
      </c>
      <c r="J2992" s="23" t="s">
        <v>327</v>
      </c>
    </row>
    <row r="2993" spans="1:10" s="20" customFormat="1" ht="12" x14ac:dyDescent="0.25">
      <c r="A2993" s="22">
        <v>1000093882</v>
      </c>
      <c r="B2993" s="23" t="s">
        <v>4660</v>
      </c>
      <c r="C2993" s="24" t="s">
        <v>4</v>
      </c>
      <c r="D2993" s="23" t="s">
        <v>2161</v>
      </c>
      <c r="E2993" s="23">
        <v>0</v>
      </c>
      <c r="F2993" s="23">
        <v>6</v>
      </c>
      <c r="G2993" s="23">
        <v>6</v>
      </c>
      <c r="H2993" s="23">
        <v>0</v>
      </c>
      <c r="I2993" s="23" t="s">
        <v>5</v>
      </c>
      <c r="J2993" s="23" t="s">
        <v>111</v>
      </c>
    </row>
    <row r="2994" spans="1:10" s="20" customFormat="1" ht="12" x14ac:dyDescent="0.25">
      <c r="A2994" s="22">
        <v>1000010144</v>
      </c>
      <c r="B2994" s="23" t="s">
        <v>4662</v>
      </c>
      <c r="C2994" s="24" t="s">
        <v>4</v>
      </c>
      <c r="D2994" s="23" t="s">
        <v>2161</v>
      </c>
      <c r="E2994" s="23">
        <v>0</v>
      </c>
      <c r="F2994" s="23">
        <v>3</v>
      </c>
      <c r="G2994" s="23">
        <v>3</v>
      </c>
      <c r="H2994" s="23">
        <v>0</v>
      </c>
      <c r="I2994" s="23" t="s">
        <v>5</v>
      </c>
      <c r="J2994" s="23" t="s">
        <v>111</v>
      </c>
    </row>
    <row r="2995" spans="1:10" s="20" customFormat="1" ht="12" x14ac:dyDescent="0.25">
      <c r="A2995" s="22">
        <v>1000020889</v>
      </c>
      <c r="B2995" s="23" t="s">
        <v>1071</v>
      </c>
      <c r="C2995" s="24" t="s">
        <v>4</v>
      </c>
      <c r="D2995" s="23" t="s">
        <v>2090</v>
      </c>
      <c r="E2995" s="23">
        <v>0</v>
      </c>
      <c r="F2995" s="23">
        <v>2</v>
      </c>
      <c r="G2995" s="23">
        <v>2</v>
      </c>
      <c r="H2995" s="23">
        <v>0</v>
      </c>
      <c r="I2995" s="23" t="s">
        <v>5</v>
      </c>
      <c r="J2995" s="23" t="s">
        <v>327</v>
      </c>
    </row>
    <row r="2996" spans="1:10" s="20" customFormat="1" ht="12" x14ac:dyDescent="0.25">
      <c r="A2996" s="22">
        <v>1000010101</v>
      </c>
      <c r="B2996" s="23" t="s">
        <v>117</v>
      </c>
      <c r="C2996" s="24" t="s">
        <v>4</v>
      </c>
      <c r="D2996" s="23" t="s">
        <v>2161</v>
      </c>
      <c r="E2996" s="23">
        <v>0</v>
      </c>
      <c r="F2996" s="23">
        <v>5</v>
      </c>
      <c r="G2996" s="23">
        <v>5</v>
      </c>
      <c r="H2996" s="23">
        <v>0</v>
      </c>
      <c r="I2996" s="23" t="s">
        <v>5</v>
      </c>
      <c r="J2996" s="23" t="s">
        <v>111</v>
      </c>
    </row>
    <row r="2997" spans="1:10" s="20" customFormat="1" ht="12" x14ac:dyDescent="0.25">
      <c r="A2997" s="22">
        <v>1000010106</v>
      </c>
      <c r="B2997" s="23" t="s">
        <v>4663</v>
      </c>
      <c r="C2997" s="24" t="s">
        <v>4</v>
      </c>
      <c r="D2997" s="23" t="s">
        <v>2161</v>
      </c>
      <c r="E2997" s="23">
        <v>0</v>
      </c>
      <c r="F2997" s="23">
        <v>5</v>
      </c>
      <c r="G2997" s="23">
        <v>5</v>
      </c>
      <c r="H2997" s="23">
        <v>0</v>
      </c>
      <c r="I2997" s="23" t="s">
        <v>5</v>
      </c>
      <c r="J2997" s="23" t="s">
        <v>111</v>
      </c>
    </row>
    <row r="2998" spans="1:10" s="20" customFormat="1" ht="12" x14ac:dyDescent="0.25">
      <c r="A2998" s="22">
        <v>1000010098</v>
      </c>
      <c r="B2998" s="23" t="s">
        <v>4664</v>
      </c>
      <c r="C2998" s="24" t="s">
        <v>4</v>
      </c>
      <c r="D2998" s="23" t="s">
        <v>2161</v>
      </c>
      <c r="E2998" s="23">
        <v>0</v>
      </c>
      <c r="F2998" s="23">
        <v>5</v>
      </c>
      <c r="G2998" s="23">
        <v>5</v>
      </c>
      <c r="H2998" s="23">
        <v>0</v>
      </c>
      <c r="I2998" s="23" t="s">
        <v>5</v>
      </c>
      <c r="J2998" s="23" t="s">
        <v>111</v>
      </c>
    </row>
    <row r="2999" spans="1:10" s="20" customFormat="1" ht="12" x14ac:dyDescent="0.25">
      <c r="A2999" s="22">
        <v>1000010102</v>
      </c>
      <c r="B2999" s="23" t="s">
        <v>118</v>
      </c>
      <c r="C2999" s="24" t="s">
        <v>4</v>
      </c>
      <c r="D2999" s="23" t="s">
        <v>2161</v>
      </c>
      <c r="E2999" s="23">
        <v>0</v>
      </c>
      <c r="F2999" s="23">
        <v>5</v>
      </c>
      <c r="G2999" s="23">
        <v>5</v>
      </c>
      <c r="H2999" s="23">
        <v>0</v>
      </c>
      <c r="I2999" s="23" t="s">
        <v>5</v>
      </c>
      <c r="J2999" s="23" t="s">
        <v>111</v>
      </c>
    </row>
    <row r="3000" spans="1:10" s="20" customFormat="1" ht="12" x14ac:dyDescent="0.25">
      <c r="A3000" s="22">
        <v>1000021065</v>
      </c>
      <c r="B3000" s="23" t="s">
        <v>1230</v>
      </c>
      <c r="C3000" s="24" t="s">
        <v>4</v>
      </c>
      <c r="D3000" s="23" t="s">
        <v>2090</v>
      </c>
      <c r="E3000" s="23">
        <v>0</v>
      </c>
      <c r="F3000" s="23">
        <v>2</v>
      </c>
      <c r="G3000" s="23">
        <v>2</v>
      </c>
      <c r="H3000" s="23">
        <v>0</v>
      </c>
      <c r="I3000" s="23" t="s">
        <v>5</v>
      </c>
      <c r="J3000" s="23" t="s">
        <v>327</v>
      </c>
    </row>
    <row r="3001" spans="1:10" s="20" customFormat="1" ht="12" x14ac:dyDescent="0.25">
      <c r="A3001" s="22">
        <v>1000010126</v>
      </c>
      <c r="B3001" s="23" t="s">
        <v>120</v>
      </c>
      <c r="C3001" s="24" t="s">
        <v>4</v>
      </c>
      <c r="D3001" s="23" t="s">
        <v>2161</v>
      </c>
      <c r="E3001" s="23">
        <v>0</v>
      </c>
      <c r="F3001" s="23">
        <v>2</v>
      </c>
      <c r="G3001" s="23">
        <v>2</v>
      </c>
      <c r="H3001" s="23">
        <v>0</v>
      </c>
      <c r="I3001" s="23" t="s">
        <v>5</v>
      </c>
      <c r="J3001" s="23" t="s">
        <v>111</v>
      </c>
    </row>
    <row r="3002" spans="1:10" s="20" customFormat="1" ht="12" x14ac:dyDescent="0.25">
      <c r="A3002" s="22">
        <v>1000021204</v>
      </c>
      <c r="B3002" s="23" t="s">
        <v>1350</v>
      </c>
      <c r="C3002" s="24" t="s">
        <v>4</v>
      </c>
      <c r="D3002" s="23" t="s">
        <v>2090</v>
      </c>
      <c r="E3002" s="23">
        <v>0</v>
      </c>
      <c r="F3002" s="23">
        <v>2</v>
      </c>
      <c r="G3002" s="23">
        <v>2</v>
      </c>
      <c r="H3002" s="23">
        <v>0</v>
      </c>
      <c r="I3002" s="23" t="s">
        <v>5</v>
      </c>
      <c r="J3002" s="23" t="s">
        <v>327</v>
      </c>
    </row>
    <row r="3003" spans="1:10" s="20" customFormat="1" ht="12" x14ac:dyDescent="0.25">
      <c r="A3003" s="22">
        <v>2100006935</v>
      </c>
      <c r="B3003" s="23" t="s">
        <v>4665</v>
      </c>
      <c r="C3003" s="24" t="s">
        <v>2037</v>
      </c>
      <c r="D3003" s="23" t="s">
        <v>2031</v>
      </c>
      <c r="E3003" s="23">
        <v>0</v>
      </c>
      <c r="F3003" s="23">
        <v>12</v>
      </c>
      <c r="G3003" s="23">
        <v>12</v>
      </c>
      <c r="H3003" s="23">
        <v>0</v>
      </c>
      <c r="I3003" s="23" t="s">
        <v>5</v>
      </c>
      <c r="J3003" s="23" t="s">
        <v>138</v>
      </c>
    </row>
    <row r="3004" spans="1:10" s="20" customFormat="1" ht="12" x14ac:dyDescent="0.25">
      <c r="A3004" s="22">
        <v>1000093504</v>
      </c>
      <c r="B3004" s="23" t="s">
        <v>4671</v>
      </c>
      <c r="C3004" s="24" t="s">
        <v>2844</v>
      </c>
      <c r="D3004" s="23" t="s">
        <v>3274</v>
      </c>
      <c r="E3004" s="23">
        <v>0</v>
      </c>
      <c r="F3004" s="23">
        <v>1</v>
      </c>
      <c r="G3004" s="23">
        <v>1</v>
      </c>
      <c r="H3004" s="23">
        <v>0</v>
      </c>
      <c r="I3004" s="23" t="s">
        <v>5</v>
      </c>
      <c r="J3004" s="23" t="s">
        <v>111</v>
      </c>
    </row>
    <row r="3005" spans="1:10" s="20" customFormat="1" ht="12" x14ac:dyDescent="0.25">
      <c r="A3005" s="22">
        <v>1000093497</v>
      </c>
      <c r="B3005" s="23" t="s">
        <v>4672</v>
      </c>
      <c r="C3005" s="24" t="s">
        <v>2844</v>
      </c>
      <c r="D3005" s="23" t="s">
        <v>3274</v>
      </c>
      <c r="E3005" s="23">
        <v>0</v>
      </c>
      <c r="F3005" s="23">
        <v>3</v>
      </c>
      <c r="G3005" s="23">
        <v>3</v>
      </c>
      <c r="H3005" s="23">
        <v>0</v>
      </c>
      <c r="I3005" s="23" t="s">
        <v>5</v>
      </c>
      <c r="J3005" s="23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4C4B-AEB9-4C57-A944-E9C3A63139FF}">
  <sheetPr>
    <tabColor rgb="FF00B0F0"/>
  </sheetPr>
  <dimension ref="A1:F4667"/>
  <sheetViews>
    <sheetView workbookViewId="0">
      <selection activeCell="D16" sqref="D16"/>
    </sheetView>
  </sheetViews>
  <sheetFormatPr defaultRowHeight="14.4" x14ac:dyDescent="0.3"/>
  <cols>
    <col min="1" max="1" width="12" bestFit="1" customWidth="1"/>
    <col min="2" max="2" width="49" bestFit="1" customWidth="1"/>
    <col min="3" max="3" width="5" bestFit="1" customWidth="1"/>
    <col min="4" max="4" width="45.88671875" customWidth="1"/>
    <col min="5" max="5" width="13.77734375" style="21" customWidth="1"/>
    <col min="6" max="6" width="10.109375" style="21" customWidth="1"/>
    <col min="7" max="7" width="8.88671875" customWidth="1"/>
  </cols>
  <sheetData>
    <row r="1" spans="1:6" s="20" customFormat="1" ht="12" x14ac:dyDescent="0.25">
      <c r="A1" s="16" t="s">
        <v>2005</v>
      </c>
      <c r="B1" s="17" t="s">
        <v>2011</v>
      </c>
      <c r="C1" s="18" t="s">
        <v>2012</v>
      </c>
      <c r="D1" s="17" t="s">
        <v>2013</v>
      </c>
      <c r="E1" s="19" t="s">
        <v>2014</v>
      </c>
      <c r="F1" s="19" t="s">
        <v>2015</v>
      </c>
    </row>
    <row r="2" spans="1:6" x14ac:dyDescent="0.3">
      <c r="A2" s="31">
        <v>2000018794</v>
      </c>
      <c r="B2" s="31" t="s">
        <v>2016</v>
      </c>
      <c r="C2" s="31" t="s">
        <v>2017</v>
      </c>
      <c r="D2" s="31" t="s">
        <v>2018</v>
      </c>
      <c r="E2" s="32">
        <v>3614808.75</v>
      </c>
      <c r="F2" s="32">
        <v>1</v>
      </c>
    </row>
    <row r="3" spans="1:6" x14ac:dyDescent="0.3">
      <c r="A3" s="31">
        <v>2300000162</v>
      </c>
      <c r="B3" s="31" t="s">
        <v>2019</v>
      </c>
      <c r="C3" s="31" t="s">
        <v>2020</v>
      </c>
      <c r="D3" s="31" t="s">
        <v>2021</v>
      </c>
      <c r="E3" s="32">
        <v>2416373.4375</v>
      </c>
      <c r="F3" s="32">
        <v>40590</v>
      </c>
    </row>
    <row r="4" spans="1:6" x14ac:dyDescent="0.3">
      <c r="A4" s="31">
        <v>2300000133</v>
      </c>
      <c r="B4" s="31" t="s">
        <v>2022</v>
      </c>
      <c r="C4" s="31" t="s">
        <v>2020</v>
      </c>
      <c r="D4" s="31" t="s">
        <v>2023</v>
      </c>
      <c r="E4" s="32">
        <v>1695968.1119357301</v>
      </c>
      <c r="F4" s="32">
        <v>97750</v>
      </c>
    </row>
    <row r="5" spans="1:6" x14ac:dyDescent="0.3">
      <c r="A5" s="31">
        <v>2300000185</v>
      </c>
      <c r="B5" s="31" t="s">
        <v>1843</v>
      </c>
      <c r="C5" s="31" t="s">
        <v>2020</v>
      </c>
      <c r="D5" s="31" t="s">
        <v>2023</v>
      </c>
      <c r="E5" s="32">
        <v>1228462.5</v>
      </c>
      <c r="F5" s="32">
        <v>69700</v>
      </c>
    </row>
    <row r="6" spans="1:6" x14ac:dyDescent="0.3">
      <c r="A6" s="31">
        <v>2500008072</v>
      </c>
      <c r="B6" s="31" t="s">
        <v>2024</v>
      </c>
      <c r="C6" s="31" t="s">
        <v>1996</v>
      </c>
      <c r="D6" s="31" t="s">
        <v>2025</v>
      </c>
      <c r="E6" s="32">
        <v>431418.75</v>
      </c>
      <c r="F6" s="32">
        <v>6</v>
      </c>
    </row>
    <row r="7" spans="1:6" x14ac:dyDescent="0.3">
      <c r="A7" s="31">
        <v>1000108907</v>
      </c>
      <c r="B7" s="31" t="s">
        <v>2026</v>
      </c>
      <c r="C7" s="31" t="s">
        <v>2027</v>
      </c>
      <c r="D7" s="31" t="s">
        <v>2028</v>
      </c>
      <c r="E7" s="32">
        <v>415380.00001334999</v>
      </c>
      <c r="F7" s="32">
        <v>14</v>
      </c>
    </row>
    <row r="8" spans="1:6" x14ac:dyDescent="0.3">
      <c r="A8" s="31">
        <v>2100005760</v>
      </c>
      <c r="B8" s="31" t="s">
        <v>2029</v>
      </c>
      <c r="C8" s="31" t="s">
        <v>2030</v>
      </c>
      <c r="D8" s="31" t="s">
        <v>2031</v>
      </c>
      <c r="E8" s="32">
        <v>396434.25</v>
      </c>
      <c r="F8" s="32">
        <v>2</v>
      </c>
    </row>
    <row r="9" spans="1:6" x14ac:dyDescent="0.3">
      <c r="A9" s="31">
        <v>2100006987</v>
      </c>
      <c r="B9" s="31" t="s">
        <v>2032</v>
      </c>
      <c r="C9" s="31" t="s">
        <v>2030</v>
      </c>
      <c r="D9" s="31" t="s">
        <v>2033</v>
      </c>
      <c r="E9" s="32">
        <v>353808.4914</v>
      </c>
      <c r="F9" s="32">
        <v>2</v>
      </c>
    </row>
    <row r="10" spans="1:6" x14ac:dyDescent="0.3">
      <c r="A10" s="31">
        <v>1000110650</v>
      </c>
      <c r="B10" s="31" t="s">
        <v>2034</v>
      </c>
      <c r="C10" s="31" t="s">
        <v>2027</v>
      </c>
      <c r="D10" s="31" t="s">
        <v>2035</v>
      </c>
      <c r="E10" s="32">
        <v>352260</v>
      </c>
      <c r="F10" s="32">
        <v>228</v>
      </c>
    </row>
    <row r="11" spans="1:6" x14ac:dyDescent="0.3">
      <c r="A11" s="31">
        <v>2200003026</v>
      </c>
      <c r="B11" s="31" t="s">
        <v>2036</v>
      </c>
      <c r="C11" s="31" t="s">
        <v>2037</v>
      </c>
      <c r="D11" s="31" t="s">
        <v>2038</v>
      </c>
      <c r="E11" s="32">
        <v>303936.17</v>
      </c>
      <c r="F11" s="32">
        <v>2</v>
      </c>
    </row>
    <row r="12" spans="1:6" x14ac:dyDescent="0.3">
      <c r="A12" s="31">
        <v>2500008046</v>
      </c>
      <c r="B12" s="31" t="s">
        <v>2039</v>
      </c>
      <c r="C12" s="31" t="s">
        <v>1996</v>
      </c>
      <c r="D12" s="31" t="s">
        <v>2025</v>
      </c>
      <c r="E12" s="32">
        <v>293671.25</v>
      </c>
      <c r="F12" s="32">
        <v>5</v>
      </c>
    </row>
    <row r="13" spans="1:6" x14ac:dyDescent="0.3">
      <c r="A13" s="31">
        <v>2500009006</v>
      </c>
      <c r="B13" s="31" t="s">
        <v>2040</v>
      </c>
      <c r="C13" s="31" t="s">
        <v>1996</v>
      </c>
      <c r="D13" s="31" t="s">
        <v>2025</v>
      </c>
      <c r="E13" s="32">
        <v>287250</v>
      </c>
      <c r="F13" s="32">
        <v>2</v>
      </c>
    </row>
    <row r="14" spans="1:6" x14ac:dyDescent="0.3">
      <c r="A14" s="31">
        <v>2200003135</v>
      </c>
      <c r="B14" s="31" t="s">
        <v>2041</v>
      </c>
      <c r="C14" s="31" t="s">
        <v>2030</v>
      </c>
      <c r="D14" s="31" t="s">
        <v>2038</v>
      </c>
      <c r="E14" s="32">
        <v>280676.66200000001</v>
      </c>
      <c r="F14" s="32">
        <v>1</v>
      </c>
    </row>
    <row r="15" spans="1:6" x14ac:dyDescent="0.3">
      <c r="A15" s="31">
        <v>1000110866</v>
      </c>
      <c r="B15" s="31" t="s">
        <v>2042</v>
      </c>
      <c r="C15" s="31" t="s">
        <v>4</v>
      </c>
      <c r="D15" s="31" t="s">
        <v>2043</v>
      </c>
      <c r="E15" s="32">
        <v>256381.2</v>
      </c>
      <c r="F15" s="32">
        <v>20844</v>
      </c>
    </row>
    <row r="16" spans="1:6" x14ac:dyDescent="0.3">
      <c r="A16" s="31">
        <v>1000093076</v>
      </c>
      <c r="B16" s="31" t="s">
        <v>2044</v>
      </c>
      <c r="C16" s="31" t="s">
        <v>4</v>
      </c>
      <c r="D16" s="31" t="s">
        <v>2043</v>
      </c>
      <c r="E16" s="32">
        <v>249135.868347457</v>
      </c>
      <c r="F16" s="32">
        <v>883</v>
      </c>
    </row>
    <row r="17" spans="1:6" x14ac:dyDescent="0.3">
      <c r="A17" s="31">
        <v>1000108644</v>
      </c>
      <c r="B17" s="31" t="s">
        <v>2045</v>
      </c>
      <c r="C17" s="31" t="s">
        <v>2027</v>
      </c>
      <c r="D17" s="31" t="s">
        <v>2046</v>
      </c>
      <c r="E17" s="32">
        <v>248439.48749999999</v>
      </c>
      <c r="F17" s="32">
        <v>53</v>
      </c>
    </row>
    <row r="18" spans="1:6" x14ac:dyDescent="0.3">
      <c r="A18" s="31">
        <v>2300000116</v>
      </c>
      <c r="B18" s="31" t="s">
        <v>1841</v>
      </c>
      <c r="C18" s="31" t="s">
        <v>2020</v>
      </c>
      <c r="D18" s="31" t="s">
        <v>2047</v>
      </c>
      <c r="E18" s="32">
        <v>246000</v>
      </c>
      <c r="F18" s="32">
        <v>16400</v>
      </c>
    </row>
    <row r="19" spans="1:6" x14ac:dyDescent="0.3">
      <c r="A19" s="31">
        <v>2200003268</v>
      </c>
      <c r="B19" s="31" t="s">
        <v>2048</v>
      </c>
      <c r="C19" s="31" t="s">
        <v>2037</v>
      </c>
      <c r="D19" s="31" t="s">
        <v>2038</v>
      </c>
      <c r="E19" s="32">
        <v>245722.4</v>
      </c>
      <c r="F19" s="32">
        <v>1</v>
      </c>
    </row>
    <row r="20" spans="1:6" x14ac:dyDescent="0.3">
      <c r="A20" s="31">
        <v>2200003277</v>
      </c>
      <c r="B20" s="31" t="s">
        <v>207</v>
      </c>
      <c r="C20" s="31" t="s">
        <v>2037</v>
      </c>
      <c r="D20" s="31" t="s">
        <v>2038</v>
      </c>
      <c r="E20" s="32">
        <v>241813.18</v>
      </c>
      <c r="F20" s="32">
        <v>1</v>
      </c>
    </row>
    <row r="21" spans="1:6" x14ac:dyDescent="0.3">
      <c r="A21" s="31">
        <v>2300000134</v>
      </c>
      <c r="B21" s="31" t="s">
        <v>2049</v>
      </c>
      <c r="C21" s="31" t="s">
        <v>2020</v>
      </c>
      <c r="D21" s="31" t="s">
        <v>2023</v>
      </c>
      <c r="E21" s="32">
        <v>230080.5</v>
      </c>
      <c r="F21" s="32">
        <v>11960</v>
      </c>
    </row>
    <row r="22" spans="1:6" x14ac:dyDescent="0.3">
      <c r="A22" s="31">
        <v>2200002811</v>
      </c>
      <c r="B22" s="31" t="s">
        <v>2050</v>
      </c>
      <c r="C22" s="31" t="s">
        <v>2037</v>
      </c>
      <c r="D22" s="31" t="s">
        <v>2038</v>
      </c>
      <c r="E22" s="32">
        <v>223935.01</v>
      </c>
      <c r="F22" s="32">
        <v>2</v>
      </c>
    </row>
    <row r="23" spans="1:6" x14ac:dyDescent="0.3">
      <c r="A23" s="31">
        <v>2500008043</v>
      </c>
      <c r="B23" s="31" t="s">
        <v>2051</v>
      </c>
      <c r="C23" s="31" t="s">
        <v>1996</v>
      </c>
      <c r="D23" s="31" t="s">
        <v>2025</v>
      </c>
      <c r="E23" s="32">
        <v>218803.31632653001</v>
      </c>
      <c r="F23" s="32">
        <v>6</v>
      </c>
    </row>
    <row r="24" spans="1:6" x14ac:dyDescent="0.3">
      <c r="A24" s="31">
        <v>2500008556</v>
      </c>
      <c r="B24" s="31" t="s">
        <v>2052</v>
      </c>
      <c r="C24" s="31" t="s">
        <v>1996</v>
      </c>
      <c r="D24" s="31" t="s">
        <v>2025</v>
      </c>
      <c r="E24" s="32">
        <v>209271.428571428</v>
      </c>
      <c r="F24" s="32">
        <v>5</v>
      </c>
    </row>
    <row r="25" spans="1:6" x14ac:dyDescent="0.3">
      <c r="A25" s="31">
        <v>2200003150</v>
      </c>
      <c r="B25" s="31" t="s">
        <v>2053</v>
      </c>
      <c r="C25" s="31" t="s">
        <v>2037</v>
      </c>
      <c r="D25" s="31" t="s">
        <v>2038</v>
      </c>
      <c r="E25" s="32">
        <v>207199.04</v>
      </c>
      <c r="F25" s="32">
        <v>1</v>
      </c>
    </row>
    <row r="26" spans="1:6" x14ac:dyDescent="0.3">
      <c r="A26" s="31">
        <v>1000107346</v>
      </c>
      <c r="B26" s="31" t="s">
        <v>2054</v>
      </c>
      <c r="C26" s="31" t="s">
        <v>2027</v>
      </c>
      <c r="D26" s="31" t="s">
        <v>2035</v>
      </c>
      <c r="E26" s="32">
        <v>206682.85</v>
      </c>
      <c r="F26" s="32">
        <v>110</v>
      </c>
    </row>
    <row r="27" spans="1:6" x14ac:dyDescent="0.3">
      <c r="A27" s="31">
        <v>1000093681</v>
      </c>
      <c r="B27" s="31" t="s">
        <v>2055</v>
      </c>
      <c r="C27" s="31" t="s">
        <v>4</v>
      </c>
      <c r="D27" s="31" t="s">
        <v>2056</v>
      </c>
      <c r="E27" s="32">
        <v>203159.01828058201</v>
      </c>
      <c r="F27" s="32">
        <v>7322</v>
      </c>
    </row>
    <row r="28" spans="1:6" x14ac:dyDescent="0.3">
      <c r="A28" s="31">
        <v>2500008545</v>
      </c>
      <c r="B28" s="31" t="s">
        <v>2057</v>
      </c>
      <c r="C28" s="31" t="s">
        <v>1996</v>
      </c>
      <c r="D28" s="31" t="s">
        <v>2025</v>
      </c>
      <c r="E28" s="32">
        <v>202460.9375</v>
      </c>
      <c r="F28" s="32">
        <v>3</v>
      </c>
    </row>
    <row r="29" spans="1:6" x14ac:dyDescent="0.3">
      <c r="A29" s="31">
        <v>2200003136</v>
      </c>
      <c r="B29" s="31" t="s">
        <v>2058</v>
      </c>
      <c r="C29" s="31" t="s">
        <v>2030</v>
      </c>
      <c r="D29" s="31" t="s">
        <v>2038</v>
      </c>
      <c r="E29" s="32">
        <v>200846.8</v>
      </c>
      <c r="F29" s="32">
        <v>1</v>
      </c>
    </row>
    <row r="30" spans="1:6" x14ac:dyDescent="0.3">
      <c r="A30" s="31">
        <v>2500008070</v>
      </c>
      <c r="B30" s="31" t="s">
        <v>2059</v>
      </c>
      <c r="C30" s="31" t="s">
        <v>1996</v>
      </c>
      <c r="D30" s="31" t="s">
        <v>2025</v>
      </c>
      <c r="E30" s="32">
        <v>196687.5</v>
      </c>
      <c r="F30" s="32">
        <v>5</v>
      </c>
    </row>
    <row r="31" spans="1:6" x14ac:dyDescent="0.3">
      <c r="A31" s="31">
        <v>2500008042</v>
      </c>
      <c r="B31" s="31" t="s">
        <v>2060</v>
      </c>
      <c r="C31" s="31" t="s">
        <v>1996</v>
      </c>
      <c r="D31" s="31" t="s">
        <v>2025</v>
      </c>
      <c r="E31" s="32">
        <v>194820</v>
      </c>
      <c r="F31" s="32">
        <v>8</v>
      </c>
    </row>
    <row r="32" spans="1:6" x14ac:dyDescent="0.3">
      <c r="A32" s="31">
        <v>2300000135</v>
      </c>
      <c r="B32" s="31" t="s">
        <v>2061</v>
      </c>
      <c r="C32" s="31" t="s">
        <v>2020</v>
      </c>
      <c r="D32" s="31" t="s">
        <v>2023</v>
      </c>
      <c r="E32" s="32">
        <v>193226.25</v>
      </c>
      <c r="F32" s="32">
        <v>11900</v>
      </c>
    </row>
    <row r="33" spans="1:6" x14ac:dyDescent="0.3">
      <c r="A33" s="31">
        <v>2200003134</v>
      </c>
      <c r="B33" s="31" t="s">
        <v>2062</v>
      </c>
      <c r="C33" s="31" t="s">
        <v>2030</v>
      </c>
      <c r="D33" s="31" t="s">
        <v>2038</v>
      </c>
      <c r="E33" s="32">
        <v>186758.88</v>
      </c>
      <c r="F33" s="32">
        <v>1</v>
      </c>
    </row>
    <row r="34" spans="1:6" x14ac:dyDescent="0.3">
      <c r="A34" s="31">
        <v>2300000004</v>
      </c>
      <c r="B34" s="31" t="s">
        <v>320</v>
      </c>
      <c r="C34" s="31" t="s">
        <v>2017</v>
      </c>
      <c r="D34" s="31" t="s">
        <v>2063</v>
      </c>
      <c r="E34" s="32">
        <v>177561.60000000001</v>
      </c>
      <c r="F34" s="32">
        <v>8</v>
      </c>
    </row>
    <row r="35" spans="1:6" x14ac:dyDescent="0.3">
      <c r="A35" s="31">
        <v>2300000107</v>
      </c>
      <c r="B35" s="31" t="s">
        <v>2064</v>
      </c>
      <c r="C35" s="31" t="s">
        <v>2020</v>
      </c>
      <c r="D35" s="31" t="s">
        <v>2023</v>
      </c>
      <c r="E35" s="32">
        <v>175500</v>
      </c>
      <c r="F35" s="32">
        <v>14400</v>
      </c>
    </row>
    <row r="36" spans="1:6" x14ac:dyDescent="0.3">
      <c r="A36" s="31">
        <v>1000105721</v>
      </c>
      <c r="B36" s="31" t="s">
        <v>2065</v>
      </c>
      <c r="C36" s="31" t="s">
        <v>4</v>
      </c>
      <c r="D36" s="31" t="s">
        <v>2056</v>
      </c>
      <c r="E36" s="32">
        <v>174468.56165798099</v>
      </c>
      <c r="F36" s="32">
        <v>28795</v>
      </c>
    </row>
    <row r="37" spans="1:6" x14ac:dyDescent="0.3">
      <c r="A37" s="31">
        <v>1000102398</v>
      </c>
      <c r="B37" s="31" t="s">
        <v>94</v>
      </c>
      <c r="C37" s="31" t="s">
        <v>4</v>
      </c>
      <c r="D37" s="31" t="s">
        <v>2043</v>
      </c>
      <c r="E37" s="32">
        <v>170611.51296393399</v>
      </c>
      <c r="F37" s="32">
        <v>1836</v>
      </c>
    </row>
    <row r="38" spans="1:6" x14ac:dyDescent="0.3">
      <c r="A38" s="31">
        <v>2200003072</v>
      </c>
      <c r="B38" s="31" t="s">
        <v>2066</v>
      </c>
      <c r="C38" s="31" t="s">
        <v>2037</v>
      </c>
      <c r="D38" s="31" t="s">
        <v>2067</v>
      </c>
      <c r="E38" s="32">
        <v>169622.42</v>
      </c>
      <c r="F38" s="32">
        <v>1</v>
      </c>
    </row>
    <row r="39" spans="1:6" x14ac:dyDescent="0.3">
      <c r="A39" s="31">
        <v>1000103508</v>
      </c>
      <c r="B39" s="31" t="s">
        <v>2068</v>
      </c>
      <c r="C39" s="31" t="s">
        <v>4</v>
      </c>
      <c r="D39" s="31" t="s">
        <v>2043</v>
      </c>
      <c r="E39" s="32">
        <v>166781.745</v>
      </c>
      <c r="F39" s="32">
        <v>650</v>
      </c>
    </row>
    <row r="40" spans="1:6" x14ac:dyDescent="0.3">
      <c r="A40" s="31">
        <v>1000015025</v>
      </c>
      <c r="B40" s="31" t="s">
        <v>41</v>
      </c>
      <c r="C40" s="31" t="s">
        <v>4</v>
      </c>
      <c r="D40" s="31" t="s">
        <v>2043</v>
      </c>
      <c r="E40" s="32">
        <v>166246.70000000001</v>
      </c>
      <c r="F40" s="32">
        <v>447</v>
      </c>
    </row>
    <row r="41" spans="1:6" x14ac:dyDescent="0.3">
      <c r="A41" s="31">
        <v>1000110918</v>
      </c>
      <c r="B41" s="31" t="s">
        <v>2069</v>
      </c>
      <c r="C41" s="31" t="s">
        <v>2027</v>
      </c>
      <c r="D41" s="31" t="s">
        <v>2070</v>
      </c>
      <c r="E41" s="32">
        <v>160067.976</v>
      </c>
      <c r="F41" s="32">
        <v>16</v>
      </c>
    </row>
    <row r="42" spans="1:6" x14ac:dyDescent="0.3">
      <c r="A42" s="31">
        <v>1000015032</v>
      </c>
      <c r="B42" s="31" t="s">
        <v>42</v>
      </c>
      <c r="C42" s="31" t="s">
        <v>4</v>
      </c>
      <c r="D42" s="31" t="s">
        <v>2043</v>
      </c>
      <c r="E42" s="32">
        <v>157536.013146813</v>
      </c>
      <c r="F42" s="32">
        <v>590</v>
      </c>
    </row>
    <row r="43" spans="1:6" x14ac:dyDescent="0.3">
      <c r="A43" s="31">
        <v>2000013008</v>
      </c>
      <c r="B43" s="31" t="s">
        <v>2071</v>
      </c>
      <c r="C43" s="31" t="s">
        <v>2017</v>
      </c>
      <c r="D43" s="31" t="s">
        <v>2072</v>
      </c>
      <c r="E43" s="32">
        <v>156466.53333333301</v>
      </c>
      <c r="F43" s="32">
        <v>8</v>
      </c>
    </row>
    <row r="44" spans="1:6" x14ac:dyDescent="0.3">
      <c r="A44" s="31">
        <v>2100003579</v>
      </c>
      <c r="B44" s="31" t="s">
        <v>2073</v>
      </c>
      <c r="C44" s="31" t="s">
        <v>2074</v>
      </c>
      <c r="D44" s="31" t="s">
        <v>2075</v>
      </c>
      <c r="E44" s="32">
        <v>156192</v>
      </c>
      <c r="F44" s="32">
        <v>32</v>
      </c>
    </row>
    <row r="45" spans="1:6" x14ac:dyDescent="0.3">
      <c r="A45" s="31">
        <v>2500008949</v>
      </c>
      <c r="B45" s="31" t="s">
        <v>2076</v>
      </c>
      <c r="C45" s="31" t="s">
        <v>1996</v>
      </c>
      <c r="D45" s="31" t="s">
        <v>2077</v>
      </c>
      <c r="E45" s="32">
        <v>152176.6875</v>
      </c>
      <c r="F45" s="32">
        <v>3</v>
      </c>
    </row>
    <row r="46" spans="1:6" x14ac:dyDescent="0.3">
      <c r="A46" s="31">
        <v>2000005595</v>
      </c>
      <c r="B46" s="31" t="s">
        <v>2078</v>
      </c>
      <c r="C46" s="31" t="s">
        <v>2017</v>
      </c>
      <c r="D46" s="31" t="s">
        <v>2072</v>
      </c>
      <c r="E46" s="32">
        <v>148203.75</v>
      </c>
      <c r="F46" s="32">
        <v>1</v>
      </c>
    </row>
    <row r="47" spans="1:6" x14ac:dyDescent="0.3">
      <c r="A47" s="31">
        <v>2200003146</v>
      </c>
      <c r="B47" s="31" t="s">
        <v>205</v>
      </c>
      <c r="C47" s="31" t="s">
        <v>2037</v>
      </c>
      <c r="D47" s="31" t="s">
        <v>2038</v>
      </c>
      <c r="E47" s="32">
        <v>146652.04</v>
      </c>
      <c r="F47" s="32">
        <v>1</v>
      </c>
    </row>
    <row r="48" spans="1:6" x14ac:dyDescent="0.3">
      <c r="A48" s="31">
        <v>1000103509</v>
      </c>
      <c r="B48" s="31" t="s">
        <v>2079</v>
      </c>
      <c r="C48" s="31" t="s">
        <v>4</v>
      </c>
      <c r="D48" s="31" t="s">
        <v>2043</v>
      </c>
      <c r="E48" s="32">
        <v>141186.51449999999</v>
      </c>
      <c r="F48" s="32">
        <v>447</v>
      </c>
    </row>
    <row r="49" spans="1:6" x14ac:dyDescent="0.3">
      <c r="A49" s="31">
        <v>1000103594</v>
      </c>
      <c r="B49" s="31" t="s">
        <v>2080</v>
      </c>
      <c r="C49" s="31" t="s">
        <v>4</v>
      </c>
      <c r="D49" s="31" t="s">
        <v>2043</v>
      </c>
      <c r="E49" s="32">
        <v>136773.13</v>
      </c>
      <c r="F49" s="32">
        <v>383</v>
      </c>
    </row>
    <row r="50" spans="1:6" x14ac:dyDescent="0.3">
      <c r="A50" s="31">
        <v>2000012994</v>
      </c>
      <c r="B50" s="31" t="s">
        <v>2081</v>
      </c>
      <c r="C50" s="31" t="s">
        <v>2017</v>
      </c>
      <c r="D50" s="31" t="s">
        <v>2072</v>
      </c>
      <c r="E50" s="32">
        <v>135433.13</v>
      </c>
      <c r="F50" s="32">
        <v>2</v>
      </c>
    </row>
    <row r="51" spans="1:6" x14ac:dyDescent="0.3">
      <c r="A51" s="31">
        <v>2500008365</v>
      </c>
      <c r="B51" s="31" t="s">
        <v>2082</v>
      </c>
      <c r="C51" s="31" t="s">
        <v>1996</v>
      </c>
      <c r="D51" s="31" t="s">
        <v>2025</v>
      </c>
      <c r="E51" s="32">
        <v>134250</v>
      </c>
      <c r="F51" s="32">
        <v>2</v>
      </c>
    </row>
    <row r="52" spans="1:6" x14ac:dyDescent="0.3">
      <c r="A52" s="31">
        <v>2500008958</v>
      </c>
      <c r="B52" s="31" t="s">
        <v>2083</v>
      </c>
      <c r="C52" s="31" t="s">
        <v>1996</v>
      </c>
      <c r="D52" s="31" t="s">
        <v>2025</v>
      </c>
      <c r="E52" s="32">
        <v>133886.25000199801</v>
      </c>
      <c r="F52" s="32">
        <v>1</v>
      </c>
    </row>
    <row r="53" spans="1:6" x14ac:dyDescent="0.3">
      <c r="A53" s="31">
        <v>1000103940</v>
      </c>
      <c r="B53" s="31" t="s">
        <v>2084</v>
      </c>
      <c r="C53" s="31" t="s">
        <v>4</v>
      </c>
      <c r="D53" s="31" t="s">
        <v>2056</v>
      </c>
      <c r="E53" s="32">
        <v>132000</v>
      </c>
      <c r="F53" s="32">
        <v>30000</v>
      </c>
    </row>
    <row r="54" spans="1:6" x14ac:dyDescent="0.3">
      <c r="A54" s="31">
        <v>2200003302</v>
      </c>
      <c r="B54" s="31" t="s">
        <v>2085</v>
      </c>
      <c r="C54" s="31" t="s">
        <v>2037</v>
      </c>
      <c r="D54" s="31" t="s">
        <v>2038</v>
      </c>
      <c r="E54" s="32">
        <v>130681.565</v>
      </c>
      <c r="F54" s="32">
        <v>1</v>
      </c>
    </row>
    <row r="55" spans="1:6" x14ac:dyDescent="0.3">
      <c r="A55" s="31">
        <v>2000013291</v>
      </c>
      <c r="B55" s="31" t="s">
        <v>2086</v>
      </c>
      <c r="C55" s="31" t="s">
        <v>2017</v>
      </c>
      <c r="D55" s="31" t="s">
        <v>2072</v>
      </c>
      <c r="E55" s="32">
        <v>128895</v>
      </c>
      <c r="F55" s="32">
        <v>1</v>
      </c>
    </row>
    <row r="56" spans="1:6" x14ac:dyDescent="0.3">
      <c r="A56" s="31">
        <v>2200002992</v>
      </c>
      <c r="B56" s="31" t="s">
        <v>2087</v>
      </c>
      <c r="C56" s="31" t="s">
        <v>2088</v>
      </c>
      <c r="D56" s="31" t="s">
        <v>2067</v>
      </c>
      <c r="E56" s="32">
        <v>128166.5052</v>
      </c>
      <c r="F56" s="32">
        <v>1</v>
      </c>
    </row>
    <row r="57" spans="1:6" x14ac:dyDescent="0.3">
      <c r="A57" s="31">
        <v>1000015024</v>
      </c>
      <c r="B57" s="31" t="s">
        <v>40</v>
      </c>
      <c r="C57" s="31" t="s">
        <v>4</v>
      </c>
      <c r="D57" s="31" t="s">
        <v>2043</v>
      </c>
      <c r="E57" s="32">
        <v>124003.930753564</v>
      </c>
      <c r="F57" s="32">
        <v>485</v>
      </c>
    </row>
    <row r="58" spans="1:6" x14ac:dyDescent="0.3">
      <c r="A58" s="31">
        <v>1000103152</v>
      </c>
      <c r="B58" s="31" t="s">
        <v>2089</v>
      </c>
      <c r="C58" s="31" t="s">
        <v>4</v>
      </c>
      <c r="D58" s="31" t="s">
        <v>2090</v>
      </c>
      <c r="E58" s="32">
        <v>121794.53</v>
      </c>
      <c r="F58" s="32">
        <v>6</v>
      </c>
    </row>
    <row r="59" spans="1:6" x14ac:dyDescent="0.3">
      <c r="A59" s="31">
        <v>2500008044</v>
      </c>
      <c r="B59" s="31" t="s">
        <v>2091</v>
      </c>
      <c r="C59" s="31" t="s">
        <v>1996</v>
      </c>
      <c r="D59" s="31" t="s">
        <v>2025</v>
      </c>
      <c r="E59" s="32">
        <v>121751.71875</v>
      </c>
      <c r="F59" s="32">
        <v>3</v>
      </c>
    </row>
    <row r="60" spans="1:6" x14ac:dyDescent="0.3">
      <c r="A60" s="31">
        <v>2200003269</v>
      </c>
      <c r="B60" s="31" t="s">
        <v>2092</v>
      </c>
      <c r="C60" s="31" t="s">
        <v>2037</v>
      </c>
      <c r="D60" s="31" t="s">
        <v>2038</v>
      </c>
      <c r="E60" s="32">
        <v>121003.96</v>
      </c>
      <c r="F60" s="32">
        <v>1</v>
      </c>
    </row>
    <row r="61" spans="1:6" x14ac:dyDescent="0.3">
      <c r="A61" s="31">
        <v>2500000779</v>
      </c>
      <c r="B61" s="31" t="s">
        <v>2093</v>
      </c>
      <c r="C61" s="31" t="s">
        <v>1996</v>
      </c>
      <c r="D61" s="31" t="s">
        <v>2025</v>
      </c>
      <c r="E61" s="32">
        <v>119937.72817677</v>
      </c>
      <c r="F61" s="32">
        <v>172</v>
      </c>
    </row>
    <row r="62" spans="1:6" x14ac:dyDescent="0.3">
      <c r="A62" s="31">
        <v>2200003105</v>
      </c>
      <c r="B62" s="31" t="s">
        <v>201</v>
      </c>
      <c r="C62" s="31" t="s">
        <v>2037</v>
      </c>
      <c r="D62" s="31" t="s">
        <v>2038</v>
      </c>
      <c r="E62" s="32">
        <v>119045.08</v>
      </c>
      <c r="F62" s="32">
        <v>1</v>
      </c>
    </row>
    <row r="63" spans="1:6" x14ac:dyDescent="0.3">
      <c r="A63" s="31">
        <v>2200002698</v>
      </c>
      <c r="B63" s="31" t="s">
        <v>181</v>
      </c>
      <c r="C63" s="31" t="s">
        <v>2037</v>
      </c>
      <c r="D63" s="31" t="s">
        <v>2038</v>
      </c>
      <c r="E63" s="32">
        <v>118534.63</v>
      </c>
      <c r="F63" s="32">
        <v>4</v>
      </c>
    </row>
    <row r="64" spans="1:6" x14ac:dyDescent="0.3">
      <c r="A64" s="31">
        <v>1000109604</v>
      </c>
      <c r="B64" s="31" t="s">
        <v>2094</v>
      </c>
      <c r="C64" s="31" t="s">
        <v>4</v>
      </c>
      <c r="D64" s="31" t="s">
        <v>2090</v>
      </c>
      <c r="E64" s="32">
        <v>116226</v>
      </c>
      <c r="F64" s="32">
        <v>6</v>
      </c>
    </row>
    <row r="65" spans="1:6" x14ac:dyDescent="0.3">
      <c r="A65" s="31">
        <v>2200001586</v>
      </c>
      <c r="B65" s="31" t="s">
        <v>2095</v>
      </c>
      <c r="C65" s="31" t="s">
        <v>2030</v>
      </c>
      <c r="D65" s="31" t="s">
        <v>2038</v>
      </c>
      <c r="E65" s="32">
        <v>115732.67</v>
      </c>
      <c r="F65" s="32">
        <v>1</v>
      </c>
    </row>
    <row r="66" spans="1:6" x14ac:dyDescent="0.3">
      <c r="A66" s="31">
        <v>1000091162</v>
      </c>
      <c r="B66" s="31" t="s">
        <v>78</v>
      </c>
      <c r="C66" s="31" t="s">
        <v>4</v>
      </c>
      <c r="D66" s="31" t="s">
        <v>2043</v>
      </c>
      <c r="E66" s="32">
        <v>113926.436521574</v>
      </c>
      <c r="F66" s="32">
        <v>791</v>
      </c>
    </row>
    <row r="67" spans="1:6" x14ac:dyDescent="0.3">
      <c r="A67" s="31">
        <v>2200003196</v>
      </c>
      <c r="B67" s="31" t="s">
        <v>2096</v>
      </c>
      <c r="C67" s="31" t="s">
        <v>2037</v>
      </c>
      <c r="D67" s="31" t="s">
        <v>2038</v>
      </c>
      <c r="E67" s="32">
        <v>113624.28</v>
      </c>
      <c r="F67" s="32">
        <v>1</v>
      </c>
    </row>
    <row r="68" spans="1:6" x14ac:dyDescent="0.3">
      <c r="A68" s="31">
        <v>2200003024</v>
      </c>
      <c r="B68" s="31" t="s">
        <v>2097</v>
      </c>
      <c r="C68" s="31" t="s">
        <v>2037</v>
      </c>
      <c r="D68" s="31" t="s">
        <v>2038</v>
      </c>
      <c r="E68" s="32">
        <v>113624.28</v>
      </c>
      <c r="F68" s="32">
        <v>1</v>
      </c>
    </row>
    <row r="69" spans="1:6" x14ac:dyDescent="0.3">
      <c r="A69" s="31">
        <v>2200003349</v>
      </c>
      <c r="B69" s="31" t="s">
        <v>2098</v>
      </c>
      <c r="C69" s="31" t="s">
        <v>2037</v>
      </c>
      <c r="D69" s="31" t="s">
        <v>2038</v>
      </c>
      <c r="E69" s="32">
        <v>113624.28</v>
      </c>
      <c r="F69" s="32">
        <v>1</v>
      </c>
    </row>
    <row r="70" spans="1:6" x14ac:dyDescent="0.3">
      <c r="A70" s="31">
        <v>2000012568</v>
      </c>
      <c r="B70" s="31" t="s">
        <v>2071</v>
      </c>
      <c r="C70" s="31" t="s">
        <v>2017</v>
      </c>
      <c r="D70" s="31" t="s">
        <v>2063</v>
      </c>
      <c r="E70" s="32">
        <v>113012.03</v>
      </c>
      <c r="F70" s="32">
        <v>4</v>
      </c>
    </row>
    <row r="71" spans="1:6" x14ac:dyDescent="0.3">
      <c r="A71" s="31">
        <v>2200003107</v>
      </c>
      <c r="B71" s="31" t="s">
        <v>202</v>
      </c>
      <c r="C71" s="31" t="s">
        <v>2037</v>
      </c>
      <c r="D71" s="31" t="s">
        <v>2038</v>
      </c>
      <c r="E71" s="32">
        <v>111460.84</v>
      </c>
      <c r="F71" s="32">
        <v>1</v>
      </c>
    </row>
    <row r="72" spans="1:6" x14ac:dyDescent="0.3">
      <c r="A72" s="31">
        <v>1000107733</v>
      </c>
      <c r="B72" s="31" t="s">
        <v>2099</v>
      </c>
      <c r="C72" s="31" t="s">
        <v>4</v>
      </c>
      <c r="D72" s="31" t="s">
        <v>2043</v>
      </c>
      <c r="E72" s="32">
        <v>111099.67127978599</v>
      </c>
      <c r="F72" s="32">
        <v>883</v>
      </c>
    </row>
    <row r="73" spans="1:6" x14ac:dyDescent="0.3">
      <c r="A73" s="31">
        <v>1000110917</v>
      </c>
      <c r="B73" s="31" t="s">
        <v>2100</v>
      </c>
      <c r="C73" s="31" t="s">
        <v>2027</v>
      </c>
      <c r="D73" s="31" t="s">
        <v>2070</v>
      </c>
      <c r="E73" s="32">
        <v>110184.211</v>
      </c>
      <c r="F73" s="32">
        <v>10</v>
      </c>
    </row>
    <row r="74" spans="1:6" x14ac:dyDescent="0.3">
      <c r="A74" s="31">
        <v>1000098746</v>
      </c>
      <c r="B74" s="31" t="s">
        <v>1686</v>
      </c>
      <c r="C74" s="31" t="s">
        <v>4</v>
      </c>
      <c r="D74" s="31" t="s">
        <v>2090</v>
      </c>
      <c r="E74" s="32">
        <v>109318.6575</v>
      </c>
      <c r="F74" s="32">
        <v>21</v>
      </c>
    </row>
    <row r="75" spans="1:6" x14ac:dyDescent="0.3">
      <c r="A75" s="31">
        <v>1000105720</v>
      </c>
      <c r="B75" s="31" t="s">
        <v>1888</v>
      </c>
      <c r="C75" s="31" t="s">
        <v>4</v>
      </c>
      <c r="D75" s="31" t="s">
        <v>2056</v>
      </c>
      <c r="E75" s="32">
        <v>108673.255193573</v>
      </c>
      <c r="F75" s="32">
        <v>48014</v>
      </c>
    </row>
    <row r="76" spans="1:6" x14ac:dyDescent="0.3">
      <c r="A76" s="31">
        <v>2700000085</v>
      </c>
      <c r="B76" s="31" t="s">
        <v>248</v>
      </c>
      <c r="C76" s="31" t="s">
        <v>2037</v>
      </c>
      <c r="D76" s="31" t="s">
        <v>2038</v>
      </c>
      <c r="E76" s="32">
        <v>107847.268560606</v>
      </c>
      <c r="F76" s="32">
        <v>10</v>
      </c>
    </row>
    <row r="77" spans="1:6" x14ac:dyDescent="0.3">
      <c r="A77" s="31">
        <v>1000093075</v>
      </c>
      <c r="B77" s="31" t="s">
        <v>2044</v>
      </c>
      <c r="C77" s="31" t="s">
        <v>4</v>
      </c>
      <c r="D77" s="31" t="s">
        <v>2043</v>
      </c>
      <c r="E77" s="32">
        <v>106876.62166227</v>
      </c>
      <c r="F77" s="32">
        <v>670</v>
      </c>
    </row>
    <row r="78" spans="1:6" x14ac:dyDescent="0.3">
      <c r="A78" s="31">
        <v>2000012830</v>
      </c>
      <c r="B78" s="31" t="s">
        <v>2101</v>
      </c>
      <c r="C78" s="31" t="s">
        <v>2017</v>
      </c>
      <c r="D78" s="31" t="s">
        <v>2072</v>
      </c>
      <c r="E78" s="32">
        <v>104041.65</v>
      </c>
      <c r="F78" s="32">
        <v>1</v>
      </c>
    </row>
    <row r="79" spans="1:6" x14ac:dyDescent="0.3">
      <c r="A79" s="31">
        <v>2500008866</v>
      </c>
      <c r="B79" s="31" t="s">
        <v>2102</v>
      </c>
      <c r="C79" s="31" t="s">
        <v>1996</v>
      </c>
      <c r="D79" s="31" t="s">
        <v>2025</v>
      </c>
      <c r="E79" s="32">
        <v>103125</v>
      </c>
      <c r="F79" s="32">
        <v>1</v>
      </c>
    </row>
    <row r="80" spans="1:6" x14ac:dyDescent="0.3">
      <c r="A80" s="31">
        <v>1000015038</v>
      </c>
      <c r="B80" s="31" t="s">
        <v>2103</v>
      </c>
      <c r="C80" s="31" t="s">
        <v>4</v>
      </c>
      <c r="D80" s="31" t="s">
        <v>2043</v>
      </c>
      <c r="E80" s="32">
        <v>102844.682271568</v>
      </c>
      <c r="F80" s="32">
        <v>3134</v>
      </c>
    </row>
    <row r="81" spans="1:6" x14ac:dyDescent="0.3">
      <c r="A81" s="31">
        <v>1000015023</v>
      </c>
      <c r="B81" s="31" t="s">
        <v>39</v>
      </c>
      <c r="C81" s="31" t="s">
        <v>4</v>
      </c>
      <c r="D81" s="31" t="s">
        <v>2043</v>
      </c>
      <c r="E81" s="32">
        <v>102492.433624261</v>
      </c>
      <c r="F81" s="32">
        <v>476</v>
      </c>
    </row>
    <row r="82" spans="1:6" x14ac:dyDescent="0.3">
      <c r="A82" s="31">
        <v>1000103510</v>
      </c>
      <c r="B82" s="31" t="s">
        <v>2104</v>
      </c>
      <c r="C82" s="31" t="s">
        <v>4</v>
      </c>
      <c r="D82" s="31" t="s">
        <v>2043</v>
      </c>
      <c r="E82" s="32">
        <v>102469.024</v>
      </c>
      <c r="F82" s="32">
        <v>224</v>
      </c>
    </row>
    <row r="83" spans="1:6" x14ac:dyDescent="0.3">
      <c r="A83" s="31">
        <v>1000102395</v>
      </c>
      <c r="B83" s="31" t="s">
        <v>2099</v>
      </c>
      <c r="C83" s="31" t="s">
        <v>4</v>
      </c>
      <c r="D83" s="31" t="s">
        <v>2043</v>
      </c>
      <c r="E83" s="32">
        <v>102373.82805472599</v>
      </c>
      <c r="F83" s="32">
        <v>1317</v>
      </c>
    </row>
    <row r="84" spans="1:6" x14ac:dyDescent="0.3">
      <c r="A84" s="31">
        <v>2700000002</v>
      </c>
      <c r="B84" s="31" t="s">
        <v>212</v>
      </c>
      <c r="C84" s="31" t="s">
        <v>2037</v>
      </c>
      <c r="D84" s="31" t="s">
        <v>2038</v>
      </c>
      <c r="E84" s="32">
        <v>102050.65874879999</v>
      </c>
      <c r="F84" s="32">
        <v>11</v>
      </c>
    </row>
    <row r="85" spans="1:6" x14ac:dyDescent="0.3">
      <c r="A85" s="31">
        <v>2500008920</v>
      </c>
      <c r="B85" s="31" t="s">
        <v>2105</v>
      </c>
      <c r="C85" s="31" t="s">
        <v>1996</v>
      </c>
      <c r="D85" s="31" t="s">
        <v>2025</v>
      </c>
      <c r="E85" s="32">
        <v>100305</v>
      </c>
      <c r="F85" s="32">
        <v>11</v>
      </c>
    </row>
    <row r="86" spans="1:6" x14ac:dyDescent="0.3">
      <c r="A86" s="31">
        <v>1000107101</v>
      </c>
      <c r="B86" s="31" t="s">
        <v>2106</v>
      </c>
      <c r="C86" s="31" t="s">
        <v>4</v>
      </c>
      <c r="D86" s="31" t="s">
        <v>2043</v>
      </c>
      <c r="E86" s="32">
        <v>99980.951540082897</v>
      </c>
      <c r="F86" s="32">
        <v>2337</v>
      </c>
    </row>
    <row r="87" spans="1:6" x14ac:dyDescent="0.3">
      <c r="A87" s="31">
        <v>2100005590</v>
      </c>
      <c r="B87" s="31" t="s">
        <v>2107</v>
      </c>
      <c r="C87" s="31" t="s">
        <v>2037</v>
      </c>
      <c r="D87" s="31" t="s">
        <v>2075</v>
      </c>
      <c r="E87" s="32">
        <v>99635.25</v>
      </c>
      <c r="F87" s="32">
        <v>13</v>
      </c>
    </row>
    <row r="88" spans="1:6" x14ac:dyDescent="0.3">
      <c r="A88" s="31">
        <v>2700000079</v>
      </c>
      <c r="B88" s="31" t="s">
        <v>246</v>
      </c>
      <c r="C88" s="31" t="s">
        <v>2037</v>
      </c>
      <c r="D88" s="31" t="s">
        <v>2038</v>
      </c>
      <c r="E88" s="32">
        <v>99520.960000000006</v>
      </c>
      <c r="F88" s="32">
        <v>7</v>
      </c>
    </row>
    <row r="89" spans="1:6" x14ac:dyDescent="0.3">
      <c r="A89" s="31">
        <v>1000109969</v>
      </c>
      <c r="B89" s="31" t="s">
        <v>2108</v>
      </c>
      <c r="C89" s="31" t="s">
        <v>2109</v>
      </c>
      <c r="D89" s="31" t="s">
        <v>2110</v>
      </c>
      <c r="E89" s="32">
        <v>99360</v>
      </c>
      <c r="F89" s="32">
        <v>15</v>
      </c>
    </row>
    <row r="90" spans="1:6" x14ac:dyDescent="0.3">
      <c r="A90" s="31">
        <v>2300000101</v>
      </c>
      <c r="B90" s="31" t="s">
        <v>2111</v>
      </c>
      <c r="C90" s="31" t="s">
        <v>2020</v>
      </c>
      <c r="D90" s="31" t="s">
        <v>2023</v>
      </c>
      <c r="E90" s="32">
        <v>99200</v>
      </c>
      <c r="F90" s="32">
        <v>31</v>
      </c>
    </row>
    <row r="91" spans="1:6" x14ac:dyDescent="0.3">
      <c r="A91" s="31">
        <v>1000103593</v>
      </c>
      <c r="B91" s="31" t="s">
        <v>2112</v>
      </c>
      <c r="C91" s="31" t="s">
        <v>4</v>
      </c>
      <c r="D91" s="31" t="s">
        <v>2043</v>
      </c>
      <c r="E91" s="32">
        <v>97740.72</v>
      </c>
      <c r="F91" s="32">
        <v>385</v>
      </c>
    </row>
    <row r="92" spans="1:6" x14ac:dyDescent="0.3">
      <c r="A92" s="31">
        <v>2500009019</v>
      </c>
      <c r="B92" s="31" t="s">
        <v>2113</v>
      </c>
      <c r="C92" s="31" t="s">
        <v>1996</v>
      </c>
      <c r="D92" s="31" t="s">
        <v>2025</v>
      </c>
      <c r="E92" s="32">
        <v>96750</v>
      </c>
      <c r="F92" s="32">
        <v>1</v>
      </c>
    </row>
    <row r="93" spans="1:6" x14ac:dyDescent="0.3">
      <c r="A93" s="31">
        <v>2200003011</v>
      </c>
      <c r="B93" s="31" t="s">
        <v>2114</v>
      </c>
      <c r="C93" s="31" t="s">
        <v>2037</v>
      </c>
      <c r="D93" s="31" t="s">
        <v>2038</v>
      </c>
      <c r="E93" s="32">
        <v>96474.92</v>
      </c>
      <c r="F93" s="32">
        <v>2</v>
      </c>
    </row>
    <row r="94" spans="1:6" x14ac:dyDescent="0.3">
      <c r="A94" s="31">
        <v>1000110833</v>
      </c>
      <c r="B94" s="31" t="s">
        <v>2115</v>
      </c>
      <c r="C94" s="31" t="s">
        <v>2109</v>
      </c>
      <c r="D94" s="31" t="s">
        <v>2035</v>
      </c>
      <c r="E94" s="32">
        <v>96213.9375</v>
      </c>
      <c r="F94" s="32">
        <v>15</v>
      </c>
    </row>
    <row r="95" spans="1:6" x14ac:dyDescent="0.3">
      <c r="A95" s="31">
        <v>2900000052</v>
      </c>
      <c r="B95" s="31" t="s">
        <v>2116</v>
      </c>
      <c r="C95" s="31" t="s">
        <v>1996</v>
      </c>
      <c r="D95" s="31" t="s">
        <v>2117</v>
      </c>
      <c r="E95" s="32">
        <v>95625</v>
      </c>
      <c r="F95" s="32">
        <v>10</v>
      </c>
    </row>
    <row r="96" spans="1:6" x14ac:dyDescent="0.3">
      <c r="A96" s="31">
        <v>1000096649</v>
      </c>
      <c r="B96" s="31" t="s">
        <v>2118</v>
      </c>
      <c r="C96" s="31" t="s">
        <v>4</v>
      </c>
      <c r="D96" s="31" t="s">
        <v>2043</v>
      </c>
      <c r="E96" s="32">
        <v>94918.706950006002</v>
      </c>
      <c r="F96" s="32">
        <v>247</v>
      </c>
    </row>
    <row r="97" spans="1:6" x14ac:dyDescent="0.3">
      <c r="A97" s="31">
        <v>1000099598</v>
      </c>
      <c r="B97" s="31" t="s">
        <v>2044</v>
      </c>
      <c r="C97" s="31" t="s">
        <v>4</v>
      </c>
      <c r="D97" s="31" t="s">
        <v>2043</v>
      </c>
      <c r="E97" s="32">
        <v>94314.876033057793</v>
      </c>
      <c r="F97" s="32">
        <v>200</v>
      </c>
    </row>
    <row r="98" spans="1:6" x14ac:dyDescent="0.3">
      <c r="A98" s="31">
        <v>1000015039</v>
      </c>
      <c r="B98" s="31" t="s">
        <v>2119</v>
      </c>
      <c r="C98" s="31" t="s">
        <v>4</v>
      </c>
      <c r="D98" s="31" t="s">
        <v>2043</v>
      </c>
      <c r="E98" s="32">
        <v>94011.539142499605</v>
      </c>
      <c r="F98" s="32">
        <v>2067</v>
      </c>
    </row>
    <row r="99" spans="1:6" x14ac:dyDescent="0.3">
      <c r="A99" s="31">
        <v>1000015156</v>
      </c>
      <c r="B99" s="31" t="s">
        <v>2120</v>
      </c>
      <c r="C99" s="31" t="s">
        <v>4</v>
      </c>
      <c r="D99" s="31" t="s">
        <v>2043</v>
      </c>
      <c r="E99" s="32">
        <v>92416.35</v>
      </c>
      <c r="F99" s="32">
        <v>1035</v>
      </c>
    </row>
    <row r="100" spans="1:6" x14ac:dyDescent="0.3">
      <c r="A100" s="31">
        <v>2500008040</v>
      </c>
      <c r="B100" s="31" t="s">
        <v>2121</v>
      </c>
      <c r="C100" s="31" t="s">
        <v>1996</v>
      </c>
      <c r="D100" s="31" t="s">
        <v>2025</v>
      </c>
      <c r="E100" s="32">
        <v>90604.5</v>
      </c>
      <c r="F100" s="32">
        <v>6</v>
      </c>
    </row>
    <row r="101" spans="1:6" x14ac:dyDescent="0.3">
      <c r="A101" s="31">
        <v>2000017656</v>
      </c>
      <c r="B101" s="31" t="s">
        <v>2122</v>
      </c>
      <c r="C101" s="31" t="s">
        <v>2017</v>
      </c>
      <c r="D101" s="31" t="s">
        <v>2072</v>
      </c>
      <c r="E101" s="32">
        <v>90210</v>
      </c>
      <c r="F101" s="32">
        <v>2</v>
      </c>
    </row>
    <row r="102" spans="1:6" x14ac:dyDescent="0.3">
      <c r="A102" s="31">
        <v>2000014522</v>
      </c>
      <c r="B102" s="31" t="s">
        <v>2123</v>
      </c>
      <c r="C102" s="31" t="s">
        <v>2017</v>
      </c>
      <c r="D102" s="31" t="s">
        <v>2063</v>
      </c>
      <c r="E102" s="32">
        <v>89815.85</v>
      </c>
      <c r="F102" s="32">
        <v>2</v>
      </c>
    </row>
    <row r="103" spans="1:6" x14ac:dyDescent="0.3">
      <c r="A103" s="31">
        <v>2000014523</v>
      </c>
      <c r="B103" s="31" t="s">
        <v>2124</v>
      </c>
      <c r="C103" s="31" t="s">
        <v>2017</v>
      </c>
      <c r="D103" s="31" t="s">
        <v>2063</v>
      </c>
      <c r="E103" s="32">
        <v>89815.84</v>
      </c>
      <c r="F103" s="32">
        <v>2</v>
      </c>
    </row>
    <row r="104" spans="1:6" x14ac:dyDescent="0.3">
      <c r="A104" s="31">
        <v>1000020853</v>
      </c>
      <c r="B104" s="31" t="s">
        <v>1044</v>
      </c>
      <c r="C104" s="31" t="s">
        <v>4</v>
      </c>
      <c r="D104" s="31" t="s">
        <v>2090</v>
      </c>
      <c r="E104" s="32">
        <v>89581.393870607993</v>
      </c>
      <c r="F104" s="32">
        <v>212</v>
      </c>
    </row>
    <row r="105" spans="1:6" x14ac:dyDescent="0.3">
      <c r="A105" s="31">
        <v>1000105609</v>
      </c>
      <c r="B105" s="31" t="s">
        <v>2125</v>
      </c>
      <c r="C105" s="31" t="s">
        <v>4</v>
      </c>
      <c r="D105" s="31" t="s">
        <v>2043</v>
      </c>
      <c r="E105" s="32">
        <v>89160</v>
      </c>
      <c r="F105" s="32">
        <v>7430</v>
      </c>
    </row>
    <row r="106" spans="1:6" x14ac:dyDescent="0.3">
      <c r="A106" s="31">
        <v>2700000277</v>
      </c>
      <c r="B106" s="31" t="s">
        <v>311</v>
      </c>
      <c r="C106" s="31" t="s">
        <v>2037</v>
      </c>
      <c r="D106" s="31" t="s">
        <v>2038</v>
      </c>
      <c r="E106" s="32">
        <v>88884.43</v>
      </c>
      <c r="F106" s="32">
        <v>8</v>
      </c>
    </row>
    <row r="107" spans="1:6" x14ac:dyDescent="0.3">
      <c r="A107" s="31">
        <v>1000015012</v>
      </c>
      <c r="B107" s="31" t="s">
        <v>2126</v>
      </c>
      <c r="C107" s="31" t="s">
        <v>4</v>
      </c>
      <c r="D107" s="31" t="s">
        <v>2043</v>
      </c>
      <c r="E107" s="32">
        <v>88719.1621852229</v>
      </c>
      <c r="F107" s="32">
        <v>2652</v>
      </c>
    </row>
    <row r="108" spans="1:6" x14ac:dyDescent="0.3">
      <c r="A108" s="31">
        <v>2200003290</v>
      </c>
      <c r="B108" s="31" t="s">
        <v>2127</v>
      </c>
      <c r="C108" s="31" t="s">
        <v>2037</v>
      </c>
      <c r="D108" s="31" t="s">
        <v>2038</v>
      </c>
      <c r="E108" s="32">
        <v>87829.28</v>
      </c>
      <c r="F108" s="32">
        <v>2</v>
      </c>
    </row>
    <row r="109" spans="1:6" x14ac:dyDescent="0.3">
      <c r="A109" s="31">
        <v>1000015153</v>
      </c>
      <c r="B109" s="31" t="s">
        <v>2128</v>
      </c>
      <c r="C109" s="31" t="s">
        <v>4</v>
      </c>
      <c r="D109" s="31" t="s">
        <v>2043</v>
      </c>
      <c r="E109" s="32">
        <v>87679.376580310796</v>
      </c>
      <c r="F109" s="32">
        <v>576</v>
      </c>
    </row>
    <row r="110" spans="1:6" x14ac:dyDescent="0.3">
      <c r="A110" s="31">
        <v>1000020857</v>
      </c>
      <c r="B110" s="31" t="s">
        <v>1047</v>
      </c>
      <c r="C110" s="31" t="s">
        <v>4</v>
      </c>
      <c r="D110" s="31" t="s">
        <v>2090</v>
      </c>
      <c r="E110" s="32">
        <v>83361.709411386502</v>
      </c>
      <c r="F110" s="32">
        <v>189</v>
      </c>
    </row>
    <row r="111" spans="1:6" x14ac:dyDescent="0.3">
      <c r="A111" s="31">
        <v>1000110922</v>
      </c>
      <c r="B111" s="31" t="s">
        <v>2129</v>
      </c>
      <c r="C111" s="31" t="s">
        <v>2027</v>
      </c>
      <c r="D111" s="31" t="s">
        <v>2070</v>
      </c>
      <c r="E111" s="32">
        <v>83089.236000000004</v>
      </c>
      <c r="F111" s="32">
        <v>8</v>
      </c>
    </row>
    <row r="112" spans="1:6" x14ac:dyDescent="0.3">
      <c r="A112" s="31">
        <v>2200011039</v>
      </c>
      <c r="B112" s="31" t="s">
        <v>2130</v>
      </c>
      <c r="C112" s="31" t="s">
        <v>2037</v>
      </c>
      <c r="D112" s="31" t="s">
        <v>2038</v>
      </c>
      <c r="E112" s="32">
        <v>82661.039999999994</v>
      </c>
      <c r="F112" s="32">
        <v>9</v>
      </c>
    </row>
    <row r="113" spans="1:6" x14ac:dyDescent="0.3">
      <c r="A113" s="31">
        <v>1000103504</v>
      </c>
      <c r="B113" s="31" t="s">
        <v>2131</v>
      </c>
      <c r="C113" s="31" t="s">
        <v>4</v>
      </c>
      <c r="D113" s="31" t="s">
        <v>2043</v>
      </c>
      <c r="E113" s="32">
        <v>81839.492591660499</v>
      </c>
      <c r="F113" s="32">
        <v>1220</v>
      </c>
    </row>
    <row r="114" spans="1:6" x14ac:dyDescent="0.3">
      <c r="A114" s="31">
        <v>1000015004</v>
      </c>
      <c r="B114" s="31" t="s">
        <v>2132</v>
      </c>
      <c r="C114" s="31" t="s">
        <v>4</v>
      </c>
      <c r="D114" s="31" t="s">
        <v>2043</v>
      </c>
      <c r="E114" s="32">
        <v>81800.711120054897</v>
      </c>
      <c r="F114" s="32">
        <v>1548</v>
      </c>
    </row>
    <row r="115" spans="1:6" x14ac:dyDescent="0.3">
      <c r="A115" s="31">
        <v>1000093662</v>
      </c>
      <c r="B115" s="31" t="s">
        <v>2133</v>
      </c>
      <c r="C115" s="31" t="s">
        <v>4</v>
      </c>
      <c r="D115" s="31" t="s">
        <v>2056</v>
      </c>
      <c r="E115" s="32">
        <v>79744.796637912499</v>
      </c>
      <c r="F115" s="32">
        <v>64572</v>
      </c>
    </row>
    <row r="116" spans="1:6" x14ac:dyDescent="0.3">
      <c r="A116" s="31">
        <v>2200011922</v>
      </c>
      <c r="B116" s="31" t="s">
        <v>2134</v>
      </c>
      <c r="C116" s="31" t="s">
        <v>2037</v>
      </c>
      <c r="D116" s="31" t="s">
        <v>2038</v>
      </c>
      <c r="E116" s="32">
        <v>79607.360000000001</v>
      </c>
      <c r="F116" s="32">
        <v>3</v>
      </c>
    </row>
    <row r="117" spans="1:6" x14ac:dyDescent="0.3">
      <c r="A117" s="31">
        <v>1000103586</v>
      </c>
      <c r="B117" s="31" t="s">
        <v>2135</v>
      </c>
      <c r="C117" s="31" t="s">
        <v>4</v>
      </c>
      <c r="D117" s="31" t="s">
        <v>2043</v>
      </c>
      <c r="E117" s="32">
        <v>79552.668999999994</v>
      </c>
      <c r="F117" s="32">
        <v>763</v>
      </c>
    </row>
    <row r="118" spans="1:6" x14ac:dyDescent="0.3">
      <c r="A118" s="31">
        <v>2000017657</v>
      </c>
      <c r="B118" s="31" t="s">
        <v>2136</v>
      </c>
      <c r="C118" s="31" t="s">
        <v>2017</v>
      </c>
      <c r="D118" s="31" t="s">
        <v>2072</v>
      </c>
      <c r="E118" s="32">
        <v>78892.5</v>
      </c>
      <c r="F118" s="32">
        <v>2</v>
      </c>
    </row>
    <row r="119" spans="1:6" x14ac:dyDescent="0.3">
      <c r="A119" s="31">
        <v>2500008475</v>
      </c>
      <c r="B119" s="31" t="s">
        <v>2137</v>
      </c>
      <c r="C119" s="31" t="s">
        <v>1996</v>
      </c>
      <c r="D119" s="31" t="s">
        <v>2025</v>
      </c>
      <c r="E119" s="32">
        <v>78446.23</v>
      </c>
      <c r="F119" s="32">
        <v>62</v>
      </c>
    </row>
    <row r="120" spans="1:6" x14ac:dyDescent="0.3">
      <c r="A120" s="31">
        <v>1000015014</v>
      </c>
      <c r="B120" s="31" t="s">
        <v>2138</v>
      </c>
      <c r="C120" s="31" t="s">
        <v>4</v>
      </c>
      <c r="D120" s="31" t="s">
        <v>2043</v>
      </c>
      <c r="E120" s="32">
        <v>77558.936376465295</v>
      </c>
      <c r="F120" s="32">
        <v>980</v>
      </c>
    </row>
    <row r="121" spans="1:6" x14ac:dyDescent="0.3">
      <c r="A121" s="31">
        <v>1000093437</v>
      </c>
      <c r="B121" s="31" t="s">
        <v>2139</v>
      </c>
      <c r="C121" s="31" t="s">
        <v>4</v>
      </c>
      <c r="D121" s="31" t="s">
        <v>2056</v>
      </c>
      <c r="E121" s="32">
        <v>77373.834400220803</v>
      </c>
      <c r="F121" s="32">
        <v>22510</v>
      </c>
    </row>
    <row r="122" spans="1:6" x14ac:dyDescent="0.3">
      <c r="A122" s="31">
        <v>1000109864</v>
      </c>
      <c r="B122" s="31" t="s">
        <v>2140</v>
      </c>
      <c r="C122" s="31" t="s">
        <v>2027</v>
      </c>
      <c r="D122" s="31" t="s">
        <v>2141</v>
      </c>
      <c r="E122" s="32">
        <v>76717.5</v>
      </c>
      <c r="F122" s="32">
        <v>53</v>
      </c>
    </row>
    <row r="123" spans="1:6" x14ac:dyDescent="0.3">
      <c r="A123" s="31">
        <v>2200002971</v>
      </c>
      <c r="B123" s="31" t="s">
        <v>2142</v>
      </c>
      <c r="C123" s="31" t="s">
        <v>2037</v>
      </c>
      <c r="D123" s="31" t="s">
        <v>2038</v>
      </c>
      <c r="E123" s="32">
        <v>76310.41</v>
      </c>
      <c r="F123" s="32">
        <v>1</v>
      </c>
    </row>
    <row r="124" spans="1:6" x14ac:dyDescent="0.3">
      <c r="A124" s="31">
        <v>1000020862</v>
      </c>
      <c r="B124" s="31" t="s">
        <v>1051</v>
      </c>
      <c r="C124" s="31" t="s">
        <v>4</v>
      </c>
      <c r="D124" s="31" t="s">
        <v>2090</v>
      </c>
      <c r="E124" s="32">
        <v>75843.695489576305</v>
      </c>
      <c r="F124" s="32">
        <v>171</v>
      </c>
    </row>
    <row r="125" spans="1:6" x14ac:dyDescent="0.3">
      <c r="A125" s="31">
        <v>1000110720</v>
      </c>
      <c r="B125" s="31" t="s">
        <v>2143</v>
      </c>
      <c r="C125" s="31" t="s">
        <v>2109</v>
      </c>
      <c r="D125" s="31" t="s">
        <v>2110</v>
      </c>
      <c r="E125" s="32">
        <v>75441.75</v>
      </c>
      <c r="F125" s="32">
        <v>4</v>
      </c>
    </row>
    <row r="126" spans="1:6" x14ac:dyDescent="0.3">
      <c r="A126" s="31">
        <v>2200001502</v>
      </c>
      <c r="B126" s="31" t="s">
        <v>176</v>
      </c>
      <c r="C126" s="31" t="s">
        <v>2037</v>
      </c>
      <c r="D126" s="31" t="s">
        <v>2038</v>
      </c>
      <c r="E126" s="32">
        <v>74503.5</v>
      </c>
      <c r="F126" s="32">
        <v>1</v>
      </c>
    </row>
    <row r="127" spans="1:6" x14ac:dyDescent="0.3">
      <c r="A127" s="31">
        <v>1000020842</v>
      </c>
      <c r="B127" s="31" t="s">
        <v>1035</v>
      </c>
      <c r="C127" s="31" t="s">
        <v>4</v>
      </c>
      <c r="D127" s="31" t="s">
        <v>2090</v>
      </c>
      <c r="E127" s="32">
        <v>74149.761875371507</v>
      </c>
      <c r="F127" s="32">
        <v>299</v>
      </c>
    </row>
    <row r="128" spans="1:6" x14ac:dyDescent="0.3">
      <c r="A128" s="31">
        <v>1000103584</v>
      </c>
      <c r="B128" s="31" t="s">
        <v>2144</v>
      </c>
      <c r="C128" s="31" t="s">
        <v>4</v>
      </c>
      <c r="D128" s="31" t="s">
        <v>2043</v>
      </c>
      <c r="E128" s="32">
        <v>73385.440000000002</v>
      </c>
      <c r="F128" s="32">
        <v>292</v>
      </c>
    </row>
    <row r="129" spans="1:6" x14ac:dyDescent="0.3">
      <c r="A129" s="31">
        <v>1000103585</v>
      </c>
      <c r="B129" s="31" t="s">
        <v>2145</v>
      </c>
      <c r="C129" s="31" t="s">
        <v>4</v>
      </c>
      <c r="D129" s="31" t="s">
        <v>2043</v>
      </c>
      <c r="E129" s="32">
        <v>70678.080000000002</v>
      </c>
      <c r="F129" s="32">
        <v>194</v>
      </c>
    </row>
    <row r="130" spans="1:6" x14ac:dyDescent="0.3">
      <c r="A130" s="31">
        <v>2700000201</v>
      </c>
      <c r="B130" s="31" t="s">
        <v>284</v>
      </c>
      <c r="C130" s="31" t="s">
        <v>2037</v>
      </c>
      <c r="D130" s="31" t="s">
        <v>2038</v>
      </c>
      <c r="E130" s="32">
        <v>69862.52</v>
      </c>
      <c r="F130" s="32">
        <v>2</v>
      </c>
    </row>
    <row r="131" spans="1:6" x14ac:dyDescent="0.3">
      <c r="A131" s="31">
        <v>1000103595</v>
      </c>
      <c r="B131" s="31" t="s">
        <v>2146</v>
      </c>
      <c r="C131" s="31" t="s">
        <v>4</v>
      </c>
      <c r="D131" s="31" t="s">
        <v>2043</v>
      </c>
      <c r="E131" s="32">
        <v>69795.099491676607</v>
      </c>
      <c r="F131" s="32">
        <v>1413</v>
      </c>
    </row>
    <row r="132" spans="1:6" x14ac:dyDescent="0.3">
      <c r="A132" s="31">
        <v>1000100403</v>
      </c>
      <c r="B132" s="31" t="s">
        <v>2147</v>
      </c>
      <c r="C132" s="31" t="s">
        <v>4</v>
      </c>
      <c r="D132" s="31" t="s">
        <v>2090</v>
      </c>
      <c r="E132" s="32">
        <v>69677.024999999994</v>
      </c>
      <c r="F132" s="32">
        <v>8</v>
      </c>
    </row>
    <row r="133" spans="1:6" x14ac:dyDescent="0.3">
      <c r="A133" s="31">
        <v>2000019344</v>
      </c>
      <c r="B133" s="31" t="s">
        <v>2148</v>
      </c>
      <c r="C133" s="31" t="s">
        <v>2017</v>
      </c>
      <c r="D133" s="31" t="s">
        <v>2063</v>
      </c>
      <c r="E133" s="32">
        <v>69538.5</v>
      </c>
      <c r="F133" s="32">
        <v>5</v>
      </c>
    </row>
    <row r="134" spans="1:6" x14ac:dyDescent="0.3">
      <c r="A134" s="31">
        <v>1000104417</v>
      </c>
      <c r="B134" s="31" t="s">
        <v>2149</v>
      </c>
      <c r="C134" s="31" t="s">
        <v>2109</v>
      </c>
      <c r="D134" s="31" t="s">
        <v>2150</v>
      </c>
      <c r="E134" s="32">
        <v>68801.14</v>
      </c>
      <c r="F134" s="32">
        <v>19</v>
      </c>
    </row>
    <row r="135" spans="1:6" x14ac:dyDescent="0.3">
      <c r="A135" s="31">
        <v>1000094655</v>
      </c>
      <c r="B135" s="31" t="s">
        <v>2151</v>
      </c>
      <c r="C135" s="31" t="s">
        <v>4</v>
      </c>
      <c r="D135" s="31" t="s">
        <v>2056</v>
      </c>
      <c r="E135" s="32">
        <v>67481.363994155807</v>
      </c>
      <c r="F135" s="32">
        <v>66046</v>
      </c>
    </row>
    <row r="136" spans="1:6" x14ac:dyDescent="0.3">
      <c r="A136" s="31">
        <v>1000091475</v>
      </c>
      <c r="B136" s="31" t="s">
        <v>2152</v>
      </c>
      <c r="C136" s="31" t="s">
        <v>2109</v>
      </c>
      <c r="D136" s="31" t="s">
        <v>2070</v>
      </c>
      <c r="E136" s="32">
        <v>67350</v>
      </c>
      <c r="F136" s="32">
        <v>1</v>
      </c>
    </row>
    <row r="137" spans="1:6" x14ac:dyDescent="0.3">
      <c r="A137" s="31">
        <v>1000110867</v>
      </c>
      <c r="B137" s="31" t="s">
        <v>2153</v>
      </c>
      <c r="C137" s="31" t="s">
        <v>4</v>
      </c>
      <c r="D137" s="31" t="s">
        <v>2043</v>
      </c>
      <c r="E137" s="32">
        <v>67089.600000000006</v>
      </c>
      <c r="F137" s="32">
        <v>4320</v>
      </c>
    </row>
    <row r="138" spans="1:6" x14ac:dyDescent="0.3">
      <c r="A138" s="31">
        <v>2700000006</v>
      </c>
      <c r="B138" s="31" t="s">
        <v>216</v>
      </c>
      <c r="C138" s="31" t="s">
        <v>2037</v>
      </c>
      <c r="D138" s="31" t="s">
        <v>2038</v>
      </c>
      <c r="E138" s="32">
        <v>66900.459800478406</v>
      </c>
      <c r="F138" s="32">
        <v>82</v>
      </c>
    </row>
    <row r="139" spans="1:6" x14ac:dyDescent="0.3">
      <c r="A139" s="31">
        <v>1000095814</v>
      </c>
      <c r="B139" s="31" t="s">
        <v>2154</v>
      </c>
      <c r="C139" s="31" t="s">
        <v>4</v>
      </c>
      <c r="D139" s="31" t="s">
        <v>2056</v>
      </c>
      <c r="E139" s="32">
        <v>66673.3315281916</v>
      </c>
      <c r="F139" s="32">
        <v>4480</v>
      </c>
    </row>
    <row r="140" spans="1:6" x14ac:dyDescent="0.3">
      <c r="A140" s="31">
        <v>2200012058</v>
      </c>
      <c r="B140" s="31" t="s">
        <v>2155</v>
      </c>
      <c r="C140" s="31" t="s">
        <v>2088</v>
      </c>
      <c r="D140" s="31" t="s">
        <v>2038</v>
      </c>
      <c r="E140" s="32">
        <v>65451.847999999998</v>
      </c>
      <c r="F140" s="32">
        <v>1</v>
      </c>
    </row>
    <row r="141" spans="1:6" x14ac:dyDescent="0.3">
      <c r="A141" s="31">
        <v>2500008052</v>
      </c>
      <c r="B141" s="31" t="s">
        <v>2156</v>
      </c>
      <c r="C141" s="31" t="s">
        <v>1996</v>
      </c>
      <c r="D141" s="31" t="s">
        <v>2025</v>
      </c>
      <c r="E141" s="32">
        <v>64927.5</v>
      </c>
      <c r="F141" s="32">
        <v>6</v>
      </c>
    </row>
    <row r="142" spans="1:6" x14ac:dyDescent="0.3">
      <c r="A142" s="31">
        <v>2200000569</v>
      </c>
      <c r="B142" s="31" t="s">
        <v>2157</v>
      </c>
      <c r="C142" s="31" t="s">
        <v>2037</v>
      </c>
      <c r="D142" s="31" t="s">
        <v>2038</v>
      </c>
      <c r="E142" s="32">
        <v>64735.76</v>
      </c>
      <c r="F142" s="32">
        <v>1</v>
      </c>
    </row>
    <row r="143" spans="1:6" x14ac:dyDescent="0.3">
      <c r="A143" s="31">
        <v>1000109304</v>
      </c>
      <c r="B143" s="31" t="s">
        <v>2158</v>
      </c>
      <c r="C143" s="31" t="s">
        <v>2027</v>
      </c>
      <c r="D143" s="31" t="s">
        <v>2159</v>
      </c>
      <c r="E143" s="32">
        <v>63945.2</v>
      </c>
      <c r="F143" s="32">
        <v>1</v>
      </c>
    </row>
    <row r="144" spans="1:6" x14ac:dyDescent="0.3">
      <c r="A144" s="31">
        <v>2200003010</v>
      </c>
      <c r="B144" s="31" t="s">
        <v>2160</v>
      </c>
      <c r="C144" s="31" t="s">
        <v>2037</v>
      </c>
      <c r="D144" s="31" t="s">
        <v>2038</v>
      </c>
      <c r="E144" s="32">
        <v>63077.38</v>
      </c>
      <c r="F144" s="32">
        <v>1</v>
      </c>
    </row>
    <row r="145" spans="1:6" x14ac:dyDescent="0.3">
      <c r="A145" s="31">
        <v>1000107342</v>
      </c>
      <c r="B145" s="31" t="s">
        <v>133</v>
      </c>
      <c r="C145" s="31" t="s">
        <v>4</v>
      </c>
      <c r="D145" s="31" t="s">
        <v>2161</v>
      </c>
      <c r="E145" s="32">
        <v>62746.262882856601</v>
      </c>
      <c r="F145" s="32">
        <v>38</v>
      </c>
    </row>
    <row r="146" spans="1:6" x14ac:dyDescent="0.3">
      <c r="A146" s="31">
        <v>2200002972</v>
      </c>
      <c r="B146" s="31" t="s">
        <v>2162</v>
      </c>
      <c r="C146" s="31" t="s">
        <v>2037</v>
      </c>
      <c r="D146" s="31" t="s">
        <v>2038</v>
      </c>
      <c r="E146" s="32">
        <v>62470.95</v>
      </c>
      <c r="F146" s="32">
        <v>1</v>
      </c>
    </row>
    <row r="147" spans="1:6" x14ac:dyDescent="0.3">
      <c r="A147" s="31">
        <v>2300000021</v>
      </c>
      <c r="B147" s="31" t="s">
        <v>323</v>
      </c>
      <c r="C147" s="31" t="s">
        <v>2017</v>
      </c>
      <c r="D147" s="31" t="s">
        <v>2063</v>
      </c>
      <c r="E147" s="32">
        <v>61923.533333333296</v>
      </c>
      <c r="F147" s="32">
        <v>5</v>
      </c>
    </row>
    <row r="148" spans="1:6" x14ac:dyDescent="0.3">
      <c r="A148" s="31">
        <v>1000015016</v>
      </c>
      <c r="B148" s="31" t="s">
        <v>2163</v>
      </c>
      <c r="C148" s="31" t="s">
        <v>4</v>
      </c>
      <c r="D148" s="31" t="s">
        <v>2043</v>
      </c>
      <c r="E148" s="32">
        <v>61897.642303126799</v>
      </c>
      <c r="F148" s="32">
        <v>449</v>
      </c>
    </row>
    <row r="149" spans="1:6" x14ac:dyDescent="0.3">
      <c r="A149" s="31">
        <v>1000102395</v>
      </c>
      <c r="B149" s="31" t="s">
        <v>2164</v>
      </c>
      <c r="C149" s="31" t="s">
        <v>2165</v>
      </c>
      <c r="D149" s="31" t="s">
        <v>2043</v>
      </c>
      <c r="E149" s="32">
        <v>61760.1707975299</v>
      </c>
      <c r="F149" s="32">
        <v>794</v>
      </c>
    </row>
    <row r="150" spans="1:6" x14ac:dyDescent="0.3">
      <c r="A150" s="31">
        <v>1000102206</v>
      </c>
      <c r="B150" s="31" t="s">
        <v>1769</v>
      </c>
      <c r="C150" s="31" t="s">
        <v>4</v>
      </c>
      <c r="D150" s="31" t="s">
        <v>2090</v>
      </c>
      <c r="E150" s="32">
        <v>61725.85</v>
      </c>
      <c r="F150" s="32">
        <v>10</v>
      </c>
    </row>
    <row r="151" spans="1:6" x14ac:dyDescent="0.3">
      <c r="A151" s="31">
        <v>2300000104</v>
      </c>
      <c r="B151" s="31" t="s">
        <v>2166</v>
      </c>
      <c r="C151" s="31" t="s">
        <v>2020</v>
      </c>
      <c r="D151" s="31" t="s">
        <v>2023</v>
      </c>
      <c r="E151" s="32">
        <v>61425</v>
      </c>
      <c r="F151" s="32">
        <v>40</v>
      </c>
    </row>
    <row r="152" spans="1:6" x14ac:dyDescent="0.3">
      <c r="A152" s="31">
        <v>1000020708</v>
      </c>
      <c r="B152" s="31" t="s">
        <v>917</v>
      </c>
      <c r="C152" s="31" t="s">
        <v>4</v>
      </c>
      <c r="D152" s="31" t="s">
        <v>2090</v>
      </c>
      <c r="E152" s="32">
        <v>61292.815581524599</v>
      </c>
      <c r="F152" s="32">
        <v>475</v>
      </c>
    </row>
    <row r="153" spans="1:6" x14ac:dyDescent="0.3">
      <c r="A153" s="31">
        <v>1000015022</v>
      </c>
      <c r="B153" s="31" t="s">
        <v>38</v>
      </c>
      <c r="C153" s="31" t="s">
        <v>4</v>
      </c>
      <c r="D153" s="31" t="s">
        <v>2043</v>
      </c>
      <c r="E153" s="32">
        <v>60335.17</v>
      </c>
      <c r="F153" s="32">
        <v>413</v>
      </c>
    </row>
    <row r="154" spans="1:6" x14ac:dyDescent="0.3">
      <c r="A154" s="31">
        <v>1000109020</v>
      </c>
      <c r="B154" s="31" t="s">
        <v>2167</v>
      </c>
      <c r="C154" s="31" t="s">
        <v>2109</v>
      </c>
      <c r="D154" s="31" t="s">
        <v>2035</v>
      </c>
      <c r="E154" s="32">
        <v>59837.4</v>
      </c>
      <c r="F154" s="32">
        <v>12</v>
      </c>
    </row>
    <row r="155" spans="1:6" x14ac:dyDescent="0.3">
      <c r="A155" s="31">
        <v>2500008274</v>
      </c>
      <c r="B155" s="31" t="s">
        <v>2168</v>
      </c>
      <c r="C155" s="31" t="s">
        <v>1996</v>
      </c>
      <c r="D155" s="31" t="s">
        <v>2025</v>
      </c>
      <c r="E155" s="32">
        <v>59794.464285714203</v>
      </c>
      <c r="F155" s="32">
        <v>5</v>
      </c>
    </row>
    <row r="156" spans="1:6" x14ac:dyDescent="0.3">
      <c r="A156" s="31">
        <v>1000110683</v>
      </c>
      <c r="B156" s="31" t="s">
        <v>2169</v>
      </c>
      <c r="C156" s="31" t="s">
        <v>2027</v>
      </c>
      <c r="D156" s="31" t="s">
        <v>2035</v>
      </c>
      <c r="E156" s="32">
        <v>59771.25</v>
      </c>
      <c r="F156" s="32">
        <v>45</v>
      </c>
    </row>
    <row r="157" spans="1:6" x14ac:dyDescent="0.3">
      <c r="A157" s="31">
        <v>2500008041</v>
      </c>
      <c r="B157" s="31" t="s">
        <v>2170</v>
      </c>
      <c r="C157" s="31" t="s">
        <v>1996</v>
      </c>
      <c r="D157" s="31" t="s">
        <v>2025</v>
      </c>
      <c r="E157" s="32">
        <v>59485.9788359788</v>
      </c>
      <c r="F157" s="32">
        <v>4</v>
      </c>
    </row>
    <row r="158" spans="1:6" x14ac:dyDescent="0.3">
      <c r="A158" s="31">
        <v>1000110408</v>
      </c>
      <c r="B158" s="31" t="s">
        <v>2171</v>
      </c>
      <c r="C158" s="31" t="s">
        <v>2172</v>
      </c>
      <c r="D158" s="31" t="s">
        <v>2173</v>
      </c>
      <c r="E158" s="32">
        <v>59408.44</v>
      </c>
      <c r="F158" s="32">
        <v>1</v>
      </c>
    </row>
    <row r="159" spans="1:6" x14ac:dyDescent="0.3">
      <c r="A159" s="31">
        <v>1000103597</v>
      </c>
      <c r="B159" s="31" t="s">
        <v>2174</v>
      </c>
      <c r="C159" s="31" t="s">
        <v>4</v>
      </c>
      <c r="D159" s="31" t="s">
        <v>2043</v>
      </c>
      <c r="E159" s="32">
        <v>59388</v>
      </c>
      <c r="F159" s="32">
        <v>294</v>
      </c>
    </row>
    <row r="160" spans="1:6" x14ac:dyDescent="0.3">
      <c r="A160" s="31">
        <v>1000093601</v>
      </c>
      <c r="B160" s="31" t="s">
        <v>2175</v>
      </c>
      <c r="C160" s="31" t="s">
        <v>4</v>
      </c>
      <c r="D160" s="31" t="s">
        <v>2056</v>
      </c>
      <c r="E160" s="32">
        <v>58945.468503429802</v>
      </c>
      <c r="F160" s="32">
        <v>6412</v>
      </c>
    </row>
    <row r="161" spans="1:6" x14ac:dyDescent="0.3">
      <c r="A161" s="31">
        <v>2000017418</v>
      </c>
      <c r="B161" s="31" t="s">
        <v>2176</v>
      </c>
      <c r="C161" s="31" t="s">
        <v>2017</v>
      </c>
      <c r="D161" s="31" t="s">
        <v>2063</v>
      </c>
      <c r="E161" s="32">
        <v>58605.1875</v>
      </c>
      <c r="F161" s="32">
        <v>1</v>
      </c>
    </row>
    <row r="162" spans="1:6" x14ac:dyDescent="0.3">
      <c r="A162" s="31">
        <v>2200012202</v>
      </c>
      <c r="B162" s="31" t="s">
        <v>2177</v>
      </c>
      <c r="C162" s="31" t="s">
        <v>2037</v>
      </c>
      <c r="D162" s="31" t="s">
        <v>2038</v>
      </c>
      <c r="E162" s="32">
        <v>58332.12</v>
      </c>
      <c r="F162" s="32">
        <v>1</v>
      </c>
    </row>
    <row r="163" spans="1:6" x14ac:dyDescent="0.3">
      <c r="A163" s="31">
        <v>1000103583</v>
      </c>
      <c r="B163" s="31" t="s">
        <v>2178</v>
      </c>
      <c r="C163" s="31" t="s">
        <v>4</v>
      </c>
      <c r="D163" s="31" t="s">
        <v>2043</v>
      </c>
      <c r="E163" s="32">
        <v>58245.599999999999</v>
      </c>
      <c r="F163" s="32">
        <v>420</v>
      </c>
    </row>
    <row r="164" spans="1:6" x14ac:dyDescent="0.3">
      <c r="A164" s="31">
        <v>2500008054</v>
      </c>
      <c r="B164" s="31" t="s">
        <v>2179</v>
      </c>
      <c r="C164" s="31" t="s">
        <v>1996</v>
      </c>
      <c r="D164" s="31" t="s">
        <v>2025</v>
      </c>
      <c r="E164" s="32">
        <v>58200</v>
      </c>
      <c r="F164" s="32">
        <v>4</v>
      </c>
    </row>
    <row r="165" spans="1:6" x14ac:dyDescent="0.3">
      <c r="A165" s="31">
        <v>1000110472</v>
      </c>
      <c r="B165" s="31" t="s">
        <v>2180</v>
      </c>
      <c r="C165" s="31" t="s">
        <v>2027</v>
      </c>
      <c r="D165" s="31" t="s">
        <v>2035</v>
      </c>
      <c r="E165" s="32">
        <v>57766.81</v>
      </c>
      <c r="F165" s="32">
        <v>32</v>
      </c>
    </row>
    <row r="166" spans="1:6" x14ac:dyDescent="0.3">
      <c r="A166" s="31">
        <v>2700000108</v>
      </c>
      <c r="B166" s="31" t="s">
        <v>257</v>
      </c>
      <c r="C166" s="31" t="s">
        <v>2037</v>
      </c>
      <c r="D166" s="31" t="s">
        <v>2038</v>
      </c>
      <c r="E166" s="32">
        <v>57189.440000000002</v>
      </c>
      <c r="F166" s="32">
        <v>4</v>
      </c>
    </row>
    <row r="167" spans="1:6" x14ac:dyDescent="0.3">
      <c r="A167" s="31">
        <v>1000093666</v>
      </c>
      <c r="B167" s="31" t="s">
        <v>2181</v>
      </c>
      <c r="C167" s="31" t="s">
        <v>4</v>
      </c>
      <c r="D167" s="31" t="s">
        <v>2056</v>
      </c>
      <c r="E167" s="32">
        <v>56717.252202845397</v>
      </c>
      <c r="F167" s="32">
        <v>5215</v>
      </c>
    </row>
    <row r="168" spans="1:6" x14ac:dyDescent="0.3">
      <c r="A168" s="31">
        <v>1000109828</v>
      </c>
      <c r="B168" s="31" t="s">
        <v>2182</v>
      </c>
      <c r="C168" s="31" t="s">
        <v>4</v>
      </c>
      <c r="D168" s="31" t="s">
        <v>2183</v>
      </c>
      <c r="E168" s="32">
        <v>56010.75</v>
      </c>
      <c r="F168" s="32">
        <v>10</v>
      </c>
    </row>
    <row r="169" spans="1:6" x14ac:dyDescent="0.3">
      <c r="A169" s="31">
        <v>1000102431</v>
      </c>
      <c r="B169" s="31" t="s">
        <v>2184</v>
      </c>
      <c r="C169" s="31" t="s">
        <v>4</v>
      </c>
      <c r="D169" s="31" t="s">
        <v>2056</v>
      </c>
      <c r="E169" s="32">
        <v>55591.730858585797</v>
      </c>
      <c r="F169" s="32">
        <v>1735</v>
      </c>
    </row>
    <row r="170" spans="1:6" x14ac:dyDescent="0.3">
      <c r="A170" s="31">
        <v>2100006464</v>
      </c>
      <c r="B170" s="31" t="s">
        <v>139</v>
      </c>
      <c r="C170" s="31" t="s">
        <v>2037</v>
      </c>
      <c r="D170" s="31" t="s">
        <v>2031</v>
      </c>
      <c r="E170" s="32">
        <v>54620.146000000001</v>
      </c>
      <c r="F170" s="32">
        <v>85</v>
      </c>
    </row>
    <row r="171" spans="1:6" x14ac:dyDescent="0.3">
      <c r="A171" s="31">
        <v>1000101038</v>
      </c>
      <c r="B171" s="31" t="s">
        <v>2185</v>
      </c>
      <c r="C171" s="31" t="s">
        <v>4</v>
      </c>
      <c r="D171" s="31" t="s">
        <v>2043</v>
      </c>
      <c r="E171" s="32">
        <v>54612.800000000003</v>
      </c>
      <c r="F171" s="32">
        <v>638</v>
      </c>
    </row>
    <row r="172" spans="1:6" x14ac:dyDescent="0.3">
      <c r="A172" s="31">
        <v>2200002970</v>
      </c>
      <c r="B172" s="31" t="s">
        <v>2186</v>
      </c>
      <c r="C172" s="31" t="s">
        <v>2037</v>
      </c>
      <c r="D172" s="31" t="s">
        <v>2038</v>
      </c>
      <c r="E172" s="32">
        <v>54110.97</v>
      </c>
      <c r="F172" s="32">
        <v>1</v>
      </c>
    </row>
    <row r="173" spans="1:6" x14ac:dyDescent="0.3">
      <c r="A173" s="31">
        <v>2700000019</v>
      </c>
      <c r="B173" s="31" t="s">
        <v>225</v>
      </c>
      <c r="C173" s="31" t="s">
        <v>2037</v>
      </c>
      <c r="D173" s="31" t="s">
        <v>2038</v>
      </c>
      <c r="E173" s="32">
        <v>53873.703381444</v>
      </c>
      <c r="F173" s="32">
        <v>6</v>
      </c>
    </row>
    <row r="174" spans="1:6" x14ac:dyDescent="0.3">
      <c r="A174" s="31">
        <v>2300000122</v>
      </c>
      <c r="B174" s="31" t="s">
        <v>2187</v>
      </c>
      <c r="C174" s="31" t="s">
        <v>2020</v>
      </c>
      <c r="D174" s="31" t="s">
        <v>2023</v>
      </c>
      <c r="E174" s="32">
        <v>53457.7863286555</v>
      </c>
      <c r="F174" s="32">
        <v>3500</v>
      </c>
    </row>
    <row r="175" spans="1:6" x14ac:dyDescent="0.3">
      <c r="A175" s="31">
        <v>2000011707</v>
      </c>
      <c r="B175" s="31" t="s">
        <v>2188</v>
      </c>
      <c r="C175" s="31" t="s">
        <v>2017</v>
      </c>
      <c r="D175" s="31" t="s">
        <v>2063</v>
      </c>
      <c r="E175" s="32">
        <v>53397.573750000003</v>
      </c>
      <c r="F175" s="32">
        <v>1</v>
      </c>
    </row>
    <row r="176" spans="1:6" x14ac:dyDescent="0.3">
      <c r="A176" s="31">
        <v>1000110754</v>
      </c>
      <c r="B176" s="31" t="s">
        <v>23</v>
      </c>
      <c r="C176" s="31" t="s">
        <v>2109</v>
      </c>
      <c r="D176" s="31" t="s">
        <v>2070</v>
      </c>
      <c r="E176" s="32">
        <v>52224</v>
      </c>
      <c r="F176" s="32">
        <v>4</v>
      </c>
    </row>
    <row r="177" spans="1:6" x14ac:dyDescent="0.3">
      <c r="A177" s="31">
        <v>1000095498</v>
      </c>
      <c r="B177" s="31" t="s">
        <v>2189</v>
      </c>
      <c r="C177" s="31" t="s">
        <v>4</v>
      </c>
      <c r="D177" s="31" t="s">
        <v>2090</v>
      </c>
      <c r="E177" s="32">
        <v>52058.480833333299</v>
      </c>
      <c r="F177" s="32">
        <v>22</v>
      </c>
    </row>
    <row r="178" spans="1:6" x14ac:dyDescent="0.3">
      <c r="A178" s="31">
        <v>2200003091</v>
      </c>
      <c r="B178" s="31" t="s">
        <v>2190</v>
      </c>
      <c r="C178" s="31" t="s">
        <v>2037</v>
      </c>
      <c r="D178" s="31" t="s">
        <v>2038</v>
      </c>
      <c r="E178" s="32">
        <v>51318.96</v>
      </c>
      <c r="F178" s="32">
        <v>1</v>
      </c>
    </row>
    <row r="179" spans="1:6" x14ac:dyDescent="0.3">
      <c r="A179" s="31">
        <v>2200002529</v>
      </c>
      <c r="B179" s="31" t="s">
        <v>2191</v>
      </c>
      <c r="C179" s="31" t="s">
        <v>2030</v>
      </c>
      <c r="D179" s="31" t="s">
        <v>2038</v>
      </c>
      <c r="E179" s="32">
        <v>50881.599999999999</v>
      </c>
      <c r="F179" s="32">
        <v>8</v>
      </c>
    </row>
    <row r="180" spans="1:6" x14ac:dyDescent="0.3">
      <c r="A180" s="31">
        <v>1000110092</v>
      </c>
      <c r="B180" s="31" t="s">
        <v>2192</v>
      </c>
      <c r="C180" s="31" t="s">
        <v>2027</v>
      </c>
      <c r="D180" s="31" t="s">
        <v>2028</v>
      </c>
      <c r="E180" s="32">
        <v>50670</v>
      </c>
      <c r="F180" s="32">
        <v>2</v>
      </c>
    </row>
    <row r="181" spans="1:6" x14ac:dyDescent="0.3">
      <c r="A181" s="31">
        <v>2700000224</v>
      </c>
      <c r="B181" s="31" t="s">
        <v>289</v>
      </c>
      <c r="C181" s="31" t="s">
        <v>2037</v>
      </c>
      <c r="D181" s="31" t="s">
        <v>2038</v>
      </c>
      <c r="E181" s="32">
        <v>50544.4604088177</v>
      </c>
      <c r="F181" s="32">
        <v>3</v>
      </c>
    </row>
    <row r="182" spans="1:6" x14ac:dyDescent="0.3">
      <c r="A182" s="31">
        <v>1000103516</v>
      </c>
      <c r="B182" s="31" t="s">
        <v>2193</v>
      </c>
      <c r="C182" s="31" t="s">
        <v>4</v>
      </c>
      <c r="D182" s="31" t="s">
        <v>2043</v>
      </c>
      <c r="E182" s="32">
        <v>50220.063648000003</v>
      </c>
      <c r="F182" s="32">
        <v>813</v>
      </c>
    </row>
    <row r="183" spans="1:6" x14ac:dyDescent="0.3">
      <c r="A183" s="31">
        <v>1000092204</v>
      </c>
      <c r="B183" s="31" t="s">
        <v>2194</v>
      </c>
      <c r="C183" s="31" t="s">
        <v>4</v>
      </c>
      <c r="D183" s="31" t="s">
        <v>2043</v>
      </c>
      <c r="E183" s="32">
        <v>50181.462360946003</v>
      </c>
      <c r="F183" s="32">
        <v>226</v>
      </c>
    </row>
    <row r="184" spans="1:6" x14ac:dyDescent="0.3">
      <c r="A184" s="31">
        <v>2500008057</v>
      </c>
      <c r="B184" s="31" t="s">
        <v>2195</v>
      </c>
      <c r="C184" s="31" t="s">
        <v>1996</v>
      </c>
      <c r="D184" s="31" t="s">
        <v>2025</v>
      </c>
      <c r="E184" s="32">
        <v>49784.375</v>
      </c>
      <c r="F184" s="32">
        <v>5</v>
      </c>
    </row>
    <row r="185" spans="1:6" x14ac:dyDescent="0.3">
      <c r="A185" s="31">
        <v>1000015041</v>
      </c>
      <c r="B185" s="31" t="s">
        <v>2196</v>
      </c>
      <c r="C185" s="31" t="s">
        <v>4</v>
      </c>
      <c r="D185" s="31" t="s">
        <v>2043</v>
      </c>
      <c r="E185" s="32">
        <v>49773.836339595597</v>
      </c>
      <c r="F185" s="32">
        <v>446</v>
      </c>
    </row>
    <row r="186" spans="1:6" x14ac:dyDescent="0.3">
      <c r="A186" s="31">
        <v>2700000059</v>
      </c>
      <c r="B186" s="31" t="s">
        <v>240</v>
      </c>
      <c r="C186" s="31" t="s">
        <v>2037</v>
      </c>
      <c r="D186" s="31" t="s">
        <v>2038</v>
      </c>
      <c r="E186" s="32">
        <v>49605.938666666603</v>
      </c>
      <c r="F186" s="32">
        <v>6</v>
      </c>
    </row>
    <row r="187" spans="1:6" x14ac:dyDescent="0.3">
      <c r="A187" s="31">
        <v>2100006465</v>
      </c>
      <c r="B187" s="31" t="s">
        <v>2197</v>
      </c>
      <c r="C187" s="31" t="s">
        <v>2037</v>
      </c>
      <c r="D187" s="31" t="s">
        <v>2031</v>
      </c>
      <c r="E187" s="32">
        <v>49364.5964705882</v>
      </c>
      <c r="F187" s="32">
        <v>22</v>
      </c>
    </row>
    <row r="188" spans="1:6" x14ac:dyDescent="0.3">
      <c r="A188" s="31">
        <v>2200000276</v>
      </c>
      <c r="B188" s="31" t="s">
        <v>147</v>
      </c>
      <c r="C188" s="31" t="s">
        <v>2037</v>
      </c>
      <c r="D188" s="31" t="s">
        <v>2038</v>
      </c>
      <c r="E188" s="32">
        <v>49125.927996101098</v>
      </c>
      <c r="F188" s="32">
        <v>11</v>
      </c>
    </row>
    <row r="189" spans="1:6" x14ac:dyDescent="0.3">
      <c r="A189" s="31">
        <v>1000099440</v>
      </c>
      <c r="B189" s="31" t="s">
        <v>2198</v>
      </c>
      <c r="C189" s="31" t="s">
        <v>4</v>
      </c>
      <c r="D189" s="31" t="s">
        <v>2043</v>
      </c>
      <c r="E189" s="32">
        <v>49039.736115107902</v>
      </c>
      <c r="F189" s="32">
        <v>629</v>
      </c>
    </row>
    <row r="190" spans="1:6" x14ac:dyDescent="0.3">
      <c r="A190" s="31">
        <v>1000104689</v>
      </c>
      <c r="B190" s="31" t="s">
        <v>2199</v>
      </c>
      <c r="C190" s="31" t="s">
        <v>2109</v>
      </c>
      <c r="D190" s="31" t="s">
        <v>2070</v>
      </c>
      <c r="E190" s="32">
        <v>48996</v>
      </c>
      <c r="F190" s="32">
        <v>2</v>
      </c>
    </row>
    <row r="191" spans="1:6" x14ac:dyDescent="0.3">
      <c r="A191" s="31">
        <v>1000096820</v>
      </c>
      <c r="B191" s="31" t="s">
        <v>2200</v>
      </c>
      <c r="C191" s="31" t="s">
        <v>4</v>
      </c>
      <c r="D191" s="31" t="s">
        <v>2056</v>
      </c>
      <c r="E191" s="32">
        <v>48872.918814302298</v>
      </c>
      <c r="F191" s="32">
        <v>17122</v>
      </c>
    </row>
    <row r="192" spans="1:6" x14ac:dyDescent="0.3">
      <c r="A192" s="31">
        <v>1000099124</v>
      </c>
      <c r="B192" s="31" t="s">
        <v>2201</v>
      </c>
      <c r="C192" s="31" t="s">
        <v>4</v>
      </c>
      <c r="D192" s="31" t="s">
        <v>2090</v>
      </c>
      <c r="E192" s="32">
        <v>48651.46</v>
      </c>
      <c r="F192" s="32">
        <v>18</v>
      </c>
    </row>
    <row r="193" spans="1:6" x14ac:dyDescent="0.3">
      <c r="A193" s="31">
        <v>2200002585</v>
      </c>
      <c r="B193" s="31" t="s">
        <v>178</v>
      </c>
      <c r="C193" s="31" t="s">
        <v>2037</v>
      </c>
      <c r="D193" s="31" t="s">
        <v>2038</v>
      </c>
      <c r="E193" s="32">
        <v>48130.526571428498</v>
      </c>
      <c r="F193" s="32">
        <v>6</v>
      </c>
    </row>
    <row r="194" spans="1:6" x14ac:dyDescent="0.3">
      <c r="A194" s="31">
        <v>1000102205</v>
      </c>
      <c r="B194" s="31" t="s">
        <v>1768</v>
      </c>
      <c r="C194" s="31" t="s">
        <v>4</v>
      </c>
      <c r="D194" s="31" t="s">
        <v>2090</v>
      </c>
      <c r="E194" s="32">
        <v>47943</v>
      </c>
      <c r="F194" s="32">
        <v>15</v>
      </c>
    </row>
    <row r="195" spans="1:6" x14ac:dyDescent="0.3">
      <c r="A195" s="31">
        <v>1000107760</v>
      </c>
      <c r="B195" s="31" t="s">
        <v>2202</v>
      </c>
      <c r="C195" s="31" t="s">
        <v>2109</v>
      </c>
      <c r="D195" s="31" t="s">
        <v>2070</v>
      </c>
      <c r="E195" s="32">
        <v>47755.31</v>
      </c>
      <c r="F195" s="32">
        <v>5</v>
      </c>
    </row>
    <row r="196" spans="1:6" x14ac:dyDescent="0.3">
      <c r="A196" s="31">
        <v>1000015069</v>
      </c>
      <c r="B196" s="31" t="s">
        <v>62</v>
      </c>
      <c r="C196" s="31" t="s">
        <v>4</v>
      </c>
      <c r="D196" s="31" t="s">
        <v>2043</v>
      </c>
      <c r="E196" s="32">
        <v>47487.512504736798</v>
      </c>
      <c r="F196" s="32">
        <v>218</v>
      </c>
    </row>
    <row r="197" spans="1:6" x14ac:dyDescent="0.3">
      <c r="A197" s="31">
        <v>2700000033</v>
      </c>
      <c r="B197" s="31" t="s">
        <v>232</v>
      </c>
      <c r="C197" s="31" t="s">
        <v>2037</v>
      </c>
      <c r="D197" s="31" t="s">
        <v>2038</v>
      </c>
      <c r="E197" s="32">
        <v>46754.400000000001</v>
      </c>
      <c r="F197" s="32">
        <v>10</v>
      </c>
    </row>
    <row r="198" spans="1:6" x14ac:dyDescent="0.3">
      <c r="A198" s="31">
        <v>1000093575</v>
      </c>
      <c r="B198" s="31" t="s">
        <v>2203</v>
      </c>
      <c r="C198" s="31" t="s">
        <v>4</v>
      </c>
      <c r="D198" s="31" t="s">
        <v>2056</v>
      </c>
      <c r="E198" s="32">
        <v>46451.334190871203</v>
      </c>
      <c r="F198" s="32">
        <v>22350</v>
      </c>
    </row>
    <row r="199" spans="1:6" x14ac:dyDescent="0.3">
      <c r="A199" s="31">
        <v>2700000042</v>
      </c>
      <c r="B199" s="31" t="s">
        <v>236</v>
      </c>
      <c r="C199" s="31" t="s">
        <v>2037</v>
      </c>
      <c r="D199" s="31" t="s">
        <v>2038</v>
      </c>
      <c r="E199" s="32">
        <v>45736.616081632601</v>
      </c>
      <c r="F199" s="32">
        <v>12</v>
      </c>
    </row>
    <row r="200" spans="1:6" x14ac:dyDescent="0.3">
      <c r="A200" s="31">
        <v>1000109885</v>
      </c>
      <c r="B200" s="31" t="s">
        <v>2204</v>
      </c>
      <c r="C200" s="31" t="s">
        <v>2205</v>
      </c>
      <c r="D200" s="31" t="s">
        <v>2206</v>
      </c>
      <c r="E200" s="32">
        <v>45612</v>
      </c>
      <c r="F200" s="32">
        <v>2</v>
      </c>
    </row>
    <row r="201" spans="1:6" x14ac:dyDescent="0.3">
      <c r="A201" s="31">
        <v>2500008552</v>
      </c>
      <c r="B201" s="31" t="s">
        <v>2207</v>
      </c>
      <c r="C201" s="31" t="s">
        <v>1996</v>
      </c>
      <c r="D201" s="31" t="s">
        <v>2025</v>
      </c>
      <c r="E201" s="32">
        <v>45600</v>
      </c>
      <c r="F201" s="32">
        <v>1</v>
      </c>
    </row>
    <row r="202" spans="1:6" x14ac:dyDescent="0.3">
      <c r="A202" s="31">
        <v>1000105768</v>
      </c>
      <c r="B202" s="31" t="s">
        <v>126</v>
      </c>
      <c r="C202" s="31" t="s">
        <v>4</v>
      </c>
      <c r="D202" s="31" t="s">
        <v>2161</v>
      </c>
      <c r="E202" s="32">
        <v>45512</v>
      </c>
      <c r="F202" s="32">
        <v>25</v>
      </c>
    </row>
    <row r="203" spans="1:6" x14ac:dyDescent="0.3">
      <c r="A203" s="31">
        <v>1000103502</v>
      </c>
      <c r="B203" s="31" t="s">
        <v>2146</v>
      </c>
      <c r="C203" s="31" t="s">
        <v>4</v>
      </c>
      <c r="D203" s="31" t="s">
        <v>2043</v>
      </c>
      <c r="E203" s="32">
        <v>45485.785398030697</v>
      </c>
      <c r="F203" s="32">
        <v>400</v>
      </c>
    </row>
    <row r="204" spans="1:6" x14ac:dyDescent="0.3">
      <c r="A204" s="31">
        <v>1000099450</v>
      </c>
      <c r="B204" s="31" t="s">
        <v>2208</v>
      </c>
      <c r="C204" s="31" t="s">
        <v>4</v>
      </c>
      <c r="D204" s="31" t="s">
        <v>2043</v>
      </c>
      <c r="E204" s="32">
        <v>45326.3343208648</v>
      </c>
      <c r="F204" s="32">
        <v>352</v>
      </c>
    </row>
    <row r="205" spans="1:6" x14ac:dyDescent="0.3">
      <c r="A205" s="31">
        <v>2300000027</v>
      </c>
      <c r="B205" s="31" t="s">
        <v>325</v>
      </c>
      <c r="C205" s="31" t="s">
        <v>2017</v>
      </c>
      <c r="D205" s="31" t="s">
        <v>2063</v>
      </c>
      <c r="E205" s="32">
        <v>44996.572500000002</v>
      </c>
      <c r="F205" s="32">
        <v>4</v>
      </c>
    </row>
    <row r="206" spans="1:6" x14ac:dyDescent="0.3">
      <c r="A206" s="31">
        <v>2500008408</v>
      </c>
      <c r="B206" s="31" t="s">
        <v>2209</v>
      </c>
      <c r="C206" s="31" t="s">
        <v>1996</v>
      </c>
      <c r="D206" s="31" t="s">
        <v>2025</v>
      </c>
      <c r="E206" s="32">
        <v>44935.431818181802</v>
      </c>
      <c r="F206" s="32">
        <v>116</v>
      </c>
    </row>
    <row r="207" spans="1:6" x14ac:dyDescent="0.3">
      <c r="A207" s="31">
        <v>1000110903</v>
      </c>
      <c r="B207" s="31" t="s">
        <v>2210</v>
      </c>
      <c r="C207" s="31" t="s">
        <v>2109</v>
      </c>
      <c r="D207" s="31" t="s">
        <v>2035</v>
      </c>
      <c r="E207" s="32">
        <v>44782.5</v>
      </c>
      <c r="F207" s="32">
        <v>14</v>
      </c>
    </row>
    <row r="208" spans="1:6" x14ac:dyDescent="0.3">
      <c r="A208" s="31">
        <v>1000015005</v>
      </c>
      <c r="B208" s="31" t="s">
        <v>34</v>
      </c>
      <c r="C208" s="31" t="s">
        <v>4</v>
      </c>
      <c r="D208" s="31" t="s">
        <v>2043</v>
      </c>
      <c r="E208" s="32">
        <v>44391.812081932097</v>
      </c>
      <c r="F208" s="32">
        <v>662</v>
      </c>
    </row>
    <row r="209" spans="1:6" x14ac:dyDescent="0.3">
      <c r="A209" s="31">
        <v>2200000404</v>
      </c>
      <c r="B209" s="31" t="s">
        <v>2211</v>
      </c>
      <c r="C209" s="31" t="s">
        <v>2037</v>
      </c>
      <c r="D209" s="31" t="s">
        <v>2038</v>
      </c>
      <c r="E209" s="32">
        <v>44269.63</v>
      </c>
      <c r="F209" s="32">
        <v>4</v>
      </c>
    </row>
    <row r="210" spans="1:6" x14ac:dyDescent="0.3">
      <c r="A210" s="31">
        <v>1000099441</v>
      </c>
      <c r="B210" s="31" t="s">
        <v>2212</v>
      </c>
      <c r="C210" s="31" t="s">
        <v>4</v>
      </c>
      <c r="D210" s="31" t="s">
        <v>2043</v>
      </c>
      <c r="E210" s="32">
        <v>44093.875398933298</v>
      </c>
      <c r="F210" s="32">
        <v>444</v>
      </c>
    </row>
    <row r="211" spans="1:6" x14ac:dyDescent="0.3">
      <c r="A211" s="31">
        <v>1000101894</v>
      </c>
      <c r="B211" s="31" t="s">
        <v>2213</v>
      </c>
      <c r="C211" s="31" t="s">
        <v>4</v>
      </c>
      <c r="D211" s="31" t="s">
        <v>2056</v>
      </c>
      <c r="E211" s="32">
        <v>43919.128117447901</v>
      </c>
      <c r="F211" s="32">
        <v>5270</v>
      </c>
    </row>
    <row r="212" spans="1:6" x14ac:dyDescent="0.3">
      <c r="A212" s="31">
        <v>2500004424</v>
      </c>
      <c r="B212" s="31" t="s">
        <v>2214</v>
      </c>
      <c r="C212" s="31" t="s">
        <v>1996</v>
      </c>
      <c r="D212" s="31" t="s">
        <v>2025</v>
      </c>
      <c r="E212" s="32">
        <v>43486.205463339997</v>
      </c>
      <c r="F212" s="32">
        <v>15</v>
      </c>
    </row>
    <row r="213" spans="1:6" x14ac:dyDescent="0.3">
      <c r="A213" s="31">
        <v>1000100355</v>
      </c>
      <c r="B213" s="31" t="s">
        <v>2215</v>
      </c>
      <c r="C213" s="31" t="s">
        <v>4</v>
      </c>
      <c r="D213" s="31" t="s">
        <v>2090</v>
      </c>
      <c r="E213" s="32">
        <v>42975.9714285714</v>
      </c>
      <c r="F213" s="32">
        <v>17</v>
      </c>
    </row>
    <row r="214" spans="1:6" x14ac:dyDescent="0.3">
      <c r="A214" s="31">
        <v>1000106107</v>
      </c>
      <c r="B214" s="31" t="s">
        <v>2216</v>
      </c>
      <c r="C214" s="31" t="s">
        <v>4</v>
      </c>
      <c r="D214" s="31" t="s">
        <v>2161</v>
      </c>
      <c r="E214" s="32">
        <v>42522.29</v>
      </c>
      <c r="F214" s="32">
        <v>5</v>
      </c>
    </row>
    <row r="215" spans="1:6" x14ac:dyDescent="0.3">
      <c r="A215" s="31">
        <v>1000103587</v>
      </c>
      <c r="B215" s="31" t="s">
        <v>2217</v>
      </c>
      <c r="C215" s="31" t="s">
        <v>4</v>
      </c>
      <c r="D215" s="31" t="s">
        <v>2043</v>
      </c>
      <c r="E215" s="32">
        <v>41180.646000000001</v>
      </c>
      <c r="F215" s="32">
        <v>163</v>
      </c>
    </row>
    <row r="216" spans="1:6" x14ac:dyDescent="0.3">
      <c r="A216" s="31">
        <v>1000020104</v>
      </c>
      <c r="B216" s="31" t="s">
        <v>360</v>
      </c>
      <c r="C216" s="31" t="s">
        <v>4</v>
      </c>
      <c r="D216" s="31" t="s">
        <v>2218</v>
      </c>
      <c r="E216" s="32">
        <v>41084.0888888888</v>
      </c>
      <c r="F216" s="32">
        <v>144</v>
      </c>
    </row>
    <row r="217" spans="1:6" x14ac:dyDescent="0.3">
      <c r="A217" s="31">
        <v>1000110841</v>
      </c>
      <c r="B217" s="31" t="s">
        <v>2219</v>
      </c>
      <c r="C217" s="31" t="s">
        <v>2109</v>
      </c>
      <c r="D217" s="31" t="s">
        <v>2070</v>
      </c>
      <c r="E217" s="32">
        <v>40612</v>
      </c>
      <c r="F217" s="32">
        <v>4</v>
      </c>
    </row>
    <row r="218" spans="1:6" x14ac:dyDescent="0.3">
      <c r="A218" s="31">
        <v>1000109889</v>
      </c>
      <c r="B218" s="31" t="s">
        <v>2204</v>
      </c>
      <c r="C218" s="31" t="s">
        <v>2205</v>
      </c>
      <c r="D218" s="31" t="s">
        <v>2206</v>
      </c>
      <c r="E218" s="32">
        <v>40550.03</v>
      </c>
      <c r="F218" s="32">
        <v>2</v>
      </c>
    </row>
    <row r="219" spans="1:6" x14ac:dyDescent="0.3">
      <c r="A219" s="31">
        <v>1000108233</v>
      </c>
      <c r="B219" s="31" t="s">
        <v>2220</v>
      </c>
      <c r="C219" s="31" t="s">
        <v>2109</v>
      </c>
      <c r="D219" s="31" t="s">
        <v>2035</v>
      </c>
      <c r="E219" s="32">
        <v>40500</v>
      </c>
      <c r="F219" s="32">
        <v>15</v>
      </c>
    </row>
    <row r="220" spans="1:6" x14ac:dyDescent="0.3">
      <c r="A220" s="31">
        <v>1000095943</v>
      </c>
      <c r="B220" s="31" t="s">
        <v>2221</v>
      </c>
      <c r="C220" s="31" t="s">
        <v>4</v>
      </c>
      <c r="D220" s="31" t="s">
        <v>2161</v>
      </c>
      <c r="E220" s="32">
        <v>40136.25</v>
      </c>
      <c r="F220" s="32">
        <v>125</v>
      </c>
    </row>
    <row r="221" spans="1:6" x14ac:dyDescent="0.3">
      <c r="A221" s="31">
        <v>1000103503</v>
      </c>
      <c r="B221" s="31" t="s">
        <v>2146</v>
      </c>
      <c r="C221" s="31" t="s">
        <v>4</v>
      </c>
      <c r="D221" s="31" t="s">
        <v>2043</v>
      </c>
      <c r="E221" s="32">
        <v>39982.002</v>
      </c>
      <c r="F221" s="32">
        <v>265</v>
      </c>
    </row>
    <row r="222" spans="1:6" x14ac:dyDescent="0.3">
      <c r="A222" s="31">
        <v>1000020885</v>
      </c>
      <c r="B222" s="31" t="s">
        <v>1068</v>
      </c>
      <c r="C222" s="31" t="s">
        <v>4</v>
      </c>
      <c r="D222" s="31" t="s">
        <v>2090</v>
      </c>
      <c r="E222" s="32">
        <v>39911.398933333301</v>
      </c>
      <c r="F222" s="32">
        <v>12</v>
      </c>
    </row>
    <row r="223" spans="1:6" x14ac:dyDescent="0.3">
      <c r="A223" s="31">
        <v>1000015015</v>
      </c>
      <c r="B223" s="31" t="s">
        <v>2222</v>
      </c>
      <c r="C223" s="31" t="s">
        <v>4</v>
      </c>
      <c r="D223" s="31" t="s">
        <v>2043</v>
      </c>
      <c r="E223" s="32">
        <v>39906.750721602002</v>
      </c>
      <c r="F223" s="32">
        <v>396</v>
      </c>
    </row>
    <row r="224" spans="1:6" x14ac:dyDescent="0.3">
      <c r="A224" s="31">
        <v>2100004721</v>
      </c>
      <c r="B224" s="31" t="s">
        <v>2223</v>
      </c>
      <c r="C224" s="31" t="s">
        <v>2037</v>
      </c>
      <c r="D224" s="31" t="s">
        <v>2031</v>
      </c>
      <c r="E224" s="32">
        <v>39474.49</v>
      </c>
      <c r="F224" s="32">
        <v>2</v>
      </c>
    </row>
    <row r="225" spans="1:6" x14ac:dyDescent="0.3">
      <c r="A225" s="31">
        <v>2500008881</v>
      </c>
      <c r="B225" s="31" t="s">
        <v>2224</v>
      </c>
      <c r="C225" s="31" t="s">
        <v>1996</v>
      </c>
      <c r="D225" s="31" t="s">
        <v>2117</v>
      </c>
      <c r="E225" s="32">
        <v>38925</v>
      </c>
      <c r="F225" s="32">
        <v>3</v>
      </c>
    </row>
    <row r="226" spans="1:6" x14ac:dyDescent="0.3">
      <c r="A226" s="31">
        <v>1000093682</v>
      </c>
      <c r="B226" s="31" t="s">
        <v>2055</v>
      </c>
      <c r="C226" s="31" t="s">
        <v>4</v>
      </c>
      <c r="D226" s="31" t="s">
        <v>2056</v>
      </c>
      <c r="E226" s="32">
        <v>38753.229637746997</v>
      </c>
      <c r="F226" s="32">
        <v>1295</v>
      </c>
    </row>
    <row r="227" spans="1:6" x14ac:dyDescent="0.3">
      <c r="A227" s="31">
        <v>2100004707</v>
      </c>
      <c r="B227" s="31" t="s">
        <v>2225</v>
      </c>
      <c r="C227" s="31" t="s">
        <v>2037</v>
      </c>
      <c r="D227" s="31" t="s">
        <v>2031</v>
      </c>
      <c r="E227" s="32">
        <v>38674.379999999997</v>
      </c>
      <c r="F227" s="32">
        <v>7</v>
      </c>
    </row>
    <row r="228" spans="1:6" x14ac:dyDescent="0.3">
      <c r="A228" s="31">
        <v>1000103507</v>
      </c>
      <c r="B228" s="31" t="s">
        <v>2226</v>
      </c>
      <c r="C228" s="31" t="s">
        <v>4</v>
      </c>
      <c r="D228" s="31" t="s">
        <v>2043</v>
      </c>
      <c r="E228" s="32">
        <v>38588.79</v>
      </c>
      <c r="F228" s="32">
        <v>100</v>
      </c>
    </row>
    <row r="229" spans="1:6" x14ac:dyDescent="0.3">
      <c r="A229" s="31">
        <v>1000110381</v>
      </c>
      <c r="B229" s="31" t="s">
        <v>2227</v>
      </c>
      <c r="C229" s="31" t="s">
        <v>2027</v>
      </c>
      <c r="D229" s="31" t="s">
        <v>2035</v>
      </c>
      <c r="E229" s="32">
        <v>38556</v>
      </c>
      <c r="F229" s="32">
        <v>18</v>
      </c>
    </row>
    <row r="230" spans="1:6" x14ac:dyDescent="0.3">
      <c r="A230" s="31">
        <v>2700000198</v>
      </c>
      <c r="B230" s="31" t="s">
        <v>283</v>
      </c>
      <c r="C230" s="31" t="s">
        <v>2037</v>
      </c>
      <c r="D230" s="31" t="s">
        <v>2038</v>
      </c>
      <c r="E230" s="32">
        <v>38455.33</v>
      </c>
      <c r="F230" s="32">
        <v>1</v>
      </c>
    </row>
    <row r="231" spans="1:6" x14ac:dyDescent="0.3">
      <c r="A231" s="31">
        <v>2700000617</v>
      </c>
      <c r="B231" s="31" t="s">
        <v>319</v>
      </c>
      <c r="C231" s="31" t="s">
        <v>2037</v>
      </c>
      <c r="D231" s="31" t="s">
        <v>2038</v>
      </c>
      <c r="E231" s="32">
        <v>38455.33</v>
      </c>
      <c r="F231" s="32">
        <v>1</v>
      </c>
    </row>
    <row r="232" spans="1:6" x14ac:dyDescent="0.3">
      <c r="A232" s="31">
        <v>2000020371</v>
      </c>
      <c r="B232" s="31" t="s">
        <v>2228</v>
      </c>
      <c r="C232" s="31" t="s">
        <v>2017</v>
      </c>
      <c r="D232" s="31" t="s">
        <v>2072</v>
      </c>
      <c r="E232" s="32">
        <v>38257.5</v>
      </c>
      <c r="F232" s="32">
        <v>2</v>
      </c>
    </row>
    <row r="233" spans="1:6" x14ac:dyDescent="0.3">
      <c r="A233" s="31">
        <v>1000010206</v>
      </c>
      <c r="B233" s="31" t="s">
        <v>2229</v>
      </c>
      <c r="C233" s="31" t="s">
        <v>4</v>
      </c>
      <c r="D233" s="31" t="s">
        <v>2230</v>
      </c>
      <c r="E233" s="32">
        <v>37866.658333333296</v>
      </c>
      <c r="F233" s="32">
        <v>25</v>
      </c>
    </row>
    <row r="234" spans="1:6" x14ac:dyDescent="0.3">
      <c r="A234" s="31">
        <v>2300000127</v>
      </c>
      <c r="B234" s="31" t="s">
        <v>2231</v>
      </c>
      <c r="C234" s="31" t="s">
        <v>2020</v>
      </c>
      <c r="D234" s="31" t="s">
        <v>2023</v>
      </c>
      <c r="E234" s="32">
        <v>37848.125</v>
      </c>
      <c r="F234" s="32">
        <v>7175</v>
      </c>
    </row>
    <row r="235" spans="1:6" x14ac:dyDescent="0.3">
      <c r="A235" s="31">
        <v>1000098838</v>
      </c>
      <c r="B235" s="31" t="s">
        <v>2232</v>
      </c>
      <c r="C235" s="31" t="s">
        <v>4</v>
      </c>
      <c r="D235" s="31" t="s">
        <v>2056</v>
      </c>
      <c r="E235" s="32">
        <v>37792.221091754502</v>
      </c>
      <c r="F235" s="32">
        <v>2131</v>
      </c>
    </row>
    <row r="236" spans="1:6" x14ac:dyDescent="0.3">
      <c r="A236" s="31">
        <v>2700000032</v>
      </c>
      <c r="B236" s="31" t="s">
        <v>231</v>
      </c>
      <c r="C236" s="31" t="s">
        <v>2037</v>
      </c>
      <c r="D236" s="31" t="s">
        <v>2038</v>
      </c>
      <c r="E236" s="32">
        <v>37732.800000000003</v>
      </c>
      <c r="F236" s="32">
        <v>10</v>
      </c>
    </row>
    <row r="237" spans="1:6" x14ac:dyDescent="0.3">
      <c r="A237" s="31">
        <v>1000108187</v>
      </c>
      <c r="B237" s="31" t="s">
        <v>2233</v>
      </c>
      <c r="C237" s="31" t="s">
        <v>2205</v>
      </c>
      <c r="D237" s="31" t="s">
        <v>2234</v>
      </c>
      <c r="E237" s="32">
        <v>37500</v>
      </c>
      <c r="F237" s="32">
        <v>2</v>
      </c>
    </row>
    <row r="238" spans="1:6" x14ac:dyDescent="0.3">
      <c r="A238" s="31">
        <v>1000103505</v>
      </c>
      <c r="B238" s="31" t="s">
        <v>2235</v>
      </c>
      <c r="C238" s="31" t="s">
        <v>4</v>
      </c>
      <c r="D238" s="31" t="s">
        <v>2043</v>
      </c>
      <c r="E238" s="32">
        <v>37489.735999999997</v>
      </c>
      <c r="F238" s="32">
        <v>540</v>
      </c>
    </row>
    <row r="239" spans="1:6" x14ac:dyDescent="0.3">
      <c r="A239" s="31">
        <v>2200012229</v>
      </c>
      <c r="B239" s="31" t="s">
        <v>2236</v>
      </c>
      <c r="C239" s="31" t="s">
        <v>2037</v>
      </c>
      <c r="D239" s="31" t="s">
        <v>2038</v>
      </c>
      <c r="E239" s="32">
        <v>37403.519999999997</v>
      </c>
      <c r="F239" s="32">
        <v>1</v>
      </c>
    </row>
    <row r="240" spans="1:6" x14ac:dyDescent="0.3">
      <c r="A240" s="31">
        <v>1000093665</v>
      </c>
      <c r="B240" s="31" t="s">
        <v>2181</v>
      </c>
      <c r="C240" s="31" t="s">
        <v>4</v>
      </c>
      <c r="D240" s="31" t="s">
        <v>2056</v>
      </c>
      <c r="E240" s="32">
        <v>37075.129793600398</v>
      </c>
      <c r="F240" s="32">
        <v>6772</v>
      </c>
    </row>
    <row r="241" spans="1:6" x14ac:dyDescent="0.3">
      <c r="A241" s="31">
        <v>2500005907</v>
      </c>
      <c r="B241" s="31" t="s">
        <v>2237</v>
      </c>
      <c r="C241" s="31" t="s">
        <v>1996</v>
      </c>
      <c r="D241" s="31" t="s">
        <v>2025</v>
      </c>
      <c r="E241" s="32">
        <v>36881.307379049496</v>
      </c>
      <c r="F241" s="32">
        <v>20</v>
      </c>
    </row>
    <row r="242" spans="1:6" x14ac:dyDescent="0.3">
      <c r="A242" s="31">
        <v>2500009007</v>
      </c>
      <c r="B242" s="31" t="s">
        <v>1954</v>
      </c>
      <c r="C242" s="31" t="s">
        <v>1996</v>
      </c>
      <c r="D242" s="31" t="s">
        <v>2025</v>
      </c>
      <c r="E242" s="32">
        <v>36750</v>
      </c>
      <c r="F242" s="32">
        <v>1</v>
      </c>
    </row>
    <row r="243" spans="1:6" x14ac:dyDescent="0.3">
      <c r="A243" s="31">
        <v>2700000035</v>
      </c>
      <c r="B243" s="31" t="s">
        <v>233</v>
      </c>
      <c r="C243" s="31" t="s">
        <v>2037</v>
      </c>
      <c r="D243" s="31" t="s">
        <v>2038</v>
      </c>
      <c r="E243" s="32">
        <v>36552.993333333303</v>
      </c>
      <c r="F243" s="32">
        <v>4</v>
      </c>
    </row>
    <row r="244" spans="1:6" x14ac:dyDescent="0.3">
      <c r="A244" s="31">
        <v>2100004638</v>
      </c>
      <c r="B244" s="31" t="s">
        <v>2238</v>
      </c>
      <c r="C244" s="31" t="s">
        <v>2030</v>
      </c>
      <c r="D244" s="31" t="s">
        <v>2075</v>
      </c>
      <c r="E244" s="32">
        <v>36382.5</v>
      </c>
      <c r="F244" s="32">
        <v>33</v>
      </c>
    </row>
    <row r="245" spans="1:6" x14ac:dyDescent="0.3">
      <c r="A245" s="31">
        <v>1000103958</v>
      </c>
      <c r="B245" s="31" t="s">
        <v>2239</v>
      </c>
      <c r="C245" s="31" t="s">
        <v>4</v>
      </c>
      <c r="D245" s="31" t="s">
        <v>2161</v>
      </c>
      <c r="E245" s="32">
        <v>36332.800000000003</v>
      </c>
      <c r="F245" s="32">
        <v>7</v>
      </c>
    </row>
    <row r="246" spans="1:6" x14ac:dyDescent="0.3">
      <c r="A246" s="31">
        <v>1000109893</v>
      </c>
      <c r="B246" s="31" t="s">
        <v>31</v>
      </c>
      <c r="C246" s="31" t="s">
        <v>2027</v>
      </c>
      <c r="D246" s="31" t="s">
        <v>2035</v>
      </c>
      <c r="E246" s="32">
        <v>36037.5</v>
      </c>
      <c r="F246" s="32">
        <v>31</v>
      </c>
    </row>
    <row r="247" spans="1:6" x14ac:dyDescent="0.3">
      <c r="A247" s="31">
        <v>1000103591</v>
      </c>
      <c r="B247" s="31" t="s">
        <v>2240</v>
      </c>
      <c r="C247" s="31" t="s">
        <v>4</v>
      </c>
      <c r="D247" s="31" t="s">
        <v>2043</v>
      </c>
      <c r="E247" s="32">
        <v>35942.8006559766</v>
      </c>
      <c r="F247" s="32">
        <v>275</v>
      </c>
    </row>
    <row r="248" spans="1:6" x14ac:dyDescent="0.3">
      <c r="A248" s="31">
        <v>1000109886</v>
      </c>
      <c r="B248" s="31" t="s">
        <v>2241</v>
      </c>
      <c r="C248" s="31" t="s">
        <v>2205</v>
      </c>
      <c r="D248" s="31" t="s">
        <v>2110</v>
      </c>
      <c r="E248" s="32">
        <v>35638.49</v>
      </c>
      <c r="F248" s="32">
        <v>2</v>
      </c>
    </row>
    <row r="249" spans="1:6" x14ac:dyDescent="0.3">
      <c r="A249" s="31">
        <v>2000012756</v>
      </c>
      <c r="B249" s="31" t="s">
        <v>2071</v>
      </c>
      <c r="C249" s="31" t="s">
        <v>2017</v>
      </c>
      <c r="D249" s="31" t="s">
        <v>2072</v>
      </c>
      <c r="E249" s="32">
        <v>35501.769999999997</v>
      </c>
      <c r="F249" s="32">
        <v>1</v>
      </c>
    </row>
    <row r="250" spans="1:6" x14ac:dyDescent="0.3">
      <c r="A250" s="31">
        <v>2500008889</v>
      </c>
      <c r="B250" s="31" t="s">
        <v>2242</v>
      </c>
      <c r="C250" s="31" t="s">
        <v>1996</v>
      </c>
      <c r="D250" s="31" t="s">
        <v>2025</v>
      </c>
      <c r="E250" s="32">
        <v>35331.604591008101</v>
      </c>
      <c r="F250" s="32">
        <v>26</v>
      </c>
    </row>
    <row r="251" spans="1:6" x14ac:dyDescent="0.3">
      <c r="A251" s="31">
        <v>1000098745</v>
      </c>
      <c r="B251" s="31" t="s">
        <v>1685</v>
      </c>
      <c r="C251" s="31" t="s">
        <v>4</v>
      </c>
      <c r="D251" s="31" t="s">
        <v>2090</v>
      </c>
      <c r="E251" s="32">
        <v>34867.718500000003</v>
      </c>
      <c r="F251" s="32">
        <v>17</v>
      </c>
    </row>
    <row r="252" spans="1:6" x14ac:dyDescent="0.3">
      <c r="A252" s="31">
        <v>1000105389</v>
      </c>
      <c r="B252" s="31" t="s">
        <v>2243</v>
      </c>
      <c r="C252" s="31" t="s">
        <v>2027</v>
      </c>
      <c r="D252" s="31" t="s">
        <v>2150</v>
      </c>
      <c r="E252" s="32">
        <v>34830.83</v>
      </c>
      <c r="F252" s="32">
        <v>2</v>
      </c>
    </row>
    <row r="253" spans="1:6" x14ac:dyDescent="0.3">
      <c r="A253" s="31">
        <v>2200012313</v>
      </c>
      <c r="B253" s="31" t="s">
        <v>2244</v>
      </c>
      <c r="C253" s="31" t="s">
        <v>2037</v>
      </c>
      <c r="D253" s="31" t="s">
        <v>2038</v>
      </c>
      <c r="E253" s="32">
        <v>34654.326999999997</v>
      </c>
      <c r="F253" s="32">
        <v>1</v>
      </c>
    </row>
    <row r="254" spans="1:6" x14ac:dyDescent="0.3">
      <c r="A254" s="31">
        <v>2000012109</v>
      </c>
      <c r="B254" s="31" t="s">
        <v>2245</v>
      </c>
      <c r="C254" s="31" t="s">
        <v>2017</v>
      </c>
      <c r="D254" s="31" t="s">
        <v>2063</v>
      </c>
      <c r="E254" s="32">
        <v>34509.06</v>
      </c>
      <c r="F254" s="32">
        <v>48</v>
      </c>
    </row>
    <row r="255" spans="1:6" x14ac:dyDescent="0.3">
      <c r="A255" s="31">
        <v>1000096609</v>
      </c>
      <c r="B255" s="31" t="s">
        <v>2246</v>
      </c>
      <c r="C255" s="31" t="s">
        <v>4</v>
      </c>
      <c r="D255" s="31" t="s">
        <v>2043</v>
      </c>
      <c r="E255" s="32">
        <v>34218.176399999997</v>
      </c>
      <c r="F255" s="32">
        <v>27</v>
      </c>
    </row>
    <row r="256" spans="1:6" x14ac:dyDescent="0.3">
      <c r="A256" s="31">
        <v>2300000189</v>
      </c>
      <c r="B256" s="31" t="s">
        <v>2247</v>
      </c>
      <c r="C256" s="31" t="s">
        <v>2020</v>
      </c>
      <c r="D256" s="31" t="s">
        <v>2023</v>
      </c>
      <c r="E256" s="32">
        <v>33879.375</v>
      </c>
      <c r="F256" s="32">
        <v>2850</v>
      </c>
    </row>
    <row r="257" spans="1:6" x14ac:dyDescent="0.3">
      <c r="A257" s="31">
        <v>1000100925</v>
      </c>
      <c r="B257" s="31" t="s">
        <v>2248</v>
      </c>
      <c r="C257" s="31" t="s">
        <v>4</v>
      </c>
      <c r="D257" s="31" t="s">
        <v>2056</v>
      </c>
      <c r="E257" s="32">
        <v>33810.142650520698</v>
      </c>
      <c r="F257" s="32">
        <v>60335</v>
      </c>
    </row>
    <row r="258" spans="1:6" x14ac:dyDescent="0.3">
      <c r="A258" s="31">
        <v>1000094197</v>
      </c>
      <c r="B258" s="31" t="s">
        <v>2249</v>
      </c>
      <c r="C258" s="31" t="s">
        <v>4</v>
      </c>
      <c r="D258" s="31" t="s">
        <v>2056</v>
      </c>
      <c r="E258" s="32">
        <v>33737.046164872801</v>
      </c>
      <c r="F258" s="32">
        <v>10784</v>
      </c>
    </row>
    <row r="259" spans="1:6" x14ac:dyDescent="0.3">
      <c r="A259" s="31">
        <v>1000020880</v>
      </c>
      <c r="B259" s="31" t="s">
        <v>1064</v>
      </c>
      <c r="C259" s="31" t="s">
        <v>4</v>
      </c>
      <c r="D259" s="31" t="s">
        <v>2090</v>
      </c>
      <c r="E259" s="32">
        <v>33697.035000000003</v>
      </c>
      <c r="F259" s="32">
        <v>21</v>
      </c>
    </row>
    <row r="260" spans="1:6" x14ac:dyDescent="0.3">
      <c r="A260" s="31">
        <v>1000020849</v>
      </c>
      <c r="B260" s="31" t="s">
        <v>1041</v>
      </c>
      <c r="C260" s="31" t="s">
        <v>4</v>
      </c>
      <c r="D260" s="31" t="s">
        <v>2218</v>
      </c>
      <c r="E260" s="32">
        <v>33672.701828165496</v>
      </c>
      <c r="F260" s="32">
        <v>107</v>
      </c>
    </row>
    <row r="261" spans="1:6" x14ac:dyDescent="0.3">
      <c r="A261" s="31">
        <v>1000109888</v>
      </c>
      <c r="B261" s="31" t="s">
        <v>2241</v>
      </c>
      <c r="C261" s="31" t="s">
        <v>2205</v>
      </c>
      <c r="D261" s="31" t="s">
        <v>2110</v>
      </c>
      <c r="E261" s="32">
        <v>33627.980000000003</v>
      </c>
      <c r="F261" s="32">
        <v>2</v>
      </c>
    </row>
    <row r="262" spans="1:6" x14ac:dyDescent="0.3">
      <c r="A262" s="31">
        <v>1000109882</v>
      </c>
      <c r="B262" s="31" t="s">
        <v>2241</v>
      </c>
      <c r="C262" s="31" t="s">
        <v>2205</v>
      </c>
      <c r="D262" s="31" t="s">
        <v>2110</v>
      </c>
      <c r="E262" s="32">
        <v>33462.53</v>
      </c>
      <c r="F262" s="32">
        <v>2</v>
      </c>
    </row>
    <row r="263" spans="1:6" x14ac:dyDescent="0.3">
      <c r="A263" s="31">
        <v>1000093364</v>
      </c>
      <c r="B263" s="31" t="s">
        <v>31</v>
      </c>
      <c r="C263" s="31" t="s">
        <v>2027</v>
      </c>
      <c r="D263" s="31" t="s">
        <v>2035</v>
      </c>
      <c r="E263" s="32">
        <v>33291.370000000003</v>
      </c>
      <c r="F263" s="32">
        <v>26</v>
      </c>
    </row>
    <row r="264" spans="1:6" x14ac:dyDescent="0.3">
      <c r="A264" s="31">
        <v>1000110753</v>
      </c>
      <c r="B264" s="31" t="s">
        <v>2250</v>
      </c>
      <c r="C264" s="31" t="s">
        <v>2109</v>
      </c>
      <c r="D264" s="31" t="s">
        <v>2070</v>
      </c>
      <c r="E264" s="32">
        <v>33186</v>
      </c>
      <c r="F264" s="32">
        <v>2</v>
      </c>
    </row>
    <row r="265" spans="1:6" x14ac:dyDescent="0.3">
      <c r="A265" s="31">
        <v>1000091161</v>
      </c>
      <c r="B265" s="31" t="s">
        <v>77</v>
      </c>
      <c r="C265" s="31" t="s">
        <v>4</v>
      </c>
      <c r="D265" s="31" t="s">
        <v>2043</v>
      </c>
      <c r="E265" s="32">
        <v>32968.777502673896</v>
      </c>
      <c r="F265" s="32">
        <v>367</v>
      </c>
    </row>
    <row r="266" spans="1:6" x14ac:dyDescent="0.3">
      <c r="A266" s="31">
        <v>1000109831</v>
      </c>
      <c r="B266" s="31" t="s">
        <v>2251</v>
      </c>
      <c r="C266" s="31" t="s">
        <v>4</v>
      </c>
      <c r="D266" s="31" t="s">
        <v>2183</v>
      </c>
      <c r="E266" s="32">
        <v>32794.699999999997</v>
      </c>
      <c r="F266" s="32">
        <v>16</v>
      </c>
    </row>
    <row r="267" spans="1:6" x14ac:dyDescent="0.3">
      <c r="A267" s="31">
        <v>1000092222</v>
      </c>
      <c r="B267" s="31" t="s">
        <v>2252</v>
      </c>
      <c r="C267" s="31" t="s">
        <v>4</v>
      </c>
      <c r="D267" s="31" t="s">
        <v>2043</v>
      </c>
      <c r="E267" s="32">
        <v>32546.7</v>
      </c>
      <c r="F267" s="32">
        <v>29</v>
      </c>
    </row>
    <row r="268" spans="1:6" x14ac:dyDescent="0.3">
      <c r="A268" s="31">
        <v>1000108870</v>
      </c>
      <c r="B268" s="31" t="s">
        <v>2253</v>
      </c>
      <c r="C268" s="31" t="s">
        <v>2109</v>
      </c>
      <c r="D268" s="31" t="s">
        <v>2035</v>
      </c>
      <c r="E268" s="32">
        <v>32546.25</v>
      </c>
      <c r="F268" s="32">
        <v>6</v>
      </c>
    </row>
    <row r="269" spans="1:6" x14ac:dyDescent="0.3">
      <c r="A269" s="31">
        <v>1000091163</v>
      </c>
      <c r="B269" s="31" t="s">
        <v>2254</v>
      </c>
      <c r="C269" s="31" t="s">
        <v>4</v>
      </c>
      <c r="D269" s="31" t="s">
        <v>2043</v>
      </c>
      <c r="E269" s="32">
        <v>32461.162980485002</v>
      </c>
      <c r="F269" s="32">
        <v>177</v>
      </c>
    </row>
    <row r="270" spans="1:6" x14ac:dyDescent="0.3">
      <c r="A270" s="31">
        <v>1000096838</v>
      </c>
      <c r="B270" s="31" t="s">
        <v>2255</v>
      </c>
      <c r="C270" s="31" t="s">
        <v>2109</v>
      </c>
      <c r="D270" s="31" t="s">
        <v>2070</v>
      </c>
      <c r="E270" s="32">
        <v>32399.98</v>
      </c>
      <c r="F270" s="32">
        <v>240</v>
      </c>
    </row>
    <row r="271" spans="1:6" x14ac:dyDescent="0.3">
      <c r="A271" s="31">
        <v>1000096909</v>
      </c>
      <c r="B271" s="31" t="s">
        <v>2256</v>
      </c>
      <c r="C271" s="31" t="s">
        <v>2257</v>
      </c>
      <c r="D271" s="31" t="s">
        <v>2150</v>
      </c>
      <c r="E271" s="32">
        <v>32397.637500000001</v>
      </c>
      <c r="F271" s="32">
        <v>3</v>
      </c>
    </row>
    <row r="272" spans="1:6" x14ac:dyDescent="0.3">
      <c r="A272" s="31">
        <v>1000010160</v>
      </c>
      <c r="B272" s="31" t="s">
        <v>2258</v>
      </c>
      <c r="C272" s="31" t="s">
        <v>4</v>
      </c>
      <c r="D272" s="31" t="s">
        <v>2230</v>
      </c>
      <c r="E272" s="32">
        <v>32353.200000000001</v>
      </c>
      <c r="F272" s="32">
        <v>11</v>
      </c>
    </row>
    <row r="273" spans="1:6" x14ac:dyDescent="0.3">
      <c r="A273" s="31">
        <v>1000099630</v>
      </c>
      <c r="B273" s="31" t="s">
        <v>2259</v>
      </c>
      <c r="C273" s="31" t="s">
        <v>2109</v>
      </c>
      <c r="D273" s="31" t="s">
        <v>2260</v>
      </c>
      <c r="E273" s="32">
        <v>32318.03</v>
      </c>
      <c r="F273" s="32">
        <v>2</v>
      </c>
    </row>
    <row r="274" spans="1:6" x14ac:dyDescent="0.3">
      <c r="A274" s="31">
        <v>1000110717</v>
      </c>
      <c r="B274" s="31" t="s">
        <v>2261</v>
      </c>
      <c r="C274" s="31" t="s">
        <v>4</v>
      </c>
      <c r="D274" s="31" t="s">
        <v>2161</v>
      </c>
      <c r="E274" s="32">
        <v>32038.54</v>
      </c>
      <c r="F274" s="32">
        <v>80</v>
      </c>
    </row>
    <row r="275" spans="1:6" x14ac:dyDescent="0.3">
      <c r="A275" s="31">
        <v>1000103592</v>
      </c>
      <c r="B275" s="31" t="s">
        <v>2262</v>
      </c>
      <c r="C275" s="31" t="s">
        <v>4</v>
      </c>
      <c r="D275" s="31" t="s">
        <v>2043</v>
      </c>
      <c r="E275" s="32">
        <v>32014.44</v>
      </c>
      <c r="F275" s="32">
        <v>162</v>
      </c>
    </row>
    <row r="276" spans="1:6" x14ac:dyDescent="0.3">
      <c r="A276" s="31">
        <v>1000092501</v>
      </c>
      <c r="B276" s="31" t="s">
        <v>2263</v>
      </c>
      <c r="C276" s="31" t="s">
        <v>4</v>
      </c>
      <c r="D276" s="31" t="s">
        <v>2230</v>
      </c>
      <c r="E276" s="32">
        <v>31848.927010752599</v>
      </c>
      <c r="F276" s="32">
        <v>26</v>
      </c>
    </row>
    <row r="277" spans="1:6" x14ac:dyDescent="0.3">
      <c r="A277" s="31">
        <v>1000106742</v>
      </c>
      <c r="B277" s="31" t="s">
        <v>2264</v>
      </c>
      <c r="C277" s="31" t="s">
        <v>2109</v>
      </c>
      <c r="D277" s="31" t="s">
        <v>2035</v>
      </c>
      <c r="E277" s="32">
        <v>31837.5</v>
      </c>
      <c r="F277" s="32">
        <v>6</v>
      </c>
    </row>
    <row r="278" spans="1:6" x14ac:dyDescent="0.3">
      <c r="A278" s="31">
        <v>2000020716</v>
      </c>
      <c r="B278" s="31" t="s">
        <v>2265</v>
      </c>
      <c r="C278" s="31" t="s">
        <v>2017</v>
      </c>
      <c r="D278" s="31" t="s">
        <v>2072</v>
      </c>
      <c r="E278" s="32">
        <v>31545</v>
      </c>
      <c r="F278" s="32">
        <v>3</v>
      </c>
    </row>
    <row r="279" spans="1:6" x14ac:dyDescent="0.3">
      <c r="A279" s="31">
        <v>2200001510</v>
      </c>
      <c r="B279" s="31" t="s">
        <v>2266</v>
      </c>
      <c r="C279" s="31" t="s">
        <v>2037</v>
      </c>
      <c r="D279" s="31" t="s">
        <v>2067</v>
      </c>
      <c r="E279" s="32">
        <v>31441.755000000001</v>
      </c>
      <c r="F279" s="32">
        <v>1</v>
      </c>
    </row>
    <row r="280" spans="1:6" x14ac:dyDescent="0.3">
      <c r="A280" s="31">
        <v>2200000301</v>
      </c>
      <c r="B280" s="31" t="s">
        <v>2267</v>
      </c>
      <c r="C280" s="31" t="s">
        <v>2037</v>
      </c>
      <c r="D280" s="31" t="s">
        <v>2038</v>
      </c>
      <c r="E280" s="32">
        <v>31413.16</v>
      </c>
      <c r="F280" s="32">
        <v>4</v>
      </c>
    </row>
    <row r="281" spans="1:6" x14ac:dyDescent="0.3">
      <c r="A281" s="31">
        <v>2200003017</v>
      </c>
      <c r="B281" s="31" t="s">
        <v>2268</v>
      </c>
      <c r="C281" s="31" t="s">
        <v>2037</v>
      </c>
      <c r="D281" s="31" t="s">
        <v>2038</v>
      </c>
      <c r="E281" s="32">
        <v>31342.22</v>
      </c>
      <c r="F281" s="32">
        <v>2</v>
      </c>
    </row>
    <row r="282" spans="1:6" x14ac:dyDescent="0.3">
      <c r="A282" s="31">
        <v>1000015011</v>
      </c>
      <c r="B282" s="31" t="s">
        <v>2269</v>
      </c>
      <c r="C282" s="31" t="s">
        <v>4</v>
      </c>
      <c r="D282" s="31" t="s">
        <v>2043</v>
      </c>
      <c r="E282" s="32">
        <v>31268.532811790399</v>
      </c>
      <c r="F282" s="32">
        <v>1156</v>
      </c>
    </row>
    <row r="283" spans="1:6" x14ac:dyDescent="0.3">
      <c r="A283" s="31">
        <v>2200002350</v>
      </c>
      <c r="B283" s="31" t="s">
        <v>2270</v>
      </c>
      <c r="C283" s="31" t="s">
        <v>2030</v>
      </c>
      <c r="D283" s="31" t="s">
        <v>2067</v>
      </c>
      <c r="E283" s="32">
        <v>31225.005000000001</v>
      </c>
      <c r="F283" s="32">
        <v>1</v>
      </c>
    </row>
    <row r="284" spans="1:6" x14ac:dyDescent="0.3">
      <c r="A284" s="31">
        <v>1000020837</v>
      </c>
      <c r="B284" s="31" t="s">
        <v>1031</v>
      </c>
      <c r="C284" s="31" t="s">
        <v>4</v>
      </c>
      <c r="D284" s="31" t="s">
        <v>2090</v>
      </c>
      <c r="E284" s="32">
        <v>31166.079000000002</v>
      </c>
      <c r="F284" s="32">
        <v>232</v>
      </c>
    </row>
    <row r="285" spans="1:6" x14ac:dyDescent="0.3">
      <c r="A285" s="31">
        <v>2200011695</v>
      </c>
      <c r="B285" s="31" t="s">
        <v>2271</v>
      </c>
      <c r="C285" s="31" t="s">
        <v>2037</v>
      </c>
      <c r="D285" s="31" t="s">
        <v>2038</v>
      </c>
      <c r="E285" s="32">
        <v>31131.83</v>
      </c>
      <c r="F285" s="32">
        <v>1</v>
      </c>
    </row>
    <row r="286" spans="1:6" x14ac:dyDescent="0.3">
      <c r="A286" s="31">
        <v>1000093765</v>
      </c>
      <c r="B286" s="31" t="s">
        <v>2272</v>
      </c>
      <c r="C286" s="31" t="s">
        <v>4</v>
      </c>
      <c r="D286" s="31" t="s">
        <v>2056</v>
      </c>
      <c r="E286" s="32">
        <v>30938.826083333301</v>
      </c>
      <c r="F286" s="32">
        <v>2855</v>
      </c>
    </row>
    <row r="287" spans="1:6" x14ac:dyDescent="0.3">
      <c r="A287" s="31">
        <v>1000105610</v>
      </c>
      <c r="B287" s="31" t="s">
        <v>2273</v>
      </c>
      <c r="C287" s="31" t="s">
        <v>4</v>
      </c>
      <c r="D287" s="31" t="s">
        <v>2043</v>
      </c>
      <c r="E287" s="32">
        <v>30821</v>
      </c>
      <c r="F287" s="32">
        <v>1813</v>
      </c>
    </row>
    <row r="288" spans="1:6" x14ac:dyDescent="0.3">
      <c r="A288" s="31">
        <v>1000109980</v>
      </c>
      <c r="B288" s="31" t="s">
        <v>2274</v>
      </c>
      <c r="C288" s="31" t="s">
        <v>2109</v>
      </c>
      <c r="D288" s="31" t="s">
        <v>2035</v>
      </c>
      <c r="E288" s="32">
        <v>30637.5</v>
      </c>
      <c r="F288" s="32">
        <v>10</v>
      </c>
    </row>
    <row r="289" spans="1:6" x14ac:dyDescent="0.3">
      <c r="A289" s="31">
        <v>1000096772</v>
      </c>
      <c r="B289" s="31" t="s">
        <v>2275</v>
      </c>
      <c r="C289" s="31" t="s">
        <v>4</v>
      </c>
      <c r="D289" s="31" t="s">
        <v>2056</v>
      </c>
      <c r="E289" s="32">
        <v>30525.8465410758</v>
      </c>
      <c r="F289" s="32">
        <v>5367</v>
      </c>
    </row>
    <row r="290" spans="1:6" x14ac:dyDescent="0.3">
      <c r="A290" s="31">
        <v>2300000129</v>
      </c>
      <c r="B290" s="31" t="s">
        <v>2276</v>
      </c>
      <c r="C290" s="31" t="s">
        <v>2020</v>
      </c>
      <c r="D290" s="31" t="s">
        <v>2023</v>
      </c>
      <c r="E290" s="32">
        <v>30375</v>
      </c>
      <c r="F290" s="32">
        <v>10</v>
      </c>
    </row>
    <row r="291" spans="1:6" x14ac:dyDescent="0.3">
      <c r="A291" s="31">
        <v>1000020734</v>
      </c>
      <c r="B291" s="31" t="s">
        <v>942</v>
      </c>
      <c r="C291" s="31" t="s">
        <v>4</v>
      </c>
      <c r="D291" s="31" t="s">
        <v>2090</v>
      </c>
      <c r="E291" s="32">
        <v>30230.548578947299</v>
      </c>
      <c r="F291" s="32">
        <v>36</v>
      </c>
    </row>
    <row r="292" spans="1:6" x14ac:dyDescent="0.3">
      <c r="A292" s="31">
        <v>2300000174</v>
      </c>
      <c r="B292" s="31" t="s">
        <v>1842</v>
      </c>
      <c r="C292" s="31" t="s">
        <v>2020</v>
      </c>
      <c r="D292" s="31" t="s">
        <v>2023</v>
      </c>
      <c r="E292" s="32">
        <v>30052.98</v>
      </c>
      <c r="F292" s="32">
        <v>2625</v>
      </c>
    </row>
    <row r="293" spans="1:6" x14ac:dyDescent="0.3">
      <c r="A293" s="31">
        <v>2500008056</v>
      </c>
      <c r="B293" s="31" t="s">
        <v>2277</v>
      </c>
      <c r="C293" s="31" t="s">
        <v>1996</v>
      </c>
      <c r="D293" s="31" t="s">
        <v>2025</v>
      </c>
      <c r="E293" s="32">
        <v>29883.75</v>
      </c>
      <c r="F293" s="32">
        <v>7</v>
      </c>
    </row>
    <row r="294" spans="1:6" x14ac:dyDescent="0.3">
      <c r="A294" s="31">
        <v>2500008565</v>
      </c>
      <c r="B294" s="31" t="s">
        <v>2278</v>
      </c>
      <c r="C294" s="31" t="s">
        <v>1996</v>
      </c>
      <c r="D294" s="31" t="s">
        <v>2117</v>
      </c>
      <c r="E294" s="32">
        <v>29700</v>
      </c>
      <c r="F294" s="32">
        <v>4</v>
      </c>
    </row>
    <row r="295" spans="1:6" x14ac:dyDescent="0.3">
      <c r="A295" s="31">
        <v>2200012126</v>
      </c>
      <c r="B295" s="31" t="s">
        <v>2279</v>
      </c>
      <c r="C295" s="31" t="s">
        <v>2037</v>
      </c>
      <c r="D295" s="31" t="s">
        <v>2038</v>
      </c>
      <c r="E295" s="32">
        <v>29694.28</v>
      </c>
      <c r="F295" s="32">
        <v>1</v>
      </c>
    </row>
    <row r="296" spans="1:6" x14ac:dyDescent="0.3">
      <c r="A296" s="31">
        <v>1000110481</v>
      </c>
      <c r="B296" s="31" t="s">
        <v>2280</v>
      </c>
      <c r="C296" s="31" t="s">
        <v>2257</v>
      </c>
      <c r="D296" s="31" t="s">
        <v>2035</v>
      </c>
      <c r="E296" s="32">
        <v>29625.73</v>
      </c>
      <c r="F296" s="32">
        <v>7</v>
      </c>
    </row>
    <row r="297" spans="1:6" x14ac:dyDescent="0.3">
      <c r="A297" s="31">
        <v>2200011474</v>
      </c>
      <c r="B297" s="31" t="s">
        <v>2281</v>
      </c>
      <c r="C297" s="31" t="s">
        <v>2037</v>
      </c>
      <c r="D297" s="31" t="s">
        <v>2038</v>
      </c>
      <c r="E297" s="32">
        <v>29546.44</v>
      </c>
      <c r="F297" s="32">
        <v>1</v>
      </c>
    </row>
    <row r="298" spans="1:6" x14ac:dyDescent="0.3">
      <c r="A298" s="31">
        <v>1000020875</v>
      </c>
      <c r="B298" s="31" t="s">
        <v>1060</v>
      </c>
      <c r="C298" s="31" t="s">
        <v>4</v>
      </c>
      <c r="D298" s="31" t="s">
        <v>2090</v>
      </c>
      <c r="E298" s="32">
        <v>29325.549668689</v>
      </c>
      <c r="F298" s="32">
        <v>35</v>
      </c>
    </row>
    <row r="299" spans="1:6" x14ac:dyDescent="0.3">
      <c r="A299" s="31">
        <v>2700000103</v>
      </c>
      <c r="B299" s="31" t="s">
        <v>255</v>
      </c>
      <c r="C299" s="31" t="s">
        <v>2037</v>
      </c>
      <c r="D299" s="31" t="s">
        <v>2038</v>
      </c>
      <c r="E299" s="32">
        <v>29151.514999999999</v>
      </c>
      <c r="F299" s="32">
        <v>11</v>
      </c>
    </row>
    <row r="300" spans="1:6" x14ac:dyDescent="0.3">
      <c r="A300" s="31">
        <v>1000100378</v>
      </c>
      <c r="B300" s="31" t="s">
        <v>2282</v>
      </c>
      <c r="C300" s="31" t="s">
        <v>4</v>
      </c>
      <c r="D300" s="31" t="s">
        <v>2090</v>
      </c>
      <c r="E300" s="32">
        <v>29147.962500000001</v>
      </c>
      <c r="F300" s="32">
        <v>9</v>
      </c>
    </row>
    <row r="301" spans="1:6" x14ac:dyDescent="0.3">
      <c r="A301" s="31">
        <v>1000107092</v>
      </c>
      <c r="B301" s="31" t="s">
        <v>2283</v>
      </c>
      <c r="C301" s="31" t="s">
        <v>4</v>
      </c>
      <c r="D301" s="31" t="s">
        <v>2284</v>
      </c>
      <c r="E301" s="32">
        <v>29130</v>
      </c>
      <c r="F301" s="32">
        <v>3</v>
      </c>
    </row>
    <row r="302" spans="1:6" x14ac:dyDescent="0.3">
      <c r="A302" s="31">
        <v>1000093678</v>
      </c>
      <c r="B302" s="31" t="s">
        <v>2285</v>
      </c>
      <c r="C302" s="31" t="s">
        <v>4</v>
      </c>
      <c r="D302" s="31" t="s">
        <v>2056</v>
      </c>
      <c r="E302" s="32">
        <v>29036.4183258954</v>
      </c>
      <c r="F302" s="32">
        <v>141</v>
      </c>
    </row>
    <row r="303" spans="1:6" x14ac:dyDescent="0.3">
      <c r="A303" s="31">
        <v>1000105379</v>
      </c>
      <c r="B303" s="31" t="s">
        <v>2286</v>
      </c>
      <c r="C303" s="31" t="s">
        <v>2027</v>
      </c>
      <c r="D303" s="31" t="s">
        <v>2035</v>
      </c>
      <c r="E303" s="32">
        <v>28987.21</v>
      </c>
      <c r="F303" s="32">
        <v>12</v>
      </c>
    </row>
    <row r="304" spans="1:6" x14ac:dyDescent="0.3">
      <c r="A304" s="31">
        <v>1000099814</v>
      </c>
      <c r="B304" s="31" t="s">
        <v>2287</v>
      </c>
      <c r="C304" s="31" t="s">
        <v>4</v>
      </c>
      <c r="D304" s="31" t="s">
        <v>2056</v>
      </c>
      <c r="E304" s="32">
        <v>28715.5197368421</v>
      </c>
      <c r="F304" s="32">
        <v>5250</v>
      </c>
    </row>
    <row r="305" spans="1:6" x14ac:dyDescent="0.3">
      <c r="A305" s="31">
        <v>2500009031</v>
      </c>
      <c r="B305" s="31" t="s">
        <v>2288</v>
      </c>
      <c r="C305" s="31" t="s">
        <v>1996</v>
      </c>
      <c r="D305" s="31" t="s">
        <v>2289</v>
      </c>
      <c r="E305" s="32">
        <v>28687.497749999999</v>
      </c>
      <c r="F305" s="32">
        <v>3</v>
      </c>
    </row>
    <row r="306" spans="1:6" x14ac:dyDescent="0.3">
      <c r="A306" s="31">
        <v>1000099433</v>
      </c>
      <c r="B306" s="31" t="s">
        <v>2290</v>
      </c>
      <c r="C306" s="31" t="s">
        <v>4</v>
      </c>
      <c r="D306" s="31" t="s">
        <v>2090</v>
      </c>
      <c r="E306" s="32">
        <v>28679.55</v>
      </c>
      <c r="F306" s="32">
        <v>38</v>
      </c>
    </row>
    <row r="307" spans="1:6" x14ac:dyDescent="0.3">
      <c r="A307" s="31">
        <v>1000097381</v>
      </c>
      <c r="B307" s="31" t="s">
        <v>2291</v>
      </c>
      <c r="C307" s="31" t="s">
        <v>2109</v>
      </c>
      <c r="D307" s="31" t="s">
        <v>2070</v>
      </c>
      <c r="E307" s="32">
        <v>28320.75</v>
      </c>
      <c r="F307" s="32">
        <v>3</v>
      </c>
    </row>
    <row r="308" spans="1:6" x14ac:dyDescent="0.3">
      <c r="A308" s="31">
        <v>1000105126</v>
      </c>
      <c r="B308" s="31" t="s">
        <v>2292</v>
      </c>
      <c r="C308" s="31" t="s">
        <v>2109</v>
      </c>
      <c r="D308" s="31" t="s">
        <v>2035</v>
      </c>
      <c r="E308" s="32">
        <v>28035</v>
      </c>
      <c r="F308" s="32">
        <v>12</v>
      </c>
    </row>
    <row r="309" spans="1:6" x14ac:dyDescent="0.3">
      <c r="A309" s="31">
        <v>1000015068</v>
      </c>
      <c r="B309" s="31" t="s">
        <v>61</v>
      </c>
      <c r="C309" s="31" t="s">
        <v>4</v>
      </c>
      <c r="D309" s="31" t="s">
        <v>2043</v>
      </c>
      <c r="E309" s="32">
        <v>27974.527495442799</v>
      </c>
      <c r="F309" s="32">
        <v>173</v>
      </c>
    </row>
    <row r="310" spans="1:6" x14ac:dyDescent="0.3">
      <c r="A310" s="31">
        <v>1000015051</v>
      </c>
      <c r="B310" s="31" t="s">
        <v>51</v>
      </c>
      <c r="C310" s="31" t="s">
        <v>4</v>
      </c>
      <c r="D310" s="31" t="s">
        <v>2043</v>
      </c>
      <c r="E310" s="32">
        <v>27746.270868292599</v>
      </c>
      <c r="F310" s="32">
        <v>408</v>
      </c>
    </row>
    <row r="311" spans="1:6" x14ac:dyDescent="0.3">
      <c r="A311" s="31">
        <v>1000020100</v>
      </c>
      <c r="B311" s="31" t="s">
        <v>356</v>
      </c>
      <c r="C311" s="31" t="s">
        <v>4</v>
      </c>
      <c r="D311" s="31" t="s">
        <v>2090</v>
      </c>
      <c r="E311" s="32">
        <v>27653.811608669101</v>
      </c>
      <c r="F311" s="32">
        <v>121</v>
      </c>
    </row>
    <row r="312" spans="1:6" x14ac:dyDescent="0.3">
      <c r="A312" s="31">
        <v>1000106125</v>
      </c>
      <c r="B312" s="31" t="s">
        <v>2293</v>
      </c>
      <c r="C312" s="31" t="s">
        <v>4</v>
      </c>
      <c r="D312" s="31" t="s">
        <v>2161</v>
      </c>
      <c r="E312" s="32">
        <v>27613.47</v>
      </c>
      <c r="F312" s="32">
        <v>5</v>
      </c>
    </row>
    <row r="313" spans="1:6" x14ac:dyDescent="0.3">
      <c r="A313" s="31">
        <v>2100006468</v>
      </c>
      <c r="B313" s="31" t="s">
        <v>140</v>
      </c>
      <c r="C313" s="31" t="s">
        <v>2037</v>
      </c>
      <c r="D313" s="31" t="s">
        <v>2031</v>
      </c>
      <c r="E313" s="32">
        <v>27550.83</v>
      </c>
      <c r="F313" s="32">
        <v>9</v>
      </c>
    </row>
    <row r="314" spans="1:6" x14ac:dyDescent="0.3">
      <c r="A314" s="31">
        <v>1000109018</v>
      </c>
      <c r="B314" s="31" t="s">
        <v>2294</v>
      </c>
      <c r="C314" s="31" t="s">
        <v>2109</v>
      </c>
      <c r="D314" s="31" t="s">
        <v>2035</v>
      </c>
      <c r="E314" s="32">
        <v>27311.625</v>
      </c>
      <c r="F314" s="32">
        <v>11</v>
      </c>
    </row>
    <row r="315" spans="1:6" x14ac:dyDescent="0.3">
      <c r="A315" s="31">
        <v>1000108455</v>
      </c>
      <c r="B315" s="31" t="s">
        <v>2295</v>
      </c>
      <c r="C315" s="31" t="s">
        <v>2109</v>
      </c>
      <c r="D315" s="31" t="s">
        <v>2035</v>
      </c>
      <c r="E315" s="32">
        <v>27243.825000000001</v>
      </c>
      <c r="F315" s="32">
        <v>14</v>
      </c>
    </row>
    <row r="316" spans="1:6" x14ac:dyDescent="0.3">
      <c r="A316" s="31">
        <v>1000001049</v>
      </c>
      <c r="B316" s="31" t="s">
        <v>2296</v>
      </c>
      <c r="C316" s="31" t="s">
        <v>2257</v>
      </c>
      <c r="D316" s="31" t="s">
        <v>2035</v>
      </c>
      <c r="E316" s="32">
        <v>27150.6863888888</v>
      </c>
      <c r="F316" s="32">
        <v>5</v>
      </c>
    </row>
    <row r="317" spans="1:6" x14ac:dyDescent="0.3">
      <c r="A317" s="31">
        <v>2200003344</v>
      </c>
      <c r="B317" s="31" t="s">
        <v>2297</v>
      </c>
      <c r="C317" s="31" t="s">
        <v>2030</v>
      </c>
      <c r="D317" s="31" t="s">
        <v>2038</v>
      </c>
      <c r="E317" s="32">
        <v>26940.76</v>
      </c>
      <c r="F317" s="32">
        <v>1</v>
      </c>
    </row>
    <row r="318" spans="1:6" x14ac:dyDescent="0.3">
      <c r="A318" s="31">
        <v>2700000148</v>
      </c>
      <c r="B318" s="31" t="s">
        <v>268</v>
      </c>
      <c r="C318" s="31" t="s">
        <v>2037</v>
      </c>
      <c r="D318" s="31" t="s">
        <v>2038</v>
      </c>
      <c r="E318" s="32">
        <v>26919.321666666601</v>
      </c>
      <c r="F318" s="32">
        <v>1</v>
      </c>
    </row>
    <row r="319" spans="1:6" x14ac:dyDescent="0.3">
      <c r="A319" s="31">
        <v>2200002572</v>
      </c>
      <c r="B319" s="31" t="s">
        <v>2298</v>
      </c>
      <c r="C319" s="31" t="s">
        <v>2037</v>
      </c>
      <c r="D319" s="31" t="s">
        <v>2038</v>
      </c>
      <c r="E319" s="32">
        <v>26842.2</v>
      </c>
      <c r="F319" s="32">
        <v>1</v>
      </c>
    </row>
    <row r="320" spans="1:6" x14ac:dyDescent="0.3">
      <c r="A320" s="31">
        <v>1000094250</v>
      </c>
      <c r="B320" s="31" t="s">
        <v>2299</v>
      </c>
      <c r="C320" s="31" t="s">
        <v>4</v>
      </c>
      <c r="D320" s="31" t="s">
        <v>2043</v>
      </c>
      <c r="E320" s="32">
        <v>26659.74</v>
      </c>
      <c r="F320" s="32">
        <v>118</v>
      </c>
    </row>
    <row r="321" spans="1:6" x14ac:dyDescent="0.3">
      <c r="A321" s="31">
        <v>1000093602</v>
      </c>
      <c r="B321" s="31" t="s">
        <v>2300</v>
      </c>
      <c r="C321" s="31" t="s">
        <v>4</v>
      </c>
      <c r="D321" s="31" t="s">
        <v>2056</v>
      </c>
      <c r="E321" s="32">
        <v>26653.929213237501</v>
      </c>
      <c r="F321" s="32">
        <v>2700</v>
      </c>
    </row>
    <row r="322" spans="1:6" x14ac:dyDescent="0.3">
      <c r="A322" s="31">
        <v>1000103351</v>
      </c>
      <c r="B322" s="31" t="s">
        <v>100</v>
      </c>
      <c r="C322" s="31" t="s">
        <v>4</v>
      </c>
      <c r="D322" s="31" t="s">
        <v>2043</v>
      </c>
      <c r="E322" s="32">
        <v>26644.799999999999</v>
      </c>
      <c r="F322" s="32">
        <v>793</v>
      </c>
    </row>
    <row r="323" spans="1:6" x14ac:dyDescent="0.3">
      <c r="A323" s="31">
        <v>2500008854</v>
      </c>
      <c r="B323" s="31" t="s">
        <v>2301</v>
      </c>
      <c r="C323" s="31" t="s">
        <v>1996</v>
      </c>
      <c r="D323" s="31" t="s">
        <v>2117</v>
      </c>
      <c r="E323" s="32">
        <v>26568.75</v>
      </c>
      <c r="F323" s="32">
        <v>13</v>
      </c>
    </row>
    <row r="324" spans="1:6" x14ac:dyDescent="0.3">
      <c r="A324" s="31">
        <v>1000109826</v>
      </c>
      <c r="B324" s="31" t="s">
        <v>2302</v>
      </c>
      <c r="C324" s="31" t="s">
        <v>2027</v>
      </c>
      <c r="D324" s="31" t="s">
        <v>2028</v>
      </c>
      <c r="E324" s="32">
        <v>26560</v>
      </c>
      <c r="F324" s="32">
        <v>20</v>
      </c>
    </row>
    <row r="325" spans="1:6" x14ac:dyDescent="0.3">
      <c r="A325" s="31">
        <v>1000096196</v>
      </c>
      <c r="B325" s="31" t="s">
        <v>2303</v>
      </c>
      <c r="C325" s="31" t="s">
        <v>4</v>
      </c>
      <c r="D325" s="31" t="s">
        <v>2056</v>
      </c>
      <c r="E325" s="32">
        <v>26487.305551042798</v>
      </c>
      <c r="F325" s="32">
        <v>515</v>
      </c>
    </row>
    <row r="326" spans="1:6" x14ac:dyDescent="0.3">
      <c r="A326" s="31">
        <v>1000109142</v>
      </c>
      <c r="B326" s="31" t="s">
        <v>2304</v>
      </c>
      <c r="C326" s="31" t="s">
        <v>2109</v>
      </c>
      <c r="D326" s="31" t="s">
        <v>2035</v>
      </c>
      <c r="E326" s="32">
        <v>26478.560000000001</v>
      </c>
      <c r="F326" s="32">
        <v>13</v>
      </c>
    </row>
    <row r="327" spans="1:6" x14ac:dyDescent="0.3">
      <c r="A327" s="31">
        <v>1000110484</v>
      </c>
      <c r="B327" s="31" t="s">
        <v>2108</v>
      </c>
      <c r="C327" s="31" t="s">
        <v>2109</v>
      </c>
      <c r="D327" s="31" t="s">
        <v>2110</v>
      </c>
      <c r="E327" s="32">
        <v>26311.387500000001</v>
      </c>
      <c r="F327" s="32">
        <v>3</v>
      </c>
    </row>
    <row r="328" spans="1:6" x14ac:dyDescent="0.3">
      <c r="A328" s="31">
        <v>2500008055</v>
      </c>
      <c r="B328" s="31" t="s">
        <v>2305</v>
      </c>
      <c r="C328" s="31" t="s">
        <v>1996</v>
      </c>
      <c r="D328" s="31" t="s">
        <v>2025</v>
      </c>
      <c r="E328" s="32">
        <v>26250</v>
      </c>
      <c r="F328" s="32">
        <v>1</v>
      </c>
    </row>
    <row r="329" spans="1:6" x14ac:dyDescent="0.3">
      <c r="A329" s="31">
        <v>1000021000</v>
      </c>
      <c r="B329" s="31" t="s">
        <v>1173</v>
      </c>
      <c r="C329" s="31" t="s">
        <v>4</v>
      </c>
      <c r="D329" s="31" t="s">
        <v>2218</v>
      </c>
      <c r="E329" s="32">
        <v>26047.211538461499</v>
      </c>
      <c r="F329" s="32">
        <v>158</v>
      </c>
    </row>
    <row r="330" spans="1:6" x14ac:dyDescent="0.3">
      <c r="A330" s="31">
        <v>2500008568</v>
      </c>
      <c r="B330" s="31" t="s">
        <v>2278</v>
      </c>
      <c r="C330" s="31" t="s">
        <v>1996</v>
      </c>
      <c r="D330" s="31" t="s">
        <v>2117</v>
      </c>
      <c r="E330" s="32">
        <v>25956.4285714285</v>
      </c>
      <c r="F330" s="32">
        <v>2</v>
      </c>
    </row>
    <row r="331" spans="1:6" x14ac:dyDescent="0.3">
      <c r="A331" s="31">
        <v>1000108871</v>
      </c>
      <c r="B331" s="31" t="s">
        <v>2306</v>
      </c>
      <c r="C331" s="31" t="s">
        <v>2109</v>
      </c>
      <c r="D331" s="31" t="s">
        <v>2035</v>
      </c>
      <c r="E331" s="32">
        <v>25807.5</v>
      </c>
      <c r="F331" s="32">
        <v>4</v>
      </c>
    </row>
    <row r="332" spans="1:6" x14ac:dyDescent="0.3">
      <c r="A332" s="31">
        <v>1000015021</v>
      </c>
      <c r="B332" s="31" t="s">
        <v>37</v>
      </c>
      <c r="C332" s="31" t="s">
        <v>4</v>
      </c>
      <c r="D332" s="31" t="s">
        <v>2043</v>
      </c>
      <c r="E332" s="32">
        <v>25743.536599999999</v>
      </c>
      <c r="F332" s="32">
        <v>271</v>
      </c>
    </row>
    <row r="333" spans="1:6" x14ac:dyDescent="0.3">
      <c r="A333" s="31">
        <v>2000012635</v>
      </c>
      <c r="B333" s="31" t="s">
        <v>2071</v>
      </c>
      <c r="C333" s="31" t="s">
        <v>2017</v>
      </c>
      <c r="D333" s="31" t="s">
        <v>2072</v>
      </c>
      <c r="E333" s="32">
        <v>25567.5</v>
      </c>
      <c r="F333" s="32">
        <v>7</v>
      </c>
    </row>
    <row r="334" spans="1:6" x14ac:dyDescent="0.3">
      <c r="A334" s="31">
        <v>1000020688</v>
      </c>
      <c r="B334" s="31" t="s">
        <v>900</v>
      </c>
      <c r="C334" s="31" t="s">
        <v>4</v>
      </c>
      <c r="D334" s="31" t="s">
        <v>2090</v>
      </c>
      <c r="E334" s="32">
        <v>25279.4345716717</v>
      </c>
      <c r="F334" s="32">
        <v>382</v>
      </c>
    </row>
    <row r="335" spans="1:6" x14ac:dyDescent="0.3">
      <c r="A335" s="31">
        <v>2200002975</v>
      </c>
      <c r="B335" s="31" t="s">
        <v>2307</v>
      </c>
      <c r="C335" s="31" t="s">
        <v>2037</v>
      </c>
      <c r="D335" s="31" t="s">
        <v>2067</v>
      </c>
      <c r="E335" s="32">
        <v>25110</v>
      </c>
      <c r="F335" s="32">
        <v>1</v>
      </c>
    </row>
    <row r="336" spans="1:6" x14ac:dyDescent="0.3">
      <c r="A336" s="31">
        <v>1000021396</v>
      </c>
      <c r="B336" s="31" t="s">
        <v>1472</v>
      </c>
      <c r="C336" s="31" t="s">
        <v>4</v>
      </c>
      <c r="D336" s="31" t="s">
        <v>2090</v>
      </c>
      <c r="E336" s="32">
        <v>25109.164347826001</v>
      </c>
      <c r="F336" s="32">
        <v>22</v>
      </c>
    </row>
    <row r="337" spans="1:6" x14ac:dyDescent="0.3">
      <c r="A337" s="31">
        <v>1000097445</v>
      </c>
      <c r="B337" s="31" t="s">
        <v>2308</v>
      </c>
      <c r="C337" s="31" t="s">
        <v>4</v>
      </c>
      <c r="D337" s="31" t="s">
        <v>2056</v>
      </c>
      <c r="E337" s="32">
        <v>25064.999400000001</v>
      </c>
      <c r="F337" s="32">
        <v>49</v>
      </c>
    </row>
    <row r="338" spans="1:6" x14ac:dyDescent="0.3">
      <c r="A338" s="31">
        <v>2700000179</v>
      </c>
      <c r="B338" s="31" t="s">
        <v>279</v>
      </c>
      <c r="C338" s="31" t="s">
        <v>2037</v>
      </c>
      <c r="D338" s="31" t="s">
        <v>2038</v>
      </c>
      <c r="E338" s="32">
        <v>24993.33</v>
      </c>
      <c r="F338" s="32">
        <v>1</v>
      </c>
    </row>
    <row r="339" spans="1:6" x14ac:dyDescent="0.3">
      <c r="A339" s="31">
        <v>1000103939</v>
      </c>
      <c r="B339" s="31" t="s">
        <v>2309</v>
      </c>
      <c r="C339" s="31" t="s">
        <v>2109</v>
      </c>
      <c r="D339" s="31" t="s">
        <v>2070</v>
      </c>
      <c r="E339" s="32">
        <v>24858.9</v>
      </c>
      <c r="F339" s="32">
        <v>3</v>
      </c>
    </row>
    <row r="340" spans="1:6" x14ac:dyDescent="0.3">
      <c r="A340" s="31">
        <v>1000098433</v>
      </c>
      <c r="B340" s="31" t="s">
        <v>2310</v>
      </c>
      <c r="C340" s="31" t="s">
        <v>4</v>
      </c>
      <c r="D340" s="31" t="s">
        <v>2090</v>
      </c>
      <c r="E340" s="32">
        <v>24857.920249999999</v>
      </c>
      <c r="F340" s="32">
        <v>7</v>
      </c>
    </row>
    <row r="341" spans="1:6" x14ac:dyDescent="0.3">
      <c r="A341" s="31">
        <v>2700000102</v>
      </c>
      <c r="B341" s="31" t="s">
        <v>254</v>
      </c>
      <c r="C341" s="31" t="s">
        <v>2037</v>
      </c>
      <c r="D341" s="31" t="s">
        <v>2038</v>
      </c>
      <c r="E341" s="32">
        <v>24857.200000000001</v>
      </c>
      <c r="F341" s="32">
        <v>2</v>
      </c>
    </row>
    <row r="342" spans="1:6" x14ac:dyDescent="0.3">
      <c r="A342" s="31">
        <v>1000109019</v>
      </c>
      <c r="B342" s="31" t="s">
        <v>2311</v>
      </c>
      <c r="C342" s="31" t="s">
        <v>2109</v>
      </c>
      <c r="D342" s="31" t="s">
        <v>2035</v>
      </c>
      <c r="E342" s="32">
        <v>24828.75</v>
      </c>
      <c r="F342" s="32">
        <v>10</v>
      </c>
    </row>
    <row r="343" spans="1:6" x14ac:dyDescent="0.3">
      <c r="A343" s="31">
        <v>2200011478</v>
      </c>
      <c r="B343" s="31" t="s">
        <v>2312</v>
      </c>
      <c r="C343" s="31" t="s">
        <v>2037</v>
      </c>
      <c r="D343" s="31" t="s">
        <v>2038</v>
      </c>
      <c r="E343" s="32">
        <v>24807.47</v>
      </c>
      <c r="F343" s="32">
        <v>1</v>
      </c>
    </row>
    <row r="344" spans="1:6" x14ac:dyDescent="0.3">
      <c r="A344" s="31">
        <v>1000095836</v>
      </c>
      <c r="B344" s="31" t="s">
        <v>2313</v>
      </c>
      <c r="C344" s="31" t="s">
        <v>4</v>
      </c>
      <c r="D344" s="31" t="s">
        <v>2056</v>
      </c>
      <c r="E344" s="32">
        <v>24772.964799786801</v>
      </c>
      <c r="F344" s="32">
        <v>576</v>
      </c>
    </row>
    <row r="345" spans="1:6" x14ac:dyDescent="0.3">
      <c r="A345" s="31">
        <v>2500008050</v>
      </c>
      <c r="B345" s="31" t="s">
        <v>2314</v>
      </c>
      <c r="C345" s="31" t="s">
        <v>1996</v>
      </c>
      <c r="D345" s="31" t="s">
        <v>2025</v>
      </c>
      <c r="E345" s="32">
        <v>24767.666467114199</v>
      </c>
      <c r="F345" s="32">
        <v>4</v>
      </c>
    </row>
    <row r="346" spans="1:6" x14ac:dyDescent="0.3">
      <c r="A346" s="31">
        <v>1000101879</v>
      </c>
      <c r="B346" s="31" t="s">
        <v>1757</v>
      </c>
      <c r="C346" s="31" t="s">
        <v>4</v>
      </c>
      <c r="D346" s="31" t="s">
        <v>2218</v>
      </c>
      <c r="E346" s="32">
        <v>24680.351899387799</v>
      </c>
      <c r="F346" s="32">
        <v>129</v>
      </c>
    </row>
    <row r="347" spans="1:6" x14ac:dyDescent="0.3">
      <c r="A347" s="31">
        <v>1000110915</v>
      </c>
      <c r="B347" s="31" t="s">
        <v>2315</v>
      </c>
      <c r="C347" s="31" t="s">
        <v>2027</v>
      </c>
      <c r="D347" s="31" t="s">
        <v>2070</v>
      </c>
      <c r="E347" s="32">
        <v>24540.275000000001</v>
      </c>
      <c r="F347" s="32">
        <v>2</v>
      </c>
    </row>
    <row r="348" spans="1:6" x14ac:dyDescent="0.3">
      <c r="A348" s="31">
        <v>1000099493</v>
      </c>
      <c r="B348" s="31" t="s">
        <v>2316</v>
      </c>
      <c r="C348" s="31" t="s">
        <v>4</v>
      </c>
      <c r="D348" s="31" t="s">
        <v>2218</v>
      </c>
      <c r="E348" s="32">
        <v>24491.4474044659</v>
      </c>
      <c r="F348" s="32">
        <v>171</v>
      </c>
    </row>
    <row r="349" spans="1:6" x14ac:dyDescent="0.3">
      <c r="A349" s="31">
        <v>2000019445</v>
      </c>
      <c r="B349" s="31" t="s">
        <v>2317</v>
      </c>
      <c r="C349" s="31" t="s">
        <v>2017</v>
      </c>
      <c r="D349" s="31" t="s">
        <v>2072</v>
      </c>
      <c r="E349" s="32">
        <v>24315</v>
      </c>
      <c r="F349" s="32">
        <v>4</v>
      </c>
    </row>
    <row r="350" spans="1:6" x14ac:dyDescent="0.3">
      <c r="A350" s="31">
        <v>2000019452</v>
      </c>
      <c r="B350" s="31" t="s">
        <v>2318</v>
      </c>
      <c r="C350" s="31" t="s">
        <v>2017</v>
      </c>
      <c r="D350" s="31" t="s">
        <v>2072</v>
      </c>
      <c r="E350" s="32">
        <v>24315</v>
      </c>
      <c r="F350" s="32">
        <v>4</v>
      </c>
    </row>
    <row r="351" spans="1:6" x14ac:dyDescent="0.3">
      <c r="A351" s="31">
        <v>1000099022</v>
      </c>
      <c r="B351" s="31" t="s">
        <v>2319</v>
      </c>
      <c r="C351" s="31" t="s">
        <v>2088</v>
      </c>
      <c r="D351" s="31" t="s">
        <v>2090</v>
      </c>
      <c r="E351" s="32">
        <v>24288</v>
      </c>
      <c r="F351" s="32">
        <v>1</v>
      </c>
    </row>
    <row r="352" spans="1:6" x14ac:dyDescent="0.3">
      <c r="A352" s="31">
        <v>1000098404</v>
      </c>
      <c r="B352" s="31" t="s">
        <v>2320</v>
      </c>
      <c r="C352" s="31" t="s">
        <v>2205</v>
      </c>
      <c r="D352" s="31" t="s">
        <v>2150</v>
      </c>
      <c r="E352" s="32">
        <v>24008.400000000001</v>
      </c>
      <c r="F352" s="32">
        <v>38</v>
      </c>
    </row>
    <row r="353" spans="1:6" x14ac:dyDescent="0.3">
      <c r="A353" s="31">
        <v>1000093979</v>
      </c>
      <c r="B353" s="31" t="s">
        <v>2321</v>
      </c>
      <c r="C353" s="31" t="s">
        <v>4</v>
      </c>
      <c r="D353" s="31" t="s">
        <v>2090</v>
      </c>
      <c r="E353" s="32">
        <v>23931.39</v>
      </c>
      <c r="F353" s="32">
        <v>16</v>
      </c>
    </row>
    <row r="354" spans="1:6" x14ac:dyDescent="0.3">
      <c r="A354" s="31">
        <v>1000111042</v>
      </c>
      <c r="B354" s="31" t="s">
        <v>2322</v>
      </c>
      <c r="C354" s="31" t="s">
        <v>2027</v>
      </c>
      <c r="D354" s="31" t="s">
        <v>2035</v>
      </c>
      <c r="E354" s="32">
        <v>23895</v>
      </c>
      <c r="F354" s="32">
        <v>6</v>
      </c>
    </row>
    <row r="355" spans="1:6" x14ac:dyDescent="0.3">
      <c r="A355" s="31">
        <v>1000096015</v>
      </c>
      <c r="B355" s="31" t="s">
        <v>2323</v>
      </c>
      <c r="C355" s="31" t="s">
        <v>4</v>
      </c>
      <c r="D355" s="31" t="s">
        <v>2056</v>
      </c>
      <c r="E355" s="32">
        <v>23862.0870404698</v>
      </c>
      <c r="F355" s="32">
        <v>468</v>
      </c>
    </row>
    <row r="356" spans="1:6" x14ac:dyDescent="0.3">
      <c r="A356" s="31">
        <v>2200012240</v>
      </c>
      <c r="B356" s="31" t="s">
        <v>2324</v>
      </c>
      <c r="C356" s="31" t="s">
        <v>2037</v>
      </c>
      <c r="D356" s="31" t="s">
        <v>2038</v>
      </c>
      <c r="E356" s="32">
        <v>23802.371107142801</v>
      </c>
      <c r="F356" s="32">
        <v>2</v>
      </c>
    </row>
    <row r="357" spans="1:6" x14ac:dyDescent="0.3">
      <c r="A357" s="31">
        <v>2100004935</v>
      </c>
      <c r="B357" s="31" t="s">
        <v>2325</v>
      </c>
      <c r="C357" s="31" t="s">
        <v>2074</v>
      </c>
      <c r="D357" s="31" t="s">
        <v>2075</v>
      </c>
      <c r="E357" s="32">
        <v>23737.5</v>
      </c>
      <c r="F357" s="32">
        <v>10</v>
      </c>
    </row>
    <row r="358" spans="1:6" x14ac:dyDescent="0.3">
      <c r="A358" s="31">
        <v>1000110919</v>
      </c>
      <c r="B358" s="31" t="s">
        <v>2326</v>
      </c>
      <c r="C358" s="31" t="s">
        <v>2027</v>
      </c>
      <c r="D358" s="31" t="s">
        <v>2070</v>
      </c>
      <c r="E358" s="32">
        <v>23725.715400000001</v>
      </c>
      <c r="F358" s="32">
        <v>2</v>
      </c>
    </row>
    <row r="359" spans="1:6" x14ac:dyDescent="0.3">
      <c r="A359" s="31">
        <v>1000105778</v>
      </c>
      <c r="B359" s="31" t="s">
        <v>2327</v>
      </c>
      <c r="C359" s="31" t="s">
        <v>4</v>
      </c>
      <c r="D359" s="31" t="s">
        <v>2161</v>
      </c>
      <c r="E359" s="32">
        <v>23683.83</v>
      </c>
      <c r="F359" s="32">
        <v>5</v>
      </c>
    </row>
    <row r="360" spans="1:6" x14ac:dyDescent="0.3">
      <c r="A360" s="31">
        <v>1000097143</v>
      </c>
      <c r="B360" s="31" t="s">
        <v>2328</v>
      </c>
      <c r="C360" s="31" t="s">
        <v>4</v>
      </c>
      <c r="D360" s="31" t="s">
        <v>2056</v>
      </c>
      <c r="E360" s="32">
        <v>23607.007375000001</v>
      </c>
      <c r="F360" s="32">
        <v>23</v>
      </c>
    </row>
    <row r="361" spans="1:6" x14ac:dyDescent="0.3">
      <c r="A361" s="31">
        <v>2200000560</v>
      </c>
      <c r="B361" s="31" t="s">
        <v>168</v>
      </c>
      <c r="C361" s="31" t="s">
        <v>2037</v>
      </c>
      <c r="D361" s="31" t="s">
        <v>2038</v>
      </c>
      <c r="E361" s="32">
        <v>23562</v>
      </c>
      <c r="F361" s="32">
        <v>2</v>
      </c>
    </row>
    <row r="362" spans="1:6" x14ac:dyDescent="0.3">
      <c r="A362" s="31">
        <v>2200002929</v>
      </c>
      <c r="B362" s="31" t="s">
        <v>192</v>
      </c>
      <c r="C362" s="31" t="s">
        <v>2037</v>
      </c>
      <c r="D362" s="31" t="s">
        <v>2038</v>
      </c>
      <c r="E362" s="32">
        <v>23467.99</v>
      </c>
      <c r="F362" s="32">
        <v>1</v>
      </c>
    </row>
    <row r="363" spans="1:6" x14ac:dyDescent="0.3">
      <c r="A363" s="31">
        <v>2200002967</v>
      </c>
      <c r="B363" s="31" t="s">
        <v>2329</v>
      </c>
      <c r="C363" s="31" t="s">
        <v>2037</v>
      </c>
      <c r="D363" s="31" t="s">
        <v>2038</v>
      </c>
      <c r="E363" s="32">
        <v>23467.99</v>
      </c>
      <c r="F363" s="32">
        <v>1</v>
      </c>
    </row>
    <row r="364" spans="1:6" x14ac:dyDescent="0.3">
      <c r="A364" s="31">
        <v>2200002926</v>
      </c>
      <c r="B364" s="31" t="s">
        <v>190</v>
      </c>
      <c r="C364" s="31" t="s">
        <v>2037</v>
      </c>
      <c r="D364" s="31" t="s">
        <v>2038</v>
      </c>
      <c r="E364" s="32">
        <v>23467.99</v>
      </c>
      <c r="F364" s="32">
        <v>1</v>
      </c>
    </row>
    <row r="365" spans="1:6" x14ac:dyDescent="0.3">
      <c r="A365" s="31">
        <v>1000111045</v>
      </c>
      <c r="B365" s="31" t="s">
        <v>2330</v>
      </c>
      <c r="C365" s="31" t="s">
        <v>2109</v>
      </c>
      <c r="D365" s="31" t="s">
        <v>2150</v>
      </c>
      <c r="E365" s="32">
        <v>23401.95</v>
      </c>
      <c r="F365" s="32">
        <v>4</v>
      </c>
    </row>
    <row r="366" spans="1:6" x14ac:dyDescent="0.3">
      <c r="A366" s="31">
        <v>1000103596</v>
      </c>
      <c r="B366" s="31" t="s">
        <v>2146</v>
      </c>
      <c r="C366" s="31" t="s">
        <v>4</v>
      </c>
      <c r="D366" s="31" t="s">
        <v>2043</v>
      </c>
      <c r="E366" s="32">
        <v>23382.665166222501</v>
      </c>
      <c r="F366" s="32">
        <v>303</v>
      </c>
    </row>
    <row r="367" spans="1:6" x14ac:dyDescent="0.3">
      <c r="A367" s="31">
        <v>2200012252</v>
      </c>
      <c r="B367" s="31" t="s">
        <v>2331</v>
      </c>
      <c r="C367" s="31" t="s">
        <v>2037</v>
      </c>
      <c r="D367" s="31" t="s">
        <v>2038</v>
      </c>
      <c r="E367" s="32">
        <v>23154.2313917233</v>
      </c>
      <c r="F367" s="32">
        <v>5</v>
      </c>
    </row>
    <row r="368" spans="1:6" x14ac:dyDescent="0.3">
      <c r="A368" s="31">
        <v>2700000020</v>
      </c>
      <c r="B368" s="31" t="s">
        <v>226</v>
      </c>
      <c r="C368" s="31" t="s">
        <v>2037</v>
      </c>
      <c r="D368" s="31" t="s">
        <v>2038</v>
      </c>
      <c r="E368" s="32">
        <v>23100</v>
      </c>
      <c r="F368" s="32">
        <v>10</v>
      </c>
    </row>
    <row r="369" spans="1:6" x14ac:dyDescent="0.3">
      <c r="A369" s="31">
        <v>2300000188</v>
      </c>
      <c r="B369" s="31" t="s">
        <v>2332</v>
      </c>
      <c r="C369" s="31" t="s">
        <v>2020</v>
      </c>
      <c r="D369" s="31" t="s">
        <v>2023</v>
      </c>
      <c r="E369" s="32">
        <v>23026.5</v>
      </c>
      <c r="F369" s="32">
        <v>1720</v>
      </c>
    </row>
    <row r="370" spans="1:6" x14ac:dyDescent="0.3">
      <c r="A370" s="31">
        <v>1000110875</v>
      </c>
      <c r="B370" s="31" t="s">
        <v>2333</v>
      </c>
      <c r="C370" s="31" t="s">
        <v>4</v>
      </c>
      <c r="D370" s="31" t="s">
        <v>2043</v>
      </c>
      <c r="E370" s="32">
        <v>22921.5</v>
      </c>
      <c r="F370" s="32">
        <v>1770</v>
      </c>
    </row>
    <row r="371" spans="1:6" x14ac:dyDescent="0.3">
      <c r="A371" s="31">
        <v>2200002959</v>
      </c>
      <c r="B371" s="31" t="s">
        <v>2334</v>
      </c>
      <c r="C371" s="31" t="s">
        <v>2037</v>
      </c>
      <c r="D371" s="31" t="s">
        <v>2038</v>
      </c>
      <c r="E371" s="32">
        <v>22870.85</v>
      </c>
      <c r="F371" s="32">
        <v>1</v>
      </c>
    </row>
    <row r="372" spans="1:6" x14ac:dyDescent="0.3">
      <c r="A372" s="31">
        <v>1000110832</v>
      </c>
      <c r="B372" s="31" t="s">
        <v>2115</v>
      </c>
      <c r="C372" s="31" t="s">
        <v>2109</v>
      </c>
      <c r="D372" s="31" t="s">
        <v>2035</v>
      </c>
      <c r="E372" s="32">
        <v>22777.537499999999</v>
      </c>
      <c r="F372" s="32">
        <v>3</v>
      </c>
    </row>
    <row r="373" spans="1:6" x14ac:dyDescent="0.3">
      <c r="A373" s="31">
        <v>2500009532</v>
      </c>
      <c r="B373" s="31" t="s">
        <v>2335</v>
      </c>
      <c r="C373" s="31" t="s">
        <v>1996</v>
      </c>
      <c r="D373" s="31" t="s">
        <v>2025</v>
      </c>
      <c r="E373" s="32">
        <v>22747.5</v>
      </c>
      <c r="F373" s="32">
        <v>2</v>
      </c>
    </row>
    <row r="374" spans="1:6" x14ac:dyDescent="0.3">
      <c r="A374" s="31">
        <v>1000020755</v>
      </c>
      <c r="B374" s="31" t="s">
        <v>960</v>
      </c>
      <c r="C374" s="31" t="s">
        <v>4</v>
      </c>
      <c r="D374" s="31" t="s">
        <v>2090</v>
      </c>
      <c r="E374" s="32">
        <v>22661.516145833299</v>
      </c>
      <c r="F374" s="32">
        <v>10</v>
      </c>
    </row>
    <row r="375" spans="1:6" x14ac:dyDescent="0.3">
      <c r="A375" s="31">
        <v>2700000076</v>
      </c>
      <c r="B375" s="31" t="s">
        <v>245</v>
      </c>
      <c r="C375" s="31" t="s">
        <v>2037</v>
      </c>
      <c r="D375" s="31" t="s">
        <v>2038</v>
      </c>
      <c r="E375" s="32">
        <v>22654.266666666601</v>
      </c>
      <c r="F375" s="32">
        <v>2</v>
      </c>
    </row>
    <row r="376" spans="1:6" x14ac:dyDescent="0.3">
      <c r="A376" s="31">
        <v>1000110921</v>
      </c>
      <c r="B376" s="31" t="s">
        <v>2336</v>
      </c>
      <c r="C376" s="31" t="s">
        <v>2027</v>
      </c>
      <c r="D376" s="31" t="s">
        <v>2070</v>
      </c>
      <c r="E376" s="32">
        <v>22639.404999999999</v>
      </c>
      <c r="F376" s="32">
        <v>2</v>
      </c>
    </row>
    <row r="377" spans="1:6" x14ac:dyDescent="0.3">
      <c r="A377" s="31">
        <v>1000021259</v>
      </c>
      <c r="B377" s="31" t="s">
        <v>1403</v>
      </c>
      <c r="C377" s="31" t="s">
        <v>4</v>
      </c>
      <c r="D377" s="31" t="s">
        <v>2090</v>
      </c>
      <c r="E377" s="32">
        <v>22573.3641601731</v>
      </c>
      <c r="F377" s="32">
        <v>28</v>
      </c>
    </row>
    <row r="378" spans="1:6" x14ac:dyDescent="0.3">
      <c r="A378" s="31">
        <v>1000103588</v>
      </c>
      <c r="B378" s="31" t="s">
        <v>2337</v>
      </c>
      <c r="C378" s="31" t="s">
        <v>4</v>
      </c>
      <c r="D378" s="31" t="s">
        <v>2043</v>
      </c>
      <c r="E378" s="32">
        <v>22549.59</v>
      </c>
      <c r="F378" s="32">
        <v>378</v>
      </c>
    </row>
    <row r="379" spans="1:6" x14ac:dyDescent="0.3">
      <c r="A379" s="31">
        <v>1000104258</v>
      </c>
      <c r="B379" s="31" t="s">
        <v>2338</v>
      </c>
      <c r="C379" s="31" t="s">
        <v>2109</v>
      </c>
      <c r="D379" s="31" t="s">
        <v>2234</v>
      </c>
      <c r="E379" s="32">
        <v>22500</v>
      </c>
      <c r="F379" s="32">
        <v>40</v>
      </c>
    </row>
    <row r="380" spans="1:6" x14ac:dyDescent="0.3">
      <c r="A380" s="31">
        <v>1000100472</v>
      </c>
      <c r="B380" s="31" t="s">
        <v>2339</v>
      </c>
      <c r="C380" s="31" t="s">
        <v>4</v>
      </c>
      <c r="D380" s="31" t="s">
        <v>2090</v>
      </c>
      <c r="E380" s="32">
        <v>22338.903999999999</v>
      </c>
      <c r="F380" s="32">
        <v>4</v>
      </c>
    </row>
    <row r="381" spans="1:6" x14ac:dyDescent="0.3">
      <c r="A381" s="31">
        <v>1000104416</v>
      </c>
      <c r="B381" s="31" t="s">
        <v>2340</v>
      </c>
      <c r="C381" s="31" t="s">
        <v>2109</v>
      </c>
      <c r="D381" s="31" t="s">
        <v>2150</v>
      </c>
      <c r="E381" s="32">
        <v>22315.05</v>
      </c>
      <c r="F381" s="32">
        <v>6</v>
      </c>
    </row>
    <row r="382" spans="1:6" x14ac:dyDescent="0.3">
      <c r="A382" s="31">
        <v>1000102233</v>
      </c>
      <c r="B382" s="31" t="s">
        <v>1785</v>
      </c>
      <c r="C382" s="31" t="s">
        <v>4</v>
      </c>
      <c r="D382" s="31" t="s">
        <v>2090</v>
      </c>
      <c r="E382" s="32">
        <v>22307.51</v>
      </c>
      <c r="F382" s="32">
        <v>7</v>
      </c>
    </row>
    <row r="383" spans="1:6" x14ac:dyDescent="0.3">
      <c r="A383" s="31">
        <v>1000110916</v>
      </c>
      <c r="B383" s="31" t="s">
        <v>2341</v>
      </c>
      <c r="C383" s="31" t="s">
        <v>2027</v>
      </c>
      <c r="D383" s="31" t="s">
        <v>2070</v>
      </c>
      <c r="E383" s="32">
        <v>22274.472600000001</v>
      </c>
      <c r="F383" s="32">
        <v>2</v>
      </c>
    </row>
    <row r="384" spans="1:6" x14ac:dyDescent="0.3">
      <c r="A384" s="31">
        <v>1000098747</v>
      </c>
      <c r="B384" s="31" t="s">
        <v>1687</v>
      </c>
      <c r="C384" s="31" t="s">
        <v>4</v>
      </c>
      <c r="D384" s="31" t="s">
        <v>2090</v>
      </c>
      <c r="E384" s="32">
        <v>22206.255312500001</v>
      </c>
      <c r="F384" s="32">
        <v>7</v>
      </c>
    </row>
    <row r="385" spans="1:6" x14ac:dyDescent="0.3">
      <c r="A385" s="31">
        <v>1000109709</v>
      </c>
      <c r="B385" s="31" t="s">
        <v>2342</v>
      </c>
      <c r="C385" s="31" t="s">
        <v>2109</v>
      </c>
      <c r="D385" s="31" t="s">
        <v>2110</v>
      </c>
      <c r="E385" s="32">
        <v>22160.400000000001</v>
      </c>
      <c r="F385" s="32">
        <v>4</v>
      </c>
    </row>
    <row r="386" spans="1:6" x14ac:dyDescent="0.3">
      <c r="A386" s="31">
        <v>2100006467</v>
      </c>
      <c r="B386" s="31" t="s">
        <v>2343</v>
      </c>
      <c r="C386" s="31" t="s">
        <v>2037</v>
      </c>
      <c r="D386" s="31" t="s">
        <v>2031</v>
      </c>
      <c r="E386" s="32">
        <v>22148.71</v>
      </c>
      <c r="F386" s="32">
        <v>9</v>
      </c>
    </row>
    <row r="387" spans="1:6" x14ac:dyDescent="0.3">
      <c r="A387" s="31">
        <v>2300000172</v>
      </c>
      <c r="B387" s="31" t="s">
        <v>2344</v>
      </c>
      <c r="C387" s="31" t="s">
        <v>2020</v>
      </c>
      <c r="D387" s="31" t="s">
        <v>2047</v>
      </c>
      <c r="E387" s="32">
        <v>22140</v>
      </c>
      <c r="F387" s="32">
        <v>3280</v>
      </c>
    </row>
    <row r="388" spans="1:6" x14ac:dyDescent="0.3">
      <c r="A388" s="31">
        <v>2200000405</v>
      </c>
      <c r="B388" s="31" t="s">
        <v>2345</v>
      </c>
      <c r="C388" s="31" t="s">
        <v>2037</v>
      </c>
      <c r="D388" s="31" t="s">
        <v>2038</v>
      </c>
      <c r="E388" s="32">
        <v>22134.82</v>
      </c>
      <c r="F388" s="32">
        <v>2</v>
      </c>
    </row>
    <row r="389" spans="1:6" x14ac:dyDescent="0.3">
      <c r="A389" s="31">
        <v>1000015152</v>
      </c>
      <c r="B389" s="31" t="s">
        <v>2346</v>
      </c>
      <c r="C389" s="31" t="s">
        <v>4</v>
      </c>
      <c r="D389" s="31" t="s">
        <v>2043</v>
      </c>
      <c r="E389" s="32">
        <v>22100.34</v>
      </c>
      <c r="F389" s="32">
        <v>141</v>
      </c>
    </row>
    <row r="390" spans="1:6" x14ac:dyDescent="0.3">
      <c r="A390" s="31">
        <v>1000093946</v>
      </c>
      <c r="B390" s="31" t="s">
        <v>2347</v>
      </c>
      <c r="C390" s="31" t="s">
        <v>4</v>
      </c>
      <c r="D390" s="31" t="s">
        <v>2090</v>
      </c>
      <c r="E390" s="32">
        <v>22066.583999999999</v>
      </c>
      <c r="F390" s="32">
        <v>15</v>
      </c>
    </row>
    <row r="391" spans="1:6" x14ac:dyDescent="0.3">
      <c r="A391" s="31">
        <v>1000100377</v>
      </c>
      <c r="B391" s="31" t="s">
        <v>2348</v>
      </c>
      <c r="C391" s="31" t="s">
        <v>4</v>
      </c>
      <c r="D391" s="31" t="s">
        <v>2090</v>
      </c>
      <c r="E391" s="32">
        <v>21931.506666666599</v>
      </c>
      <c r="F391" s="32">
        <v>11</v>
      </c>
    </row>
    <row r="392" spans="1:6" x14ac:dyDescent="0.3">
      <c r="A392" s="31">
        <v>1000104005</v>
      </c>
      <c r="B392" s="31" t="s">
        <v>2349</v>
      </c>
      <c r="C392" s="31" t="s">
        <v>4</v>
      </c>
      <c r="D392" s="31" t="s">
        <v>2043</v>
      </c>
      <c r="E392" s="32">
        <v>21904.048801552399</v>
      </c>
      <c r="F392" s="32">
        <v>2176</v>
      </c>
    </row>
    <row r="393" spans="1:6" x14ac:dyDescent="0.3">
      <c r="A393" s="31">
        <v>1000093670</v>
      </c>
      <c r="B393" s="31" t="s">
        <v>2350</v>
      </c>
      <c r="C393" s="31" t="s">
        <v>4</v>
      </c>
      <c r="D393" s="31" t="s">
        <v>2056</v>
      </c>
      <c r="E393" s="32">
        <v>21809.099570300001</v>
      </c>
      <c r="F393" s="32">
        <v>26</v>
      </c>
    </row>
    <row r="394" spans="1:6" x14ac:dyDescent="0.3">
      <c r="A394" s="31">
        <v>1000110090</v>
      </c>
      <c r="B394" s="31" t="s">
        <v>2351</v>
      </c>
      <c r="C394" s="31" t="s">
        <v>2109</v>
      </c>
      <c r="D394" s="31" t="s">
        <v>2110</v>
      </c>
      <c r="E394" s="32">
        <v>21656.625</v>
      </c>
      <c r="F394" s="32">
        <v>2</v>
      </c>
    </row>
    <row r="395" spans="1:6" x14ac:dyDescent="0.3">
      <c r="A395" s="31">
        <v>2700000227</v>
      </c>
      <c r="B395" s="31" t="s">
        <v>2352</v>
      </c>
      <c r="C395" s="31" t="s">
        <v>2037</v>
      </c>
      <c r="D395" s="31" t="s">
        <v>2038</v>
      </c>
      <c r="E395" s="32">
        <v>21590.799999999999</v>
      </c>
      <c r="F395" s="32">
        <v>5</v>
      </c>
    </row>
    <row r="396" spans="1:6" x14ac:dyDescent="0.3">
      <c r="A396" s="31">
        <v>1000021309</v>
      </c>
      <c r="B396" s="31" t="s">
        <v>1442</v>
      </c>
      <c r="C396" s="31" t="s">
        <v>4</v>
      </c>
      <c r="D396" s="31" t="s">
        <v>2090</v>
      </c>
      <c r="E396" s="32">
        <v>21478.232727272702</v>
      </c>
      <c r="F396" s="32">
        <v>16</v>
      </c>
    </row>
    <row r="397" spans="1:6" x14ac:dyDescent="0.3">
      <c r="A397" s="31">
        <v>2500009037</v>
      </c>
      <c r="B397" s="31" t="s">
        <v>2353</v>
      </c>
      <c r="C397" s="31" t="s">
        <v>1996</v>
      </c>
      <c r="D397" s="31" t="s">
        <v>2289</v>
      </c>
      <c r="E397" s="32">
        <v>21468.75</v>
      </c>
      <c r="F397" s="32">
        <v>7</v>
      </c>
    </row>
    <row r="398" spans="1:6" x14ac:dyDescent="0.3">
      <c r="A398" s="31">
        <v>2200011232</v>
      </c>
      <c r="B398" s="31" t="s">
        <v>2354</v>
      </c>
      <c r="C398" s="31" t="s">
        <v>2037</v>
      </c>
      <c r="D398" s="31" t="s">
        <v>2038</v>
      </c>
      <c r="E398" s="32">
        <v>21423.995999999999</v>
      </c>
      <c r="F398" s="32">
        <v>1</v>
      </c>
    </row>
    <row r="399" spans="1:6" x14ac:dyDescent="0.3">
      <c r="A399" s="31">
        <v>2500005714</v>
      </c>
      <c r="B399" s="31" t="s">
        <v>2355</v>
      </c>
      <c r="C399" s="31" t="s">
        <v>1996</v>
      </c>
      <c r="D399" s="31" t="s">
        <v>2025</v>
      </c>
      <c r="E399" s="32">
        <v>21357.634195263599</v>
      </c>
      <c r="F399" s="32">
        <v>29</v>
      </c>
    </row>
    <row r="400" spans="1:6" x14ac:dyDescent="0.3">
      <c r="A400" s="31">
        <v>1000107763</v>
      </c>
      <c r="B400" s="31" t="s">
        <v>2356</v>
      </c>
      <c r="C400" s="31" t="s">
        <v>2109</v>
      </c>
      <c r="D400" s="31" t="s">
        <v>2070</v>
      </c>
      <c r="E400" s="32">
        <v>21303.75</v>
      </c>
      <c r="F400" s="32">
        <v>1</v>
      </c>
    </row>
    <row r="401" spans="1:6" x14ac:dyDescent="0.3">
      <c r="A401" s="31">
        <v>1000093087</v>
      </c>
      <c r="B401" s="31" t="s">
        <v>2357</v>
      </c>
      <c r="C401" s="31" t="s">
        <v>4</v>
      </c>
      <c r="D401" s="31" t="s">
        <v>2043</v>
      </c>
      <c r="E401" s="32">
        <v>21295.8426785714</v>
      </c>
      <c r="F401" s="32">
        <v>47</v>
      </c>
    </row>
    <row r="402" spans="1:6" x14ac:dyDescent="0.3">
      <c r="A402" s="31">
        <v>2700000153</v>
      </c>
      <c r="B402" s="31" t="s">
        <v>269</v>
      </c>
      <c r="C402" s="31" t="s">
        <v>2037</v>
      </c>
      <c r="D402" s="31" t="s">
        <v>2038</v>
      </c>
      <c r="E402" s="32">
        <v>21249.100125000001</v>
      </c>
      <c r="F402" s="32">
        <v>1</v>
      </c>
    </row>
    <row r="403" spans="1:6" x14ac:dyDescent="0.3">
      <c r="A403" s="31">
        <v>1000098811</v>
      </c>
      <c r="B403" s="31" t="s">
        <v>2358</v>
      </c>
      <c r="C403" s="31" t="s">
        <v>2109</v>
      </c>
      <c r="D403" s="31" t="s">
        <v>2070</v>
      </c>
      <c r="E403" s="32">
        <v>21060</v>
      </c>
      <c r="F403" s="32">
        <v>4</v>
      </c>
    </row>
    <row r="404" spans="1:6" x14ac:dyDescent="0.3">
      <c r="A404" s="31">
        <v>1000010159</v>
      </c>
      <c r="B404" s="31" t="s">
        <v>2359</v>
      </c>
      <c r="C404" s="31" t="s">
        <v>4</v>
      </c>
      <c r="D404" s="31" t="s">
        <v>2230</v>
      </c>
      <c r="E404" s="32">
        <v>21029.309123996201</v>
      </c>
      <c r="F404" s="32">
        <v>9</v>
      </c>
    </row>
    <row r="405" spans="1:6" x14ac:dyDescent="0.3">
      <c r="A405" s="31">
        <v>1000102687</v>
      </c>
      <c r="B405" s="31" t="s">
        <v>2360</v>
      </c>
      <c r="C405" s="31" t="s">
        <v>4</v>
      </c>
      <c r="D405" s="31" t="s">
        <v>2043</v>
      </c>
      <c r="E405" s="32">
        <v>20879.5782312925</v>
      </c>
      <c r="F405" s="32">
        <v>118</v>
      </c>
    </row>
    <row r="406" spans="1:6" x14ac:dyDescent="0.3">
      <c r="A406" s="31">
        <v>2500008048</v>
      </c>
      <c r="B406" s="31" t="s">
        <v>2361</v>
      </c>
      <c r="C406" s="31" t="s">
        <v>1996</v>
      </c>
      <c r="D406" s="31" t="s">
        <v>2025</v>
      </c>
      <c r="E406" s="32">
        <v>20812.5</v>
      </c>
      <c r="F406" s="32">
        <v>6</v>
      </c>
    </row>
    <row r="407" spans="1:6" x14ac:dyDescent="0.3">
      <c r="A407" s="31">
        <v>2300000190</v>
      </c>
      <c r="B407" s="31" t="s">
        <v>2247</v>
      </c>
      <c r="C407" s="31" t="s">
        <v>2020</v>
      </c>
      <c r="D407" s="31" t="s">
        <v>2023</v>
      </c>
      <c r="E407" s="32">
        <v>20782.5</v>
      </c>
      <c r="F407" s="32">
        <v>1700</v>
      </c>
    </row>
    <row r="408" spans="1:6" x14ac:dyDescent="0.3">
      <c r="A408" s="31">
        <v>1000015059</v>
      </c>
      <c r="B408" s="31" t="s">
        <v>55</v>
      </c>
      <c r="C408" s="31" t="s">
        <v>4</v>
      </c>
      <c r="D408" s="31" t="s">
        <v>2043</v>
      </c>
      <c r="E408" s="32">
        <v>20755.883670891599</v>
      </c>
      <c r="F408" s="32">
        <v>327</v>
      </c>
    </row>
    <row r="409" spans="1:6" x14ac:dyDescent="0.3">
      <c r="A409" s="31">
        <v>1000100436</v>
      </c>
      <c r="B409" s="31" t="s">
        <v>1747</v>
      </c>
      <c r="C409" s="31" t="s">
        <v>4</v>
      </c>
      <c r="D409" s="31" t="s">
        <v>2090</v>
      </c>
      <c r="E409" s="32">
        <v>20710.5</v>
      </c>
      <c r="F409" s="32">
        <v>10</v>
      </c>
    </row>
    <row r="410" spans="1:6" x14ac:dyDescent="0.3">
      <c r="A410" s="31">
        <v>1000101720</v>
      </c>
      <c r="B410" s="31" t="s">
        <v>2362</v>
      </c>
      <c r="C410" s="31" t="s">
        <v>4</v>
      </c>
      <c r="D410" s="31" t="s">
        <v>2043</v>
      </c>
      <c r="E410" s="32">
        <v>20648.946</v>
      </c>
      <c r="F410" s="32">
        <v>15</v>
      </c>
    </row>
    <row r="411" spans="1:6" x14ac:dyDescent="0.3">
      <c r="A411" s="31">
        <v>1000102201</v>
      </c>
      <c r="B411" s="31" t="s">
        <v>1764</v>
      </c>
      <c r="C411" s="31" t="s">
        <v>4</v>
      </c>
      <c r="D411" s="31" t="s">
        <v>2090</v>
      </c>
      <c r="E411" s="32">
        <v>20618.439999999999</v>
      </c>
      <c r="F411" s="32">
        <v>15</v>
      </c>
    </row>
    <row r="412" spans="1:6" x14ac:dyDescent="0.3">
      <c r="A412" s="31">
        <v>1000107100</v>
      </c>
      <c r="B412" s="31" t="s">
        <v>2363</v>
      </c>
      <c r="C412" s="31" t="s">
        <v>4</v>
      </c>
      <c r="D412" s="31" t="s">
        <v>2043</v>
      </c>
      <c r="E412" s="32">
        <v>20585.035516253</v>
      </c>
      <c r="F412" s="32">
        <v>601</v>
      </c>
    </row>
    <row r="413" spans="1:6" x14ac:dyDescent="0.3">
      <c r="A413" s="31">
        <v>1000110924</v>
      </c>
      <c r="B413" s="31" t="s">
        <v>2364</v>
      </c>
      <c r="C413" s="31" t="s">
        <v>2027</v>
      </c>
      <c r="D413" s="31" t="s">
        <v>2070</v>
      </c>
      <c r="E413" s="32">
        <v>20543.165400000002</v>
      </c>
      <c r="F413" s="32">
        <v>2</v>
      </c>
    </row>
    <row r="414" spans="1:6" x14ac:dyDescent="0.3">
      <c r="A414" s="31">
        <v>1000099599</v>
      </c>
      <c r="B414" s="31" t="s">
        <v>2044</v>
      </c>
      <c r="C414" s="31" t="s">
        <v>4</v>
      </c>
      <c r="D414" s="31" t="s">
        <v>2043</v>
      </c>
      <c r="E414" s="32">
        <v>20360.400000000001</v>
      </c>
      <c r="F414" s="32">
        <v>24</v>
      </c>
    </row>
    <row r="415" spans="1:6" x14ac:dyDescent="0.3">
      <c r="A415" s="31">
        <v>1000099586</v>
      </c>
      <c r="B415" s="31" t="s">
        <v>2365</v>
      </c>
      <c r="C415" s="31" t="s">
        <v>4</v>
      </c>
      <c r="D415" s="31" t="s">
        <v>2090</v>
      </c>
      <c r="E415" s="32">
        <v>20350.276666666599</v>
      </c>
      <c r="F415" s="32">
        <v>4</v>
      </c>
    </row>
    <row r="416" spans="1:6" x14ac:dyDescent="0.3">
      <c r="A416" s="31">
        <v>2700000165</v>
      </c>
      <c r="B416" s="31" t="s">
        <v>274</v>
      </c>
      <c r="C416" s="31" t="s">
        <v>2037</v>
      </c>
      <c r="D416" s="31" t="s">
        <v>2038</v>
      </c>
      <c r="E416" s="32">
        <v>20276.7923266666</v>
      </c>
      <c r="F416" s="32">
        <v>2</v>
      </c>
    </row>
    <row r="417" spans="1:6" x14ac:dyDescent="0.3">
      <c r="A417" s="31">
        <v>1000109961</v>
      </c>
      <c r="B417" s="31" t="s">
        <v>2366</v>
      </c>
      <c r="C417" s="31" t="s">
        <v>2257</v>
      </c>
      <c r="D417" s="31" t="s">
        <v>2035</v>
      </c>
      <c r="E417" s="32">
        <v>20187.8</v>
      </c>
      <c r="F417" s="32">
        <v>3</v>
      </c>
    </row>
    <row r="418" spans="1:6" x14ac:dyDescent="0.3">
      <c r="A418" s="31">
        <v>1000093139</v>
      </c>
      <c r="B418" s="31" t="s">
        <v>2367</v>
      </c>
      <c r="C418" s="31" t="s">
        <v>4</v>
      </c>
      <c r="D418" s="31" t="s">
        <v>2161</v>
      </c>
      <c r="E418" s="32">
        <v>20149.366666666599</v>
      </c>
      <c r="F418" s="32">
        <v>2</v>
      </c>
    </row>
    <row r="419" spans="1:6" x14ac:dyDescent="0.3">
      <c r="A419" s="31">
        <v>1000093766</v>
      </c>
      <c r="B419" s="31" t="s">
        <v>2368</v>
      </c>
      <c r="C419" s="31" t="s">
        <v>4</v>
      </c>
      <c r="D419" s="31" t="s">
        <v>2056</v>
      </c>
      <c r="E419" s="32">
        <v>20010.9303533333</v>
      </c>
      <c r="F419" s="32">
        <v>4334</v>
      </c>
    </row>
    <row r="420" spans="1:6" x14ac:dyDescent="0.3">
      <c r="A420" s="31">
        <v>1000095270</v>
      </c>
      <c r="B420" s="31" t="s">
        <v>2369</v>
      </c>
      <c r="C420" s="31" t="s">
        <v>4</v>
      </c>
      <c r="D420" s="31" t="s">
        <v>2090</v>
      </c>
      <c r="E420" s="32">
        <v>19936.211138461498</v>
      </c>
      <c r="F420" s="32">
        <v>11</v>
      </c>
    </row>
    <row r="421" spans="1:6" x14ac:dyDescent="0.3">
      <c r="A421" s="31">
        <v>1000020872</v>
      </c>
      <c r="B421" s="31" t="s">
        <v>1058</v>
      </c>
      <c r="C421" s="31" t="s">
        <v>4</v>
      </c>
      <c r="D421" s="31" t="s">
        <v>2090</v>
      </c>
      <c r="E421" s="32">
        <v>19905.52</v>
      </c>
      <c r="F421" s="32">
        <v>32</v>
      </c>
    </row>
    <row r="422" spans="1:6" x14ac:dyDescent="0.3">
      <c r="A422" s="31">
        <v>1000100431</v>
      </c>
      <c r="B422" s="31" t="s">
        <v>1742</v>
      </c>
      <c r="C422" s="31" t="s">
        <v>4</v>
      </c>
      <c r="D422" s="31" t="s">
        <v>2090</v>
      </c>
      <c r="E422" s="32">
        <v>19792.66</v>
      </c>
      <c r="F422" s="32">
        <v>10</v>
      </c>
    </row>
    <row r="423" spans="1:6" x14ac:dyDescent="0.3">
      <c r="A423" s="31">
        <v>1000110657</v>
      </c>
      <c r="B423" s="31" t="s">
        <v>2370</v>
      </c>
      <c r="C423" s="31" t="s">
        <v>2109</v>
      </c>
      <c r="D423" s="31" t="s">
        <v>2035</v>
      </c>
      <c r="E423" s="32">
        <v>19785.825000000001</v>
      </c>
      <c r="F423" s="32">
        <v>3</v>
      </c>
    </row>
    <row r="424" spans="1:6" x14ac:dyDescent="0.3">
      <c r="A424" s="31">
        <v>2300000125</v>
      </c>
      <c r="B424" s="31" t="s">
        <v>2371</v>
      </c>
      <c r="C424" s="31" t="s">
        <v>2020</v>
      </c>
      <c r="D424" s="31" t="s">
        <v>2023</v>
      </c>
      <c r="E424" s="32">
        <v>19687.5</v>
      </c>
      <c r="F424" s="32">
        <v>3750</v>
      </c>
    </row>
    <row r="425" spans="1:6" x14ac:dyDescent="0.3">
      <c r="A425" s="31">
        <v>1000098520</v>
      </c>
      <c r="B425" s="31" t="s">
        <v>1555</v>
      </c>
      <c r="C425" s="31" t="s">
        <v>4</v>
      </c>
      <c r="D425" s="31" t="s">
        <v>2218</v>
      </c>
      <c r="E425" s="32">
        <v>19677.507692307601</v>
      </c>
      <c r="F425" s="32">
        <v>20</v>
      </c>
    </row>
    <row r="426" spans="1:6" x14ac:dyDescent="0.3">
      <c r="A426" s="31">
        <v>1000110108</v>
      </c>
      <c r="B426" s="31" t="s">
        <v>2372</v>
      </c>
      <c r="C426" s="31" t="s">
        <v>2027</v>
      </c>
      <c r="D426" s="31" t="s">
        <v>2035</v>
      </c>
      <c r="E426" s="32">
        <v>19590</v>
      </c>
      <c r="F426" s="32">
        <v>4</v>
      </c>
    </row>
    <row r="427" spans="1:6" x14ac:dyDescent="0.3">
      <c r="A427" s="31">
        <v>1000021250</v>
      </c>
      <c r="B427" s="31" t="s">
        <v>1395</v>
      </c>
      <c r="C427" s="31" t="s">
        <v>4</v>
      </c>
      <c r="D427" s="31" t="s">
        <v>2090</v>
      </c>
      <c r="E427" s="32">
        <v>19577.2228</v>
      </c>
      <c r="F427" s="32">
        <v>32</v>
      </c>
    </row>
    <row r="428" spans="1:6" x14ac:dyDescent="0.3">
      <c r="A428" s="31">
        <v>1000021307</v>
      </c>
      <c r="B428" s="31" t="s">
        <v>1440</v>
      </c>
      <c r="C428" s="31" t="s">
        <v>4</v>
      </c>
      <c r="D428" s="31" t="s">
        <v>2218</v>
      </c>
      <c r="E428" s="32">
        <v>19564.662</v>
      </c>
      <c r="F428" s="32">
        <v>21</v>
      </c>
    </row>
    <row r="429" spans="1:6" x14ac:dyDescent="0.3">
      <c r="A429" s="31">
        <v>1000093147</v>
      </c>
      <c r="B429" s="31" t="s">
        <v>2373</v>
      </c>
      <c r="C429" s="31" t="s">
        <v>2109</v>
      </c>
      <c r="D429" s="31" t="s">
        <v>2374</v>
      </c>
      <c r="E429" s="32">
        <v>19560.9791436903</v>
      </c>
      <c r="F429" s="32">
        <v>8</v>
      </c>
    </row>
    <row r="430" spans="1:6" x14ac:dyDescent="0.3">
      <c r="A430" s="31">
        <v>1000099425</v>
      </c>
      <c r="B430" s="31" t="s">
        <v>2375</v>
      </c>
      <c r="C430" s="31" t="s">
        <v>4</v>
      </c>
      <c r="D430" s="31" t="s">
        <v>2090</v>
      </c>
      <c r="E430" s="32">
        <v>19542.765641025599</v>
      </c>
      <c r="F430" s="32">
        <v>31</v>
      </c>
    </row>
    <row r="431" spans="1:6" x14ac:dyDescent="0.3">
      <c r="A431" s="31">
        <v>2000012794</v>
      </c>
      <c r="B431" s="31" t="s">
        <v>2071</v>
      </c>
      <c r="C431" s="31" t="s">
        <v>2017</v>
      </c>
      <c r="D431" s="31" t="s">
        <v>2072</v>
      </c>
      <c r="E431" s="32">
        <v>19532.310000000001</v>
      </c>
      <c r="F431" s="32">
        <v>1</v>
      </c>
    </row>
    <row r="432" spans="1:6" x14ac:dyDescent="0.3">
      <c r="A432" s="31">
        <v>2000012795</v>
      </c>
      <c r="B432" s="31" t="s">
        <v>2071</v>
      </c>
      <c r="C432" s="31" t="s">
        <v>2017</v>
      </c>
      <c r="D432" s="31" t="s">
        <v>2072</v>
      </c>
      <c r="E432" s="32">
        <v>19532.310000000001</v>
      </c>
      <c r="F432" s="32">
        <v>1</v>
      </c>
    </row>
    <row r="433" spans="1:6" x14ac:dyDescent="0.3">
      <c r="A433" s="31">
        <v>1000017142</v>
      </c>
      <c r="B433" s="31" t="s">
        <v>2181</v>
      </c>
      <c r="C433" s="31" t="s">
        <v>4</v>
      </c>
      <c r="D433" s="31" t="s">
        <v>2056</v>
      </c>
      <c r="E433" s="32">
        <v>19520.544871951901</v>
      </c>
      <c r="F433" s="32">
        <v>29211</v>
      </c>
    </row>
    <row r="434" spans="1:6" x14ac:dyDescent="0.3">
      <c r="A434" s="31">
        <v>2200000578</v>
      </c>
      <c r="B434" s="31" t="s">
        <v>2376</v>
      </c>
      <c r="C434" s="31" t="s">
        <v>2037</v>
      </c>
      <c r="D434" s="31" t="s">
        <v>2038</v>
      </c>
      <c r="E434" s="32">
        <v>19432.23</v>
      </c>
      <c r="F434" s="32">
        <v>1</v>
      </c>
    </row>
    <row r="435" spans="1:6" x14ac:dyDescent="0.3">
      <c r="A435" s="31">
        <v>2500008074</v>
      </c>
      <c r="B435" s="31" t="s">
        <v>2377</v>
      </c>
      <c r="C435" s="31" t="s">
        <v>1996</v>
      </c>
      <c r="D435" s="31" t="s">
        <v>2025</v>
      </c>
      <c r="E435" s="32">
        <v>19272.968401263199</v>
      </c>
      <c r="F435" s="32">
        <v>7</v>
      </c>
    </row>
    <row r="436" spans="1:6" x14ac:dyDescent="0.3">
      <c r="A436" s="31">
        <v>1000102686</v>
      </c>
      <c r="B436" s="31" t="s">
        <v>95</v>
      </c>
      <c r="C436" s="31" t="s">
        <v>4</v>
      </c>
      <c r="D436" s="31" t="s">
        <v>2043</v>
      </c>
      <c r="E436" s="32">
        <v>19234.576465116199</v>
      </c>
      <c r="F436" s="32">
        <v>160</v>
      </c>
    </row>
    <row r="437" spans="1:6" x14ac:dyDescent="0.3">
      <c r="A437" s="31">
        <v>2500008867</v>
      </c>
      <c r="B437" s="31" t="s">
        <v>2378</v>
      </c>
      <c r="C437" s="31" t="s">
        <v>1996</v>
      </c>
      <c r="D437" s="31" t="s">
        <v>2117</v>
      </c>
      <c r="E437" s="32">
        <v>19218.75</v>
      </c>
      <c r="F437" s="32">
        <v>1</v>
      </c>
    </row>
    <row r="438" spans="1:6" x14ac:dyDescent="0.3">
      <c r="A438" s="31">
        <v>1000093952</v>
      </c>
      <c r="B438" s="31" t="s">
        <v>2379</v>
      </c>
      <c r="C438" s="31" t="s">
        <v>4</v>
      </c>
      <c r="D438" s="31" t="s">
        <v>2090</v>
      </c>
      <c r="E438" s="32">
        <v>19211.400000000001</v>
      </c>
      <c r="F438" s="32">
        <v>12</v>
      </c>
    </row>
    <row r="439" spans="1:6" x14ac:dyDescent="0.3">
      <c r="A439" s="31">
        <v>1000096798</v>
      </c>
      <c r="B439" s="31" t="s">
        <v>2380</v>
      </c>
      <c r="C439" s="31" t="s">
        <v>4</v>
      </c>
      <c r="D439" s="31" t="s">
        <v>2056</v>
      </c>
      <c r="E439" s="32">
        <v>19143.677871312098</v>
      </c>
      <c r="F439" s="32">
        <v>1393</v>
      </c>
    </row>
    <row r="440" spans="1:6" x14ac:dyDescent="0.3">
      <c r="A440" s="31">
        <v>1000108323</v>
      </c>
      <c r="B440" s="31" t="s">
        <v>1836</v>
      </c>
      <c r="C440" s="31" t="s">
        <v>4</v>
      </c>
      <c r="D440" s="31" t="s">
        <v>2090</v>
      </c>
      <c r="E440" s="32">
        <v>19143.3</v>
      </c>
      <c r="F440" s="32">
        <v>8</v>
      </c>
    </row>
    <row r="441" spans="1:6" x14ac:dyDescent="0.3">
      <c r="A441" s="31">
        <v>1000098670</v>
      </c>
      <c r="B441" s="31" t="s">
        <v>1630</v>
      </c>
      <c r="C441" s="31" t="s">
        <v>4</v>
      </c>
      <c r="D441" s="31" t="s">
        <v>2090</v>
      </c>
      <c r="E441" s="32">
        <v>19032.714756097499</v>
      </c>
      <c r="F441" s="32">
        <v>79</v>
      </c>
    </row>
    <row r="442" spans="1:6" x14ac:dyDescent="0.3">
      <c r="A442" s="31">
        <v>1000108214</v>
      </c>
      <c r="B442" s="31" t="s">
        <v>21</v>
      </c>
      <c r="C442" s="31" t="s">
        <v>2109</v>
      </c>
      <c r="D442" s="31" t="s">
        <v>2028</v>
      </c>
      <c r="E442" s="32">
        <v>19020</v>
      </c>
      <c r="F442" s="32">
        <v>15</v>
      </c>
    </row>
    <row r="443" spans="1:6" x14ac:dyDescent="0.3">
      <c r="A443" s="31">
        <v>2500008193</v>
      </c>
      <c r="B443" s="31" t="s">
        <v>2381</v>
      </c>
      <c r="C443" s="31" t="s">
        <v>1996</v>
      </c>
      <c r="D443" s="31" t="s">
        <v>2025</v>
      </c>
      <c r="E443" s="32">
        <v>18918.882734126899</v>
      </c>
      <c r="F443" s="32">
        <v>4</v>
      </c>
    </row>
    <row r="444" spans="1:6" x14ac:dyDescent="0.3">
      <c r="A444" s="31">
        <v>1000020075</v>
      </c>
      <c r="B444" s="31" t="s">
        <v>2382</v>
      </c>
      <c r="C444" s="31" t="s">
        <v>4</v>
      </c>
      <c r="D444" s="31" t="s">
        <v>2090</v>
      </c>
      <c r="E444" s="32">
        <v>18878.583999999999</v>
      </c>
      <c r="F444" s="32">
        <v>5</v>
      </c>
    </row>
    <row r="445" spans="1:6" x14ac:dyDescent="0.3">
      <c r="A445" s="31">
        <v>2000020788</v>
      </c>
      <c r="B445" s="31" t="s">
        <v>2383</v>
      </c>
      <c r="C445" s="31" t="s">
        <v>2017</v>
      </c>
      <c r="D445" s="31" t="s">
        <v>2072</v>
      </c>
      <c r="E445" s="32">
        <v>18866.25</v>
      </c>
      <c r="F445" s="32">
        <v>1</v>
      </c>
    </row>
    <row r="446" spans="1:6" x14ac:dyDescent="0.3">
      <c r="A446" s="31">
        <v>1000103073</v>
      </c>
      <c r="B446" s="31" t="s">
        <v>2384</v>
      </c>
      <c r="C446" s="31" t="s">
        <v>4</v>
      </c>
      <c r="D446" s="31" t="s">
        <v>2090</v>
      </c>
      <c r="E446" s="32">
        <v>18617.688437500001</v>
      </c>
      <c r="F446" s="32">
        <v>13</v>
      </c>
    </row>
    <row r="447" spans="1:6" x14ac:dyDescent="0.3">
      <c r="A447" s="31">
        <v>1000100329</v>
      </c>
      <c r="B447" s="31" t="s">
        <v>2385</v>
      </c>
      <c r="C447" s="31" t="s">
        <v>4</v>
      </c>
      <c r="D447" s="31" t="s">
        <v>2090</v>
      </c>
      <c r="E447" s="32">
        <v>18557.29</v>
      </c>
      <c r="F447" s="32">
        <v>4</v>
      </c>
    </row>
    <row r="448" spans="1:6" x14ac:dyDescent="0.3">
      <c r="A448" s="31">
        <v>2500008453</v>
      </c>
      <c r="B448" s="31" t="s">
        <v>2386</v>
      </c>
      <c r="C448" s="31" t="s">
        <v>1996</v>
      </c>
      <c r="D448" s="31" t="s">
        <v>2025</v>
      </c>
      <c r="E448" s="32">
        <v>18525</v>
      </c>
      <c r="F448" s="32">
        <v>60</v>
      </c>
    </row>
    <row r="449" spans="1:6" x14ac:dyDescent="0.3">
      <c r="A449" s="31">
        <v>1000110158</v>
      </c>
      <c r="B449" s="31" t="s">
        <v>2387</v>
      </c>
      <c r="C449" s="31" t="s">
        <v>2109</v>
      </c>
      <c r="D449" s="31" t="s">
        <v>2035</v>
      </c>
      <c r="E449" s="32">
        <v>18387.599999999999</v>
      </c>
      <c r="F449" s="32">
        <v>4</v>
      </c>
    </row>
    <row r="450" spans="1:6" x14ac:dyDescent="0.3">
      <c r="A450" s="31">
        <v>1000101340</v>
      </c>
      <c r="B450" s="31" t="s">
        <v>2388</v>
      </c>
      <c r="C450" s="31" t="s">
        <v>4</v>
      </c>
      <c r="D450" s="31" t="s">
        <v>2056</v>
      </c>
      <c r="E450" s="32">
        <v>18371.87</v>
      </c>
      <c r="F450" s="32">
        <v>7000</v>
      </c>
    </row>
    <row r="451" spans="1:6" x14ac:dyDescent="0.3">
      <c r="A451" s="31">
        <v>1000110991</v>
      </c>
      <c r="B451" s="31" t="s">
        <v>2389</v>
      </c>
      <c r="C451" s="31" t="s">
        <v>4</v>
      </c>
      <c r="D451" s="31" t="s">
        <v>2390</v>
      </c>
      <c r="E451" s="32">
        <v>18250.95</v>
      </c>
      <c r="F451" s="32">
        <v>30</v>
      </c>
    </row>
    <row r="452" spans="1:6" x14ac:dyDescent="0.3">
      <c r="A452" s="31">
        <v>1000021247</v>
      </c>
      <c r="B452" s="31" t="s">
        <v>1392</v>
      </c>
      <c r="C452" s="31" t="s">
        <v>4</v>
      </c>
      <c r="D452" s="31" t="s">
        <v>2090</v>
      </c>
      <c r="E452" s="32">
        <v>18235.753742857101</v>
      </c>
      <c r="F452" s="32">
        <v>38</v>
      </c>
    </row>
    <row r="453" spans="1:6" x14ac:dyDescent="0.3">
      <c r="A453" s="31">
        <v>1000021246</v>
      </c>
      <c r="B453" s="31" t="s">
        <v>1391</v>
      </c>
      <c r="C453" s="31" t="s">
        <v>4</v>
      </c>
      <c r="D453" s="31" t="s">
        <v>2090</v>
      </c>
      <c r="E453" s="32">
        <v>18139.93</v>
      </c>
      <c r="F453" s="32">
        <v>39</v>
      </c>
    </row>
    <row r="454" spans="1:6" x14ac:dyDescent="0.3">
      <c r="A454" s="31">
        <v>2300000193</v>
      </c>
      <c r="B454" s="31" t="s">
        <v>2391</v>
      </c>
      <c r="C454" s="31" t="s">
        <v>2020</v>
      </c>
      <c r="D454" s="31" t="s">
        <v>2023</v>
      </c>
      <c r="E454" s="32">
        <v>18135</v>
      </c>
      <c r="F454" s="32">
        <v>3720</v>
      </c>
    </row>
    <row r="455" spans="1:6" x14ac:dyDescent="0.3">
      <c r="A455" s="31">
        <v>1000099833</v>
      </c>
      <c r="B455" s="31" t="s">
        <v>2392</v>
      </c>
      <c r="C455" s="31" t="s">
        <v>4</v>
      </c>
      <c r="D455" s="31" t="s">
        <v>2056</v>
      </c>
      <c r="E455" s="32">
        <v>18133.1730673239</v>
      </c>
      <c r="F455" s="32">
        <v>1050</v>
      </c>
    </row>
    <row r="456" spans="1:6" x14ac:dyDescent="0.3">
      <c r="A456" s="31">
        <v>1000102822</v>
      </c>
      <c r="B456" s="31" t="s">
        <v>2393</v>
      </c>
      <c r="C456" s="31" t="s">
        <v>4</v>
      </c>
      <c r="D456" s="31" t="s">
        <v>2056</v>
      </c>
      <c r="E456" s="32">
        <v>18125.099999999999</v>
      </c>
      <c r="F456" s="32">
        <v>21</v>
      </c>
    </row>
    <row r="457" spans="1:6" x14ac:dyDescent="0.3">
      <c r="A457" s="31">
        <v>1000099237</v>
      </c>
      <c r="B457" s="31" t="s">
        <v>2394</v>
      </c>
      <c r="C457" s="31" t="s">
        <v>4</v>
      </c>
      <c r="D457" s="31" t="s">
        <v>2043</v>
      </c>
      <c r="E457" s="32">
        <v>18039.84</v>
      </c>
      <c r="F457" s="32">
        <v>236</v>
      </c>
    </row>
    <row r="458" spans="1:6" x14ac:dyDescent="0.3">
      <c r="A458" s="31">
        <v>1000010249</v>
      </c>
      <c r="B458" s="31" t="s">
        <v>2395</v>
      </c>
      <c r="C458" s="31" t="s">
        <v>4</v>
      </c>
      <c r="D458" s="31" t="s">
        <v>2161</v>
      </c>
      <c r="E458" s="32">
        <v>17976</v>
      </c>
      <c r="F458" s="32">
        <v>18</v>
      </c>
    </row>
    <row r="459" spans="1:6" x14ac:dyDescent="0.3">
      <c r="A459" s="31">
        <v>2300000026</v>
      </c>
      <c r="B459" s="31" t="s">
        <v>324</v>
      </c>
      <c r="C459" s="31" t="s">
        <v>2017</v>
      </c>
      <c r="D459" s="31" t="s">
        <v>2063</v>
      </c>
      <c r="E459" s="32">
        <v>17955.830000000002</v>
      </c>
      <c r="F459" s="32">
        <v>7</v>
      </c>
    </row>
    <row r="460" spans="1:6" x14ac:dyDescent="0.3">
      <c r="A460" s="31">
        <v>1000096343</v>
      </c>
      <c r="B460" s="31" t="s">
        <v>2396</v>
      </c>
      <c r="C460" s="31" t="s">
        <v>4</v>
      </c>
      <c r="D460" s="31" t="s">
        <v>2056</v>
      </c>
      <c r="E460" s="32">
        <v>17912.680684922601</v>
      </c>
      <c r="F460" s="32">
        <v>1741</v>
      </c>
    </row>
    <row r="461" spans="1:6" x14ac:dyDescent="0.3">
      <c r="A461" s="31">
        <v>1000103629</v>
      </c>
      <c r="B461" s="31" t="s">
        <v>2397</v>
      </c>
      <c r="C461" s="31" t="s">
        <v>4</v>
      </c>
      <c r="D461" s="31" t="s">
        <v>2043</v>
      </c>
      <c r="E461" s="32">
        <v>17909.960999999999</v>
      </c>
      <c r="F461" s="32">
        <v>94</v>
      </c>
    </row>
    <row r="462" spans="1:6" x14ac:dyDescent="0.3">
      <c r="A462" s="31">
        <v>1000093861</v>
      </c>
      <c r="B462" s="31" t="s">
        <v>2398</v>
      </c>
      <c r="C462" s="31" t="s">
        <v>2027</v>
      </c>
      <c r="D462" s="31" t="s">
        <v>2399</v>
      </c>
      <c r="E462" s="32">
        <v>17862.723074433601</v>
      </c>
      <c r="F462" s="32">
        <v>22</v>
      </c>
    </row>
    <row r="463" spans="1:6" x14ac:dyDescent="0.3">
      <c r="A463" s="31">
        <v>2200003117</v>
      </c>
      <c r="B463" s="31" t="s">
        <v>203</v>
      </c>
      <c r="C463" s="31" t="s">
        <v>2037</v>
      </c>
      <c r="D463" s="31" t="s">
        <v>2038</v>
      </c>
      <c r="E463" s="32">
        <v>17845.52</v>
      </c>
      <c r="F463" s="32">
        <v>1</v>
      </c>
    </row>
    <row r="464" spans="1:6" x14ac:dyDescent="0.3">
      <c r="A464" s="31">
        <v>1000105957</v>
      </c>
      <c r="B464" s="31" t="s">
        <v>2400</v>
      </c>
      <c r="C464" s="31" t="s">
        <v>4</v>
      </c>
      <c r="D464" s="31" t="s">
        <v>2161</v>
      </c>
      <c r="E464" s="32">
        <v>17776.25</v>
      </c>
      <c r="F464" s="32">
        <v>3</v>
      </c>
    </row>
    <row r="465" spans="1:6" x14ac:dyDescent="0.3">
      <c r="A465" s="31">
        <v>2500008567</v>
      </c>
      <c r="B465" s="31" t="s">
        <v>2278</v>
      </c>
      <c r="C465" s="31" t="s">
        <v>1996</v>
      </c>
      <c r="D465" s="31" t="s">
        <v>2117</v>
      </c>
      <c r="E465" s="32">
        <v>17662.5</v>
      </c>
      <c r="F465" s="32">
        <v>2</v>
      </c>
    </row>
    <row r="466" spans="1:6" x14ac:dyDescent="0.3">
      <c r="A466" s="31">
        <v>1000098074</v>
      </c>
      <c r="B466" s="31" t="s">
        <v>2401</v>
      </c>
      <c r="C466" s="31" t="s">
        <v>4</v>
      </c>
      <c r="D466" s="31" t="s">
        <v>2090</v>
      </c>
      <c r="E466" s="32">
        <v>17563.706127946101</v>
      </c>
      <c r="F466" s="32">
        <v>19</v>
      </c>
    </row>
    <row r="467" spans="1:6" x14ac:dyDescent="0.3">
      <c r="A467" s="31">
        <v>1000109883</v>
      </c>
      <c r="B467" s="31" t="s">
        <v>2402</v>
      </c>
      <c r="C467" s="31" t="s">
        <v>2205</v>
      </c>
      <c r="D467" s="31" t="s">
        <v>2150</v>
      </c>
      <c r="E467" s="32">
        <v>17463.599999999999</v>
      </c>
      <c r="F467" s="32">
        <v>8</v>
      </c>
    </row>
    <row r="468" spans="1:6" x14ac:dyDescent="0.3">
      <c r="A468" s="31">
        <v>1000100313</v>
      </c>
      <c r="B468" s="31" t="s">
        <v>1698</v>
      </c>
      <c r="C468" s="31" t="s">
        <v>4</v>
      </c>
      <c r="D468" s="31" t="s">
        <v>2090</v>
      </c>
      <c r="E468" s="32">
        <v>17446.495208333301</v>
      </c>
      <c r="F468" s="32">
        <v>7</v>
      </c>
    </row>
    <row r="469" spans="1:6" x14ac:dyDescent="0.3">
      <c r="A469" s="31">
        <v>1000020806</v>
      </c>
      <c r="B469" s="31" t="s">
        <v>1010</v>
      </c>
      <c r="C469" s="31" t="s">
        <v>4</v>
      </c>
      <c r="D469" s="31" t="s">
        <v>2403</v>
      </c>
      <c r="E469" s="32">
        <v>17408.876949404701</v>
      </c>
      <c r="F469" s="32">
        <v>80</v>
      </c>
    </row>
    <row r="470" spans="1:6" x14ac:dyDescent="0.3">
      <c r="A470" s="31">
        <v>2500008563</v>
      </c>
      <c r="B470" s="31" t="s">
        <v>2278</v>
      </c>
      <c r="C470" s="31" t="s">
        <v>1996</v>
      </c>
      <c r="D470" s="31" t="s">
        <v>2117</v>
      </c>
      <c r="E470" s="32">
        <v>17372.045454545401</v>
      </c>
      <c r="F470" s="32">
        <v>6</v>
      </c>
    </row>
    <row r="471" spans="1:6" x14ac:dyDescent="0.3">
      <c r="A471" s="31">
        <v>2200012098</v>
      </c>
      <c r="B471" s="31" t="s">
        <v>2404</v>
      </c>
      <c r="C471" s="31" t="s">
        <v>2037</v>
      </c>
      <c r="D471" s="31" t="s">
        <v>2038</v>
      </c>
      <c r="E471" s="32">
        <v>17361.567999999999</v>
      </c>
      <c r="F471" s="32">
        <v>8</v>
      </c>
    </row>
    <row r="472" spans="1:6" x14ac:dyDescent="0.3">
      <c r="A472" s="31">
        <v>1000104062</v>
      </c>
      <c r="B472" s="31" t="s">
        <v>2405</v>
      </c>
      <c r="C472" s="31" t="s">
        <v>2257</v>
      </c>
      <c r="D472" s="31" t="s">
        <v>2234</v>
      </c>
      <c r="E472" s="32">
        <v>17343</v>
      </c>
      <c r="F472" s="32">
        <v>1</v>
      </c>
    </row>
    <row r="473" spans="1:6" x14ac:dyDescent="0.3">
      <c r="A473" s="31">
        <v>1000109841</v>
      </c>
      <c r="B473" s="31" t="s">
        <v>2406</v>
      </c>
      <c r="C473" s="31" t="s">
        <v>2027</v>
      </c>
      <c r="D473" s="31" t="s">
        <v>2035</v>
      </c>
      <c r="E473" s="32">
        <v>17337.599999999999</v>
      </c>
      <c r="F473" s="32">
        <v>8</v>
      </c>
    </row>
    <row r="474" spans="1:6" x14ac:dyDescent="0.3">
      <c r="A474" s="31">
        <v>1000096796</v>
      </c>
      <c r="B474" s="31" t="s">
        <v>1840</v>
      </c>
      <c r="C474" s="31" t="s">
        <v>4</v>
      </c>
      <c r="D474" s="31" t="s">
        <v>2090</v>
      </c>
      <c r="E474" s="32">
        <v>17308.509999999998</v>
      </c>
      <c r="F474" s="32">
        <v>8</v>
      </c>
    </row>
    <row r="475" spans="1:6" x14ac:dyDescent="0.3">
      <c r="A475" s="31">
        <v>2200011735</v>
      </c>
      <c r="B475" s="31" t="s">
        <v>2407</v>
      </c>
      <c r="C475" s="31" t="s">
        <v>2037</v>
      </c>
      <c r="D475" s="31" t="s">
        <v>2038</v>
      </c>
      <c r="E475" s="32">
        <v>17161.759999999998</v>
      </c>
      <c r="F475" s="32">
        <v>28</v>
      </c>
    </row>
    <row r="476" spans="1:6" x14ac:dyDescent="0.3">
      <c r="A476" s="31">
        <v>1000108789</v>
      </c>
      <c r="B476" s="31" t="s">
        <v>2408</v>
      </c>
      <c r="C476" s="31" t="s">
        <v>2109</v>
      </c>
      <c r="D476" s="31" t="s">
        <v>2409</v>
      </c>
      <c r="E476" s="32">
        <v>17129.05</v>
      </c>
      <c r="F476" s="32">
        <v>10</v>
      </c>
    </row>
    <row r="477" spans="1:6" x14ac:dyDescent="0.3">
      <c r="A477" s="31">
        <v>1000020525</v>
      </c>
      <c r="B477" s="31" t="s">
        <v>746</v>
      </c>
      <c r="C477" s="31" t="s">
        <v>4</v>
      </c>
      <c r="D477" s="31" t="s">
        <v>2218</v>
      </c>
      <c r="E477" s="32">
        <v>17125.125</v>
      </c>
      <c r="F477" s="32">
        <v>122</v>
      </c>
    </row>
    <row r="478" spans="1:6" x14ac:dyDescent="0.3">
      <c r="A478" s="31">
        <v>1000100728</v>
      </c>
      <c r="B478" s="31" t="s">
        <v>2410</v>
      </c>
      <c r="C478" s="31" t="s">
        <v>4</v>
      </c>
      <c r="D478" s="31" t="s">
        <v>2284</v>
      </c>
      <c r="E478" s="32">
        <v>16987.164807692301</v>
      </c>
      <c r="F478" s="32">
        <v>50</v>
      </c>
    </row>
    <row r="479" spans="1:6" x14ac:dyDescent="0.3">
      <c r="A479" s="31">
        <v>1000109972</v>
      </c>
      <c r="B479" s="31" t="s">
        <v>2411</v>
      </c>
      <c r="C479" s="31" t="s">
        <v>2257</v>
      </c>
      <c r="D479" s="31" t="s">
        <v>2110</v>
      </c>
      <c r="E479" s="32">
        <v>16950.150000000001</v>
      </c>
      <c r="F479" s="32">
        <v>1</v>
      </c>
    </row>
    <row r="480" spans="1:6" x14ac:dyDescent="0.3">
      <c r="A480" s="31">
        <v>1000020712</v>
      </c>
      <c r="B480" s="31" t="s">
        <v>921</v>
      </c>
      <c r="C480" s="31" t="s">
        <v>4</v>
      </c>
      <c r="D480" s="31" t="s">
        <v>2218</v>
      </c>
      <c r="E480" s="32">
        <v>16851.835324675299</v>
      </c>
      <c r="F480" s="32">
        <v>136</v>
      </c>
    </row>
    <row r="481" spans="1:6" x14ac:dyDescent="0.3">
      <c r="A481" s="31">
        <v>2100004896</v>
      </c>
      <c r="B481" s="31" t="s">
        <v>2412</v>
      </c>
      <c r="C481" s="31" t="s">
        <v>2074</v>
      </c>
      <c r="D481" s="31" t="s">
        <v>2075</v>
      </c>
      <c r="E481" s="32">
        <v>16841.25</v>
      </c>
      <c r="F481" s="32">
        <v>9</v>
      </c>
    </row>
    <row r="482" spans="1:6" x14ac:dyDescent="0.3">
      <c r="A482" s="31">
        <v>2700000008</v>
      </c>
      <c r="B482" s="31" t="s">
        <v>218</v>
      </c>
      <c r="C482" s="31" t="s">
        <v>2037</v>
      </c>
      <c r="D482" s="31" t="s">
        <v>2038</v>
      </c>
      <c r="E482" s="32">
        <v>16817.490857806199</v>
      </c>
      <c r="F482" s="32">
        <v>12</v>
      </c>
    </row>
    <row r="483" spans="1:6" x14ac:dyDescent="0.3">
      <c r="A483" s="31">
        <v>2200003152</v>
      </c>
      <c r="B483" s="31" t="s">
        <v>2413</v>
      </c>
      <c r="C483" s="31" t="s">
        <v>2414</v>
      </c>
      <c r="D483" s="31" t="s">
        <v>2038</v>
      </c>
      <c r="E483" s="32">
        <v>16786</v>
      </c>
      <c r="F483" s="32">
        <v>2</v>
      </c>
    </row>
    <row r="484" spans="1:6" x14ac:dyDescent="0.3">
      <c r="A484" s="31">
        <v>1000108392</v>
      </c>
      <c r="B484" s="31" t="s">
        <v>2415</v>
      </c>
      <c r="C484" s="31" t="s">
        <v>4</v>
      </c>
      <c r="D484" s="31" t="s">
        <v>2043</v>
      </c>
      <c r="E484" s="32">
        <v>16773.240000000002</v>
      </c>
      <c r="F484" s="32">
        <v>262</v>
      </c>
    </row>
    <row r="485" spans="1:6" x14ac:dyDescent="0.3">
      <c r="A485" s="31">
        <v>1000106261</v>
      </c>
      <c r="B485" s="31" t="s">
        <v>2416</v>
      </c>
      <c r="C485" s="31" t="s">
        <v>4</v>
      </c>
      <c r="D485" s="31" t="s">
        <v>2043</v>
      </c>
      <c r="E485" s="32">
        <v>16705</v>
      </c>
      <c r="F485" s="32">
        <v>257</v>
      </c>
    </row>
    <row r="486" spans="1:6" x14ac:dyDescent="0.3">
      <c r="A486" s="31">
        <v>1000015083</v>
      </c>
      <c r="B486" s="31" t="s">
        <v>2417</v>
      </c>
      <c r="C486" s="31" t="s">
        <v>4</v>
      </c>
      <c r="D486" s="31" t="s">
        <v>2043</v>
      </c>
      <c r="E486" s="32">
        <v>16640.718048579602</v>
      </c>
      <c r="F486" s="32">
        <v>1221</v>
      </c>
    </row>
    <row r="487" spans="1:6" x14ac:dyDescent="0.3">
      <c r="A487" s="31">
        <v>2100007191</v>
      </c>
      <c r="B487" s="31" t="s">
        <v>2418</v>
      </c>
      <c r="C487" s="31" t="s">
        <v>2037</v>
      </c>
      <c r="D487" s="31" t="s">
        <v>2031</v>
      </c>
      <c r="E487" s="32">
        <v>16564.416000000001</v>
      </c>
      <c r="F487" s="32">
        <v>3</v>
      </c>
    </row>
    <row r="488" spans="1:6" x14ac:dyDescent="0.3">
      <c r="A488" s="31">
        <v>1000110106</v>
      </c>
      <c r="B488" s="31" t="s">
        <v>2419</v>
      </c>
      <c r="C488" s="31" t="s">
        <v>2257</v>
      </c>
      <c r="D488" s="31" t="s">
        <v>2070</v>
      </c>
      <c r="E488" s="32">
        <v>16458</v>
      </c>
      <c r="F488" s="32">
        <v>2</v>
      </c>
    </row>
    <row r="489" spans="1:6" x14ac:dyDescent="0.3">
      <c r="A489" s="31">
        <v>1000110314</v>
      </c>
      <c r="B489" s="31" t="s">
        <v>2420</v>
      </c>
      <c r="C489" s="31" t="s">
        <v>2109</v>
      </c>
      <c r="D489" s="31" t="s">
        <v>2409</v>
      </c>
      <c r="E489" s="32">
        <v>16454</v>
      </c>
      <c r="F489" s="32">
        <v>4</v>
      </c>
    </row>
    <row r="490" spans="1:6" x14ac:dyDescent="0.3">
      <c r="A490" s="31">
        <v>1000100346</v>
      </c>
      <c r="B490" s="31" t="s">
        <v>2421</v>
      </c>
      <c r="C490" s="31" t="s">
        <v>4</v>
      </c>
      <c r="D490" s="31" t="s">
        <v>2090</v>
      </c>
      <c r="E490" s="32">
        <v>16352.489374999999</v>
      </c>
      <c r="F490" s="32">
        <v>25</v>
      </c>
    </row>
    <row r="491" spans="1:6" x14ac:dyDescent="0.3">
      <c r="A491" s="31">
        <v>1000102230</v>
      </c>
      <c r="B491" s="31" t="s">
        <v>1782</v>
      </c>
      <c r="C491" s="31" t="s">
        <v>4</v>
      </c>
      <c r="D491" s="31" t="s">
        <v>2090</v>
      </c>
      <c r="E491" s="32">
        <v>16298.7</v>
      </c>
      <c r="F491" s="32">
        <v>11</v>
      </c>
    </row>
    <row r="492" spans="1:6" x14ac:dyDescent="0.3">
      <c r="A492" s="31">
        <v>1000109017</v>
      </c>
      <c r="B492" s="31" t="s">
        <v>2422</v>
      </c>
      <c r="C492" s="31" t="s">
        <v>2109</v>
      </c>
      <c r="D492" s="31" t="s">
        <v>2035</v>
      </c>
      <c r="E492" s="32">
        <v>16258.725</v>
      </c>
      <c r="F492" s="32">
        <v>3</v>
      </c>
    </row>
    <row r="493" spans="1:6" x14ac:dyDescent="0.3">
      <c r="A493" s="31">
        <v>1000098648</v>
      </c>
      <c r="B493" s="31" t="s">
        <v>1625</v>
      </c>
      <c r="C493" s="31" t="s">
        <v>4</v>
      </c>
      <c r="D493" s="31" t="s">
        <v>2090</v>
      </c>
      <c r="E493" s="32">
        <v>16178.31</v>
      </c>
      <c r="F493" s="32">
        <v>167</v>
      </c>
    </row>
    <row r="494" spans="1:6" x14ac:dyDescent="0.3">
      <c r="A494" s="31">
        <v>1000015009</v>
      </c>
      <c r="B494" s="31" t="s">
        <v>35</v>
      </c>
      <c r="C494" s="31" t="s">
        <v>4</v>
      </c>
      <c r="D494" s="31" t="s">
        <v>2043</v>
      </c>
      <c r="E494" s="32">
        <v>16138.464285714201</v>
      </c>
      <c r="F494" s="32">
        <v>50</v>
      </c>
    </row>
    <row r="495" spans="1:6" x14ac:dyDescent="0.3">
      <c r="A495" s="31">
        <v>2200002825</v>
      </c>
      <c r="B495" s="31" t="s">
        <v>2423</v>
      </c>
      <c r="C495" s="31" t="s">
        <v>2037</v>
      </c>
      <c r="D495" s="31" t="s">
        <v>2038</v>
      </c>
      <c r="E495" s="32">
        <v>16132.12</v>
      </c>
      <c r="F495" s="32">
        <v>1</v>
      </c>
    </row>
    <row r="496" spans="1:6" x14ac:dyDescent="0.3">
      <c r="A496" s="31">
        <v>1000021051</v>
      </c>
      <c r="B496" s="31" t="s">
        <v>1218</v>
      </c>
      <c r="C496" s="31" t="s">
        <v>4</v>
      </c>
      <c r="D496" s="31" t="s">
        <v>2090</v>
      </c>
      <c r="E496" s="32">
        <v>16111.308571428501</v>
      </c>
      <c r="F496" s="32">
        <v>40</v>
      </c>
    </row>
    <row r="497" spans="1:6" x14ac:dyDescent="0.3">
      <c r="A497" s="31">
        <v>1000103603</v>
      </c>
      <c r="B497" s="31" t="s">
        <v>1868</v>
      </c>
      <c r="C497" s="31" t="s">
        <v>4</v>
      </c>
      <c r="D497" s="31" t="s">
        <v>2056</v>
      </c>
      <c r="E497" s="32">
        <v>16046.416130261199</v>
      </c>
      <c r="F497" s="32">
        <v>4725</v>
      </c>
    </row>
    <row r="498" spans="1:6" x14ac:dyDescent="0.3">
      <c r="A498" s="31">
        <v>2200011685</v>
      </c>
      <c r="B498" s="31" t="s">
        <v>2424</v>
      </c>
      <c r="C498" s="31" t="s">
        <v>2037</v>
      </c>
      <c r="D498" s="31" t="s">
        <v>2038</v>
      </c>
      <c r="E498" s="32">
        <v>16040.64</v>
      </c>
      <c r="F498" s="32">
        <v>1</v>
      </c>
    </row>
    <row r="499" spans="1:6" x14ac:dyDescent="0.3">
      <c r="A499" s="31">
        <v>2200012249</v>
      </c>
      <c r="B499" s="31" t="s">
        <v>2324</v>
      </c>
      <c r="C499" s="31" t="s">
        <v>2037</v>
      </c>
      <c r="D499" s="31" t="s">
        <v>2038</v>
      </c>
      <c r="E499" s="32">
        <v>16039.294</v>
      </c>
      <c r="F499" s="32">
        <v>3</v>
      </c>
    </row>
    <row r="500" spans="1:6" x14ac:dyDescent="0.3">
      <c r="A500" s="31">
        <v>1000020881</v>
      </c>
      <c r="B500" s="31" t="s">
        <v>1065</v>
      </c>
      <c r="C500" s="31" t="s">
        <v>4</v>
      </c>
      <c r="D500" s="31" t="s">
        <v>2090</v>
      </c>
      <c r="E500" s="32">
        <v>16037.4878571428</v>
      </c>
      <c r="F500" s="32">
        <v>12</v>
      </c>
    </row>
    <row r="501" spans="1:6" x14ac:dyDescent="0.3">
      <c r="A501" s="31">
        <v>2000020753</v>
      </c>
      <c r="B501" s="31" t="s">
        <v>2425</v>
      </c>
      <c r="C501" s="31" t="s">
        <v>2030</v>
      </c>
      <c r="D501" s="31" t="s">
        <v>2033</v>
      </c>
      <c r="E501" s="32">
        <v>15993.396000000001</v>
      </c>
      <c r="F501" s="32">
        <v>1</v>
      </c>
    </row>
    <row r="502" spans="1:6" x14ac:dyDescent="0.3">
      <c r="A502" s="31">
        <v>1000102216</v>
      </c>
      <c r="B502" s="31" t="s">
        <v>2426</v>
      </c>
      <c r="C502" s="31" t="s">
        <v>4</v>
      </c>
      <c r="D502" s="31" t="s">
        <v>2090</v>
      </c>
      <c r="E502" s="32">
        <v>15969.71</v>
      </c>
      <c r="F502" s="32">
        <v>21</v>
      </c>
    </row>
    <row r="503" spans="1:6" x14ac:dyDescent="0.3">
      <c r="A503" s="31">
        <v>1000015052</v>
      </c>
      <c r="B503" s="31" t="s">
        <v>52</v>
      </c>
      <c r="C503" s="31" t="s">
        <v>4</v>
      </c>
      <c r="D503" s="31" t="s">
        <v>2043</v>
      </c>
      <c r="E503" s="32">
        <v>15956.011842105199</v>
      </c>
      <c r="F503" s="32">
        <v>175</v>
      </c>
    </row>
    <row r="504" spans="1:6" x14ac:dyDescent="0.3">
      <c r="A504" s="31">
        <v>1000097052</v>
      </c>
      <c r="B504" s="31" t="s">
        <v>2427</v>
      </c>
      <c r="C504" s="31" t="s">
        <v>4</v>
      </c>
      <c r="D504" s="31" t="s">
        <v>2161</v>
      </c>
      <c r="E504" s="32">
        <v>15892.3944217466</v>
      </c>
      <c r="F504" s="32">
        <v>30</v>
      </c>
    </row>
    <row r="505" spans="1:6" x14ac:dyDescent="0.3">
      <c r="A505" s="31">
        <v>1000015034</v>
      </c>
      <c r="B505" s="31" t="s">
        <v>43</v>
      </c>
      <c r="C505" s="31" t="s">
        <v>4</v>
      </c>
      <c r="D505" s="31" t="s">
        <v>2043</v>
      </c>
      <c r="E505" s="32">
        <v>15880.0173395948</v>
      </c>
      <c r="F505" s="32">
        <v>34</v>
      </c>
    </row>
    <row r="506" spans="1:6" x14ac:dyDescent="0.3">
      <c r="A506" s="31">
        <v>1000020122</v>
      </c>
      <c r="B506" s="31" t="s">
        <v>377</v>
      </c>
      <c r="C506" s="31" t="s">
        <v>4</v>
      </c>
      <c r="D506" s="31" t="s">
        <v>2090</v>
      </c>
      <c r="E506" s="32">
        <v>15839.7426543209</v>
      </c>
      <c r="F506" s="32">
        <v>34</v>
      </c>
    </row>
    <row r="507" spans="1:6" x14ac:dyDescent="0.3">
      <c r="A507" s="31">
        <v>2500009020</v>
      </c>
      <c r="B507" s="31" t="s">
        <v>2428</v>
      </c>
      <c r="C507" s="31" t="s">
        <v>1996</v>
      </c>
      <c r="D507" s="31" t="s">
        <v>2025</v>
      </c>
      <c r="E507" s="32">
        <v>15806.25</v>
      </c>
      <c r="F507" s="32">
        <v>1</v>
      </c>
    </row>
    <row r="508" spans="1:6" x14ac:dyDescent="0.3">
      <c r="A508" s="31">
        <v>2500006130</v>
      </c>
      <c r="B508" s="31" t="s">
        <v>2429</v>
      </c>
      <c r="C508" s="31" t="s">
        <v>1996</v>
      </c>
      <c r="D508" s="31" t="s">
        <v>2025</v>
      </c>
      <c r="E508" s="32">
        <v>15795</v>
      </c>
      <c r="F508" s="32">
        <v>12</v>
      </c>
    </row>
    <row r="509" spans="1:6" x14ac:dyDescent="0.3">
      <c r="A509" s="31">
        <v>2200002927</v>
      </c>
      <c r="B509" s="31" t="s">
        <v>191</v>
      </c>
      <c r="C509" s="31" t="s">
        <v>2037</v>
      </c>
      <c r="D509" s="31" t="s">
        <v>2038</v>
      </c>
      <c r="E509" s="32">
        <v>15767.02</v>
      </c>
      <c r="F509" s="32">
        <v>1</v>
      </c>
    </row>
    <row r="510" spans="1:6" x14ac:dyDescent="0.3">
      <c r="A510" s="31">
        <v>2200002963</v>
      </c>
      <c r="B510" s="31" t="s">
        <v>2430</v>
      </c>
      <c r="C510" s="31" t="s">
        <v>2037</v>
      </c>
      <c r="D510" s="31" t="s">
        <v>2038</v>
      </c>
      <c r="E510" s="32">
        <v>15767.02</v>
      </c>
      <c r="F510" s="32">
        <v>1</v>
      </c>
    </row>
    <row r="511" spans="1:6" x14ac:dyDescent="0.3">
      <c r="A511" s="31">
        <v>2700000039</v>
      </c>
      <c r="B511" s="31" t="s">
        <v>234</v>
      </c>
      <c r="C511" s="31" t="s">
        <v>2037</v>
      </c>
      <c r="D511" s="31" t="s">
        <v>2038</v>
      </c>
      <c r="E511" s="32">
        <v>15659.3498360823</v>
      </c>
      <c r="F511" s="32">
        <v>8</v>
      </c>
    </row>
    <row r="512" spans="1:6" x14ac:dyDescent="0.3">
      <c r="A512" s="31">
        <v>1000020828</v>
      </c>
      <c r="B512" s="31" t="s">
        <v>1025</v>
      </c>
      <c r="C512" s="31" t="s">
        <v>4</v>
      </c>
      <c r="D512" s="31" t="s">
        <v>2090</v>
      </c>
      <c r="E512" s="32">
        <v>15631.3193877551</v>
      </c>
      <c r="F512" s="32">
        <v>12</v>
      </c>
    </row>
    <row r="513" spans="1:6" x14ac:dyDescent="0.3">
      <c r="A513" s="31">
        <v>1000097213</v>
      </c>
      <c r="B513" s="31" t="s">
        <v>2431</v>
      </c>
      <c r="C513" s="31" t="s">
        <v>4</v>
      </c>
      <c r="D513" s="31" t="s">
        <v>2043</v>
      </c>
      <c r="E513" s="32">
        <v>15611.920045361599</v>
      </c>
      <c r="F513" s="32">
        <v>233</v>
      </c>
    </row>
    <row r="514" spans="1:6" x14ac:dyDescent="0.3">
      <c r="A514" s="31">
        <v>1000102160</v>
      </c>
      <c r="B514" s="31" t="s">
        <v>2432</v>
      </c>
      <c r="C514" s="31" t="s">
        <v>4</v>
      </c>
      <c r="D514" s="31" t="s">
        <v>2043</v>
      </c>
      <c r="E514" s="32">
        <v>15603.1</v>
      </c>
      <c r="F514" s="32">
        <v>463</v>
      </c>
    </row>
    <row r="515" spans="1:6" x14ac:dyDescent="0.3">
      <c r="A515" s="31">
        <v>1000017140</v>
      </c>
      <c r="B515" s="31" t="s">
        <v>1846</v>
      </c>
      <c r="C515" s="31" t="s">
        <v>4</v>
      </c>
      <c r="D515" s="31" t="s">
        <v>2056</v>
      </c>
      <c r="E515" s="32">
        <v>15578.877460744699</v>
      </c>
      <c r="F515" s="32">
        <v>20487</v>
      </c>
    </row>
    <row r="516" spans="1:6" x14ac:dyDescent="0.3">
      <c r="A516" s="31">
        <v>2500009226</v>
      </c>
      <c r="B516" s="31" t="s">
        <v>2433</v>
      </c>
      <c r="C516" s="31" t="s">
        <v>1996</v>
      </c>
      <c r="D516" s="31" t="s">
        <v>2434</v>
      </c>
      <c r="E516" s="32">
        <v>15571.66</v>
      </c>
      <c r="F516" s="32">
        <v>1</v>
      </c>
    </row>
    <row r="517" spans="1:6" x14ac:dyDescent="0.3">
      <c r="A517" s="31">
        <v>1000100352</v>
      </c>
      <c r="B517" s="31" t="s">
        <v>2435</v>
      </c>
      <c r="C517" s="31" t="s">
        <v>4</v>
      </c>
      <c r="D517" s="31" t="s">
        <v>2090</v>
      </c>
      <c r="E517" s="32">
        <v>15498.351428571401</v>
      </c>
      <c r="F517" s="32">
        <v>14</v>
      </c>
    </row>
    <row r="518" spans="1:6" x14ac:dyDescent="0.3">
      <c r="A518" s="31">
        <v>2700000044</v>
      </c>
      <c r="B518" s="31" t="s">
        <v>2436</v>
      </c>
      <c r="C518" s="31" t="s">
        <v>2037</v>
      </c>
      <c r="D518" s="31" t="s">
        <v>2038</v>
      </c>
      <c r="E518" s="32">
        <v>15497.769</v>
      </c>
      <c r="F518" s="32">
        <v>3</v>
      </c>
    </row>
    <row r="519" spans="1:6" x14ac:dyDescent="0.3">
      <c r="A519" s="31">
        <v>1000105775</v>
      </c>
      <c r="B519" s="31" t="s">
        <v>2437</v>
      </c>
      <c r="C519" s="31" t="s">
        <v>2109</v>
      </c>
      <c r="D519" s="31" t="s">
        <v>2035</v>
      </c>
      <c r="E519" s="32">
        <v>15409.24</v>
      </c>
      <c r="F519" s="32">
        <v>3</v>
      </c>
    </row>
    <row r="520" spans="1:6" x14ac:dyDescent="0.3">
      <c r="A520" s="31">
        <v>2700000158</v>
      </c>
      <c r="B520" s="31" t="s">
        <v>270</v>
      </c>
      <c r="C520" s="31" t="s">
        <v>2037</v>
      </c>
      <c r="D520" s="31" t="s">
        <v>2038</v>
      </c>
      <c r="E520" s="32">
        <v>15383.366666666599</v>
      </c>
      <c r="F520" s="32">
        <v>4</v>
      </c>
    </row>
    <row r="521" spans="1:6" x14ac:dyDescent="0.3">
      <c r="A521" s="31">
        <v>2500005718</v>
      </c>
      <c r="B521" s="31" t="s">
        <v>2438</v>
      </c>
      <c r="C521" s="31" t="s">
        <v>1996</v>
      </c>
      <c r="D521" s="31" t="s">
        <v>2025</v>
      </c>
      <c r="E521" s="32">
        <v>15323.3877777777</v>
      </c>
      <c r="F521" s="32">
        <v>13</v>
      </c>
    </row>
    <row r="522" spans="1:6" x14ac:dyDescent="0.3">
      <c r="A522" s="31">
        <v>2700000007</v>
      </c>
      <c r="B522" s="31" t="s">
        <v>217</v>
      </c>
      <c r="C522" s="31" t="s">
        <v>2037</v>
      </c>
      <c r="D522" s="31" t="s">
        <v>2038</v>
      </c>
      <c r="E522" s="32">
        <v>15298.048328007601</v>
      </c>
      <c r="F522" s="32">
        <v>8</v>
      </c>
    </row>
    <row r="523" spans="1:6" x14ac:dyDescent="0.3">
      <c r="A523" s="31">
        <v>1000098742</v>
      </c>
      <c r="B523" s="31" t="s">
        <v>1682</v>
      </c>
      <c r="C523" s="31" t="s">
        <v>4</v>
      </c>
      <c r="D523" s="31" t="s">
        <v>2090</v>
      </c>
      <c r="E523" s="32">
        <v>15297.53</v>
      </c>
      <c r="F523" s="32">
        <v>3</v>
      </c>
    </row>
    <row r="524" spans="1:6" x14ac:dyDescent="0.3">
      <c r="A524" s="31">
        <v>2500005728</v>
      </c>
      <c r="B524" s="31" t="s">
        <v>2439</v>
      </c>
      <c r="C524" s="31" t="s">
        <v>1996</v>
      </c>
      <c r="D524" s="31" t="s">
        <v>2440</v>
      </c>
      <c r="E524" s="32">
        <v>15273.0096345205</v>
      </c>
      <c r="F524" s="32">
        <v>249</v>
      </c>
    </row>
    <row r="525" spans="1:6" x14ac:dyDescent="0.3">
      <c r="A525" s="31">
        <v>1000108838</v>
      </c>
      <c r="B525" s="31" t="s">
        <v>2441</v>
      </c>
      <c r="C525" s="31" t="s">
        <v>2257</v>
      </c>
      <c r="D525" s="31" t="s">
        <v>2234</v>
      </c>
      <c r="E525" s="32">
        <v>15250</v>
      </c>
      <c r="F525" s="32">
        <v>1</v>
      </c>
    </row>
    <row r="526" spans="1:6" x14ac:dyDescent="0.3">
      <c r="A526" s="31">
        <v>1000111036</v>
      </c>
      <c r="B526" s="31" t="s">
        <v>2442</v>
      </c>
      <c r="C526" s="31" t="s">
        <v>2027</v>
      </c>
      <c r="D526" s="31" t="s">
        <v>2035</v>
      </c>
      <c r="E526" s="32">
        <v>15242.4</v>
      </c>
      <c r="F526" s="32">
        <v>8</v>
      </c>
    </row>
    <row r="527" spans="1:6" x14ac:dyDescent="0.3">
      <c r="A527" s="31">
        <v>1000095837</v>
      </c>
      <c r="B527" s="31" t="s">
        <v>2443</v>
      </c>
      <c r="C527" s="31" t="s">
        <v>4</v>
      </c>
      <c r="D527" s="31" t="s">
        <v>2056</v>
      </c>
      <c r="E527" s="32">
        <v>15240.0140085601</v>
      </c>
      <c r="F527" s="32">
        <v>484</v>
      </c>
    </row>
    <row r="528" spans="1:6" x14ac:dyDescent="0.3">
      <c r="A528" s="31">
        <v>1000010148</v>
      </c>
      <c r="B528" s="31" t="s">
        <v>2444</v>
      </c>
      <c r="C528" s="31" t="s">
        <v>4</v>
      </c>
      <c r="D528" s="31" t="s">
        <v>2230</v>
      </c>
      <c r="E528" s="32">
        <v>15233.0181236559</v>
      </c>
      <c r="F528" s="32">
        <v>8</v>
      </c>
    </row>
    <row r="529" spans="1:6" x14ac:dyDescent="0.3">
      <c r="A529" s="31">
        <v>2200011771</v>
      </c>
      <c r="B529" s="31" t="s">
        <v>2445</v>
      </c>
      <c r="C529" s="31" t="s">
        <v>2037</v>
      </c>
      <c r="D529" s="31" t="s">
        <v>2038</v>
      </c>
      <c r="E529" s="32">
        <v>15205.96</v>
      </c>
      <c r="F529" s="32">
        <v>1</v>
      </c>
    </row>
    <row r="530" spans="1:6" x14ac:dyDescent="0.3">
      <c r="A530" s="31">
        <v>2100006473</v>
      </c>
      <c r="B530" s="31" t="s">
        <v>143</v>
      </c>
      <c r="C530" s="31" t="s">
        <v>2037</v>
      </c>
      <c r="D530" s="31" t="s">
        <v>2031</v>
      </c>
      <c r="E530" s="32">
        <v>15185.22</v>
      </c>
      <c r="F530" s="32">
        <v>9</v>
      </c>
    </row>
    <row r="531" spans="1:6" x14ac:dyDescent="0.3">
      <c r="A531" s="31">
        <v>1000102396</v>
      </c>
      <c r="B531" s="31" t="s">
        <v>92</v>
      </c>
      <c r="C531" s="31" t="s">
        <v>4</v>
      </c>
      <c r="D531" s="31" t="s">
        <v>2043</v>
      </c>
      <c r="E531" s="32">
        <v>15168.5</v>
      </c>
      <c r="F531" s="32">
        <v>500</v>
      </c>
    </row>
    <row r="532" spans="1:6" x14ac:dyDescent="0.3">
      <c r="A532" s="31">
        <v>1000021223</v>
      </c>
      <c r="B532" s="31" t="s">
        <v>1369</v>
      </c>
      <c r="C532" s="31" t="s">
        <v>4</v>
      </c>
      <c r="D532" s="31" t="s">
        <v>2090</v>
      </c>
      <c r="E532" s="32">
        <v>15163.4534707125</v>
      </c>
      <c r="F532" s="32">
        <v>66</v>
      </c>
    </row>
    <row r="533" spans="1:6" x14ac:dyDescent="0.3">
      <c r="A533" s="31">
        <v>2500008450</v>
      </c>
      <c r="B533" s="31" t="s">
        <v>1936</v>
      </c>
      <c r="C533" s="31" t="s">
        <v>1996</v>
      </c>
      <c r="D533" s="31" t="s">
        <v>2025</v>
      </c>
      <c r="E533" s="32">
        <v>15146.322653482801</v>
      </c>
      <c r="F533" s="32">
        <v>18</v>
      </c>
    </row>
    <row r="534" spans="1:6" x14ac:dyDescent="0.3">
      <c r="A534" s="31">
        <v>1000092931</v>
      </c>
      <c r="B534" s="31" t="s">
        <v>2446</v>
      </c>
      <c r="C534" s="31" t="s">
        <v>2109</v>
      </c>
      <c r="D534" s="31" t="s">
        <v>2070</v>
      </c>
      <c r="E534" s="32">
        <v>15096</v>
      </c>
      <c r="F534" s="32">
        <v>4</v>
      </c>
    </row>
    <row r="535" spans="1:6" x14ac:dyDescent="0.3">
      <c r="A535" s="31">
        <v>1000106150</v>
      </c>
      <c r="B535" s="31" t="s">
        <v>2447</v>
      </c>
      <c r="C535" s="31" t="s">
        <v>4</v>
      </c>
      <c r="D535" s="31" t="s">
        <v>2090</v>
      </c>
      <c r="E535" s="32">
        <v>15064.31</v>
      </c>
      <c r="F535" s="32">
        <v>5</v>
      </c>
    </row>
    <row r="536" spans="1:6" x14ac:dyDescent="0.3">
      <c r="A536" s="31">
        <v>1000102784</v>
      </c>
      <c r="B536" s="31" t="s">
        <v>2448</v>
      </c>
      <c r="C536" s="31" t="s">
        <v>4</v>
      </c>
      <c r="D536" s="31" t="s">
        <v>2161</v>
      </c>
      <c r="E536" s="32">
        <v>15021.09</v>
      </c>
      <c r="F536" s="32">
        <v>5</v>
      </c>
    </row>
    <row r="537" spans="1:6" x14ac:dyDescent="0.3">
      <c r="A537" s="31">
        <v>1000015082</v>
      </c>
      <c r="B537" s="31" t="s">
        <v>2449</v>
      </c>
      <c r="C537" s="31" t="s">
        <v>4</v>
      </c>
      <c r="D537" s="31" t="s">
        <v>2043</v>
      </c>
      <c r="E537" s="32">
        <v>14999.014384493301</v>
      </c>
      <c r="F537" s="32">
        <v>2201</v>
      </c>
    </row>
    <row r="538" spans="1:6" x14ac:dyDescent="0.3">
      <c r="A538" s="31">
        <v>2000012969</v>
      </c>
      <c r="B538" s="31" t="s">
        <v>2071</v>
      </c>
      <c r="C538" s="31" t="s">
        <v>2017</v>
      </c>
      <c r="D538" s="31" t="s">
        <v>2072</v>
      </c>
      <c r="E538" s="32">
        <v>14943.7415384615</v>
      </c>
      <c r="F538" s="32">
        <v>16</v>
      </c>
    </row>
    <row r="539" spans="1:6" x14ac:dyDescent="0.3">
      <c r="A539" s="31">
        <v>1000104587</v>
      </c>
      <c r="B539" s="31" t="s">
        <v>2450</v>
      </c>
      <c r="C539" s="31" t="s">
        <v>4</v>
      </c>
      <c r="D539" s="31" t="s">
        <v>2043</v>
      </c>
      <c r="E539" s="32">
        <v>14872</v>
      </c>
      <c r="F539" s="32">
        <v>104</v>
      </c>
    </row>
    <row r="540" spans="1:6" x14ac:dyDescent="0.3">
      <c r="A540" s="31">
        <v>2100004795</v>
      </c>
      <c r="B540" s="31" t="s">
        <v>2451</v>
      </c>
      <c r="C540" s="31" t="s">
        <v>2030</v>
      </c>
      <c r="D540" s="31" t="s">
        <v>2031</v>
      </c>
      <c r="E540" s="32">
        <v>14841.85</v>
      </c>
      <c r="F540" s="32">
        <v>193</v>
      </c>
    </row>
    <row r="541" spans="1:6" x14ac:dyDescent="0.3">
      <c r="A541" s="31">
        <v>1000021286</v>
      </c>
      <c r="B541" s="31" t="s">
        <v>1422</v>
      </c>
      <c r="C541" s="31" t="s">
        <v>4</v>
      </c>
      <c r="D541" s="31" t="s">
        <v>2090</v>
      </c>
      <c r="E541" s="32">
        <v>14828.827499999999</v>
      </c>
      <c r="F541" s="32">
        <v>33</v>
      </c>
    </row>
    <row r="542" spans="1:6" x14ac:dyDescent="0.3">
      <c r="A542" s="31">
        <v>1000105659</v>
      </c>
      <c r="B542" s="31" t="s">
        <v>2452</v>
      </c>
      <c r="C542" s="31" t="s">
        <v>2027</v>
      </c>
      <c r="D542" s="31" t="s">
        <v>2035</v>
      </c>
      <c r="E542" s="32">
        <v>14820.75</v>
      </c>
      <c r="F542" s="32">
        <v>6</v>
      </c>
    </row>
    <row r="543" spans="1:6" x14ac:dyDescent="0.3">
      <c r="A543" s="31">
        <v>1000103742</v>
      </c>
      <c r="B543" s="31" t="s">
        <v>1881</v>
      </c>
      <c r="C543" s="31" t="s">
        <v>4</v>
      </c>
      <c r="D543" s="31" t="s">
        <v>2056</v>
      </c>
      <c r="E543" s="32">
        <v>14763.006719999999</v>
      </c>
      <c r="F543" s="32">
        <v>2848</v>
      </c>
    </row>
    <row r="544" spans="1:6" x14ac:dyDescent="0.3">
      <c r="A544" s="31">
        <v>2000020759</v>
      </c>
      <c r="B544" s="31" t="s">
        <v>2453</v>
      </c>
      <c r="C544" s="31" t="s">
        <v>2017</v>
      </c>
      <c r="D544" s="31" t="s">
        <v>2072</v>
      </c>
      <c r="E544" s="32">
        <v>14745</v>
      </c>
      <c r="F544" s="32">
        <v>2</v>
      </c>
    </row>
    <row r="545" spans="1:6" x14ac:dyDescent="0.3">
      <c r="A545" s="31">
        <v>1000100375</v>
      </c>
      <c r="B545" s="31" t="s">
        <v>2454</v>
      </c>
      <c r="C545" s="31" t="s">
        <v>4</v>
      </c>
      <c r="D545" s="31" t="s">
        <v>2090</v>
      </c>
      <c r="E545" s="32">
        <v>14672.7225</v>
      </c>
      <c r="F545" s="32">
        <v>10</v>
      </c>
    </row>
    <row r="546" spans="1:6" x14ac:dyDescent="0.3">
      <c r="A546" s="31">
        <v>1000099238</v>
      </c>
      <c r="B546" s="31" t="s">
        <v>2455</v>
      </c>
      <c r="C546" s="31" t="s">
        <v>4</v>
      </c>
      <c r="D546" s="31" t="s">
        <v>2043</v>
      </c>
      <c r="E546" s="32">
        <v>14636.16</v>
      </c>
      <c r="F546" s="32">
        <v>352</v>
      </c>
    </row>
    <row r="547" spans="1:6" x14ac:dyDescent="0.3">
      <c r="A547" s="31">
        <v>2500008564</v>
      </c>
      <c r="B547" s="31" t="s">
        <v>2278</v>
      </c>
      <c r="C547" s="31" t="s">
        <v>1996</v>
      </c>
      <c r="D547" s="31" t="s">
        <v>2117</v>
      </c>
      <c r="E547" s="32">
        <v>14625</v>
      </c>
      <c r="F547" s="32">
        <v>3</v>
      </c>
    </row>
    <row r="548" spans="1:6" x14ac:dyDescent="0.3">
      <c r="A548" s="31">
        <v>1000103752</v>
      </c>
      <c r="B548" s="31" t="s">
        <v>2456</v>
      </c>
      <c r="C548" s="31" t="s">
        <v>4</v>
      </c>
      <c r="D548" s="31" t="s">
        <v>2056</v>
      </c>
      <c r="E548" s="32">
        <v>14602.3525839416</v>
      </c>
      <c r="F548" s="32">
        <v>528</v>
      </c>
    </row>
    <row r="549" spans="1:6" x14ac:dyDescent="0.3">
      <c r="A549" s="31">
        <v>2500005916</v>
      </c>
      <c r="B549" s="31" t="s">
        <v>2457</v>
      </c>
      <c r="C549" s="31" t="s">
        <v>1996</v>
      </c>
      <c r="D549" s="31" t="s">
        <v>2025</v>
      </c>
      <c r="E549" s="32">
        <v>14541.4769090343</v>
      </c>
      <c r="F549" s="32">
        <v>10</v>
      </c>
    </row>
    <row r="550" spans="1:6" x14ac:dyDescent="0.3">
      <c r="A550" s="31">
        <v>1000110869</v>
      </c>
      <c r="B550" s="31" t="s">
        <v>2458</v>
      </c>
      <c r="C550" s="31" t="s">
        <v>4</v>
      </c>
      <c r="D550" s="31" t="s">
        <v>2043</v>
      </c>
      <c r="E550" s="32">
        <v>14495.52</v>
      </c>
      <c r="F550" s="32">
        <v>404</v>
      </c>
    </row>
    <row r="551" spans="1:6" x14ac:dyDescent="0.3">
      <c r="A551" s="31">
        <v>1000098741</v>
      </c>
      <c r="B551" s="31" t="s">
        <v>1681</v>
      </c>
      <c r="C551" s="31" t="s">
        <v>4</v>
      </c>
      <c r="D551" s="31" t="s">
        <v>2090</v>
      </c>
      <c r="E551" s="32">
        <v>14486.69</v>
      </c>
      <c r="F551" s="32">
        <v>5</v>
      </c>
    </row>
    <row r="552" spans="1:6" x14ac:dyDescent="0.3">
      <c r="A552" s="31">
        <v>2200002601</v>
      </c>
      <c r="B552" s="31" t="s">
        <v>2459</v>
      </c>
      <c r="C552" s="31" t="s">
        <v>2088</v>
      </c>
      <c r="D552" s="31" t="s">
        <v>2038</v>
      </c>
      <c r="E552" s="32">
        <v>14450.965333333301</v>
      </c>
      <c r="F552" s="32">
        <v>1</v>
      </c>
    </row>
    <row r="553" spans="1:6" x14ac:dyDescent="0.3">
      <c r="A553" s="31">
        <v>2100007200</v>
      </c>
      <c r="B553" s="31" t="s">
        <v>2460</v>
      </c>
      <c r="C553" s="31" t="s">
        <v>2037</v>
      </c>
      <c r="D553" s="31" t="s">
        <v>2031</v>
      </c>
      <c r="E553" s="32">
        <v>14414.4</v>
      </c>
      <c r="F553" s="32">
        <v>2</v>
      </c>
    </row>
    <row r="554" spans="1:6" x14ac:dyDescent="0.3">
      <c r="A554" s="31">
        <v>1000020772</v>
      </c>
      <c r="B554" s="31" t="s">
        <v>976</v>
      </c>
      <c r="C554" s="31" t="s">
        <v>4</v>
      </c>
      <c r="D554" s="31" t="s">
        <v>2090</v>
      </c>
      <c r="E554" s="32">
        <v>14405.9294117647</v>
      </c>
      <c r="F554" s="32">
        <v>16</v>
      </c>
    </row>
    <row r="555" spans="1:6" x14ac:dyDescent="0.3">
      <c r="A555" s="31">
        <v>1000110508</v>
      </c>
      <c r="B555" s="31" t="s">
        <v>2461</v>
      </c>
      <c r="C555" s="31" t="s">
        <v>2257</v>
      </c>
      <c r="D555" s="31" t="s">
        <v>2173</v>
      </c>
      <c r="E555" s="32">
        <v>14394.38</v>
      </c>
      <c r="F555" s="32">
        <v>1</v>
      </c>
    </row>
    <row r="556" spans="1:6" x14ac:dyDescent="0.3">
      <c r="A556" s="31">
        <v>1000110105</v>
      </c>
      <c r="B556" s="31" t="s">
        <v>2462</v>
      </c>
      <c r="C556" s="31" t="s">
        <v>2257</v>
      </c>
      <c r="D556" s="31" t="s">
        <v>2070</v>
      </c>
      <c r="E556" s="32">
        <v>14358</v>
      </c>
      <c r="F556" s="32">
        <v>2</v>
      </c>
    </row>
    <row r="557" spans="1:6" x14ac:dyDescent="0.3">
      <c r="A557" s="31">
        <v>1000110103</v>
      </c>
      <c r="B557" s="31" t="s">
        <v>2463</v>
      </c>
      <c r="C557" s="31" t="s">
        <v>2257</v>
      </c>
      <c r="D557" s="31" t="s">
        <v>2070</v>
      </c>
      <c r="E557" s="32">
        <v>14358</v>
      </c>
      <c r="F557" s="32">
        <v>2</v>
      </c>
    </row>
    <row r="558" spans="1:6" x14ac:dyDescent="0.3">
      <c r="A558" s="31">
        <v>1000107950</v>
      </c>
      <c r="B558" s="31" t="s">
        <v>2464</v>
      </c>
      <c r="C558" s="31" t="s">
        <v>4</v>
      </c>
      <c r="D558" s="31" t="s">
        <v>2043</v>
      </c>
      <c r="E558" s="32">
        <v>14318.48</v>
      </c>
      <c r="F558" s="32">
        <v>212</v>
      </c>
    </row>
    <row r="559" spans="1:6" x14ac:dyDescent="0.3">
      <c r="A559" s="31">
        <v>1000093071</v>
      </c>
      <c r="B559" s="31" t="s">
        <v>2431</v>
      </c>
      <c r="C559" s="31" t="s">
        <v>4</v>
      </c>
      <c r="D559" s="31" t="s">
        <v>2043</v>
      </c>
      <c r="E559" s="32">
        <v>14290.3222114575</v>
      </c>
      <c r="F559" s="32">
        <v>47</v>
      </c>
    </row>
    <row r="560" spans="1:6" x14ac:dyDescent="0.3">
      <c r="A560" s="31">
        <v>1000110947</v>
      </c>
      <c r="B560" s="31" t="s">
        <v>2465</v>
      </c>
      <c r="C560" s="31" t="s">
        <v>2027</v>
      </c>
      <c r="D560" s="31" t="s">
        <v>2035</v>
      </c>
      <c r="E560" s="32">
        <v>14286</v>
      </c>
      <c r="F560" s="32">
        <v>4</v>
      </c>
    </row>
    <row r="561" spans="1:6" x14ac:dyDescent="0.3">
      <c r="A561" s="31">
        <v>1000104588</v>
      </c>
      <c r="B561" s="31" t="s">
        <v>2466</v>
      </c>
      <c r="C561" s="31" t="s">
        <v>4</v>
      </c>
      <c r="D561" s="31" t="s">
        <v>2043</v>
      </c>
      <c r="E561" s="32">
        <v>14280.34</v>
      </c>
      <c r="F561" s="32">
        <v>51</v>
      </c>
    </row>
    <row r="562" spans="1:6" x14ac:dyDescent="0.3">
      <c r="A562" s="31">
        <v>2500008361</v>
      </c>
      <c r="B562" s="31" t="s">
        <v>1934</v>
      </c>
      <c r="C562" s="31" t="s">
        <v>1996</v>
      </c>
      <c r="D562" s="31" t="s">
        <v>2025</v>
      </c>
      <c r="E562" s="32">
        <v>14250</v>
      </c>
      <c r="F562" s="32">
        <v>1</v>
      </c>
    </row>
    <row r="563" spans="1:6" x14ac:dyDescent="0.3">
      <c r="A563" s="31">
        <v>1000102397</v>
      </c>
      <c r="B563" s="31" t="s">
        <v>93</v>
      </c>
      <c r="C563" s="31" t="s">
        <v>4</v>
      </c>
      <c r="D563" s="31" t="s">
        <v>2043</v>
      </c>
      <c r="E563" s="32">
        <v>14174.640620124401</v>
      </c>
      <c r="F563" s="32">
        <v>187</v>
      </c>
    </row>
    <row r="564" spans="1:6" x14ac:dyDescent="0.3">
      <c r="A564" s="31">
        <v>1000110880</v>
      </c>
      <c r="B564" s="31" t="s">
        <v>2467</v>
      </c>
      <c r="C564" s="31" t="s">
        <v>2109</v>
      </c>
      <c r="D564" s="31" t="s">
        <v>2110</v>
      </c>
      <c r="E564" s="32">
        <v>14166.9</v>
      </c>
      <c r="F564" s="32">
        <v>2</v>
      </c>
    </row>
    <row r="565" spans="1:6" x14ac:dyDescent="0.3">
      <c r="A565" s="31">
        <v>1000093667</v>
      </c>
      <c r="B565" s="31" t="s">
        <v>2181</v>
      </c>
      <c r="C565" s="31" t="s">
        <v>4</v>
      </c>
      <c r="D565" s="31" t="s">
        <v>2056</v>
      </c>
      <c r="E565" s="32">
        <v>14133.6241279724</v>
      </c>
      <c r="F565" s="32">
        <v>12204</v>
      </c>
    </row>
    <row r="566" spans="1:6" x14ac:dyDescent="0.3">
      <c r="A566" s="31">
        <v>1000110881</v>
      </c>
      <c r="B566" s="31" t="s">
        <v>2467</v>
      </c>
      <c r="C566" s="31" t="s">
        <v>2109</v>
      </c>
      <c r="D566" s="31" t="s">
        <v>2110</v>
      </c>
      <c r="E566" s="32">
        <v>14100.674999999999</v>
      </c>
      <c r="F566" s="32">
        <v>2</v>
      </c>
    </row>
    <row r="567" spans="1:6" x14ac:dyDescent="0.3">
      <c r="A567" s="31">
        <v>2700000092</v>
      </c>
      <c r="B567" s="31" t="s">
        <v>251</v>
      </c>
      <c r="C567" s="31" t="s">
        <v>2037</v>
      </c>
      <c r="D567" s="31" t="s">
        <v>2038</v>
      </c>
      <c r="E567" s="32">
        <v>14087.451538461501</v>
      </c>
      <c r="F567" s="32">
        <v>10</v>
      </c>
    </row>
    <row r="568" spans="1:6" x14ac:dyDescent="0.3">
      <c r="A568" s="31">
        <v>2200000559</v>
      </c>
      <c r="B568" s="31" t="s">
        <v>167</v>
      </c>
      <c r="C568" s="31" t="s">
        <v>2037</v>
      </c>
      <c r="D568" s="31" t="s">
        <v>2038</v>
      </c>
      <c r="E568" s="32">
        <v>14012.73</v>
      </c>
      <c r="F568" s="32">
        <v>1</v>
      </c>
    </row>
    <row r="569" spans="1:6" x14ac:dyDescent="0.3">
      <c r="A569" s="31">
        <v>1000105612</v>
      </c>
      <c r="B569" s="31" t="s">
        <v>2468</v>
      </c>
      <c r="C569" s="31" t="s">
        <v>4</v>
      </c>
      <c r="D569" s="31" t="s">
        <v>2043</v>
      </c>
      <c r="E569" s="32">
        <v>13985.833007924201</v>
      </c>
      <c r="F569" s="32">
        <v>315</v>
      </c>
    </row>
    <row r="570" spans="1:6" x14ac:dyDescent="0.3">
      <c r="A570" s="31">
        <v>1000092876</v>
      </c>
      <c r="B570" s="31" t="s">
        <v>2469</v>
      </c>
      <c r="C570" s="31" t="s">
        <v>4</v>
      </c>
      <c r="D570" s="31" t="s">
        <v>2161</v>
      </c>
      <c r="E570" s="32">
        <v>13841.975</v>
      </c>
      <c r="F570" s="32">
        <v>19</v>
      </c>
    </row>
    <row r="571" spans="1:6" x14ac:dyDescent="0.3">
      <c r="A571" s="31">
        <v>1000095607</v>
      </c>
      <c r="B571" s="31" t="s">
        <v>2470</v>
      </c>
      <c r="C571" s="31" t="s">
        <v>4</v>
      </c>
      <c r="D571" s="31" t="s">
        <v>2090</v>
      </c>
      <c r="E571" s="32">
        <v>13825.807500000001</v>
      </c>
      <c r="F571" s="32">
        <v>9</v>
      </c>
    </row>
    <row r="572" spans="1:6" x14ac:dyDescent="0.3">
      <c r="A572" s="31">
        <v>1000099101</v>
      </c>
      <c r="B572" s="31" t="s">
        <v>2471</v>
      </c>
      <c r="C572" s="31" t="s">
        <v>2109</v>
      </c>
      <c r="D572" s="31" t="s">
        <v>2070</v>
      </c>
      <c r="E572" s="32">
        <v>13814.63</v>
      </c>
      <c r="F572" s="32">
        <v>2</v>
      </c>
    </row>
    <row r="573" spans="1:6" x14ac:dyDescent="0.3">
      <c r="A573" s="31">
        <v>1000021254</v>
      </c>
      <c r="B573" s="31" t="s">
        <v>1399</v>
      </c>
      <c r="C573" s="31" t="s">
        <v>4</v>
      </c>
      <c r="D573" s="31" t="s">
        <v>2090</v>
      </c>
      <c r="E573" s="32">
        <v>13779.782047325099</v>
      </c>
      <c r="F573" s="32">
        <v>22</v>
      </c>
    </row>
    <row r="574" spans="1:6" x14ac:dyDescent="0.3">
      <c r="A574" s="31">
        <v>1000106084</v>
      </c>
      <c r="B574" s="31" t="s">
        <v>18</v>
      </c>
      <c r="C574" s="31" t="s">
        <v>2109</v>
      </c>
      <c r="D574" s="31" t="s">
        <v>2472</v>
      </c>
      <c r="E574" s="32">
        <v>13770</v>
      </c>
      <c r="F574" s="32">
        <v>17</v>
      </c>
    </row>
    <row r="575" spans="1:6" x14ac:dyDescent="0.3">
      <c r="A575" s="31">
        <v>1000110469</v>
      </c>
      <c r="B575" s="31" t="s">
        <v>2473</v>
      </c>
      <c r="C575" s="31" t="s">
        <v>4</v>
      </c>
      <c r="D575" s="31" t="s">
        <v>2090</v>
      </c>
      <c r="E575" s="32">
        <v>13763.4</v>
      </c>
      <c r="F575" s="32">
        <v>7</v>
      </c>
    </row>
    <row r="576" spans="1:6" x14ac:dyDescent="0.3">
      <c r="A576" s="31">
        <v>1000103514</v>
      </c>
      <c r="B576" s="31" t="s">
        <v>2474</v>
      </c>
      <c r="C576" s="31" t="s">
        <v>4</v>
      </c>
      <c r="D576" s="31" t="s">
        <v>2043</v>
      </c>
      <c r="E576" s="32">
        <v>13736.606400000001</v>
      </c>
      <c r="F576" s="32">
        <v>88</v>
      </c>
    </row>
    <row r="577" spans="1:6" x14ac:dyDescent="0.3">
      <c r="A577" s="31">
        <v>1000109880</v>
      </c>
      <c r="B577" s="31" t="s">
        <v>2475</v>
      </c>
      <c r="C577" s="31" t="s">
        <v>2205</v>
      </c>
      <c r="D577" s="31" t="s">
        <v>2150</v>
      </c>
      <c r="E577" s="32">
        <v>13697.1</v>
      </c>
      <c r="F577" s="32">
        <v>38</v>
      </c>
    </row>
    <row r="578" spans="1:6" x14ac:dyDescent="0.3">
      <c r="A578" s="31">
        <v>2500009671</v>
      </c>
      <c r="B578" s="31" t="s">
        <v>2476</v>
      </c>
      <c r="C578" s="31" t="s">
        <v>1996</v>
      </c>
      <c r="D578" s="31" t="s">
        <v>2025</v>
      </c>
      <c r="E578" s="32">
        <v>13687.5</v>
      </c>
      <c r="F578" s="32">
        <v>1</v>
      </c>
    </row>
    <row r="579" spans="1:6" x14ac:dyDescent="0.3">
      <c r="A579" s="31">
        <v>1000099631</v>
      </c>
      <c r="B579" s="31" t="s">
        <v>2477</v>
      </c>
      <c r="C579" s="31" t="s">
        <v>2109</v>
      </c>
      <c r="D579" s="31" t="s">
        <v>2260</v>
      </c>
      <c r="E579" s="32">
        <v>13656.56</v>
      </c>
      <c r="F579" s="32">
        <v>1</v>
      </c>
    </row>
    <row r="580" spans="1:6" x14ac:dyDescent="0.3">
      <c r="A580" s="31">
        <v>1000021002</v>
      </c>
      <c r="B580" s="31" t="s">
        <v>1175</v>
      </c>
      <c r="C580" s="31" t="s">
        <v>4</v>
      </c>
      <c r="D580" s="31" t="s">
        <v>2218</v>
      </c>
      <c r="E580" s="32">
        <v>13653.190117194001</v>
      </c>
      <c r="F580" s="32">
        <v>31</v>
      </c>
    </row>
    <row r="581" spans="1:6" x14ac:dyDescent="0.3">
      <c r="A581" s="31">
        <v>2700000095</v>
      </c>
      <c r="B581" s="31" t="s">
        <v>253</v>
      </c>
      <c r="C581" s="31" t="s">
        <v>2037</v>
      </c>
      <c r="D581" s="31" t="s">
        <v>2038</v>
      </c>
      <c r="E581" s="32">
        <v>13578.39</v>
      </c>
      <c r="F581" s="32">
        <v>5</v>
      </c>
    </row>
    <row r="582" spans="1:6" x14ac:dyDescent="0.3">
      <c r="A582" s="31">
        <v>2200002932</v>
      </c>
      <c r="B582" s="31" t="s">
        <v>195</v>
      </c>
      <c r="C582" s="31" t="s">
        <v>2037</v>
      </c>
      <c r="D582" s="31" t="s">
        <v>2038</v>
      </c>
      <c r="E582" s="32">
        <v>13548.63</v>
      </c>
      <c r="F582" s="32">
        <v>1</v>
      </c>
    </row>
    <row r="583" spans="1:6" x14ac:dyDescent="0.3">
      <c r="A583" s="31">
        <v>2000012341</v>
      </c>
      <c r="B583" s="31" t="s">
        <v>2478</v>
      </c>
      <c r="C583" s="31" t="s">
        <v>2017</v>
      </c>
      <c r="D583" s="31" t="s">
        <v>2072</v>
      </c>
      <c r="E583" s="32">
        <v>13535.625</v>
      </c>
      <c r="F583" s="32">
        <v>1</v>
      </c>
    </row>
    <row r="584" spans="1:6" x14ac:dyDescent="0.3">
      <c r="A584" s="31">
        <v>1000110868</v>
      </c>
      <c r="B584" s="31" t="s">
        <v>2479</v>
      </c>
      <c r="C584" s="31" t="s">
        <v>4</v>
      </c>
      <c r="D584" s="31" t="s">
        <v>2043</v>
      </c>
      <c r="E584" s="32">
        <v>13520.65</v>
      </c>
      <c r="F584" s="32">
        <v>671</v>
      </c>
    </row>
    <row r="585" spans="1:6" x14ac:dyDescent="0.3">
      <c r="A585" s="31">
        <v>1000100424</v>
      </c>
      <c r="B585" s="31" t="s">
        <v>1735</v>
      </c>
      <c r="C585" s="31" t="s">
        <v>4</v>
      </c>
      <c r="D585" s="31" t="s">
        <v>2090</v>
      </c>
      <c r="E585" s="32">
        <v>13478.4</v>
      </c>
      <c r="F585" s="32">
        <v>9</v>
      </c>
    </row>
    <row r="586" spans="1:6" x14ac:dyDescent="0.3">
      <c r="A586" s="31">
        <v>1000103506</v>
      </c>
      <c r="B586" s="31" t="s">
        <v>2480</v>
      </c>
      <c r="C586" s="31" t="s">
        <v>4</v>
      </c>
      <c r="D586" s="31" t="s">
        <v>2043</v>
      </c>
      <c r="E586" s="32">
        <v>13376.9403</v>
      </c>
      <c r="F586" s="32">
        <v>89</v>
      </c>
    </row>
    <row r="587" spans="1:6" x14ac:dyDescent="0.3">
      <c r="A587" s="31">
        <v>1000110877</v>
      </c>
      <c r="B587" s="31" t="s">
        <v>2481</v>
      </c>
      <c r="C587" s="31" t="s">
        <v>4</v>
      </c>
      <c r="D587" s="31" t="s">
        <v>2043</v>
      </c>
      <c r="E587" s="32">
        <v>13347</v>
      </c>
      <c r="F587" s="32">
        <v>225</v>
      </c>
    </row>
    <row r="588" spans="1:6" x14ac:dyDescent="0.3">
      <c r="A588" s="31">
        <v>1000110990</v>
      </c>
      <c r="B588" s="31" t="s">
        <v>2482</v>
      </c>
      <c r="C588" s="31" t="s">
        <v>4</v>
      </c>
      <c r="D588" s="31" t="s">
        <v>2390</v>
      </c>
      <c r="E588" s="32">
        <v>13325.185299999999</v>
      </c>
      <c r="F588" s="32">
        <v>7</v>
      </c>
    </row>
    <row r="589" spans="1:6" x14ac:dyDescent="0.3">
      <c r="A589" s="31">
        <v>1000108784</v>
      </c>
      <c r="B589" s="31" t="s">
        <v>2483</v>
      </c>
      <c r="C589" s="31" t="s">
        <v>2109</v>
      </c>
      <c r="D589" s="31" t="s">
        <v>2409</v>
      </c>
      <c r="E589" s="32">
        <v>13321.16</v>
      </c>
      <c r="F589" s="32">
        <v>2</v>
      </c>
    </row>
    <row r="590" spans="1:6" x14ac:dyDescent="0.3">
      <c r="A590" s="31">
        <v>1000099110</v>
      </c>
      <c r="B590" s="31" t="s">
        <v>2484</v>
      </c>
      <c r="C590" s="31" t="s">
        <v>4</v>
      </c>
      <c r="D590" s="31" t="s">
        <v>2161</v>
      </c>
      <c r="E590" s="32">
        <v>13225.74</v>
      </c>
      <c r="F590" s="32">
        <v>15</v>
      </c>
    </row>
    <row r="591" spans="1:6" x14ac:dyDescent="0.3">
      <c r="A591" s="31">
        <v>1000096006</v>
      </c>
      <c r="B591" s="31" t="s">
        <v>2485</v>
      </c>
      <c r="C591" s="31" t="s">
        <v>4</v>
      </c>
      <c r="D591" s="31" t="s">
        <v>2090</v>
      </c>
      <c r="E591" s="32">
        <v>13215.3703846153</v>
      </c>
      <c r="F591" s="32">
        <v>11</v>
      </c>
    </row>
    <row r="592" spans="1:6" x14ac:dyDescent="0.3">
      <c r="A592" s="31">
        <v>2700000072</v>
      </c>
      <c r="B592" s="31" t="s">
        <v>244</v>
      </c>
      <c r="C592" s="31" t="s">
        <v>2037</v>
      </c>
      <c r="D592" s="31" t="s">
        <v>2038</v>
      </c>
      <c r="E592" s="32">
        <v>13214.5782857142</v>
      </c>
      <c r="F592" s="32">
        <v>6</v>
      </c>
    </row>
    <row r="593" spans="1:6" x14ac:dyDescent="0.3">
      <c r="A593" s="31">
        <v>2500001300</v>
      </c>
      <c r="B593" s="31" t="s">
        <v>1897</v>
      </c>
      <c r="C593" s="31" t="s">
        <v>1996</v>
      </c>
      <c r="D593" s="31" t="s">
        <v>2025</v>
      </c>
      <c r="E593" s="32">
        <v>13176.5847775517</v>
      </c>
      <c r="F593" s="32">
        <v>11</v>
      </c>
    </row>
    <row r="594" spans="1:6" x14ac:dyDescent="0.3">
      <c r="A594" s="31">
        <v>1000104688</v>
      </c>
      <c r="B594" s="31" t="s">
        <v>2486</v>
      </c>
      <c r="C594" s="31" t="s">
        <v>2109</v>
      </c>
      <c r="D594" s="31" t="s">
        <v>2070</v>
      </c>
      <c r="E594" s="32">
        <v>13128.75</v>
      </c>
      <c r="F594" s="32">
        <v>1</v>
      </c>
    </row>
    <row r="595" spans="1:6" x14ac:dyDescent="0.3">
      <c r="A595" s="31">
        <v>1000020884</v>
      </c>
      <c r="B595" s="31" t="s">
        <v>1067</v>
      </c>
      <c r="C595" s="31" t="s">
        <v>4</v>
      </c>
      <c r="D595" s="31" t="s">
        <v>2090</v>
      </c>
      <c r="E595" s="32">
        <v>13011.9258333333</v>
      </c>
      <c r="F595" s="32">
        <v>5</v>
      </c>
    </row>
    <row r="596" spans="1:6" x14ac:dyDescent="0.3">
      <c r="A596" s="31">
        <v>1000110222</v>
      </c>
      <c r="B596" s="31" t="s">
        <v>2487</v>
      </c>
      <c r="C596" s="31" t="s">
        <v>2109</v>
      </c>
      <c r="D596" s="31" t="s">
        <v>2035</v>
      </c>
      <c r="E596" s="32">
        <v>13008.95</v>
      </c>
      <c r="F596" s="32">
        <v>3</v>
      </c>
    </row>
    <row r="597" spans="1:6" x14ac:dyDescent="0.3">
      <c r="A597" s="31">
        <v>2700000053</v>
      </c>
      <c r="B597" s="31" t="s">
        <v>238</v>
      </c>
      <c r="C597" s="31" t="s">
        <v>2037</v>
      </c>
      <c r="D597" s="31" t="s">
        <v>2038</v>
      </c>
      <c r="E597" s="32">
        <v>13008.9439377777</v>
      </c>
      <c r="F597" s="32">
        <v>5</v>
      </c>
    </row>
    <row r="598" spans="1:6" x14ac:dyDescent="0.3">
      <c r="A598" s="31">
        <v>1000111035</v>
      </c>
      <c r="B598" s="31" t="s">
        <v>2488</v>
      </c>
      <c r="C598" s="31" t="s">
        <v>2027</v>
      </c>
      <c r="D598" s="31" t="s">
        <v>2035</v>
      </c>
      <c r="E598" s="32">
        <v>13003.2</v>
      </c>
      <c r="F598" s="32">
        <v>6</v>
      </c>
    </row>
    <row r="599" spans="1:6" x14ac:dyDescent="0.3">
      <c r="A599" s="31">
        <v>1000105378</v>
      </c>
      <c r="B599" s="31" t="s">
        <v>2489</v>
      </c>
      <c r="C599" s="31" t="s">
        <v>2027</v>
      </c>
      <c r="D599" s="31" t="s">
        <v>2035</v>
      </c>
      <c r="E599" s="32">
        <v>12967.5</v>
      </c>
      <c r="F599" s="32">
        <v>4</v>
      </c>
    </row>
    <row r="600" spans="1:6" x14ac:dyDescent="0.3">
      <c r="A600" s="31">
        <v>1000015043</v>
      </c>
      <c r="B600" s="31" t="s">
        <v>46</v>
      </c>
      <c r="C600" s="31" t="s">
        <v>4</v>
      </c>
      <c r="D600" s="31" t="s">
        <v>2043</v>
      </c>
      <c r="E600" s="32">
        <v>12857.818240459401</v>
      </c>
      <c r="F600" s="32">
        <v>70</v>
      </c>
    </row>
    <row r="601" spans="1:6" x14ac:dyDescent="0.3">
      <c r="A601" s="31">
        <v>1000110382</v>
      </c>
      <c r="B601" s="31" t="s">
        <v>2490</v>
      </c>
      <c r="C601" s="31" t="s">
        <v>2027</v>
      </c>
      <c r="D601" s="31" t="s">
        <v>2035</v>
      </c>
      <c r="E601" s="32">
        <v>12852</v>
      </c>
      <c r="F601" s="32">
        <v>6</v>
      </c>
    </row>
    <row r="602" spans="1:6" x14ac:dyDescent="0.3">
      <c r="A602" s="31">
        <v>1000021137</v>
      </c>
      <c r="B602" s="31" t="s">
        <v>1289</v>
      </c>
      <c r="C602" s="31" t="s">
        <v>4</v>
      </c>
      <c r="D602" s="31" t="s">
        <v>2090</v>
      </c>
      <c r="E602" s="32">
        <v>12841.12</v>
      </c>
      <c r="F602" s="32">
        <v>14</v>
      </c>
    </row>
    <row r="603" spans="1:6" x14ac:dyDescent="0.3">
      <c r="A603" s="31">
        <v>1000015048</v>
      </c>
      <c r="B603" s="31" t="s">
        <v>48</v>
      </c>
      <c r="C603" s="31" t="s">
        <v>4</v>
      </c>
      <c r="D603" s="31" t="s">
        <v>2043</v>
      </c>
      <c r="E603" s="32">
        <v>12786.968149788399</v>
      </c>
      <c r="F603" s="32">
        <v>603</v>
      </c>
    </row>
    <row r="604" spans="1:6" x14ac:dyDescent="0.3">
      <c r="A604" s="31">
        <v>1000110755</v>
      </c>
      <c r="B604" s="31" t="s">
        <v>24</v>
      </c>
      <c r="C604" s="31" t="s">
        <v>2109</v>
      </c>
      <c r="D604" s="31" t="s">
        <v>2070</v>
      </c>
      <c r="E604" s="32">
        <v>12720</v>
      </c>
      <c r="F604" s="32">
        <v>5</v>
      </c>
    </row>
    <row r="605" spans="1:6" x14ac:dyDescent="0.3">
      <c r="A605" s="31">
        <v>1000108333</v>
      </c>
      <c r="B605" s="31" t="s">
        <v>2491</v>
      </c>
      <c r="C605" s="31" t="s">
        <v>2027</v>
      </c>
      <c r="D605" s="31" t="s">
        <v>2035</v>
      </c>
      <c r="E605" s="32">
        <v>12680.1</v>
      </c>
      <c r="F605" s="32">
        <v>8</v>
      </c>
    </row>
    <row r="606" spans="1:6" x14ac:dyDescent="0.3">
      <c r="A606" s="31">
        <v>1000109460</v>
      </c>
      <c r="B606" s="31" t="s">
        <v>2492</v>
      </c>
      <c r="C606" s="31" t="s">
        <v>4</v>
      </c>
      <c r="D606" s="31" t="s">
        <v>2493</v>
      </c>
      <c r="E606" s="32">
        <v>12633.3812</v>
      </c>
      <c r="F606" s="32">
        <v>76</v>
      </c>
    </row>
    <row r="607" spans="1:6" x14ac:dyDescent="0.3">
      <c r="A607" s="31">
        <v>1000106117</v>
      </c>
      <c r="B607" s="31" t="s">
        <v>2494</v>
      </c>
      <c r="C607" s="31" t="s">
        <v>4</v>
      </c>
      <c r="D607" s="31" t="s">
        <v>2161</v>
      </c>
      <c r="E607" s="32">
        <v>12601.975669297301</v>
      </c>
      <c r="F607" s="32">
        <v>13</v>
      </c>
    </row>
    <row r="608" spans="1:6" x14ac:dyDescent="0.3">
      <c r="A608" s="31">
        <v>1000108790</v>
      </c>
      <c r="B608" s="31" t="s">
        <v>2495</v>
      </c>
      <c r="C608" s="31" t="s">
        <v>2109</v>
      </c>
      <c r="D608" s="31" t="s">
        <v>2409</v>
      </c>
      <c r="E608" s="32">
        <v>12550.63</v>
      </c>
      <c r="F608" s="32">
        <v>1</v>
      </c>
    </row>
    <row r="609" spans="1:6" x14ac:dyDescent="0.3">
      <c r="A609" s="31">
        <v>1000020534</v>
      </c>
      <c r="B609" s="31" t="s">
        <v>755</v>
      </c>
      <c r="C609" s="31" t="s">
        <v>4</v>
      </c>
      <c r="D609" s="31" t="s">
        <v>2090</v>
      </c>
      <c r="E609" s="32">
        <v>12547.397683494701</v>
      </c>
      <c r="F609" s="32">
        <v>59</v>
      </c>
    </row>
    <row r="610" spans="1:6" x14ac:dyDescent="0.3">
      <c r="A610" s="31">
        <v>2700000250</v>
      </c>
      <c r="B610" s="31" t="s">
        <v>299</v>
      </c>
      <c r="C610" s="31" t="s">
        <v>2037</v>
      </c>
      <c r="D610" s="31" t="s">
        <v>2038</v>
      </c>
      <c r="E610" s="32">
        <v>12545.56</v>
      </c>
      <c r="F610" s="32">
        <v>1</v>
      </c>
    </row>
    <row r="611" spans="1:6" x14ac:dyDescent="0.3">
      <c r="A611" s="31">
        <v>2700000249</v>
      </c>
      <c r="B611" s="31" t="s">
        <v>298</v>
      </c>
      <c r="C611" s="31" t="s">
        <v>2037</v>
      </c>
      <c r="D611" s="31" t="s">
        <v>2038</v>
      </c>
      <c r="E611" s="32">
        <v>12545.56</v>
      </c>
      <c r="F611" s="32">
        <v>1</v>
      </c>
    </row>
    <row r="612" spans="1:6" x14ac:dyDescent="0.3">
      <c r="A612" s="31">
        <v>1000098548</v>
      </c>
      <c r="B612" s="31" t="s">
        <v>332</v>
      </c>
      <c r="C612" s="31" t="s">
        <v>4</v>
      </c>
      <c r="D612" s="31" t="s">
        <v>2090</v>
      </c>
      <c r="E612" s="32">
        <v>12535.4063492063</v>
      </c>
      <c r="F612" s="32">
        <v>12</v>
      </c>
    </row>
    <row r="613" spans="1:6" x14ac:dyDescent="0.3">
      <c r="A613" s="31">
        <v>1000094741</v>
      </c>
      <c r="B613" s="31" t="s">
        <v>2496</v>
      </c>
      <c r="C613" s="31" t="s">
        <v>4</v>
      </c>
      <c r="D613" s="31" t="s">
        <v>2090</v>
      </c>
      <c r="E613" s="32">
        <v>12530.7096666666</v>
      </c>
      <c r="F613" s="32">
        <v>14</v>
      </c>
    </row>
    <row r="614" spans="1:6" x14ac:dyDescent="0.3">
      <c r="A614" s="31">
        <v>2500009145</v>
      </c>
      <c r="B614" s="31" t="s">
        <v>2497</v>
      </c>
      <c r="C614" s="31" t="s">
        <v>1996</v>
      </c>
      <c r="D614" s="31" t="s">
        <v>2025</v>
      </c>
      <c r="E614" s="32">
        <v>12506.25</v>
      </c>
      <c r="F614" s="32">
        <v>5</v>
      </c>
    </row>
    <row r="615" spans="1:6" x14ac:dyDescent="0.3">
      <c r="A615" s="31">
        <v>1000101547</v>
      </c>
      <c r="B615" s="31" t="s">
        <v>2498</v>
      </c>
      <c r="C615" s="31" t="s">
        <v>4</v>
      </c>
      <c r="D615" s="31" t="s">
        <v>2043</v>
      </c>
      <c r="E615" s="32">
        <v>12444.893176174701</v>
      </c>
      <c r="F615" s="32">
        <v>183</v>
      </c>
    </row>
    <row r="616" spans="1:6" x14ac:dyDescent="0.3">
      <c r="A616" s="31">
        <v>1000015056</v>
      </c>
      <c r="B616" s="31" t="s">
        <v>54</v>
      </c>
      <c r="C616" s="31" t="s">
        <v>4</v>
      </c>
      <c r="D616" s="31" t="s">
        <v>2043</v>
      </c>
      <c r="E616" s="32">
        <v>12355.641366738701</v>
      </c>
      <c r="F616" s="32">
        <v>616</v>
      </c>
    </row>
    <row r="617" spans="1:6" x14ac:dyDescent="0.3">
      <c r="A617" s="31">
        <v>1000020495</v>
      </c>
      <c r="B617" s="31" t="s">
        <v>720</v>
      </c>
      <c r="C617" s="31" t="s">
        <v>4</v>
      </c>
      <c r="D617" s="31" t="s">
        <v>2218</v>
      </c>
      <c r="E617" s="32">
        <v>12314.237288287</v>
      </c>
      <c r="F617" s="32">
        <v>271</v>
      </c>
    </row>
    <row r="618" spans="1:6" x14ac:dyDescent="0.3">
      <c r="A618" s="31">
        <v>2200012008</v>
      </c>
      <c r="B618" s="31" t="s">
        <v>2499</v>
      </c>
      <c r="C618" s="31" t="s">
        <v>2037</v>
      </c>
      <c r="D618" s="31" t="s">
        <v>2038</v>
      </c>
      <c r="E618" s="32">
        <v>12279.96</v>
      </c>
      <c r="F618" s="32">
        <v>1</v>
      </c>
    </row>
    <row r="619" spans="1:6" x14ac:dyDescent="0.3">
      <c r="A619" s="31">
        <v>1000094198</v>
      </c>
      <c r="B619" s="31" t="s">
        <v>2500</v>
      </c>
      <c r="C619" s="31" t="s">
        <v>4</v>
      </c>
      <c r="D619" s="31" t="s">
        <v>2056</v>
      </c>
      <c r="E619" s="32">
        <v>12212</v>
      </c>
      <c r="F619" s="32">
        <v>3550</v>
      </c>
    </row>
    <row r="620" spans="1:6" x14ac:dyDescent="0.3">
      <c r="A620" s="31">
        <v>1000020812</v>
      </c>
      <c r="B620" s="31" t="s">
        <v>1014</v>
      </c>
      <c r="C620" s="31" t="s">
        <v>4</v>
      </c>
      <c r="D620" s="31" t="s">
        <v>2090</v>
      </c>
      <c r="E620" s="32">
        <v>12206.74</v>
      </c>
      <c r="F620" s="32">
        <v>33</v>
      </c>
    </row>
    <row r="621" spans="1:6" x14ac:dyDescent="0.3">
      <c r="A621" s="31">
        <v>1000106151</v>
      </c>
      <c r="B621" s="31" t="s">
        <v>2501</v>
      </c>
      <c r="C621" s="31" t="s">
        <v>4</v>
      </c>
      <c r="D621" s="31" t="s">
        <v>2090</v>
      </c>
      <c r="E621" s="32">
        <v>12076.5</v>
      </c>
      <c r="F621" s="32">
        <v>5</v>
      </c>
    </row>
    <row r="622" spans="1:6" x14ac:dyDescent="0.3">
      <c r="A622" s="31">
        <v>1000001245</v>
      </c>
      <c r="B622" s="31" t="s">
        <v>2502</v>
      </c>
      <c r="C622" s="31" t="s">
        <v>2109</v>
      </c>
      <c r="D622" s="31" t="s">
        <v>2070</v>
      </c>
      <c r="E622" s="32">
        <v>12060</v>
      </c>
      <c r="F622" s="32">
        <v>10</v>
      </c>
    </row>
    <row r="623" spans="1:6" x14ac:dyDescent="0.3">
      <c r="A623" s="31">
        <v>2700000004</v>
      </c>
      <c r="B623" s="31" t="s">
        <v>214</v>
      </c>
      <c r="C623" s="31" t="s">
        <v>2037</v>
      </c>
      <c r="D623" s="31" t="s">
        <v>2038</v>
      </c>
      <c r="E623" s="32">
        <v>12048.96</v>
      </c>
      <c r="F623" s="32">
        <v>4</v>
      </c>
    </row>
    <row r="624" spans="1:6" x14ac:dyDescent="0.3">
      <c r="A624" s="31">
        <v>1000102220</v>
      </c>
      <c r="B624" s="31" t="s">
        <v>2503</v>
      </c>
      <c r="C624" s="31" t="s">
        <v>4</v>
      </c>
      <c r="D624" s="31" t="s">
        <v>2090</v>
      </c>
      <c r="E624" s="32">
        <v>12045</v>
      </c>
      <c r="F624" s="32">
        <v>4</v>
      </c>
    </row>
    <row r="625" spans="1:6" x14ac:dyDescent="0.3">
      <c r="A625" s="31">
        <v>2100006470</v>
      </c>
      <c r="B625" s="31" t="s">
        <v>141</v>
      </c>
      <c r="C625" s="31" t="s">
        <v>2037</v>
      </c>
      <c r="D625" s="31" t="s">
        <v>2031</v>
      </c>
      <c r="E625" s="32">
        <v>11999.15</v>
      </c>
      <c r="F625" s="32">
        <v>7</v>
      </c>
    </row>
    <row r="626" spans="1:6" x14ac:dyDescent="0.3">
      <c r="A626" s="31">
        <v>1000099291</v>
      </c>
      <c r="B626" s="31" t="s">
        <v>2504</v>
      </c>
      <c r="C626" s="31" t="s">
        <v>2109</v>
      </c>
      <c r="D626" s="31" t="s">
        <v>2070</v>
      </c>
      <c r="E626" s="32">
        <v>11972.2516666666</v>
      </c>
      <c r="F626" s="32">
        <v>6</v>
      </c>
    </row>
    <row r="627" spans="1:6" x14ac:dyDescent="0.3">
      <c r="A627" s="31">
        <v>1000106116</v>
      </c>
      <c r="B627" s="31" t="s">
        <v>2505</v>
      </c>
      <c r="C627" s="31" t="s">
        <v>4</v>
      </c>
      <c r="D627" s="31" t="s">
        <v>2161</v>
      </c>
      <c r="E627" s="32">
        <v>11965.03</v>
      </c>
      <c r="F627" s="32">
        <v>7</v>
      </c>
    </row>
    <row r="628" spans="1:6" x14ac:dyDescent="0.3">
      <c r="A628" s="31">
        <v>1000107970</v>
      </c>
      <c r="B628" s="31" t="s">
        <v>2506</v>
      </c>
      <c r="C628" s="31" t="s">
        <v>2027</v>
      </c>
      <c r="D628" s="31" t="s">
        <v>2035</v>
      </c>
      <c r="E628" s="32">
        <v>11946.49</v>
      </c>
      <c r="F628" s="32">
        <v>3</v>
      </c>
    </row>
    <row r="629" spans="1:6" x14ac:dyDescent="0.3">
      <c r="A629" s="31">
        <v>2100005177</v>
      </c>
      <c r="B629" s="31" t="s">
        <v>2507</v>
      </c>
      <c r="C629" s="31" t="s">
        <v>2074</v>
      </c>
      <c r="D629" s="31" t="s">
        <v>2075</v>
      </c>
      <c r="E629" s="32">
        <v>11946.38</v>
      </c>
      <c r="F629" s="32">
        <v>7</v>
      </c>
    </row>
    <row r="630" spans="1:6" x14ac:dyDescent="0.3">
      <c r="A630" s="31">
        <v>1000015121</v>
      </c>
      <c r="B630" s="31" t="s">
        <v>2508</v>
      </c>
      <c r="C630" s="31" t="s">
        <v>4</v>
      </c>
      <c r="D630" s="31" t="s">
        <v>2043</v>
      </c>
      <c r="E630" s="32">
        <v>11901.945239357099</v>
      </c>
      <c r="F630" s="32">
        <v>14</v>
      </c>
    </row>
    <row r="631" spans="1:6" x14ac:dyDescent="0.3">
      <c r="A631" s="31">
        <v>1000015111</v>
      </c>
      <c r="B631" s="31" t="s">
        <v>2509</v>
      </c>
      <c r="C631" s="31" t="s">
        <v>4</v>
      </c>
      <c r="D631" s="31" t="s">
        <v>2043</v>
      </c>
      <c r="E631" s="32">
        <v>11900</v>
      </c>
      <c r="F631" s="32">
        <v>16</v>
      </c>
    </row>
    <row r="632" spans="1:6" x14ac:dyDescent="0.3">
      <c r="A632" s="31">
        <v>1000091395</v>
      </c>
      <c r="B632" s="31" t="s">
        <v>2510</v>
      </c>
      <c r="C632" s="31" t="s">
        <v>2109</v>
      </c>
      <c r="D632" s="31" t="s">
        <v>2070</v>
      </c>
      <c r="E632" s="32">
        <v>11880</v>
      </c>
      <c r="F632" s="32">
        <v>1</v>
      </c>
    </row>
    <row r="633" spans="1:6" x14ac:dyDescent="0.3">
      <c r="A633" s="31">
        <v>1000093592</v>
      </c>
      <c r="B633" s="31" t="s">
        <v>2511</v>
      </c>
      <c r="C633" s="31" t="s">
        <v>4</v>
      </c>
      <c r="D633" s="31" t="s">
        <v>2056</v>
      </c>
      <c r="E633" s="32">
        <v>11879.293769076599</v>
      </c>
      <c r="F633" s="32">
        <v>4211</v>
      </c>
    </row>
    <row r="634" spans="1:6" x14ac:dyDescent="0.3">
      <c r="A634" s="31">
        <v>1000106115</v>
      </c>
      <c r="B634" s="31" t="s">
        <v>2512</v>
      </c>
      <c r="C634" s="31" t="s">
        <v>4</v>
      </c>
      <c r="D634" s="31" t="s">
        <v>2161</v>
      </c>
      <c r="E634" s="32">
        <v>11761.12</v>
      </c>
      <c r="F634" s="32">
        <v>15</v>
      </c>
    </row>
    <row r="635" spans="1:6" x14ac:dyDescent="0.3">
      <c r="A635" s="31">
        <v>1000099354</v>
      </c>
      <c r="B635" s="31" t="s">
        <v>2513</v>
      </c>
      <c r="C635" s="31" t="s">
        <v>4</v>
      </c>
      <c r="D635" s="31" t="s">
        <v>2161</v>
      </c>
      <c r="E635" s="32">
        <v>11736.007374000001</v>
      </c>
      <c r="F635" s="32">
        <v>21</v>
      </c>
    </row>
    <row r="636" spans="1:6" x14ac:dyDescent="0.3">
      <c r="A636" s="31">
        <v>2200012240</v>
      </c>
      <c r="B636" s="31" t="s">
        <v>2324</v>
      </c>
      <c r="C636" s="31" t="s">
        <v>2088</v>
      </c>
      <c r="D636" s="31" t="s">
        <v>2038</v>
      </c>
      <c r="E636" s="32">
        <v>11630.346</v>
      </c>
      <c r="F636" s="32">
        <v>1</v>
      </c>
    </row>
    <row r="637" spans="1:6" x14ac:dyDescent="0.3">
      <c r="A637" s="31">
        <v>1000093739</v>
      </c>
      <c r="B637" s="31" t="s">
        <v>2514</v>
      </c>
      <c r="C637" s="31" t="s">
        <v>2109</v>
      </c>
      <c r="D637" s="31" t="s">
        <v>2374</v>
      </c>
      <c r="E637" s="32">
        <v>11603.8507015575</v>
      </c>
      <c r="F637" s="32">
        <v>2</v>
      </c>
    </row>
    <row r="638" spans="1:6" x14ac:dyDescent="0.3">
      <c r="A638" s="31">
        <v>1000097740</v>
      </c>
      <c r="B638" s="31" t="s">
        <v>1511</v>
      </c>
      <c r="C638" s="31" t="s">
        <v>4</v>
      </c>
      <c r="D638" s="31" t="s">
        <v>2090</v>
      </c>
      <c r="E638" s="32">
        <v>11524.8283333333</v>
      </c>
      <c r="F638" s="32">
        <v>11</v>
      </c>
    </row>
    <row r="639" spans="1:6" x14ac:dyDescent="0.3">
      <c r="A639" s="31">
        <v>1000110920</v>
      </c>
      <c r="B639" s="31" t="s">
        <v>2515</v>
      </c>
      <c r="C639" s="31" t="s">
        <v>2027</v>
      </c>
      <c r="D639" s="31" t="s">
        <v>2070</v>
      </c>
      <c r="E639" s="32">
        <v>11514.8989</v>
      </c>
      <c r="F639" s="32">
        <v>1</v>
      </c>
    </row>
    <row r="640" spans="1:6" x14ac:dyDescent="0.3">
      <c r="A640" s="31">
        <v>2500008753</v>
      </c>
      <c r="B640" s="31" t="s">
        <v>2516</v>
      </c>
      <c r="C640" s="31" t="s">
        <v>1996</v>
      </c>
      <c r="D640" s="31" t="s">
        <v>2025</v>
      </c>
      <c r="E640" s="32">
        <v>11506.873750000001</v>
      </c>
      <c r="F640" s="32">
        <v>8</v>
      </c>
    </row>
    <row r="641" spans="1:6" x14ac:dyDescent="0.3">
      <c r="A641" s="31">
        <v>1000103602</v>
      </c>
      <c r="B641" s="31" t="s">
        <v>2517</v>
      </c>
      <c r="C641" s="31" t="s">
        <v>4</v>
      </c>
      <c r="D641" s="31" t="s">
        <v>2056</v>
      </c>
      <c r="E641" s="32">
        <v>11495.7064361702</v>
      </c>
      <c r="F641" s="32">
        <v>6650</v>
      </c>
    </row>
    <row r="642" spans="1:6" x14ac:dyDescent="0.3">
      <c r="A642" s="31">
        <v>1000103599</v>
      </c>
      <c r="B642" s="31" t="s">
        <v>1866</v>
      </c>
      <c r="C642" s="31" t="s">
        <v>4</v>
      </c>
      <c r="D642" s="31" t="s">
        <v>2056</v>
      </c>
      <c r="E642" s="32">
        <v>11484.628586484499</v>
      </c>
      <c r="F642" s="32">
        <v>5420</v>
      </c>
    </row>
    <row r="643" spans="1:6" x14ac:dyDescent="0.3">
      <c r="A643" s="31">
        <v>1000020752</v>
      </c>
      <c r="B643" s="31" t="s">
        <v>958</v>
      </c>
      <c r="C643" s="31" t="s">
        <v>4</v>
      </c>
      <c r="D643" s="31" t="s">
        <v>2090</v>
      </c>
      <c r="E643" s="32">
        <v>11458.33</v>
      </c>
      <c r="F643" s="32">
        <v>13</v>
      </c>
    </row>
    <row r="644" spans="1:6" x14ac:dyDescent="0.3">
      <c r="A644" s="31">
        <v>1000109842</v>
      </c>
      <c r="B644" s="31" t="s">
        <v>2518</v>
      </c>
      <c r="C644" s="31" t="s">
        <v>2027</v>
      </c>
      <c r="D644" s="31" t="s">
        <v>2035</v>
      </c>
      <c r="E644" s="32">
        <v>11431.8</v>
      </c>
      <c r="F644" s="32">
        <v>6</v>
      </c>
    </row>
    <row r="645" spans="1:6" x14ac:dyDescent="0.3">
      <c r="A645" s="31">
        <v>1000015050</v>
      </c>
      <c r="B645" s="31" t="s">
        <v>50</v>
      </c>
      <c r="C645" s="31" t="s">
        <v>4</v>
      </c>
      <c r="D645" s="31" t="s">
        <v>2043</v>
      </c>
      <c r="E645" s="32">
        <v>11425.296073906</v>
      </c>
      <c r="F645" s="32">
        <v>217</v>
      </c>
    </row>
    <row r="646" spans="1:6" x14ac:dyDescent="0.3">
      <c r="A646" s="31">
        <v>1000110159</v>
      </c>
      <c r="B646" s="31" t="s">
        <v>2519</v>
      </c>
      <c r="C646" s="31" t="s">
        <v>4</v>
      </c>
      <c r="D646" s="31" t="s">
        <v>2043</v>
      </c>
      <c r="E646" s="32">
        <v>11424</v>
      </c>
      <c r="F646" s="32">
        <v>34</v>
      </c>
    </row>
    <row r="647" spans="1:6" x14ac:dyDescent="0.3">
      <c r="A647" s="31">
        <v>1000110653</v>
      </c>
      <c r="B647" s="31" t="s">
        <v>2520</v>
      </c>
      <c r="C647" s="31" t="s">
        <v>2109</v>
      </c>
      <c r="D647" s="31" t="s">
        <v>2035</v>
      </c>
      <c r="E647" s="32">
        <v>11394.15</v>
      </c>
      <c r="F647" s="32">
        <v>2</v>
      </c>
    </row>
    <row r="648" spans="1:6" x14ac:dyDescent="0.3">
      <c r="A648" s="31">
        <v>2700000076</v>
      </c>
      <c r="B648" s="31" t="s">
        <v>245</v>
      </c>
      <c r="C648" s="31" t="s">
        <v>2088</v>
      </c>
      <c r="D648" s="31" t="s">
        <v>2038</v>
      </c>
      <c r="E648" s="32">
        <v>11327.1333333333</v>
      </c>
      <c r="F648" s="32">
        <v>1</v>
      </c>
    </row>
    <row r="649" spans="1:6" x14ac:dyDescent="0.3">
      <c r="A649" s="31">
        <v>1000105126</v>
      </c>
      <c r="B649" s="31" t="s">
        <v>2292</v>
      </c>
      <c r="C649" s="31" t="s">
        <v>2521</v>
      </c>
      <c r="D649" s="31" t="s">
        <v>2035</v>
      </c>
      <c r="E649" s="32">
        <v>11325</v>
      </c>
      <c r="F649" s="32">
        <v>4</v>
      </c>
    </row>
    <row r="650" spans="1:6" x14ac:dyDescent="0.3">
      <c r="A650" s="31">
        <v>1000109465</v>
      </c>
      <c r="B650" s="31" t="s">
        <v>2522</v>
      </c>
      <c r="C650" s="31" t="s">
        <v>4</v>
      </c>
      <c r="D650" s="31" t="s">
        <v>2161</v>
      </c>
      <c r="E650" s="32">
        <v>11271</v>
      </c>
      <c r="F650" s="32">
        <v>15</v>
      </c>
    </row>
    <row r="651" spans="1:6" x14ac:dyDescent="0.3">
      <c r="A651" s="31">
        <v>2200011905</v>
      </c>
      <c r="B651" s="31" t="s">
        <v>2523</v>
      </c>
      <c r="C651" s="31" t="s">
        <v>2037</v>
      </c>
      <c r="D651" s="31" t="s">
        <v>2038</v>
      </c>
      <c r="E651" s="32">
        <v>11263.56</v>
      </c>
      <c r="F651" s="32">
        <v>1</v>
      </c>
    </row>
    <row r="652" spans="1:6" x14ac:dyDescent="0.3">
      <c r="A652" s="31">
        <v>2200011905</v>
      </c>
      <c r="B652" s="31" t="s">
        <v>2523</v>
      </c>
      <c r="C652" s="31" t="s">
        <v>2030</v>
      </c>
      <c r="D652" s="31" t="s">
        <v>2038</v>
      </c>
      <c r="E652" s="32">
        <v>11263.56</v>
      </c>
      <c r="F652" s="32">
        <v>1</v>
      </c>
    </row>
    <row r="653" spans="1:6" x14ac:dyDescent="0.3">
      <c r="A653" s="31">
        <v>1000105875</v>
      </c>
      <c r="B653" s="31" t="s">
        <v>2099</v>
      </c>
      <c r="C653" s="31" t="s">
        <v>2165</v>
      </c>
      <c r="D653" s="31" t="s">
        <v>2524</v>
      </c>
      <c r="E653" s="32">
        <v>11255.3309205522</v>
      </c>
      <c r="F653" s="32">
        <v>112</v>
      </c>
    </row>
    <row r="654" spans="1:6" x14ac:dyDescent="0.3">
      <c r="A654" s="31">
        <v>1000101767</v>
      </c>
      <c r="B654" s="31" t="s">
        <v>1754</v>
      </c>
      <c r="C654" s="31" t="s">
        <v>4</v>
      </c>
      <c r="D654" s="31" t="s">
        <v>2090</v>
      </c>
      <c r="E654" s="32">
        <v>11254</v>
      </c>
      <c r="F654" s="32">
        <v>1</v>
      </c>
    </row>
    <row r="655" spans="1:6" x14ac:dyDescent="0.3">
      <c r="A655" s="31">
        <v>1000093672</v>
      </c>
      <c r="B655" s="31" t="s">
        <v>2525</v>
      </c>
      <c r="C655" s="31" t="s">
        <v>4</v>
      </c>
      <c r="D655" s="31" t="s">
        <v>2056</v>
      </c>
      <c r="E655" s="32">
        <v>11216.418723139701</v>
      </c>
      <c r="F655" s="32">
        <v>86</v>
      </c>
    </row>
    <row r="656" spans="1:6" x14ac:dyDescent="0.3">
      <c r="A656" s="31">
        <v>2100007202</v>
      </c>
      <c r="B656" s="31" t="s">
        <v>2526</v>
      </c>
      <c r="C656" s="31" t="s">
        <v>2037</v>
      </c>
      <c r="D656" s="31" t="s">
        <v>2031</v>
      </c>
      <c r="E656" s="32">
        <v>11184.8</v>
      </c>
      <c r="F656" s="32">
        <v>2</v>
      </c>
    </row>
    <row r="657" spans="1:6" x14ac:dyDescent="0.3">
      <c r="A657" s="31">
        <v>1000105183</v>
      </c>
      <c r="B657" s="31" t="s">
        <v>2527</v>
      </c>
      <c r="C657" s="31" t="s">
        <v>4</v>
      </c>
      <c r="D657" s="31" t="s">
        <v>2056</v>
      </c>
      <c r="E657" s="32">
        <v>11169.608000939799</v>
      </c>
      <c r="F657" s="32">
        <v>1250</v>
      </c>
    </row>
    <row r="658" spans="1:6" x14ac:dyDescent="0.3">
      <c r="A658" s="31">
        <v>1000100016</v>
      </c>
      <c r="B658" s="31" t="s">
        <v>2528</v>
      </c>
      <c r="C658" s="31" t="s">
        <v>4</v>
      </c>
      <c r="D658" s="31" t="s">
        <v>2056</v>
      </c>
      <c r="E658" s="32">
        <v>11169.0112109004</v>
      </c>
      <c r="F658" s="32">
        <v>205</v>
      </c>
    </row>
    <row r="659" spans="1:6" x14ac:dyDescent="0.3">
      <c r="A659" s="31">
        <v>1000020726</v>
      </c>
      <c r="B659" s="31" t="s">
        <v>934</v>
      </c>
      <c r="C659" s="31" t="s">
        <v>4</v>
      </c>
      <c r="D659" s="31" t="s">
        <v>2090</v>
      </c>
      <c r="E659" s="32">
        <v>11130.73</v>
      </c>
      <c r="F659" s="32">
        <v>19</v>
      </c>
    </row>
    <row r="660" spans="1:6" x14ac:dyDescent="0.3">
      <c r="A660" s="31">
        <v>2300000194</v>
      </c>
      <c r="B660" s="31" t="s">
        <v>2529</v>
      </c>
      <c r="C660" s="31" t="s">
        <v>2020</v>
      </c>
      <c r="D660" s="31" t="s">
        <v>2023</v>
      </c>
      <c r="E660" s="32">
        <v>11123.475</v>
      </c>
      <c r="F660" s="32">
        <v>2134</v>
      </c>
    </row>
    <row r="661" spans="1:6" x14ac:dyDescent="0.3">
      <c r="A661" s="31">
        <v>1000020814</v>
      </c>
      <c r="B661" s="31" t="s">
        <v>1016</v>
      </c>
      <c r="C661" s="31" t="s">
        <v>4</v>
      </c>
      <c r="D661" s="31" t="s">
        <v>2090</v>
      </c>
      <c r="E661" s="32">
        <v>11119.01</v>
      </c>
      <c r="F661" s="32">
        <v>24</v>
      </c>
    </row>
    <row r="662" spans="1:6" x14ac:dyDescent="0.3">
      <c r="A662" s="31">
        <v>2200012249</v>
      </c>
      <c r="B662" s="31" t="s">
        <v>2324</v>
      </c>
      <c r="C662" s="31" t="s">
        <v>2030</v>
      </c>
      <c r="D662" s="31" t="s">
        <v>2038</v>
      </c>
      <c r="E662" s="32">
        <v>11073.9533333333</v>
      </c>
      <c r="F662" s="32">
        <v>2</v>
      </c>
    </row>
    <row r="663" spans="1:6" x14ac:dyDescent="0.3">
      <c r="A663" s="31">
        <v>1000101322</v>
      </c>
      <c r="B663" s="31" t="s">
        <v>2530</v>
      </c>
      <c r="C663" s="31" t="s">
        <v>4</v>
      </c>
      <c r="D663" s="31" t="s">
        <v>2043</v>
      </c>
      <c r="E663" s="32">
        <v>11044.8626852426</v>
      </c>
      <c r="F663" s="32">
        <v>327</v>
      </c>
    </row>
    <row r="664" spans="1:6" x14ac:dyDescent="0.3">
      <c r="A664" s="31">
        <v>1000015118</v>
      </c>
      <c r="B664" s="31" t="s">
        <v>76</v>
      </c>
      <c r="C664" s="31" t="s">
        <v>4</v>
      </c>
      <c r="D664" s="31" t="s">
        <v>2043</v>
      </c>
      <c r="E664" s="32">
        <v>11022.5580704246</v>
      </c>
      <c r="F664" s="32">
        <v>27</v>
      </c>
    </row>
    <row r="665" spans="1:6" x14ac:dyDescent="0.3">
      <c r="A665" s="31">
        <v>2200003301</v>
      </c>
      <c r="B665" s="31" t="s">
        <v>2531</v>
      </c>
      <c r="C665" s="31" t="s">
        <v>2037</v>
      </c>
      <c r="D665" s="31" t="s">
        <v>2067</v>
      </c>
      <c r="E665" s="32">
        <v>11020.25</v>
      </c>
      <c r="F665" s="32">
        <v>1</v>
      </c>
    </row>
    <row r="666" spans="1:6" x14ac:dyDescent="0.3">
      <c r="A666" s="31">
        <v>2200003016</v>
      </c>
      <c r="B666" s="31" t="s">
        <v>2532</v>
      </c>
      <c r="C666" s="31" t="s">
        <v>2037</v>
      </c>
      <c r="D666" s="31" t="s">
        <v>2038</v>
      </c>
      <c r="E666" s="32">
        <v>11007.92</v>
      </c>
      <c r="F666" s="32">
        <v>2</v>
      </c>
    </row>
    <row r="667" spans="1:6" x14ac:dyDescent="0.3">
      <c r="A667" s="31">
        <v>1000021229</v>
      </c>
      <c r="B667" s="31" t="s">
        <v>1375</v>
      </c>
      <c r="C667" s="31" t="s">
        <v>4</v>
      </c>
      <c r="D667" s="31" t="s">
        <v>2090</v>
      </c>
      <c r="E667" s="32">
        <v>11001.3851666666</v>
      </c>
      <c r="F667" s="32">
        <v>43</v>
      </c>
    </row>
    <row r="668" spans="1:6" x14ac:dyDescent="0.3">
      <c r="A668" s="31">
        <v>1000103353</v>
      </c>
      <c r="B668" s="31" t="s">
        <v>101</v>
      </c>
      <c r="C668" s="31" t="s">
        <v>4</v>
      </c>
      <c r="D668" s="31" t="s">
        <v>2043</v>
      </c>
      <c r="E668" s="32">
        <v>10995.84</v>
      </c>
      <c r="F668" s="32">
        <v>249</v>
      </c>
    </row>
    <row r="669" spans="1:6" x14ac:dyDescent="0.3">
      <c r="A669" s="31">
        <v>1000102238</v>
      </c>
      <c r="B669" s="31" t="s">
        <v>1790</v>
      </c>
      <c r="C669" s="31" t="s">
        <v>4</v>
      </c>
      <c r="D669" s="31" t="s">
        <v>2090</v>
      </c>
      <c r="E669" s="32">
        <v>10983.6</v>
      </c>
      <c r="F669" s="32">
        <v>6</v>
      </c>
    </row>
    <row r="670" spans="1:6" x14ac:dyDescent="0.3">
      <c r="A670" s="31">
        <v>1000020120</v>
      </c>
      <c r="B670" s="31" t="s">
        <v>375</v>
      </c>
      <c r="C670" s="31" t="s">
        <v>4</v>
      </c>
      <c r="D670" s="31" t="s">
        <v>2090</v>
      </c>
      <c r="E670" s="32">
        <v>10982.417647058801</v>
      </c>
      <c r="F670" s="32">
        <v>15</v>
      </c>
    </row>
    <row r="671" spans="1:6" x14ac:dyDescent="0.3">
      <c r="A671" s="31">
        <v>1000096304</v>
      </c>
      <c r="B671" s="31" t="s">
        <v>2533</v>
      </c>
      <c r="C671" s="31" t="s">
        <v>4</v>
      </c>
      <c r="D671" s="31" t="s">
        <v>2161</v>
      </c>
      <c r="E671" s="32">
        <v>10982.25</v>
      </c>
      <c r="F671" s="32">
        <v>3</v>
      </c>
    </row>
    <row r="672" spans="1:6" x14ac:dyDescent="0.3">
      <c r="A672" s="31">
        <v>1000002289</v>
      </c>
      <c r="B672" s="31" t="s">
        <v>2534</v>
      </c>
      <c r="C672" s="31" t="s">
        <v>2257</v>
      </c>
      <c r="D672" s="31" t="s">
        <v>2070</v>
      </c>
      <c r="E672" s="32">
        <v>10974.895</v>
      </c>
      <c r="F672" s="32">
        <v>1</v>
      </c>
    </row>
    <row r="673" spans="1:6" x14ac:dyDescent="0.3">
      <c r="A673" s="31">
        <v>2700000071</v>
      </c>
      <c r="B673" s="31" t="s">
        <v>243</v>
      </c>
      <c r="C673" s="31" t="s">
        <v>2037</v>
      </c>
      <c r="D673" s="31" t="s">
        <v>2038</v>
      </c>
      <c r="E673" s="32">
        <v>10930.92</v>
      </c>
      <c r="F673" s="32">
        <v>3</v>
      </c>
    </row>
    <row r="674" spans="1:6" x14ac:dyDescent="0.3">
      <c r="A674" s="31">
        <v>1000098716</v>
      </c>
      <c r="B674" s="31" t="s">
        <v>1663</v>
      </c>
      <c r="C674" s="31" t="s">
        <v>4</v>
      </c>
      <c r="D674" s="31" t="s">
        <v>2090</v>
      </c>
      <c r="E674" s="32">
        <v>10908.56</v>
      </c>
      <c r="F674" s="32">
        <v>5</v>
      </c>
    </row>
    <row r="675" spans="1:6" x14ac:dyDescent="0.3">
      <c r="A675" s="31">
        <v>1000021252</v>
      </c>
      <c r="B675" s="31" t="s">
        <v>1397</v>
      </c>
      <c r="C675" s="31" t="s">
        <v>4</v>
      </c>
      <c r="D675" s="31" t="s">
        <v>2090</v>
      </c>
      <c r="E675" s="32">
        <v>10902.456923076899</v>
      </c>
      <c r="F675" s="32">
        <v>21</v>
      </c>
    </row>
    <row r="676" spans="1:6" x14ac:dyDescent="0.3">
      <c r="A676" s="31">
        <v>1000097583</v>
      </c>
      <c r="B676" s="31" t="s">
        <v>1509</v>
      </c>
      <c r="C676" s="31" t="s">
        <v>4</v>
      </c>
      <c r="D676" s="31" t="s">
        <v>2090</v>
      </c>
      <c r="E676" s="32">
        <v>10901.7671875</v>
      </c>
      <c r="F676" s="32">
        <v>7</v>
      </c>
    </row>
    <row r="677" spans="1:6" x14ac:dyDescent="0.3">
      <c r="A677" s="31">
        <v>2700000252</v>
      </c>
      <c r="B677" s="31" t="s">
        <v>300</v>
      </c>
      <c r="C677" s="31" t="s">
        <v>2037</v>
      </c>
      <c r="D677" s="31" t="s">
        <v>2038</v>
      </c>
      <c r="E677" s="32">
        <v>10890.88</v>
      </c>
      <c r="F677" s="32">
        <v>1</v>
      </c>
    </row>
    <row r="678" spans="1:6" x14ac:dyDescent="0.3">
      <c r="A678" s="31">
        <v>1000093687</v>
      </c>
      <c r="B678" s="31" t="s">
        <v>2535</v>
      </c>
      <c r="C678" s="31" t="s">
        <v>4</v>
      </c>
      <c r="D678" s="31" t="s">
        <v>2056</v>
      </c>
      <c r="E678" s="32">
        <v>10890</v>
      </c>
      <c r="F678" s="32">
        <v>3</v>
      </c>
    </row>
    <row r="679" spans="1:6" x14ac:dyDescent="0.3">
      <c r="A679" s="31">
        <v>1000093589</v>
      </c>
      <c r="B679" s="31" t="s">
        <v>2536</v>
      </c>
      <c r="C679" s="31" t="s">
        <v>4</v>
      </c>
      <c r="D679" s="31" t="s">
        <v>2056</v>
      </c>
      <c r="E679" s="32">
        <v>10878.648893375201</v>
      </c>
      <c r="F679" s="32">
        <v>4558</v>
      </c>
    </row>
    <row r="680" spans="1:6" x14ac:dyDescent="0.3">
      <c r="A680" s="31">
        <v>1000098436</v>
      </c>
      <c r="B680" s="31" t="s">
        <v>1516</v>
      </c>
      <c r="C680" s="31" t="s">
        <v>4</v>
      </c>
      <c r="D680" s="31" t="s">
        <v>2090</v>
      </c>
      <c r="E680" s="32">
        <v>10806.0411235955</v>
      </c>
      <c r="F680" s="32">
        <v>72</v>
      </c>
    </row>
    <row r="681" spans="1:6" x14ac:dyDescent="0.3">
      <c r="A681" s="31">
        <v>1000095839</v>
      </c>
      <c r="B681" s="31" t="s">
        <v>1847</v>
      </c>
      <c r="C681" s="31" t="s">
        <v>4</v>
      </c>
      <c r="D681" s="31" t="s">
        <v>2056</v>
      </c>
      <c r="E681" s="32">
        <v>10771.3399002267</v>
      </c>
      <c r="F681" s="32">
        <v>8</v>
      </c>
    </row>
    <row r="682" spans="1:6" x14ac:dyDescent="0.3">
      <c r="A682" s="31">
        <v>1000109296</v>
      </c>
      <c r="B682" s="31" t="s">
        <v>2537</v>
      </c>
      <c r="C682" s="31" t="s">
        <v>2257</v>
      </c>
      <c r="D682" s="31" t="s">
        <v>2070</v>
      </c>
      <c r="E682" s="32">
        <v>10766.25</v>
      </c>
      <c r="F682" s="32">
        <v>3</v>
      </c>
    </row>
    <row r="683" spans="1:6" x14ac:dyDescent="0.3">
      <c r="A683" s="31">
        <v>1000095976</v>
      </c>
      <c r="B683" s="31" t="s">
        <v>2538</v>
      </c>
      <c r="C683" s="31" t="s">
        <v>4</v>
      </c>
      <c r="D683" s="31" t="s">
        <v>2161</v>
      </c>
      <c r="E683" s="32">
        <v>10743.1033333333</v>
      </c>
      <c r="F683" s="32">
        <v>2</v>
      </c>
    </row>
    <row r="684" spans="1:6" x14ac:dyDescent="0.3">
      <c r="A684" s="31">
        <v>1000096604</v>
      </c>
      <c r="B684" s="31" t="s">
        <v>2539</v>
      </c>
      <c r="C684" s="31" t="s">
        <v>4</v>
      </c>
      <c r="D684" s="31" t="s">
        <v>2090</v>
      </c>
      <c r="E684" s="32">
        <v>10715.924000000001</v>
      </c>
      <c r="F684" s="32">
        <v>2</v>
      </c>
    </row>
    <row r="685" spans="1:6" x14ac:dyDescent="0.3">
      <c r="A685" s="31">
        <v>1000101986</v>
      </c>
      <c r="B685" s="31" t="s">
        <v>2540</v>
      </c>
      <c r="C685" s="31" t="s">
        <v>4</v>
      </c>
      <c r="D685" s="31" t="s">
        <v>2056</v>
      </c>
      <c r="E685" s="32">
        <v>10710.467674081599</v>
      </c>
      <c r="F685" s="32">
        <v>169</v>
      </c>
    </row>
    <row r="686" spans="1:6" x14ac:dyDescent="0.3">
      <c r="A686" s="31">
        <v>1000110923</v>
      </c>
      <c r="B686" s="31" t="s">
        <v>2541</v>
      </c>
      <c r="C686" s="31" t="s">
        <v>2027</v>
      </c>
      <c r="D686" s="31" t="s">
        <v>2070</v>
      </c>
      <c r="E686" s="32">
        <v>10704.4095</v>
      </c>
      <c r="F686" s="32">
        <v>1</v>
      </c>
    </row>
    <row r="687" spans="1:6" x14ac:dyDescent="0.3">
      <c r="A687" s="31">
        <v>2500008853</v>
      </c>
      <c r="B687" s="31" t="s">
        <v>2542</v>
      </c>
      <c r="C687" s="31" t="s">
        <v>1996</v>
      </c>
      <c r="D687" s="31" t="s">
        <v>2117</v>
      </c>
      <c r="E687" s="32">
        <v>10687.5</v>
      </c>
      <c r="F687" s="32">
        <v>6</v>
      </c>
    </row>
    <row r="688" spans="1:6" x14ac:dyDescent="0.3">
      <c r="A688" s="31">
        <v>2700000142</v>
      </c>
      <c r="B688" s="31" t="s">
        <v>2543</v>
      </c>
      <c r="C688" s="31" t="s">
        <v>2088</v>
      </c>
      <c r="D688" s="31" t="s">
        <v>2038</v>
      </c>
      <c r="E688" s="32">
        <v>10658.83</v>
      </c>
      <c r="F688" s="32">
        <v>5</v>
      </c>
    </row>
    <row r="689" spans="1:6" x14ac:dyDescent="0.3">
      <c r="A689" s="31">
        <v>2700000112</v>
      </c>
      <c r="B689" s="31" t="s">
        <v>258</v>
      </c>
      <c r="C689" s="31" t="s">
        <v>2037</v>
      </c>
      <c r="D689" s="31" t="s">
        <v>2038</v>
      </c>
      <c r="E689" s="32">
        <v>10638.32</v>
      </c>
      <c r="F689" s="32">
        <v>2</v>
      </c>
    </row>
    <row r="690" spans="1:6" x14ac:dyDescent="0.3">
      <c r="A690" s="31">
        <v>1000108485</v>
      </c>
      <c r="B690" s="31" t="s">
        <v>22</v>
      </c>
      <c r="C690" s="31" t="s">
        <v>2109</v>
      </c>
      <c r="D690" s="31" t="s">
        <v>2035</v>
      </c>
      <c r="E690" s="32">
        <v>10627.5</v>
      </c>
      <c r="F690" s="32">
        <v>2</v>
      </c>
    </row>
    <row r="691" spans="1:6" x14ac:dyDescent="0.3">
      <c r="A691" s="31">
        <v>1000098597</v>
      </c>
      <c r="B691" s="31" t="s">
        <v>1602</v>
      </c>
      <c r="C691" s="31" t="s">
        <v>4</v>
      </c>
      <c r="D691" s="31" t="s">
        <v>2218</v>
      </c>
      <c r="E691" s="32">
        <v>10589.6175</v>
      </c>
      <c r="F691" s="32">
        <v>14</v>
      </c>
    </row>
    <row r="692" spans="1:6" x14ac:dyDescent="0.3">
      <c r="A692" s="31">
        <v>2300000192</v>
      </c>
      <c r="B692" s="31" t="s">
        <v>2544</v>
      </c>
      <c r="C692" s="31" t="s">
        <v>2020</v>
      </c>
      <c r="D692" s="31" t="s">
        <v>2023</v>
      </c>
      <c r="E692" s="32">
        <v>10580.625</v>
      </c>
      <c r="F692" s="32">
        <v>950</v>
      </c>
    </row>
    <row r="693" spans="1:6" x14ac:dyDescent="0.3">
      <c r="A693" s="31">
        <v>2000015547</v>
      </c>
      <c r="B693" s="31" t="s">
        <v>2545</v>
      </c>
      <c r="C693" s="31" t="s">
        <v>2017</v>
      </c>
      <c r="D693" s="31" t="s">
        <v>2063</v>
      </c>
      <c r="E693" s="32">
        <v>10557</v>
      </c>
      <c r="F693" s="32">
        <v>8</v>
      </c>
    </row>
    <row r="694" spans="1:6" x14ac:dyDescent="0.3">
      <c r="A694" s="31">
        <v>1000099126</v>
      </c>
      <c r="B694" s="31" t="s">
        <v>2546</v>
      </c>
      <c r="C694" s="31" t="s">
        <v>4</v>
      </c>
      <c r="D694" s="31" t="s">
        <v>2090</v>
      </c>
      <c r="E694" s="32">
        <v>10533.6</v>
      </c>
      <c r="F694" s="32">
        <v>6</v>
      </c>
    </row>
    <row r="695" spans="1:6" x14ac:dyDescent="0.3">
      <c r="A695" s="31">
        <v>1000102863</v>
      </c>
      <c r="B695" s="31" t="s">
        <v>124</v>
      </c>
      <c r="C695" s="31" t="s">
        <v>4</v>
      </c>
      <c r="D695" s="31" t="s">
        <v>2161</v>
      </c>
      <c r="E695" s="32">
        <v>10461.14</v>
      </c>
      <c r="F695" s="32">
        <v>5</v>
      </c>
    </row>
    <row r="696" spans="1:6" x14ac:dyDescent="0.3">
      <c r="A696" s="31">
        <v>2200001400</v>
      </c>
      <c r="B696" s="31" t="s">
        <v>2547</v>
      </c>
      <c r="C696" s="31" t="s">
        <v>2037</v>
      </c>
      <c r="D696" s="31" t="s">
        <v>2038</v>
      </c>
      <c r="E696" s="32">
        <v>10459.68</v>
      </c>
      <c r="F696" s="32">
        <v>2</v>
      </c>
    </row>
    <row r="697" spans="1:6" x14ac:dyDescent="0.3">
      <c r="A697" s="31">
        <v>2200011378</v>
      </c>
      <c r="B697" s="31" t="s">
        <v>2548</v>
      </c>
      <c r="C697" s="31" t="s">
        <v>2037</v>
      </c>
      <c r="D697" s="31" t="s">
        <v>2038</v>
      </c>
      <c r="E697" s="32">
        <v>10416.56</v>
      </c>
      <c r="F697" s="32">
        <v>2</v>
      </c>
    </row>
    <row r="698" spans="1:6" x14ac:dyDescent="0.3">
      <c r="A698" s="31">
        <v>1000094950</v>
      </c>
      <c r="B698" s="31" t="s">
        <v>2549</v>
      </c>
      <c r="C698" s="31" t="s">
        <v>4</v>
      </c>
      <c r="D698" s="31" t="s">
        <v>2090</v>
      </c>
      <c r="E698" s="32">
        <v>10407.5554545454</v>
      </c>
      <c r="F698" s="32">
        <v>7</v>
      </c>
    </row>
    <row r="699" spans="1:6" x14ac:dyDescent="0.3">
      <c r="A699" s="31">
        <v>1000020753</v>
      </c>
      <c r="B699" s="31" t="s">
        <v>959</v>
      </c>
      <c r="C699" s="31" t="s">
        <v>4</v>
      </c>
      <c r="D699" s="31" t="s">
        <v>2090</v>
      </c>
      <c r="E699" s="32">
        <v>10361.383306878301</v>
      </c>
      <c r="F699" s="32">
        <v>12</v>
      </c>
    </row>
    <row r="700" spans="1:6" x14ac:dyDescent="0.3">
      <c r="A700" s="31">
        <v>2500009464</v>
      </c>
      <c r="B700" s="31" t="s">
        <v>2550</v>
      </c>
      <c r="C700" s="31" t="s">
        <v>1996</v>
      </c>
      <c r="D700" s="31" t="s">
        <v>2289</v>
      </c>
      <c r="E700" s="32">
        <v>10361.25</v>
      </c>
      <c r="F700" s="32">
        <v>3</v>
      </c>
    </row>
    <row r="701" spans="1:6" x14ac:dyDescent="0.3">
      <c r="A701" s="31">
        <v>2200011892</v>
      </c>
      <c r="B701" s="31" t="s">
        <v>2551</v>
      </c>
      <c r="C701" s="31" t="s">
        <v>2037</v>
      </c>
      <c r="D701" s="31" t="s">
        <v>2038</v>
      </c>
      <c r="E701" s="32">
        <v>10333.4</v>
      </c>
      <c r="F701" s="32">
        <v>1</v>
      </c>
    </row>
    <row r="702" spans="1:6" x14ac:dyDescent="0.3">
      <c r="A702" s="31">
        <v>2200011902</v>
      </c>
      <c r="B702" s="31" t="s">
        <v>2551</v>
      </c>
      <c r="C702" s="31" t="s">
        <v>2037</v>
      </c>
      <c r="D702" s="31" t="s">
        <v>2038</v>
      </c>
      <c r="E702" s="32">
        <v>10327.24</v>
      </c>
      <c r="F702" s="32">
        <v>1</v>
      </c>
    </row>
    <row r="703" spans="1:6" x14ac:dyDescent="0.3">
      <c r="A703" s="31">
        <v>1000110988</v>
      </c>
      <c r="B703" s="31" t="s">
        <v>2552</v>
      </c>
      <c r="C703" s="31" t="s">
        <v>4</v>
      </c>
      <c r="D703" s="31" t="s">
        <v>2090</v>
      </c>
      <c r="E703" s="32">
        <v>10258.875</v>
      </c>
      <c r="F703" s="32">
        <v>2</v>
      </c>
    </row>
    <row r="704" spans="1:6" x14ac:dyDescent="0.3">
      <c r="A704" s="31">
        <v>1000021232</v>
      </c>
      <c r="B704" s="31" t="s">
        <v>1377</v>
      </c>
      <c r="C704" s="31" t="s">
        <v>4</v>
      </c>
      <c r="D704" s="31" t="s">
        <v>2090</v>
      </c>
      <c r="E704" s="32">
        <v>10254.08</v>
      </c>
      <c r="F704" s="32">
        <v>37</v>
      </c>
    </row>
    <row r="705" spans="1:6" x14ac:dyDescent="0.3">
      <c r="A705" s="31">
        <v>1000020728</v>
      </c>
      <c r="B705" s="31" t="s">
        <v>936</v>
      </c>
      <c r="C705" s="31" t="s">
        <v>4</v>
      </c>
      <c r="D705" s="31" t="s">
        <v>2218</v>
      </c>
      <c r="E705" s="32">
        <v>10239.8360065291</v>
      </c>
      <c r="F705" s="32">
        <v>53</v>
      </c>
    </row>
    <row r="706" spans="1:6" x14ac:dyDescent="0.3">
      <c r="A706" s="31">
        <v>1000102955</v>
      </c>
      <c r="B706" s="31" t="s">
        <v>2553</v>
      </c>
      <c r="C706" s="31" t="s">
        <v>4</v>
      </c>
      <c r="D706" s="31" t="s">
        <v>2090</v>
      </c>
      <c r="E706" s="32">
        <v>10201.049999999999</v>
      </c>
      <c r="F706" s="32">
        <v>12</v>
      </c>
    </row>
    <row r="707" spans="1:6" x14ac:dyDescent="0.3">
      <c r="A707" s="31">
        <v>1000102166</v>
      </c>
      <c r="B707" s="31" t="s">
        <v>2554</v>
      </c>
      <c r="C707" s="31" t="s">
        <v>2109</v>
      </c>
      <c r="D707" s="31" t="s">
        <v>2070</v>
      </c>
      <c r="E707" s="32">
        <v>10129.37535</v>
      </c>
      <c r="F707" s="32">
        <v>3</v>
      </c>
    </row>
    <row r="708" spans="1:6" x14ac:dyDescent="0.3">
      <c r="A708" s="31">
        <v>1000015060</v>
      </c>
      <c r="B708" s="31" t="s">
        <v>56</v>
      </c>
      <c r="C708" s="31" t="s">
        <v>4</v>
      </c>
      <c r="D708" s="31" t="s">
        <v>2043</v>
      </c>
      <c r="E708" s="32">
        <v>10090.840489648701</v>
      </c>
      <c r="F708" s="32">
        <v>129</v>
      </c>
    </row>
    <row r="709" spans="1:6" x14ac:dyDescent="0.3">
      <c r="A709" s="31">
        <v>2300000195</v>
      </c>
      <c r="B709" s="31" t="s">
        <v>2555</v>
      </c>
      <c r="C709" s="31" t="s">
        <v>2020</v>
      </c>
      <c r="D709" s="31" t="s">
        <v>2023</v>
      </c>
      <c r="E709" s="32">
        <v>10042.5</v>
      </c>
      <c r="F709" s="32">
        <v>2060</v>
      </c>
    </row>
    <row r="710" spans="1:6" x14ac:dyDescent="0.3">
      <c r="A710" s="31">
        <v>1000100373</v>
      </c>
      <c r="B710" s="31" t="s">
        <v>2556</v>
      </c>
      <c r="C710" s="31" t="s">
        <v>4</v>
      </c>
      <c r="D710" s="31" t="s">
        <v>2090</v>
      </c>
      <c r="E710" s="32">
        <v>9998.5550000000003</v>
      </c>
      <c r="F710" s="32">
        <v>10</v>
      </c>
    </row>
    <row r="711" spans="1:6" x14ac:dyDescent="0.3">
      <c r="A711" s="31">
        <v>2200011898</v>
      </c>
      <c r="B711" s="31" t="s">
        <v>2557</v>
      </c>
      <c r="C711" s="31" t="s">
        <v>2037</v>
      </c>
      <c r="D711" s="31" t="s">
        <v>2038</v>
      </c>
      <c r="E711" s="32">
        <v>9997.68</v>
      </c>
      <c r="F711" s="32">
        <v>1</v>
      </c>
    </row>
    <row r="712" spans="1:6" x14ac:dyDescent="0.3">
      <c r="A712" s="31">
        <v>1000100314</v>
      </c>
      <c r="B712" s="31" t="s">
        <v>2558</v>
      </c>
      <c r="C712" s="31" t="s">
        <v>4</v>
      </c>
      <c r="D712" s="31" t="s">
        <v>2090</v>
      </c>
      <c r="E712" s="32">
        <v>9993.3422222222198</v>
      </c>
      <c r="F712" s="32">
        <v>21</v>
      </c>
    </row>
    <row r="713" spans="1:6" x14ac:dyDescent="0.3">
      <c r="A713" s="31">
        <v>1000020114</v>
      </c>
      <c r="B713" s="31" t="s">
        <v>370</v>
      </c>
      <c r="C713" s="31" t="s">
        <v>4</v>
      </c>
      <c r="D713" s="31" t="s">
        <v>2090</v>
      </c>
      <c r="E713" s="32">
        <v>9955.8802757735994</v>
      </c>
      <c r="F713" s="32">
        <v>31</v>
      </c>
    </row>
    <row r="714" spans="1:6" x14ac:dyDescent="0.3">
      <c r="A714" s="31">
        <v>1000102079</v>
      </c>
      <c r="B714" s="31" t="s">
        <v>2559</v>
      </c>
      <c r="C714" s="31" t="s">
        <v>2109</v>
      </c>
      <c r="D714" s="31" t="s">
        <v>2070</v>
      </c>
      <c r="E714" s="32">
        <v>9926.6299999999992</v>
      </c>
      <c r="F714" s="32">
        <v>2</v>
      </c>
    </row>
    <row r="715" spans="1:6" x14ac:dyDescent="0.3">
      <c r="A715" s="31">
        <v>1000106993</v>
      </c>
      <c r="B715" s="31" t="s">
        <v>2560</v>
      </c>
      <c r="C715" s="31" t="s">
        <v>2109</v>
      </c>
      <c r="D715" s="31" t="s">
        <v>2173</v>
      </c>
      <c r="E715" s="32">
        <v>9888.75</v>
      </c>
      <c r="F715" s="32">
        <v>1</v>
      </c>
    </row>
    <row r="716" spans="1:6" x14ac:dyDescent="0.3">
      <c r="A716" s="31">
        <v>1000015018</v>
      </c>
      <c r="B716" s="31" t="s">
        <v>36</v>
      </c>
      <c r="C716" s="31" t="s">
        <v>4</v>
      </c>
      <c r="D716" s="31" t="s">
        <v>2043</v>
      </c>
      <c r="E716" s="32">
        <v>9878.49</v>
      </c>
      <c r="F716" s="32">
        <v>27</v>
      </c>
    </row>
    <row r="717" spans="1:6" x14ac:dyDescent="0.3">
      <c r="A717" s="31">
        <v>1000015120</v>
      </c>
      <c r="B717" s="31" t="s">
        <v>2561</v>
      </c>
      <c r="C717" s="31" t="s">
        <v>4</v>
      </c>
      <c r="D717" s="31" t="s">
        <v>2043</v>
      </c>
      <c r="E717" s="32">
        <v>9837.4373731989399</v>
      </c>
      <c r="F717" s="32">
        <v>13</v>
      </c>
    </row>
    <row r="718" spans="1:6" x14ac:dyDescent="0.3">
      <c r="A718" s="31">
        <v>2500006442</v>
      </c>
      <c r="B718" s="31" t="s">
        <v>2562</v>
      </c>
      <c r="C718" s="31" t="s">
        <v>1996</v>
      </c>
      <c r="D718" s="31" t="s">
        <v>2025</v>
      </c>
      <c r="E718" s="32">
        <v>9696.0684210526306</v>
      </c>
      <c r="F718" s="32">
        <v>28</v>
      </c>
    </row>
    <row r="719" spans="1:6" x14ac:dyDescent="0.3">
      <c r="A719" s="31">
        <v>1000096457</v>
      </c>
      <c r="B719" s="31" t="s">
        <v>2563</v>
      </c>
      <c r="C719" s="31" t="s">
        <v>4</v>
      </c>
      <c r="D719" s="31" t="s">
        <v>2090</v>
      </c>
      <c r="E719" s="32">
        <v>9625.0125000000007</v>
      </c>
      <c r="F719" s="32">
        <v>47</v>
      </c>
    </row>
    <row r="720" spans="1:6" x14ac:dyDescent="0.3">
      <c r="A720" s="31">
        <v>2300000008</v>
      </c>
      <c r="B720" s="31" t="s">
        <v>321</v>
      </c>
      <c r="C720" s="31" t="s">
        <v>2017</v>
      </c>
      <c r="D720" s="31" t="s">
        <v>2063</v>
      </c>
      <c r="E720" s="32">
        <v>9620.8989453124996</v>
      </c>
      <c r="F720" s="32">
        <v>9</v>
      </c>
    </row>
    <row r="721" spans="1:6" x14ac:dyDescent="0.3">
      <c r="A721" s="31">
        <v>1000093074</v>
      </c>
      <c r="B721" s="31" t="s">
        <v>2044</v>
      </c>
      <c r="C721" s="31" t="s">
        <v>4</v>
      </c>
      <c r="D721" s="31" t="s">
        <v>2043</v>
      </c>
      <c r="E721" s="32">
        <v>9603.1696688767206</v>
      </c>
      <c r="F721" s="32">
        <v>96</v>
      </c>
    </row>
    <row r="722" spans="1:6" x14ac:dyDescent="0.3">
      <c r="A722" s="31">
        <v>2500008051</v>
      </c>
      <c r="B722" s="31" t="s">
        <v>2564</v>
      </c>
      <c r="C722" s="31" t="s">
        <v>1996</v>
      </c>
      <c r="D722" s="31" t="s">
        <v>2025</v>
      </c>
      <c r="E722" s="32">
        <v>9588.75</v>
      </c>
      <c r="F722" s="32">
        <v>1</v>
      </c>
    </row>
    <row r="723" spans="1:6" x14ac:dyDescent="0.3">
      <c r="A723" s="31">
        <v>2300000197</v>
      </c>
      <c r="B723" s="31" t="s">
        <v>2565</v>
      </c>
      <c r="C723" s="31" t="s">
        <v>2020</v>
      </c>
      <c r="D723" s="31" t="s">
        <v>2023</v>
      </c>
      <c r="E723" s="32">
        <v>9578.25</v>
      </c>
      <c r="F723" s="32">
        <v>860</v>
      </c>
    </row>
    <row r="724" spans="1:6" x14ac:dyDescent="0.3">
      <c r="A724" s="31">
        <v>1000106110</v>
      </c>
      <c r="B724" s="31" t="s">
        <v>2566</v>
      </c>
      <c r="C724" s="31" t="s">
        <v>4</v>
      </c>
      <c r="D724" s="31" t="s">
        <v>2161</v>
      </c>
      <c r="E724" s="32">
        <v>9573.4</v>
      </c>
      <c r="F724" s="32">
        <v>7</v>
      </c>
    </row>
    <row r="725" spans="1:6" x14ac:dyDescent="0.3">
      <c r="A725" s="31">
        <v>2100007194</v>
      </c>
      <c r="B725" s="31" t="s">
        <v>2567</v>
      </c>
      <c r="C725" s="31" t="s">
        <v>2037</v>
      </c>
      <c r="D725" s="31" t="s">
        <v>2031</v>
      </c>
      <c r="E725" s="32">
        <v>9571.5840000000007</v>
      </c>
      <c r="F725" s="32">
        <v>2</v>
      </c>
    </row>
    <row r="726" spans="1:6" x14ac:dyDescent="0.3">
      <c r="A726" s="31">
        <v>1000021261</v>
      </c>
      <c r="B726" s="31" t="s">
        <v>1405</v>
      </c>
      <c r="C726" s="31" t="s">
        <v>4</v>
      </c>
      <c r="D726" s="31" t="s">
        <v>2090</v>
      </c>
      <c r="E726" s="32">
        <v>9570.2000000000007</v>
      </c>
      <c r="F726" s="32">
        <v>10</v>
      </c>
    </row>
    <row r="727" spans="1:6" x14ac:dyDescent="0.3">
      <c r="A727" s="31">
        <v>2200003075</v>
      </c>
      <c r="B727" s="31" t="s">
        <v>198</v>
      </c>
      <c r="C727" s="31" t="s">
        <v>2037</v>
      </c>
      <c r="D727" s="31" t="s">
        <v>2067</v>
      </c>
      <c r="E727" s="32">
        <v>9564.5499999999993</v>
      </c>
      <c r="F727" s="32">
        <v>1</v>
      </c>
    </row>
    <row r="728" spans="1:6" x14ac:dyDescent="0.3">
      <c r="A728" s="31">
        <v>2200003076</v>
      </c>
      <c r="B728" s="31" t="s">
        <v>199</v>
      </c>
      <c r="C728" s="31" t="s">
        <v>2037</v>
      </c>
      <c r="D728" s="31" t="s">
        <v>2067</v>
      </c>
      <c r="E728" s="32">
        <v>9564.5499999999993</v>
      </c>
      <c r="F728" s="32">
        <v>1</v>
      </c>
    </row>
    <row r="729" spans="1:6" x14ac:dyDescent="0.3">
      <c r="A729" s="31">
        <v>2200003077</v>
      </c>
      <c r="B729" s="31" t="s">
        <v>200</v>
      </c>
      <c r="C729" s="31" t="s">
        <v>2037</v>
      </c>
      <c r="D729" s="31" t="s">
        <v>2067</v>
      </c>
      <c r="E729" s="32">
        <v>9564.5499999999993</v>
      </c>
      <c r="F729" s="32">
        <v>1</v>
      </c>
    </row>
    <row r="730" spans="1:6" x14ac:dyDescent="0.3">
      <c r="A730" s="31">
        <v>1000094873</v>
      </c>
      <c r="B730" s="31" t="s">
        <v>2568</v>
      </c>
      <c r="C730" s="31" t="s">
        <v>4</v>
      </c>
      <c r="D730" s="31" t="s">
        <v>2090</v>
      </c>
      <c r="E730" s="32">
        <v>9564.2032666666601</v>
      </c>
      <c r="F730" s="32">
        <v>6</v>
      </c>
    </row>
    <row r="731" spans="1:6" x14ac:dyDescent="0.3">
      <c r="A731" s="31">
        <v>2500009189</v>
      </c>
      <c r="B731" s="31" t="s">
        <v>2569</v>
      </c>
      <c r="C731" s="31" t="s">
        <v>1996</v>
      </c>
      <c r="D731" s="31" t="s">
        <v>2117</v>
      </c>
      <c r="E731" s="32">
        <v>9562.5</v>
      </c>
      <c r="F731" s="32">
        <v>1</v>
      </c>
    </row>
    <row r="732" spans="1:6" x14ac:dyDescent="0.3">
      <c r="A732" s="31">
        <v>1000095058</v>
      </c>
      <c r="B732" s="31" t="s">
        <v>2570</v>
      </c>
      <c r="C732" s="31" t="s">
        <v>4</v>
      </c>
      <c r="D732" s="31" t="s">
        <v>2090</v>
      </c>
      <c r="E732" s="32">
        <v>9531.3316129032191</v>
      </c>
      <c r="F732" s="32">
        <v>32</v>
      </c>
    </row>
    <row r="733" spans="1:6" x14ac:dyDescent="0.3">
      <c r="A733" s="31">
        <v>1000092612</v>
      </c>
      <c r="B733" s="31" t="s">
        <v>2571</v>
      </c>
      <c r="C733" s="31" t="s">
        <v>4</v>
      </c>
      <c r="D733" s="31" t="s">
        <v>2090</v>
      </c>
      <c r="E733" s="32">
        <v>9522.0499999999993</v>
      </c>
      <c r="F733" s="32">
        <v>1</v>
      </c>
    </row>
    <row r="734" spans="1:6" x14ac:dyDescent="0.3">
      <c r="A734" s="31">
        <v>1000020740</v>
      </c>
      <c r="B734" s="31" t="s">
        <v>948</v>
      </c>
      <c r="C734" s="31" t="s">
        <v>4</v>
      </c>
      <c r="D734" s="31" t="s">
        <v>2218</v>
      </c>
      <c r="E734" s="32">
        <v>9515.3262962962908</v>
      </c>
      <c r="F734" s="32">
        <v>34</v>
      </c>
    </row>
    <row r="735" spans="1:6" x14ac:dyDescent="0.3">
      <c r="A735" s="31">
        <v>1000097555</v>
      </c>
      <c r="B735" s="31" t="s">
        <v>2572</v>
      </c>
      <c r="C735" s="31" t="s">
        <v>4</v>
      </c>
      <c r="D735" s="31" t="s">
        <v>2090</v>
      </c>
      <c r="E735" s="32">
        <v>9507.4500000000007</v>
      </c>
      <c r="F735" s="32">
        <v>4</v>
      </c>
    </row>
    <row r="736" spans="1:6" x14ac:dyDescent="0.3">
      <c r="A736" s="31">
        <v>1000102235</v>
      </c>
      <c r="B736" s="31" t="s">
        <v>1787</v>
      </c>
      <c r="C736" s="31" t="s">
        <v>4</v>
      </c>
      <c r="D736" s="31" t="s">
        <v>2090</v>
      </c>
      <c r="E736" s="32">
        <v>9502.7999999999993</v>
      </c>
      <c r="F736" s="32">
        <v>4</v>
      </c>
    </row>
    <row r="737" spans="1:6" x14ac:dyDescent="0.3">
      <c r="A737" s="31">
        <v>1000093494</v>
      </c>
      <c r="B737" s="31" t="s">
        <v>2573</v>
      </c>
      <c r="C737" s="31" t="s">
        <v>4</v>
      </c>
      <c r="D737" s="31" t="s">
        <v>2056</v>
      </c>
      <c r="E737" s="32">
        <v>9481.5</v>
      </c>
      <c r="F737" s="32">
        <v>49</v>
      </c>
    </row>
    <row r="738" spans="1:6" x14ac:dyDescent="0.3">
      <c r="A738" s="31">
        <v>1000110550</v>
      </c>
      <c r="B738" s="31" t="s">
        <v>2574</v>
      </c>
      <c r="C738" s="31" t="s">
        <v>2257</v>
      </c>
      <c r="D738" s="31" t="s">
        <v>2390</v>
      </c>
      <c r="E738" s="32">
        <v>9381.3700000000008</v>
      </c>
      <c r="F738" s="32">
        <v>6</v>
      </c>
    </row>
    <row r="739" spans="1:6" x14ac:dyDescent="0.3">
      <c r="A739" s="31">
        <v>1000098753</v>
      </c>
      <c r="B739" s="31" t="s">
        <v>2575</v>
      </c>
      <c r="C739" s="31" t="s">
        <v>4</v>
      </c>
      <c r="D739" s="31" t="s">
        <v>2090</v>
      </c>
      <c r="E739" s="32">
        <v>9357.2347499999996</v>
      </c>
      <c r="F739" s="32">
        <v>27</v>
      </c>
    </row>
    <row r="740" spans="1:6" x14ac:dyDescent="0.3">
      <c r="A740" s="31">
        <v>1000093953</v>
      </c>
      <c r="B740" s="31" t="s">
        <v>2576</v>
      </c>
      <c r="C740" s="31" t="s">
        <v>4</v>
      </c>
      <c r="D740" s="31" t="s">
        <v>2090</v>
      </c>
      <c r="E740" s="32">
        <v>9348.2999999999993</v>
      </c>
      <c r="F740" s="32">
        <v>6</v>
      </c>
    </row>
    <row r="741" spans="1:6" x14ac:dyDescent="0.3">
      <c r="A741" s="31">
        <v>2200012210</v>
      </c>
      <c r="B741" s="31" t="s">
        <v>2577</v>
      </c>
      <c r="C741" s="31" t="s">
        <v>2037</v>
      </c>
      <c r="D741" s="31" t="s">
        <v>2038</v>
      </c>
      <c r="E741" s="32">
        <v>9276.4950000000008</v>
      </c>
      <c r="F741" s="32">
        <v>1</v>
      </c>
    </row>
    <row r="742" spans="1:6" x14ac:dyDescent="0.3">
      <c r="A742" s="31">
        <v>1000096238</v>
      </c>
      <c r="B742" s="31" t="s">
        <v>2578</v>
      </c>
      <c r="C742" s="31" t="s">
        <v>4</v>
      </c>
      <c r="D742" s="31" t="s">
        <v>2090</v>
      </c>
      <c r="E742" s="32">
        <v>9272.9647023809503</v>
      </c>
      <c r="F742" s="32">
        <v>38</v>
      </c>
    </row>
    <row r="743" spans="1:6" x14ac:dyDescent="0.3">
      <c r="A743" s="31">
        <v>1000099588</v>
      </c>
      <c r="B743" s="31" t="s">
        <v>2579</v>
      </c>
      <c r="C743" s="31" t="s">
        <v>4</v>
      </c>
      <c r="D743" s="31" t="s">
        <v>2056</v>
      </c>
      <c r="E743" s="32">
        <v>9259.3712017559592</v>
      </c>
      <c r="F743" s="32">
        <v>3808</v>
      </c>
    </row>
    <row r="744" spans="1:6" x14ac:dyDescent="0.3">
      <c r="A744" s="31">
        <v>2000018141</v>
      </c>
      <c r="B744" s="31" t="s">
        <v>2580</v>
      </c>
      <c r="C744" s="31" t="s">
        <v>2017</v>
      </c>
      <c r="D744" s="31" t="s">
        <v>2063</v>
      </c>
      <c r="E744" s="32">
        <v>9239.2875000000004</v>
      </c>
      <c r="F744" s="32">
        <v>20</v>
      </c>
    </row>
    <row r="745" spans="1:6" x14ac:dyDescent="0.3">
      <c r="A745" s="31">
        <v>1000103052</v>
      </c>
      <c r="B745" s="31" t="s">
        <v>2581</v>
      </c>
      <c r="C745" s="31" t="s">
        <v>4</v>
      </c>
      <c r="D745" s="31" t="s">
        <v>2399</v>
      </c>
      <c r="E745" s="32">
        <v>9233.8950000000004</v>
      </c>
      <c r="F745" s="32">
        <v>1</v>
      </c>
    </row>
    <row r="746" spans="1:6" x14ac:dyDescent="0.3">
      <c r="A746" s="31">
        <v>2700000016</v>
      </c>
      <c r="B746" s="31" t="s">
        <v>224</v>
      </c>
      <c r="C746" s="31" t="s">
        <v>2037</v>
      </c>
      <c r="D746" s="31" t="s">
        <v>2038</v>
      </c>
      <c r="E746" s="32">
        <v>9230.4596833430696</v>
      </c>
      <c r="F746" s="32">
        <v>19</v>
      </c>
    </row>
    <row r="747" spans="1:6" x14ac:dyDescent="0.3">
      <c r="A747" s="31">
        <v>2500005917</v>
      </c>
      <c r="B747" s="31" t="s">
        <v>2582</v>
      </c>
      <c r="C747" s="31" t="s">
        <v>1996</v>
      </c>
      <c r="D747" s="31" t="s">
        <v>2025</v>
      </c>
      <c r="E747" s="32">
        <v>9230.0471022635193</v>
      </c>
      <c r="F747" s="32">
        <v>6</v>
      </c>
    </row>
    <row r="748" spans="1:6" x14ac:dyDescent="0.3">
      <c r="A748" s="31">
        <v>1000020871</v>
      </c>
      <c r="B748" s="31" t="s">
        <v>1057</v>
      </c>
      <c r="C748" s="31" t="s">
        <v>4</v>
      </c>
      <c r="D748" s="31" t="s">
        <v>2090</v>
      </c>
      <c r="E748" s="32">
        <v>9199.5611688311692</v>
      </c>
      <c r="F748" s="32">
        <v>12</v>
      </c>
    </row>
    <row r="749" spans="1:6" x14ac:dyDescent="0.3">
      <c r="A749" s="31">
        <v>2200002467</v>
      </c>
      <c r="B749" s="31" t="s">
        <v>2583</v>
      </c>
      <c r="C749" s="31" t="s">
        <v>2030</v>
      </c>
      <c r="D749" s="31" t="s">
        <v>2584</v>
      </c>
      <c r="E749" s="32">
        <v>9128.44</v>
      </c>
      <c r="F749" s="32">
        <v>1</v>
      </c>
    </row>
    <row r="750" spans="1:6" x14ac:dyDescent="0.3">
      <c r="A750" s="31">
        <v>1000020818</v>
      </c>
      <c r="B750" s="31" t="s">
        <v>1020</v>
      </c>
      <c r="C750" s="31" t="s">
        <v>4</v>
      </c>
      <c r="D750" s="31" t="s">
        <v>2090</v>
      </c>
      <c r="E750" s="32">
        <v>9125.5105263157893</v>
      </c>
      <c r="F750" s="32">
        <v>15</v>
      </c>
    </row>
    <row r="751" spans="1:6" x14ac:dyDescent="0.3">
      <c r="A751" s="31">
        <v>2200012007</v>
      </c>
      <c r="B751" s="31" t="s">
        <v>2585</v>
      </c>
      <c r="C751" s="31" t="s">
        <v>2037</v>
      </c>
      <c r="D751" s="31" t="s">
        <v>2038</v>
      </c>
      <c r="E751" s="32">
        <v>9120.2800000000007</v>
      </c>
      <c r="F751" s="32">
        <v>1</v>
      </c>
    </row>
    <row r="752" spans="1:6" x14ac:dyDescent="0.3">
      <c r="A752" s="31">
        <v>1000111177</v>
      </c>
      <c r="B752" s="31" t="s">
        <v>2586</v>
      </c>
      <c r="C752" s="31" t="s">
        <v>4</v>
      </c>
      <c r="D752" s="31" t="s">
        <v>2284</v>
      </c>
      <c r="E752" s="32">
        <v>9080</v>
      </c>
      <c r="F752" s="32">
        <v>2</v>
      </c>
    </row>
    <row r="753" spans="1:6" x14ac:dyDescent="0.3">
      <c r="A753" s="31">
        <v>1000101642</v>
      </c>
      <c r="B753" s="31" t="s">
        <v>2587</v>
      </c>
      <c r="C753" s="31" t="s">
        <v>2109</v>
      </c>
      <c r="D753" s="31" t="s">
        <v>2070</v>
      </c>
      <c r="E753" s="32">
        <v>9072.98</v>
      </c>
      <c r="F753" s="32">
        <v>2</v>
      </c>
    </row>
    <row r="754" spans="1:6" x14ac:dyDescent="0.3">
      <c r="A754" s="31">
        <v>1000109887</v>
      </c>
      <c r="B754" s="31" t="s">
        <v>2588</v>
      </c>
      <c r="C754" s="31" t="s">
        <v>2205</v>
      </c>
      <c r="D754" s="31" t="s">
        <v>2150</v>
      </c>
      <c r="E754" s="32">
        <v>9039.6</v>
      </c>
      <c r="F754" s="32">
        <v>4</v>
      </c>
    </row>
    <row r="755" spans="1:6" x14ac:dyDescent="0.3">
      <c r="A755" s="31">
        <v>2200000400</v>
      </c>
      <c r="B755" s="31" t="s">
        <v>161</v>
      </c>
      <c r="C755" s="31" t="s">
        <v>2037</v>
      </c>
      <c r="D755" s="31" t="s">
        <v>2038</v>
      </c>
      <c r="E755" s="32">
        <v>9025.7800000000007</v>
      </c>
      <c r="F755" s="32">
        <v>2</v>
      </c>
    </row>
    <row r="756" spans="1:6" x14ac:dyDescent="0.3">
      <c r="A756" s="31">
        <v>1000103512</v>
      </c>
      <c r="B756" s="31" t="s">
        <v>2589</v>
      </c>
      <c r="C756" s="31" t="s">
        <v>4</v>
      </c>
      <c r="D756" s="31" t="s">
        <v>2043</v>
      </c>
      <c r="E756" s="32">
        <v>9021.74</v>
      </c>
      <c r="F756" s="32">
        <v>182</v>
      </c>
    </row>
    <row r="757" spans="1:6" x14ac:dyDescent="0.3">
      <c r="A757" s="31">
        <v>1000021315</v>
      </c>
      <c r="B757" s="31" t="s">
        <v>1447</v>
      </c>
      <c r="C757" s="31" t="s">
        <v>4</v>
      </c>
      <c r="D757" s="31" t="s">
        <v>2090</v>
      </c>
      <c r="E757" s="32">
        <v>8990.36</v>
      </c>
      <c r="F757" s="32">
        <v>4</v>
      </c>
    </row>
    <row r="758" spans="1:6" x14ac:dyDescent="0.3">
      <c r="A758" s="31">
        <v>1000100344</v>
      </c>
      <c r="B758" s="31" t="s">
        <v>2590</v>
      </c>
      <c r="C758" s="31" t="s">
        <v>4</v>
      </c>
      <c r="D758" s="31" t="s">
        <v>2090</v>
      </c>
      <c r="E758" s="32">
        <v>8968.2749999999996</v>
      </c>
      <c r="F758" s="32">
        <v>25</v>
      </c>
    </row>
    <row r="759" spans="1:6" x14ac:dyDescent="0.3">
      <c r="A759" s="31">
        <v>1000100353</v>
      </c>
      <c r="B759" s="31" t="s">
        <v>2591</v>
      </c>
      <c r="C759" s="31" t="s">
        <v>4</v>
      </c>
      <c r="D759" s="31" t="s">
        <v>2090</v>
      </c>
      <c r="E759" s="32">
        <v>8957.52</v>
      </c>
      <c r="F759" s="32">
        <v>12</v>
      </c>
    </row>
    <row r="760" spans="1:6" x14ac:dyDescent="0.3">
      <c r="A760" s="31">
        <v>1000105399</v>
      </c>
      <c r="B760" s="31" t="s">
        <v>2592</v>
      </c>
      <c r="C760" s="31" t="s">
        <v>4</v>
      </c>
      <c r="D760" s="31" t="s">
        <v>2090</v>
      </c>
      <c r="E760" s="32">
        <v>8943.9</v>
      </c>
      <c r="F760" s="32">
        <v>28</v>
      </c>
    </row>
    <row r="761" spans="1:6" x14ac:dyDescent="0.3">
      <c r="A761" s="31">
        <v>1000015045</v>
      </c>
      <c r="B761" s="31" t="s">
        <v>2593</v>
      </c>
      <c r="C761" s="31" t="s">
        <v>4</v>
      </c>
      <c r="D761" s="31" t="s">
        <v>2043</v>
      </c>
      <c r="E761" s="32">
        <v>8932.7470065789403</v>
      </c>
      <c r="F761" s="32">
        <v>15</v>
      </c>
    </row>
    <row r="762" spans="1:6" x14ac:dyDescent="0.3">
      <c r="A762" s="31">
        <v>1000015085</v>
      </c>
      <c r="B762" s="31" t="s">
        <v>67</v>
      </c>
      <c r="C762" s="31" t="s">
        <v>4</v>
      </c>
      <c r="D762" s="31" t="s">
        <v>2043</v>
      </c>
      <c r="E762" s="32">
        <v>8923.4122686752398</v>
      </c>
      <c r="F762" s="32">
        <v>289</v>
      </c>
    </row>
    <row r="763" spans="1:6" x14ac:dyDescent="0.3">
      <c r="A763" s="31">
        <v>1000103042</v>
      </c>
      <c r="B763" s="31" t="s">
        <v>2594</v>
      </c>
      <c r="C763" s="31" t="s">
        <v>4</v>
      </c>
      <c r="D763" s="31" t="s">
        <v>2090</v>
      </c>
      <c r="E763" s="32">
        <v>8903.0959999999995</v>
      </c>
      <c r="F763" s="32">
        <v>4</v>
      </c>
    </row>
    <row r="764" spans="1:6" x14ac:dyDescent="0.3">
      <c r="A764" s="31">
        <v>1000100432</v>
      </c>
      <c r="B764" s="31" t="s">
        <v>1743</v>
      </c>
      <c r="C764" s="31" t="s">
        <v>4</v>
      </c>
      <c r="D764" s="31" t="s">
        <v>2090</v>
      </c>
      <c r="E764" s="32">
        <v>8869.5400000000009</v>
      </c>
      <c r="F764" s="32">
        <v>6</v>
      </c>
    </row>
    <row r="765" spans="1:6" x14ac:dyDescent="0.3">
      <c r="A765" s="31">
        <v>1000098393</v>
      </c>
      <c r="B765" s="31" t="s">
        <v>2359</v>
      </c>
      <c r="C765" s="31" t="s">
        <v>4</v>
      </c>
      <c r="D765" s="31" t="s">
        <v>2161</v>
      </c>
      <c r="E765" s="32">
        <v>8863.2284331714109</v>
      </c>
      <c r="F765" s="32">
        <v>8</v>
      </c>
    </row>
    <row r="766" spans="1:6" x14ac:dyDescent="0.3">
      <c r="A766" s="31">
        <v>2700000019</v>
      </c>
      <c r="B766" s="31" t="s">
        <v>225</v>
      </c>
      <c r="C766" s="31" t="s">
        <v>2088</v>
      </c>
      <c r="D766" s="31" t="s">
        <v>2038</v>
      </c>
      <c r="E766" s="32">
        <v>8860.4875387523298</v>
      </c>
      <c r="F766" s="32">
        <v>1</v>
      </c>
    </row>
    <row r="767" spans="1:6" x14ac:dyDescent="0.3">
      <c r="A767" s="31">
        <v>1000001242</v>
      </c>
      <c r="B767" s="31" t="s">
        <v>2595</v>
      </c>
      <c r="C767" s="31" t="s">
        <v>2257</v>
      </c>
      <c r="D767" s="31" t="s">
        <v>2234</v>
      </c>
      <c r="E767" s="32">
        <v>8850</v>
      </c>
      <c r="F767" s="32">
        <v>20</v>
      </c>
    </row>
    <row r="768" spans="1:6" x14ac:dyDescent="0.3">
      <c r="A768" s="31">
        <v>1000094576</v>
      </c>
      <c r="B768" s="31" t="s">
        <v>2596</v>
      </c>
      <c r="C768" s="31" t="s">
        <v>4</v>
      </c>
      <c r="D768" s="31" t="s">
        <v>2161</v>
      </c>
      <c r="E768" s="32">
        <v>8819.2000000000007</v>
      </c>
      <c r="F768" s="32">
        <v>8</v>
      </c>
    </row>
    <row r="769" spans="1:6" x14ac:dyDescent="0.3">
      <c r="A769" s="31">
        <v>1000101328</v>
      </c>
      <c r="B769" s="31" t="s">
        <v>87</v>
      </c>
      <c r="C769" s="31" t="s">
        <v>4</v>
      </c>
      <c r="D769" s="31" t="s">
        <v>2043</v>
      </c>
      <c r="E769" s="32">
        <v>8800</v>
      </c>
      <c r="F769" s="32">
        <v>200</v>
      </c>
    </row>
    <row r="770" spans="1:6" x14ac:dyDescent="0.3">
      <c r="A770" s="31">
        <v>2700000002</v>
      </c>
      <c r="B770" s="31" t="s">
        <v>2597</v>
      </c>
      <c r="C770" s="31" t="s">
        <v>2088</v>
      </c>
      <c r="D770" s="31" t="s">
        <v>2038</v>
      </c>
      <c r="E770" s="32">
        <v>8791.0405561449697</v>
      </c>
      <c r="F770" s="32">
        <v>1</v>
      </c>
    </row>
    <row r="771" spans="1:6" x14ac:dyDescent="0.3">
      <c r="A771" s="31">
        <v>2500009463</v>
      </c>
      <c r="B771" s="31" t="s">
        <v>2598</v>
      </c>
      <c r="C771" s="31" t="s">
        <v>1996</v>
      </c>
      <c r="D771" s="31" t="s">
        <v>2289</v>
      </c>
      <c r="E771" s="32">
        <v>8775</v>
      </c>
      <c r="F771" s="32">
        <v>20</v>
      </c>
    </row>
    <row r="772" spans="1:6" x14ac:dyDescent="0.3">
      <c r="A772" s="31">
        <v>1000015008</v>
      </c>
      <c r="B772" s="31" t="s">
        <v>2599</v>
      </c>
      <c r="C772" s="31" t="s">
        <v>4</v>
      </c>
      <c r="D772" s="31" t="s">
        <v>2043</v>
      </c>
      <c r="E772" s="32">
        <v>8752.2293429461897</v>
      </c>
      <c r="F772" s="32">
        <v>48</v>
      </c>
    </row>
    <row r="773" spans="1:6" x14ac:dyDescent="0.3">
      <c r="A773" s="31">
        <v>1000097580</v>
      </c>
      <c r="B773" s="31" t="s">
        <v>2600</v>
      </c>
      <c r="C773" s="31" t="s">
        <v>4</v>
      </c>
      <c r="D773" s="31" t="s">
        <v>2056</v>
      </c>
      <c r="E773" s="32">
        <v>8710.0479193121992</v>
      </c>
      <c r="F773" s="32">
        <v>1656</v>
      </c>
    </row>
    <row r="774" spans="1:6" x14ac:dyDescent="0.3">
      <c r="A774" s="31">
        <v>2500009332</v>
      </c>
      <c r="B774" s="31" t="s">
        <v>2601</v>
      </c>
      <c r="C774" s="31" t="s">
        <v>1996</v>
      </c>
      <c r="D774" s="31" t="s">
        <v>2289</v>
      </c>
      <c r="E774" s="32">
        <v>8692.5</v>
      </c>
      <c r="F774" s="32">
        <v>1</v>
      </c>
    </row>
    <row r="775" spans="1:6" x14ac:dyDescent="0.3">
      <c r="A775" s="31">
        <v>1000093888</v>
      </c>
      <c r="B775" s="31" t="s">
        <v>2602</v>
      </c>
      <c r="C775" s="31" t="s">
        <v>2257</v>
      </c>
      <c r="D775" s="31" t="s">
        <v>2603</v>
      </c>
      <c r="E775" s="32">
        <v>8691.3736942682408</v>
      </c>
      <c r="F775" s="32">
        <v>1</v>
      </c>
    </row>
    <row r="776" spans="1:6" x14ac:dyDescent="0.3">
      <c r="A776" s="31">
        <v>2500008891</v>
      </c>
      <c r="B776" s="31" t="s">
        <v>2604</v>
      </c>
      <c r="C776" s="31" t="s">
        <v>1996</v>
      </c>
      <c r="D776" s="31" t="s">
        <v>2025</v>
      </c>
      <c r="E776" s="32">
        <v>8679.56</v>
      </c>
      <c r="F776" s="32">
        <v>1</v>
      </c>
    </row>
    <row r="777" spans="1:6" x14ac:dyDescent="0.3">
      <c r="A777" s="31">
        <v>1000020036</v>
      </c>
      <c r="B777" s="31" t="s">
        <v>2605</v>
      </c>
      <c r="C777" s="31" t="s">
        <v>4</v>
      </c>
      <c r="D777" s="31" t="s">
        <v>2090</v>
      </c>
      <c r="E777" s="32">
        <v>8653.3138489208595</v>
      </c>
      <c r="F777" s="32">
        <v>135</v>
      </c>
    </row>
    <row r="778" spans="1:6" x14ac:dyDescent="0.3">
      <c r="A778" s="31">
        <v>1000105766</v>
      </c>
      <c r="B778" s="31" t="s">
        <v>125</v>
      </c>
      <c r="C778" s="31" t="s">
        <v>4</v>
      </c>
      <c r="D778" s="31" t="s">
        <v>2161</v>
      </c>
      <c r="E778" s="32">
        <v>8640.3713229166606</v>
      </c>
      <c r="F778" s="32">
        <v>11</v>
      </c>
    </row>
    <row r="779" spans="1:6" x14ac:dyDescent="0.3">
      <c r="A779" s="31">
        <v>1000093479</v>
      </c>
      <c r="B779" s="31" t="s">
        <v>2606</v>
      </c>
      <c r="C779" s="31" t="s">
        <v>2027</v>
      </c>
      <c r="D779" s="31" t="s">
        <v>2399</v>
      </c>
      <c r="E779" s="32">
        <v>8611.0725000000002</v>
      </c>
      <c r="F779" s="32">
        <v>3</v>
      </c>
    </row>
    <row r="780" spans="1:6" x14ac:dyDescent="0.3">
      <c r="A780" s="31">
        <v>2700000613</v>
      </c>
      <c r="B780" s="31" t="s">
        <v>317</v>
      </c>
      <c r="C780" s="31" t="s">
        <v>2037</v>
      </c>
      <c r="D780" s="31" t="s">
        <v>2038</v>
      </c>
      <c r="E780" s="32">
        <v>8605.08</v>
      </c>
      <c r="F780" s="32">
        <v>3</v>
      </c>
    </row>
    <row r="781" spans="1:6" x14ac:dyDescent="0.3">
      <c r="A781" s="31">
        <v>1000020749</v>
      </c>
      <c r="B781" s="31" t="s">
        <v>955</v>
      </c>
      <c r="C781" s="31" t="s">
        <v>4</v>
      </c>
      <c r="D781" s="31" t="s">
        <v>2090</v>
      </c>
      <c r="E781" s="32">
        <v>8594.4750000000004</v>
      </c>
      <c r="F781" s="32">
        <v>20</v>
      </c>
    </row>
    <row r="782" spans="1:6" x14ac:dyDescent="0.3">
      <c r="A782" s="31">
        <v>1000098579</v>
      </c>
      <c r="B782" s="31" t="s">
        <v>1588</v>
      </c>
      <c r="C782" s="31" t="s">
        <v>4</v>
      </c>
      <c r="D782" s="31" t="s">
        <v>2090</v>
      </c>
      <c r="E782" s="32">
        <v>8556.0467105263106</v>
      </c>
      <c r="F782" s="32">
        <v>13</v>
      </c>
    </row>
    <row r="783" spans="1:6" x14ac:dyDescent="0.3">
      <c r="A783" s="31">
        <v>1000094201</v>
      </c>
      <c r="B783" s="31" t="s">
        <v>2607</v>
      </c>
      <c r="C783" s="31" t="s">
        <v>4</v>
      </c>
      <c r="D783" s="31" t="s">
        <v>2056</v>
      </c>
      <c r="E783" s="32">
        <v>8525.5791791110296</v>
      </c>
      <c r="F783" s="32">
        <v>231</v>
      </c>
    </row>
    <row r="784" spans="1:6" x14ac:dyDescent="0.3">
      <c r="A784" s="31">
        <v>1000103743</v>
      </c>
      <c r="B784" s="31" t="s">
        <v>1882</v>
      </c>
      <c r="C784" s="31" t="s">
        <v>4</v>
      </c>
      <c r="D784" s="31" t="s">
        <v>2056</v>
      </c>
      <c r="E784" s="32">
        <v>8440.1</v>
      </c>
      <c r="F784" s="32">
        <v>580</v>
      </c>
    </row>
    <row r="785" spans="1:6" x14ac:dyDescent="0.3">
      <c r="A785" s="31">
        <v>1000108322</v>
      </c>
      <c r="B785" s="31" t="s">
        <v>1835</v>
      </c>
      <c r="C785" s="31" t="s">
        <v>4</v>
      </c>
      <c r="D785" s="31" t="s">
        <v>2090</v>
      </c>
      <c r="E785" s="32">
        <v>8424.68</v>
      </c>
      <c r="F785" s="32">
        <v>18</v>
      </c>
    </row>
    <row r="786" spans="1:6" x14ac:dyDescent="0.3">
      <c r="A786" s="31">
        <v>2700000235</v>
      </c>
      <c r="B786" s="31" t="s">
        <v>296</v>
      </c>
      <c r="C786" s="31" t="s">
        <v>2037</v>
      </c>
      <c r="D786" s="31" t="s">
        <v>2038</v>
      </c>
      <c r="E786" s="32">
        <v>8414.56</v>
      </c>
      <c r="F786" s="32">
        <v>2</v>
      </c>
    </row>
    <row r="787" spans="1:6" x14ac:dyDescent="0.3">
      <c r="A787" s="31">
        <v>1000093223</v>
      </c>
      <c r="B787" s="31" t="s">
        <v>2608</v>
      </c>
      <c r="C787" s="31" t="s">
        <v>2109</v>
      </c>
      <c r="D787" s="31" t="s">
        <v>2070</v>
      </c>
      <c r="E787" s="32">
        <v>8410.7999999999993</v>
      </c>
      <c r="F787" s="32">
        <v>1</v>
      </c>
    </row>
    <row r="788" spans="1:6" x14ac:dyDescent="0.3">
      <c r="A788" s="31">
        <v>2500005906</v>
      </c>
      <c r="B788" s="31" t="s">
        <v>2609</v>
      </c>
      <c r="C788" s="31" t="s">
        <v>1996</v>
      </c>
      <c r="D788" s="31" t="s">
        <v>2025</v>
      </c>
      <c r="E788" s="32">
        <v>8405.80040978125</v>
      </c>
      <c r="F788" s="32">
        <v>4</v>
      </c>
    </row>
    <row r="789" spans="1:6" x14ac:dyDescent="0.3">
      <c r="A789" s="31">
        <v>1000093768</v>
      </c>
      <c r="B789" s="31" t="s">
        <v>2610</v>
      </c>
      <c r="C789" s="31" t="s">
        <v>4</v>
      </c>
      <c r="D789" s="31" t="s">
        <v>2056</v>
      </c>
      <c r="E789" s="32">
        <v>8370.0210000000006</v>
      </c>
      <c r="F789" s="32">
        <v>550</v>
      </c>
    </row>
    <row r="790" spans="1:6" x14ac:dyDescent="0.3">
      <c r="A790" s="31">
        <v>1000098464</v>
      </c>
      <c r="B790" s="31" t="s">
        <v>1539</v>
      </c>
      <c r="C790" s="31" t="s">
        <v>4</v>
      </c>
      <c r="D790" s="31" t="s">
        <v>2090</v>
      </c>
      <c r="E790" s="32">
        <v>8364</v>
      </c>
      <c r="F790" s="32">
        <v>52</v>
      </c>
    </row>
    <row r="791" spans="1:6" x14ac:dyDescent="0.3">
      <c r="A791" s="31">
        <v>1000020756</v>
      </c>
      <c r="B791" s="31" t="s">
        <v>961</v>
      </c>
      <c r="C791" s="31" t="s">
        <v>4</v>
      </c>
      <c r="D791" s="31" t="s">
        <v>2090</v>
      </c>
      <c r="E791" s="32">
        <v>8342.5582122448905</v>
      </c>
      <c r="F791" s="32">
        <v>6</v>
      </c>
    </row>
    <row r="792" spans="1:6" x14ac:dyDescent="0.3">
      <c r="A792" s="31">
        <v>1000015102</v>
      </c>
      <c r="B792" s="31" t="s">
        <v>73</v>
      </c>
      <c r="C792" s="31" t="s">
        <v>4</v>
      </c>
      <c r="D792" s="31" t="s">
        <v>2043</v>
      </c>
      <c r="E792" s="32">
        <v>8342.19</v>
      </c>
      <c r="F792" s="32">
        <v>81</v>
      </c>
    </row>
    <row r="793" spans="1:6" x14ac:dyDescent="0.3">
      <c r="A793" s="31">
        <v>2700000010</v>
      </c>
      <c r="B793" s="31" t="s">
        <v>219</v>
      </c>
      <c r="C793" s="31" t="s">
        <v>2037</v>
      </c>
      <c r="D793" s="31" t="s">
        <v>2038</v>
      </c>
      <c r="E793" s="32">
        <v>8326.4286703950402</v>
      </c>
      <c r="F793" s="32">
        <v>6</v>
      </c>
    </row>
    <row r="794" spans="1:6" x14ac:dyDescent="0.3">
      <c r="A794" s="31">
        <v>2900000050</v>
      </c>
      <c r="B794" s="31" t="s">
        <v>2611</v>
      </c>
      <c r="C794" s="31" t="s">
        <v>1996</v>
      </c>
      <c r="D794" s="31" t="s">
        <v>2117</v>
      </c>
      <c r="E794" s="32">
        <v>8325</v>
      </c>
      <c r="F794" s="32">
        <v>1</v>
      </c>
    </row>
    <row r="795" spans="1:6" x14ac:dyDescent="0.3">
      <c r="A795" s="31">
        <v>2200010550</v>
      </c>
      <c r="B795" s="31" t="s">
        <v>2612</v>
      </c>
      <c r="C795" s="31" t="s">
        <v>2037</v>
      </c>
      <c r="D795" s="31" t="s">
        <v>2067</v>
      </c>
      <c r="E795" s="32">
        <v>8301.5249999999996</v>
      </c>
      <c r="F795" s="32">
        <v>1</v>
      </c>
    </row>
    <row r="796" spans="1:6" x14ac:dyDescent="0.3">
      <c r="A796" s="31">
        <v>1000020739</v>
      </c>
      <c r="B796" s="31" t="s">
        <v>947</v>
      </c>
      <c r="C796" s="31" t="s">
        <v>4</v>
      </c>
      <c r="D796" s="31" t="s">
        <v>2090</v>
      </c>
      <c r="E796" s="32">
        <v>8286.6437499999993</v>
      </c>
      <c r="F796" s="32">
        <v>33</v>
      </c>
    </row>
    <row r="797" spans="1:6" x14ac:dyDescent="0.3">
      <c r="A797" s="31">
        <v>2700000011</v>
      </c>
      <c r="B797" s="31" t="s">
        <v>220</v>
      </c>
      <c r="C797" s="31" t="s">
        <v>2037</v>
      </c>
      <c r="D797" s="31" t="s">
        <v>2038</v>
      </c>
      <c r="E797" s="32">
        <v>8272.8799999999992</v>
      </c>
      <c r="F797" s="32">
        <v>2</v>
      </c>
    </row>
    <row r="798" spans="1:6" x14ac:dyDescent="0.3">
      <c r="A798" s="31">
        <v>1000015057</v>
      </c>
      <c r="B798" s="31" t="s">
        <v>2613</v>
      </c>
      <c r="C798" s="31" t="s">
        <v>4</v>
      </c>
      <c r="D798" s="31" t="s">
        <v>2043</v>
      </c>
      <c r="E798" s="32">
        <v>8270.6904677822495</v>
      </c>
      <c r="F798" s="32">
        <v>330</v>
      </c>
    </row>
    <row r="799" spans="1:6" x14ac:dyDescent="0.3">
      <c r="A799" s="31">
        <v>1000106684</v>
      </c>
      <c r="B799" s="31" t="s">
        <v>2614</v>
      </c>
      <c r="C799" s="31" t="s">
        <v>4</v>
      </c>
      <c r="D799" s="31" t="s">
        <v>2161</v>
      </c>
      <c r="E799" s="32">
        <v>8266.41</v>
      </c>
      <c r="F799" s="32">
        <v>2</v>
      </c>
    </row>
    <row r="800" spans="1:6" x14ac:dyDescent="0.3">
      <c r="A800" s="31">
        <v>1000104204</v>
      </c>
      <c r="B800" s="31" t="s">
        <v>2615</v>
      </c>
      <c r="C800" s="31" t="s">
        <v>4</v>
      </c>
      <c r="D800" s="31" t="s">
        <v>2161</v>
      </c>
      <c r="E800" s="32">
        <v>8266.41</v>
      </c>
      <c r="F800" s="32">
        <v>2</v>
      </c>
    </row>
    <row r="801" spans="1:6" x14ac:dyDescent="0.3">
      <c r="A801" s="31">
        <v>1000098527</v>
      </c>
      <c r="B801" s="31" t="s">
        <v>1561</v>
      </c>
      <c r="C801" s="31" t="s">
        <v>4</v>
      </c>
      <c r="D801" s="31" t="s">
        <v>2090</v>
      </c>
      <c r="E801" s="32">
        <v>8254.3574285714294</v>
      </c>
      <c r="F801" s="32">
        <v>39</v>
      </c>
    </row>
    <row r="802" spans="1:6" x14ac:dyDescent="0.3">
      <c r="A802" s="31">
        <v>1000015047</v>
      </c>
      <c r="B802" s="31" t="s">
        <v>47</v>
      </c>
      <c r="C802" s="31" t="s">
        <v>4</v>
      </c>
      <c r="D802" s="31" t="s">
        <v>2043</v>
      </c>
      <c r="E802" s="32">
        <v>8247.6881953710199</v>
      </c>
      <c r="F802" s="32">
        <v>504</v>
      </c>
    </row>
    <row r="803" spans="1:6" x14ac:dyDescent="0.3">
      <c r="A803" s="31">
        <v>1000093686</v>
      </c>
      <c r="B803" s="31" t="s">
        <v>2616</v>
      </c>
      <c r="C803" s="31" t="s">
        <v>4</v>
      </c>
      <c r="D803" s="31" t="s">
        <v>2056</v>
      </c>
      <c r="E803" s="32">
        <v>8246.0906875628898</v>
      </c>
      <c r="F803" s="32">
        <v>90298</v>
      </c>
    </row>
    <row r="804" spans="1:6" x14ac:dyDescent="0.3">
      <c r="A804" s="31">
        <v>2500005912</v>
      </c>
      <c r="B804" s="31" t="s">
        <v>2617</v>
      </c>
      <c r="C804" s="31" t="s">
        <v>1996</v>
      </c>
      <c r="D804" s="31" t="s">
        <v>2025</v>
      </c>
      <c r="E804" s="32">
        <v>8238.6132300000008</v>
      </c>
      <c r="F804" s="32">
        <v>3</v>
      </c>
    </row>
    <row r="805" spans="1:6" x14ac:dyDescent="0.3">
      <c r="A805" s="31">
        <v>2200003073</v>
      </c>
      <c r="B805" s="31" t="s">
        <v>196</v>
      </c>
      <c r="C805" s="31" t="s">
        <v>2037</v>
      </c>
      <c r="D805" s="31" t="s">
        <v>2067</v>
      </c>
      <c r="E805" s="32">
        <v>8225.2900000000009</v>
      </c>
      <c r="F805" s="32">
        <v>1</v>
      </c>
    </row>
    <row r="806" spans="1:6" x14ac:dyDescent="0.3">
      <c r="A806" s="31">
        <v>2200003074</v>
      </c>
      <c r="B806" s="31" t="s">
        <v>197</v>
      </c>
      <c r="C806" s="31" t="s">
        <v>2037</v>
      </c>
      <c r="D806" s="31" t="s">
        <v>2067</v>
      </c>
      <c r="E806" s="32">
        <v>8225.2900000000009</v>
      </c>
      <c r="F806" s="32">
        <v>1</v>
      </c>
    </row>
    <row r="807" spans="1:6" x14ac:dyDescent="0.3">
      <c r="A807" s="31">
        <v>2500008409</v>
      </c>
      <c r="B807" s="31" t="s">
        <v>2618</v>
      </c>
      <c r="C807" s="31" t="s">
        <v>1996</v>
      </c>
      <c r="D807" s="31" t="s">
        <v>2025</v>
      </c>
      <c r="E807" s="32">
        <v>8218.6812453510192</v>
      </c>
      <c r="F807" s="32">
        <v>88</v>
      </c>
    </row>
    <row r="808" spans="1:6" x14ac:dyDescent="0.3">
      <c r="A808" s="31">
        <v>2700000257</v>
      </c>
      <c r="B808" s="31" t="s">
        <v>303</v>
      </c>
      <c r="C808" s="31" t="s">
        <v>2037</v>
      </c>
      <c r="D808" s="31" t="s">
        <v>2038</v>
      </c>
      <c r="E808" s="32">
        <v>8182.5</v>
      </c>
      <c r="F808" s="32">
        <v>1</v>
      </c>
    </row>
    <row r="809" spans="1:6" x14ac:dyDescent="0.3">
      <c r="A809" s="31">
        <v>1000098425</v>
      </c>
      <c r="B809" s="31" t="s">
        <v>2619</v>
      </c>
      <c r="C809" s="31" t="s">
        <v>4</v>
      </c>
      <c r="D809" s="31" t="s">
        <v>2090</v>
      </c>
      <c r="E809" s="32">
        <v>8182.4568888888798</v>
      </c>
      <c r="F809" s="32">
        <v>7</v>
      </c>
    </row>
    <row r="810" spans="1:6" x14ac:dyDescent="0.3">
      <c r="A810" s="31">
        <v>1000103731</v>
      </c>
      <c r="B810" s="31" t="s">
        <v>1871</v>
      </c>
      <c r="C810" s="31" t="s">
        <v>4</v>
      </c>
      <c r="D810" s="31" t="s">
        <v>2056</v>
      </c>
      <c r="E810" s="32">
        <v>8157.1170000000002</v>
      </c>
      <c r="F810" s="32">
        <v>890</v>
      </c>
    </row>
    <row r="811" spans="1:6" x14ac:dyDescent="0.3">
      <c r="A811" s="31">
        <v>1000020865</v>
      </c>
      <c r="B811" s="31" t="s">
        <v>1053</v>
      </c>
      <c r="C811" s="31" t="s">
        <v>4</v>
      </c>
      <c r="D811" s="31" t="s">
        <v>2218</v>
      </c>
      <c r="E811" s="32">
        <v>8132.1750641025601</v>
      </c>
      <c r="F811" s="32">
        <v>14</v>
      </c>
    </row>
    <row r="812" spans="1:6" x14ac:dyDescent="0.3">
      <c r="A812" s="31">
        <v>1000095813</v>
      </c>
      <c r="B812" s="31" t="s">
        <v>2620</v>
      </c>
      <c r="C812" s="31" t="s">
        <v>4</v>
      </c>
      <c r="D812" s="31" t="s">
        <v>2056</v>
      </c>
      <c r="E812" s="32">
        <v>8117.80319339165</v>
      </c>
      <c r="F812" s="32">
        <v>1621</v>
      </c>
    </row>
    <row r="813" spans="1:6" x14ac:dyDescent="0.3">
      <c r="A813" s="31">
        <v>2500008418</v>
      </c>
      <c r="B813" s="31" t="s">
        <v>2621</v>
      </c>
      <c r="C813" s="31" t="s">
        <v>1996</v>
      </c>
      <c r="D813" s="31" t="s">
        <v>2025</v>
      </c>
      <c r="E813" s="32">
        <v>8083.2937499999998</v>
      </c>
      <c r="F813" s="32">
        <v>3</v>
      </c>
    </row>
    <row r="814" spans="1:6" x14ac:dyDescent="0.3">
      <c r="A814" s="31">
        <v>1000021438</v>
      </c>
      <c r="B814" s="31" t="s">
        <v>1482</v>
      </c>
      <c r="C814" s="31" t="s">
        <v>4</v>
      </c>
      <c r="D814" s="31" t="s">
        <v>2090</v>
      </c>
      <c r="E814" s="32">
        <v>8067.94</v>
      </c>
      <c r="F814" s="32">
        <v>5</v>
      </c>
    </row>
    <row r="815" spans="1:6" x14ac:dyDescent="0.3">
      <c r="A815" s="31">
        <v>1000096268</v>
      </c>
      <c r="B815" s="31" t="s">
        <v>2622</v>
      </c>
      <c r="C815" s="31" t="s">
        <v>4</v>
      </c>
      <c r="D815" s="31" t="s">
        <v>2043</v>
      </c>
      <c r="E815" s="32">
        <v>8067.3257416267897</v>
      </c>
      <c r="F815" s="32">
        <v>71</v>
      </c>
    </row>
    <row r="816" spans="1:6" x14ac:dyDescent="0.3">
      <c r="A816" s="31">
        <v>1000093565</v>
      </c>
      <c r="B816" s="31" t="s">
        <v>2623</v>
      </c>
      <c r="C816" s="31" t="s">
        <v>4</v>
      </c>
      <c r="D816" s="31" t="s">
        <v>2056</v>
      </c>
      <c r="E816" s="32">
        <v>8045.4160000000002</v>
      </c>
      <c r="F816" s="32">
        <v>65</v>
      </c>
    </row>
    <row r="817" spans="1:6" x14ac:dyDescent="0.3">
      <c r="A817" s="31">
        <v>1000104192</v>
      </c>
      <c r="B817" s="31" t="s">
        <v>2624</v>
      </c>
      <c r="C817" s="31" t="s">
        <v>4</v>
      </c>
      <c r="D817" s="31" t="s">
        <v>2161</v>
      </c>
      <c r="E817" s="32">
        <v>8042.0866666666598</v>
      </c>
      <c r="F817" s="32">
        <v>2</v>
      </c>
    </row>
    <row r="818" spans="1:6" x14ac:dyDescent="0.3">
      <c r="A818" s="31">
        <v>1000101096</v>
      </c>
      <c r="B818" s="31" t="s">
        <v>2625</v>
      </c>
      <c r="C818" s="31" t="s">
        <v>4</v>
      </c>
      <c r="D818" s="31" t="s">
        <v>2284</v>
      </c>
      <c r="E818" s="32">
        <v>8023.95</v>
      </c>
      <c r="F818" s="32">
        <v>3</v>
      </c>
    </row>
    <row r="819" spans="1:6" x14ac:dyDescent="0.3">
      <c r="A819" s="31">
        <v>1000108390</v>
      </c>
      <c r="B819" s="31" t="s">
        <v>2626</v>
      </c>
      <c r="C819" s="31" t="s">
        <v>2257</v>
      </c>
      <c r="D819" s="31" t="s">
        <v>2070</v>
      </c>
      <c r="E819" s="32">
        <v>8014.88</v>
      </c>
      <c r="F819" s="32">
        <v>2</v>
      </c>
    </row>
    <row r="820" spans="1:6" x14ac:dyDescent="0.3">
      <c r="A820" s="31">
        <v>1000098578</v>
      </c>
      <c r="B820" s="31" t="s">
        <v>1587</v>
      </c>
      <c r="C820" s="31" t="s">
        <v>4</v>
      </c>
      <c r="D820" s="31" t="s">
        <v>2090</v>
      </c>
      <c r="E820" s="32">
        <v>8010.24365079365</v>
      </c>
      <c r="F820" s="32">
        <v>15</v>
      </c>
    </row>
    <row r="821" spans="1:6" x14ac:dyDescent="0.3">
      <c r="A821" s="31">
        <v>2100006476</v>
      </c>
      <c r="B821" s="31" t="s">
        <v>145</v>
      </c>
      <c r="C821" s="31" t="s">
        <v>2037</v>
      </c>
      <c r="D821" s="31" t="s">
        <v>2031</v>
      </c>
      <c r="E821" s="32">
        <v>8007.98</v>
      </c>
      <c r="F821" s="32">
        <v>6</v>
      </c>
    </row>
    <row r="822" spans="1:6" x14ac:dyDescent="0.3">
      <c r="A822" s="31">
        <v>2100003403</v>
      </c>
      <c r="B822" s="31" t="s">
        <v>2627</v>
      </c>
      <c r="C822" s="31" t="s">
        <v>2030</v>
      </c>
      <c r="D822" s="31" t="s">
        <v>2628</v>
      </c>
      <c r="E822" s="32">
        <v>7998.98</v>
      </c>
      <c r="F822" s="32">
        <v>2</v>
      </c>
    </row>
    <row r="823" spans="1:6" x14ac:dyDescent="0.3">
      <c r="A823" s="31">
        <v>1000098710</v>
      </c>
      <c r="B823" s="31" t="s">
        <v>1658</v>
      </c>
      <c r="C823" s="31" t="s">
        <v>4</v>
      </c>
      <c r="D823" s="31" t="s">
        <v>2090</v>
      </c>
      <c r="E823" s="32">
        <v>7989.6592857142796</v>
      </c>
      <c r="F823" s="32">
        <v>14</v>
      </c>
    </row>
    <row r="824" spans="1:6" x14ac:dyDescent="0.3">
      <c r="A824" s="31">
        <v>1000096954</v>
      </c>
      <c r="B824" s="31" t="s">
        <v>2629</v>
      </c>
      <c r="C824" s="31" t="s">
        <v>4</v>
      </c>
      <c r="D824" s="31" t="s">
        <v>2161</v>
      </c>
      <c r="E824" s="32">
        <v>7971.9500300309601</v>
      </c>
      <c r="F824" s="32">
        <v>3</v>
      </c>
    </row>
    <row r="825" spans="1:6" x14ac:dyDescent="0.3">
      <c r="A825" s="31">
        <v>1000106153</v>
      </c>
      <c r="B825" s="31" t="s">
        <v>2630</v>
      </c>
      <c r="C825" s="31" t="s">
        <v>4</v>
      </c>
      <c r="D825" s="31" t="s">
        <v>2090</v>
      </c>
      <c r="E825" s="32">
        <v>7945.6916666666602</v>
      </c>
      <c r="F825" s="32">
        <v>5</v>
      </c>
    </row>
    <row r="826" spans="1:6" x14ac:dyDescent="0.3">
      <c r="A826" s="31">
        <v>1000015093</v>
      </c>
      <c r="B826" s="31" t="s">
        <v>69</v>
      </c>
      <c r="C826" s="31" t="s">
        <v>4</v>
      </c>
      <c r="D826" s="31" t="s">
        <v>2043</v>
      </c>
      <c r="E826" s="32">
        <v>7944</v>
      </c>
      <c r="F826" s="32">
        <v>100</v>
      </c>
    </row>
    <row r="827" spans="1:6" x14ac:dyDescent="0.3">
      <c r="A827" s="31">
        <v>1000102606</v>
      </c>
      <c r="B827" s="31" t="s">
        <v>2631</v>
      </c>
      <c r="C827" s="31" t="s">
        <v>2257</v>
      </c>
      <c r="D827" s="31" t="s">
        <v>2070</v>
      </c>
      <c r="E827" s="32">
        <v>7920</v>
      </c>
      <c r="F827" s="32">
        <v>2</v>
      </c>
    </row>
    <row r="828" spans="1:6" x14ac:dyDescent="0.3">
      <c r="A828" s="31">
        <v>1000020128</v>
      </c>
      <c r="B828" s="31" t="s">
        <v>383</v>
      </c>
      <c r="C828" s="31" t="s">
        <v>4</v>
      </c>
      <c r="D828" s="31" t="s">
        <v>2090</v>
      </c>
      <c r="E828" s="32">
        <v>7910.1</v>
      </c>
      <c r="F828" s="32">
        <v>10</v>
      </c>
    </row>
    <row r="829" spans="1:6" x14ac:dyDescent="0.3">
      <c r="A829" s="31">
        <v>2200001477</v>
      </c>
      <c r="B829" s="31" t="s">
        <v>2632</v>
      </c>
      <c r="C829" s="31" t="s">
        <v>2037</v>
      </c>
      <c r="D829" s="31" t="s">
        <v>2038</v>
      </c>
      <c r="E829" s="32">
        <v>7909.44</v>
      </c>
      <c r="F829" s="32">
        <v>3</v>
      </c>
    </row>
    <row r="830" spans="1:6" x14ac:dyDescent="0.3">
      <c r="A830" s="31">
        <v>2700000274</v>
      </c>
      <c r="B830" s="31" t="s">
        <v>309</v>
      </c>
      <c r="C830" s="31" t="s">
        <v>2037</v>
      </c>
      <c r="D830" s="31" t="s">
        <v>2038</v>
      </c>
      <c r="E830" s="32">
        <v>7897.91</v>
      </c>
      <c r="F830" s="32">
        <v>1</v>
      </c>
    </row>
    <row r="831" spans="1:6" x14ac:dyDescent="0.3">
      <c r="A831" s="31">
        <v>2500006867</v>
      </c>
      <c r="B831" s="31" t="s">
        <v>2633</v>
      </c>
      <c r="C831" s="31" t="s">
        <v>1996</v>
      </c>
      <c r="D831" s="31" t="s">
        <v>2440</v>
      </c>
      <c r="E831" s="32">
        <v>7881.07956730769</v>
      </c>
      <c r="F831" s="32">
        <v>15</v>
      </c>
    </row>
    <row r="832" spans="1:6" x14ac:dyDescent="0.3">
      <c r="A832" s="31">
        <v>1000010250</v>
      </c>
      <c r="B832" s="31" t="s">
        <v>2634</v>
      </c>
      <c r="C832" s="31" t="s">
        <v>4</v>
      </c>
      <c r="D832" s="31" t="s">
        <v>2161</v>
      </c>
      <c r="E832" s="32">
        <v>7867.9909374999997</v>
      </c>
      <c r="F832" s="32">
        <v>23</v>
      </c>
    </row>
    <row r="833" spans="1:6" x14ac:dyDescent="0.3">
      <c r="A833" s="31">
        <v>1000103146</v>
      </c>
      <c r="B833" s="31" t="s">
        <v>2635</v>
      </c>
      <c r="C833" s="31" t="s">
        <v>4</v>
      </c>
      <c r="D833" s="31" t="s">
        <v>2090</v>
      </c>
      <c r="E833" s="32">
        <v>7843.28</v>
      </c>
      <c r="F833" s="32">
        <v>11</v>
      </c>
    </row>
    <row r="834" spans="1:6" x14ac:dyDescent="0.3">
      <c r="A834" s="31">
        <v>1000110312</v>
      </c>
      <c r="B834" s="31" t="s">
        <v>2636</v>
      </c>
      <c r="C834" s="31" t="s">
        <v>2109</v>
      </c>
      <c r="D834" s="31" t="s">
        <v>2409</v>
      </c>
      <c r="E834" s="32">
        <v>7794</v>
      </c>
      <c r="F834" s="32">
        <v>1</v>
      </c>
    </row>
    <row r="835" spans="1:6" x14ac:dyDescent="0.3">
      <c r="A835" s="31">
        <v>1000096565</v>
      </c>
      <c r="B835" s="31" t="s">
        <v>2637</v>
      </c>
      <c r="C835" s="31" t="s">
        <v>4</v>
      </c>
      <c r="D835" s="31" t="s">
        <v>2161</v>
      </c>
      <c r="E835" s="32">
        <v>7786.2704000000003</v>
      </c>
      <c r="F835" s="32">
        <v>29</v>
      </c>
    </row>
    <row r="836" spans="1:6" x14ac:dyDescent="0.3">
      <c r="A836" s="31">
        <v>1000015049</v>
      </c>
      <c r="B836" s="31" t="s">
        <v>49</v>
      </c>
      <c r="C836" s="31" t="s">
        <v>4</v>
      </c>
      <c r="D836" s="31" t="s">
        <v>2043</v>
      </c>
      <c r="E836" s="32">
        <v>7783.2583178312698</v>
      </c>
      <c r="F836" s="32">
        <v>218</v>
      </c>
    </row>
    <row r="837" spans="1:6" x14ac:dyDescent="0.3">
      <c r="A837" s="31">
        <v>1000099626</v>
      </c>
      <c r="B837" s="31" t="s">
        <v>2638</v>
      </c>
      <c r="C837" s="31" t="s">
        <v>4</v>
      </c>
      <c r="D837" s="31" t="s">
        <v>2639</v>
      </c>
      <c r="E837" s="32">
        <v>7779.1342974887202</v>
      </c>
      <c r="F837" s="32">
        <v>865</v>
      </c>
    </row>
    <row r="838" spans="1:6" x14ac:dyDescent="0.3">
      <c r="A838" s="31">
        <v>2500008566</v>
      </c>
      <c r="B838" s="31" t="s">
        <v>2278</v>
      </c>
      <c r="C838" s="31" t="s">
        <v>1996</v>
      </c>
      <c r="D838" s="31" t="s">
        <v>2117</v>
      </c>
      <c r="E838" s="32">
        <v>7762.5</v>
      </c>
      <c r="F838" s="32">
        <v>1</v>
      </c>
    </row>
    <row r="839" spans="1:6" x14ac:dyDescent="0.3">
      <c r="A839" s="31">
        <v>1000109827</v>
      </c>
      <c r="B839" s="31" t="s">
        <v>2640</v>
      </c>
      <c r="C839" s="31" t="s">
        <v>2027</v>
      </c>
      <c r="D839" s="31" t="s">
        <v>2035</v>
      </c>
      <c r="E839" s="32">
        <v>7705.5749999999998</v>
      </c>
      <c r="F839" s="32">
        <v>3</v>
      </c>
    </row>
    <row r="840" spans="1:6" x14ac:dyDescent="0.3">
      <c r="A840" s="31">
        <v>1000092294</v>
      </c>
      <c r="B840" s="31" t="s">
        <v>2641</v>
      </c>
      <c r="C840" s="31" t="s">
        <v>2257</v>
      </c>
      <c r="D840" s="31" t="s">
        <v>2070</v>
      </c>
      <c r="E840" s="32">
        <v>7702.7066000000004</v>
      </c>
      <c r="F840" s="32">
        <v>2</v>
      </c>
    </row>
    <row r="841" spans="1:6" x14ac:dyDescent="0.3">
      <c r="A841" s="31">
        <v>1000102232</v>
      </c>
      <c r="B841" s="31" t="s">
        <v>1784</v>
      </c>
      <c r="C841" s="31" t="s">
        <v>4</v>
      </c>
      <c r="D841" s="31" t="s">
        <v>2090</v>
      </c>
      <c r="E841" s="32">
        <v>7697.48</v>
      </c>
      <c r="F841" s="32">
        <v>1</v>
      </c>
    </row>
    <row r="842" spans="1:6" x14ac:dyDescent="0.3">
      <c r="A842" s="31">
        <v>1000021235</v>
      </c>
      <c r="B842" s="31" t="s">
        <v>1380</v>
      </c>
      <c r="C842" s="31" t="s">
        <v>4</v>
      </c>
      <c r="D842" s="31" t="s">
        <v>2090</v>
      </c>
      <c r="E842" s="32">
        <v>7696.5</v>
      </c>
      <c r="F842" s="32">
        <v>20</v>
      </c>
    </row>
    <row r="843" spans="1:6" x14ac:dyDescent="0.3">
      <c r="A843" s="31">
        <v>2500008249</v>
      </c>
      <c r="B843" s="31" t="s">
        <v>2642</v>
      </c>
      <c r="C843" s="31" t="s">
        <v>1996</v>
      </c>
      <c r="D843" s="31" t="s">
        <v>2643</v>
      </c>
      <c r="E843" s="32">
        <v>7680</v>
      </c>
      <c r="F843" s="32">
        <v>2</v>
      </c>
    </row>
    <row r="844" spans="1:6" x14ac:dyDescent="0.3">
      <c r="A844" s="31">
        <v>2500009117</v>
      </c>
      <c r="B844" s="31" t="s">
        <v>1974</v>
      </c>
      <c r="C844" s="31" t="s">
        <v>1996</v>
      </c>
      <c r="D844" s="31" t="s">
        <v>2289</v>
      </c>
      <c r="E844" s="32">
        <v>7672.5</v>
      </c>
      <c r="F844" s="32">
        <v>31</v>
      </c>
    </row>
    <row r="845" spans="1:6" x14ac:dyDescent="0.3">
      <c r="A845" s="31">
        <v>80000002258</v>
      </c>
      <c r="B845" s="31" t="s">
        <v>2644</v>
      </c>
      <c r="C845" s="31" t="s">
        <v>2521</v>
      </c>
      <c r="D845" s="31" t="s">
        <v>2645</v>
      </c>
      <c r="E845" s="32">
        <v>7662.1</v>
      </c>
      <c r="F845" s="32">
        <v>1930</v>
      </c>
    </row>
    <row r="846" spans="1:6" x14ac:dyDescent="0.3">
      <c r="A846" s="31">
        <v>2500009116</v>
      </c>
      <c r="B846" s="31" t="s">
        <v>1973</v>
      </c>
      <c r="C846" s="31" t="s">
        <v>1996</v>
      </c>
      <c r="D846" s="31" t="s">
        <v>2289</v>
      </c>
      <c r="E846" s="32">
        <v>7631.25</v>
      </c>
      <c r="F846" s="32">
        <v>10</v>
      </c>
    </row>
    <row r="847" spans="1:6" x14ac:dyDescent="0.3">
      <c r="A847" s="31">
        <v>1000109884</v>
      </c>
      <c r="B847" s="31" t="s">
        <v>2646</v>
      </c>
      <c r="C847" s="31" t="s">
        <v>2205</v>
      </c>
      <c r="D847" s="31" t="s">
        <v>2150</v>
      </c>
      <c r="E847" s="32">
        <v>7614</v>
      </c>
      <c r="F847" s="32">
        <v>8</v>
      </c>
    </row>
    <row r="848" spans="1:6" x14ac:dyDescent="0.3">
      <c r="A848" s="31">
        <v>2200010518</v>
      </c>
      <c r="B848" s="31" t="s">
        <v>2647</v>
      </c>
      <c r="C848" s="31" t="s">
        <v>2037</v>
      </c>
      <c r="D848" s="31" t="s">
        <v>2067</v>
      </c>
      <c r="E848" s="32">
        <v>7612.26</v>
      </c>
      <c r="F848" s="32">
        <v>2</v>
      </c>
    </row>
    <row r="849" spans="1:6" x14ac:dyDescent="0.3">
      <c r="A849" s="31">
        <v>1000020851</v>
      </c>
      <c r="B849" s="31" t="s">
        <v>1043</v>
      </c>
      <c r="C849" s="31" t="s">
        <v>4</v>
      </c>
      <c r="D849" s="31" t="s">
        <v>2090</v>
      </c>
      <c r="E849" s="32">
        <v>7608.5042763157899</v>
      </c>
      <c r="F849" s="32">
        <v>15</v>
      </c>
    </row>
    <row r="850" spans="1:6" x14ac:dyDescent="0.3">
      <c r="A850" s="31">
        <v>1000108425</v>
      </c>
      <c r="B850" s="31" t="s">
        <v>2648</v>
      </c>
      <c r="C850" s="31" t="s">
        <v>2027</v>
      </c>
      <c r="D850" s="31" t="s">
        <v>2159</v>
      </c>
      <c r="E850" s="32">
        <v>7603.2</v>
      </c>
      <c r="F850" s="32">
        <v>1</v>
      </c>
    </row>
    <row r="851" spans="1:6" x14ac:dyDescent="0.3">
      <c r="A851" s="31">
        <v>2200000285</v>
      </c>
      <c r="B851" s="31" t="s">
        <v>2649</v>
      </c>
      <c r="C851" s="31" t="s">
        <v>2037</v>
      </c>
      <c r="D851" s="31" t="s">
        <v>2038</v>
      </c>
      <c r="E851" s="32">
        <v>7589.38</v>
      </c>
      <c r="F851" s="32">
        <v>2</v>
      </c>
    </row>
    <row r="852" spans="1:6" x14ac:dyDescent="0.3">
      <c r="A852" s="31">
        <v>1000102155</v>
      </c>
      <c r="B852" s="31" t="s">
        <v>2650</v>
      </c>
      <c r="C852" s="31" t="s">
        <v>4</v>
      </c>
      <c r="D852" s="31" t="s">
        <v>2043</v>
      </c>
      <c r="E852" s="32">
        <v>7573.3329411764698</v>
      </c>
      <c r="F852" s="32">
        <v>39</v>
      </c>
    </row>
    <row r="853" spans="1:6" x14ac:dyDescent="0.3">
      <c r="A853" s="31">
        <v>1000095496</v>
      </c>
      <c r="B853" s="31" t="s">
        <v>2651</v>
      </c>
      <c r="C853" s="31" t="s">
        <v>4</v>
      </c>
      <c r="D853" s="31" t="s">
        <v>2090</v>
      </c>
      <c r="E853" s="32">
        <v>7553.2550000000001</v>
      </c>
      <c r="F853" s="32">
        <v>30</v>
      </c>
    </row>
    <row r="854" spans="1:6" x14ac:dyDescent="0.3">
      <c r="A854" s="31">
        <v>2500008787</v>
      </c>
      <c r="B854" s="31" t="s">
        <v>2652</v>
      </c>
      <c r="C854" s="31" t="s">
        <v>1996</v>
      </c>
      <c r="D854" s="31" t="s">
        <v>2025</v>
      </c>
      <c r="E854" s="32">
        <v>7543.13</v>
      </c>
      <c r="F854" s="32">
        <v>1</v>
      </c>
    </row>
    <row r="855" spans="1:6" x14ac:dyDescent="0.3">
      <c r="A855" s="31">
        <v>1000103515</v>
      </c>
      <c r="B855" s="31" t="s">
        <v>2653</v>
      </c>
      <c r="C855" s="31" t="s">
        <v>4</v>
      </c>
      <c r="D855" s="31" t="s">
        <v>2043</v>
      </c>
      <c r="E855" s="32">
        <v>7527.4650000000001</v>
      </c>
      <c r="F855" s="32">
        <v>37</v>
      </c>
    </row>
    <row r="856" spans="1:6" x14ac:dyDescent="0.3">
      <c r="A856" s="31">
        <v>2100004324</v>
      </c>
      <c r="B856" s="31" t="s">
        <v>2654</v>
      </c>
      <c r="C856" s="31" t="s">
        <v>2030</v>
      </c>
      <c r="D856" s="31" t="s">
        <v>2075</v>
      </c>
      <c r="E856" s="32">
        <v>7523.63</v>
      </c>
      <c r="F856" s="32">
        <v>1</v>
      </c>
    </row>
    <row r="857" spans="1:6" x14ac:dyDescent="0.3">
      <c r="A857" s="31">
        <v>2000017213</v>
      </c>
      <c r="B857" s="31" t="s">
        <v>2655</v>
      </c>
      <c r="C857" s="31" t="s">
        <v>2017</v>
      </c>
      <c r="D857" s="31" t="s">
        <v>2072</v>
      </c>
      <c r="E857" s="32">
        <v>7515</v>
      </c>
      <c r="F857" s="32">
        <v>6</v>
      </c>
    </row>
    <row r="858" spans="1:6" x14ac:dyDescent="0.3">
      <c r="A858" s="31">
        <v>1000100940</v>
      </c>
      <c r="B858" s="31" t="s">
        <v>2656</v>
      </c>
      <c r="C858" s="31" t="s">
        <v>4</v>
      </c>
      <c r="D858" s="31" t="s">
        <v>2161</v>
      </c>
      <c r="E858" s="32">
        <v>7506</v>
      </c>
      <c r="F858" s="32">
        <v>15</v>
      </c>
    </row>
    <row r="859" spans="1:6" x14ac:dyDescent="0.3">
      <c r="A859" s="31">
        <v>1000106121</v>
      </c>
      <c r="B859" s="31" t="s">
        <v>2657</v>
      </c>
      <c r="C859" s="31" t="s">
        <v>4</v>
      </c>
      <c r="D859" s="31" t="s">
        <v>2161</v>
      </c>
      <c r="E859" s="32">
        <v>7504.9470000000001</v>
      </c>
      <c r="F859" s="32">
        <v>9</v>
      </c>
    </row>
    <row r="860" spans="1:6" x14ac:dyDescent="0.3">
      <c r="A860" s="31">
        <v>1000111087</v>
      </c>
      <c r="B860" s="31" t="s">
        <v>2658</v>
      </c>
      <c r="C860" s="31" t="s">
        <v>2027</v>
      </c>
      <c r="D860" s="31" t="s">
        <v>2035</v>
      </c>
      <c r="E860" s="32">
        <v>7503</v>
      </c>
      <c r="F860" s="32">
        <v>2</v>
      </c>
    </row>
    <row r="861" spans="1:6" x14ac:dyDescent="0.3">
      <c r="A861" s="31">
        <v>80000007895</v>
      </c>
      <c r="B861" s="31" t="s">
        <v>2659</v>
      </c>
      <c r="C861" s="31" t="s">
        <v>2521</v>
      </c>
      <c r="D861" s="31" t="s">
        <v>2660</v>
      </c>
      <c r="E861" s="32">
        <v>7500</v>
      </c>
      <c r="F861" s="32">
        <v>50</v>
      </c>
    </row>
    <row r="862" spans="1:6" x14ac:dyDescent="0.3">
      <c r="A862" s="31">
        <v>2200002776</v>
      </c>
      <c r="B862" s="31" t="s">
        <v>185</v>
      </c>
      <c r="C862" s="31" t="s">
        <v>2037</v>
      </c>
      <c r="D862" s="31" t="s">
        <v>2038</v>
      </c>
      <c r="E862" s="32">
        <v>7456.26</v>
      </c>
      <c r="F862" s="32">
        <v>3</v>
      </c>
    </row>
    <row r="863" spans="1:6" x14ac:dyDescent="0.3">
      <c r="A863" s="31">
        <v>1000020025</v>
      </c>
      <c r="B863" s="31" t="s">
        <v>2661</v>
      </c>
      <c r="C863" s="31" t="s">
        <v>4</v>
      </c>
      <c r="D863" s="31" t="s">
        <v>2218</v>
      </c>
      <c r="E863" s="32">
        <v>7442.4664794239297</v>
      </c>
      <c r="F863" s="32">
        <v>143</v>
      </c>
    </row>
    <row r="864" spans="1:6" x14ac:dyDescent="0.3">
      <c r="A864" s="31">
        <v>1000015077</v>
      </c>
      <c r="B864" s="31" t="s">
        <v>65</v>
      </c>
      <c r="C864" s="31" t="s">
        <v>4</v>
      </c>
      <c r="D864" s="31" t="s">
        <v>2043</v>
      </c>
      <c r="E864" s="32">
        <v>7434.8134736842103</v>
      </c>
      <c r="F864" s="32">
        <v>224</v>
      </c>
    </row>
    <row r="865" spans="1:6" x14ac:dyDescent="0.3">
      <c r="A865" s="31">
        <v>1000021237</v>
      </c>
      <c r="B865" s="31" t="s">
        <v>1382</v>
      </c>
      <c r="C865" s="31" t="s">
        <v>4</v>
      </c>
      <c r="D865" s="31" t="s">
        <v>2090</v>
      </c>
      <c r="E865" s="32">
        <v>7393.2183649580602</v>
      </c>
      <c r="F865" s="32">
        <v>24</v>
      </c>
    </row>
    <row r="866" spans="1:6" x14ac:dyDescent="0.3">
      <c r="A866" s="31">
        <v>2500007076</v>
      </c>
      <c r="B866" s="31" t="s">
        <v>2662</v>
      </c>
      <c r="C866" s="31" t="s">
        <v>1996</v>
      </c>
      <c r="D866" s="31" t="s">
        <v>2025</v>
      </c>
      <c r="E866" s="32">
        <v>7383.39</v>
      </c>
      <c r="F866" s="32">
        <v>5</v>
      </c>
    </row>
    <row r="867" spans="1:6" x14ac:dyDescent="0.3">
      <c r="A867" s="31">
        <v>1000097811</v>
      </c>
      <c r="B867" s="31" t="s">
        <v>2663</v>
      </c>
      <c r="C867" s="31" t="s">
        <v>2109</v>
      </c>
      <c r="D867" s="31" t="s">
        <v>2664</v>
      </c>
      <c r="E867" s="32">
        <v>7344</v>
      </c>
      <c r="F867" s="32">
        <v>9</v>
      </c>
    </row>
    <row r="868" spans="1:6" x14ac:dyDescent="0.3">
      <c r="A868" s="31">
        <v>1000103208</v>
      </c>
      <c r="B868" s="31" t="s">
        <v>1815</v>
      </c>
      <c r="C868" s="31" t="s">
        <v>4</v>
      </c>
      <c r="D868" s="31" t="s">
        <v>2090</v>
      </c>
      <c r="E868" s="32">
        <v>7316.64538461538</v>
      </c>
      <c r="F868" s="32">
        <v>28</v>
      </c>
    </row>
    <row r="869" spans="1:6" x14ac:dyDescent="0.3">
      <c r="A869" s="31">
        <v>1000093679</v>
      </c>
      <c r="B869" s="31" t="s">
        <v>2055</v>
      </c>
      <c r="C869" s="31" t="s">
        <v>4</v>
      </c>
      <c r="D869" s="31" t="s">
        <v>2056</v>
      </c>
      <c r="E869" s="32">
        <v>7314.3420393925098</v>
      </c>
      <c r="F869" s="32">
        <v>1537</v>
      </c>
    </row>
    <row r="870" spans="1:6" x14ac:dyDescent="0.3">
      <c r="A870" s="31">
        <v>1000102213</v>
      </c>
      <c r="B870" s="31" t="s">
        <v>1773</v>
      </c>
      <c r="C870" s="31" t="s">
        <v>4</v>
      </c>
      <c r="D870" s="31" t="s">
        <v>2090</v>
      </c>
      <c r="E870" s="32">
        <v>7300.8</v>
      </c>
      <c r="F870" s="32">
        <v>1</v>
      </c>
    </row>
    <row r="871" spans="1:6" x14ac:dyDescent="0.3">
      <c r="A871" s="31">
        <v>1000020332</v>
      </c>
      <c r="B871" s="31" t="s">
        <v>565</v>
      </c>
      <c r="C871" s="31" t="s">
        <v>4</v>
      </c>
      <c r="D871" s="31" t="s">
        <v>2090</v>
      </c>
      <c r="E871" s="32">
        <v>7262.37</v>
      </c>
      <c r="F871" s="32">
        <v>15</v>
      </c>
    </row>
    <row r="872" spans="1:6" x14ac:dyDescent="0.3">
      <c r="A872" s="31">
        <v>1000021028</v>
      </c>
      <c r="B872" s="31" t="s">
        <v>1200</v>
      </c>
      <c r="C872" s="31" t="s">
        <v>4</v>
      </c>
      <c r="D872" s="31" t="s">
        <v>2090</v>
      </c>
      <c r="E872" s="32">
        <v>7222.0837499999998</v>
      </c>
      <c r="F872" s="32">
        <v>7</v>
      </c>
    </row>
    <row r="873" spans="1:6" x14ac:dyDescent="0.3">
      <c r="A873" s="31">
        <v>1000020023</v>
      </c>
      <c r="B873" s="31" t="s">
        <v>2665</v>
      </c>
      <c r="C873" s="31" t="s">
        <v>4</v>
      </c>
      <c r="D873" s="31" t="s">
        <v>2090</v>
      </c>
      <c r="E873" s="32">
        <v>7220.89</v>
      </c>
      <c r="F873" s="32">
        <v>6</v>
      </c>
    </row>
    <row r="874" spans="1:6" x14ac:dyDescent="0.3">
      <c r="A874" s="31">
        <v>2200002585</v>
      </c>
      <c r="B874" s="31" t="s">
        <v>178</v>
      </c>
      <c r="C874" s="31" t="s">
        <v>2088</v>
      </c>
      <c r="D874" s="31" t="s">
        <v>2038</v>
      </c>
      <c r="E874" s="32">
        <v>7215.2804999999998</v>
      </c>
      <c r="F874" s="32">
        <v>1</v>
      </c>
    </row>
    <row r="875" spans="1:6" x14ac:dyDescent="0.3">
      <c r="A875" s="31">
        <v>1000021305</v>
      </c>
      <c r="B875" s="31" t="s">
        <v>1439</v>
      </c>
      <c r="C875" s="31" t="s">
        <v>4</v>
      </c>
      <c r="D875" s="31" t="s">
        <v>2090</v>
      </c>
      <c r="E875" s="32">
        <v>7200.3375862068897</v>
      </c>
      <c r="F875" s="32">
        <v>7</v>
      </c>
    </row>
    <row r="876" spans="1:6" x14ac:dyDescent="0.3">
      <c r="A876" s="31">
        <v>1000020718</v>
      </c>
      <c r="B876" s="31" t="s">
        <v>927</v>
      </c>
      <c r="C876" s="31" t="s">
        <v>4</v>
      </c>
      <c r="D876" s="31" t="s">
        <v>2090</v>
      </c>
      <c r="E876" s="32">
        <v>7192.1135593220297</v>
      </c>
      <c r="F876" s="32">
        <v>45</v>
      </c>
    </row>
    <row r="877" spans="1:6" x14ac:dyDescent="0.3">
      <c r="A877" s="31">
        <v>2500008467</v>
      </c>
      <c r="B877" s="31" t="s">
        <v>2666</v>
      </c>
      <c r="C877" s="31" t="s">
        <v>1996</v>
      </c>
      <c r="D877" s="31" t="s">
        <v>2025</v>
      </c>
      <c r="E877" s="32">
        <v>7188.74</v>
      </c>
      <c r="F877" s="32">
        <v>2</v>
      </c>
    </row>
    <row r="878" spans="1:6" x14ac:dyDescent="0.3">
      <c r="A878" s="31">
        <v>1000104155</v>
      </c>
      <c r="B878" s="31" t="s">
        <v>2667</v>
      </c>
      <c r="C878" s="31" t="s">
        <v>4</v>
      </c>
      <c r="D878" s="31" t="s">
        <v>2043</v>
      </c>
      <c r="E878" s="32">
        <v>7181.24</v>
      </c>
      <c r="F878" s="32">
        <v>4</v>
      </c>
    </row>
    <row r="879" spans="1:6" x14ac:dyDescent="0.3">
      <c r="A879" s="31">
        <v>2700000167</v>
      </c>
      <c r="B879" s="31" t="s">
        <v>276</v>
      </c>
      <c r="C879" s="31" t="s">
        <v>2037</v>
      </c>
      <c r="D879" s="31" t="s">
        <v>2038</v>
      </c>
      <c r="E879" s="32">
        <v>7153.33</v>
      </c>
      <c r="F879" s="32">
        <v>1</v>
      </c>
    </row>
    <row r="880" spans="1:6" x14ac:dyDescent="0.3">
      <c r="A880" s="31">
        <v>2700000039</v>
      </c>
      <c r="B880" s="31" t="s">
        <v>234</v>
      </c>
      <c r="C880" s="31" t="s">
        <v>2088</v>
      </c>
      <c r="D880" s="31" t="s">
        <v>2038</v>
      </c>
      <c r="E880" s="32">
        <v>7122.6035697073403</v>
      </c>
      <c r="F880" s="32">
        <v>4</v>
      </c>
    </row>
    <row r="881" spans="1:6" x14ac:dyDescent="0.3">
      <c r="A881" s="31">
        <v>1000020727</v>
      </c>
      <c r="B881" s="31" t="s">
        <v>935</v>
      </c>
      <c r="C881" s="31" t="s">
        <v>4</v>
      </c>
      <c r="D881" s="31" t="s">
        <v>2090</v>
      </c>
      <c r="E881" s="32">
        <v>7116.9279999999999</v>
      </c>
      <c r="F881" s="32">
        <v>4</v>
      </c>
    </row>
    <row r="882" spans="1:6" x14ac:dyDescent="0.3">
      <c r="A882" s="31">
        <v>1000110870</v>
      </c>
      <c r="B882" s="31" t="s">
        <v>2668</v>
      </c>
      <c r="C882" s="31" t="s">
        <v>4</v>
      </c>
      <c r="D882" s="31" t="s">
        <v>2043</v>
      </c>
      <c r="E882" s="32">
        <v>7108.14</v>
      </c>
      <c r="F882" s="32">
        <v>169</v>
      </c>
    </row>
    <row r="883" spans="1:6" x14ac:dyDescent="0.3">
      <c r="A883" s="31">
        <v>80000002750</v>
      </c>
      <c r="B883" s="31" t="s">
        <v>2669</v>
      </c>
      <c r="C883" s="31" t="s">
        <v>2521</v>
      </c>
      <c r="D883" s="31" t="s">
        <v>2670</v>
      </c>
      <c r="E883" s="32">
        <v>7098</v>
      </c>
      <c r="F883" s="32">
        <v>78</v>
      </c>
    </row>
    <row r="884" spans="1:6" x14ac:dyDescent="0.3">
      <c r="A884" s="31">
        <v>1000020809</v>
      </c>
      <c r="B884" s="31" t="s">
        <v>1012</v>
      </c>
      <c r="C884" s="31" t="s">
        <v>4</v>
      </c>
      <c r="D884" s="31" t="s">
        <v>2090</v>
      </c>
      <c r="E884" s="32">
        <v>7081.97454545454</v>
      </c>
      <c r="F884" s="32">
        <v>24</v>
      </c>
    </row>
    <row r="885" spans="1:6" x14ac:dyDescent="0.3">
      <c r="A885" s="31">
        <v>1000093947</v>
      </c>
      <c r="B885" s="31" t="s">
        <v>2671</v>
      </c>
      <c r="C885" s="31" t="s">
        <v>4</v>
      </c>
      <c r="D885" s="31" t="s">
        <v>2090</v>
      </c>
      <c r="E885" s="32">
        <v>7073.7533333333304</v>
      </c>
      <c r="F885" s="32">
        <v>2</v>
      </c>
    </row>
    <row r="886" spans="1:6" x14ac:dyDescent="0.3">
      <c r="A886" s="31">
        <v>1000095256</v>
      </c>
      <c r="B886" s="31" t="s">
        <v>2672</v>
      </c>
      <c r="C886" s="31" t="s">
        <v>4</v>
      </c>
      <c r="D886" s="31" t="s">
        <v>2090</v>
      </c>
      <c r="E886" s="32">
        <v>7069.808</v>
      </c>
      <c r="F886" s="32">
        <v>8</v>
      </c>
    </row>
    <row r="887" spans="1:6" x14ac:dyDescent="0.3">
      <c r="A887" s="31">
        <v>1000100384</v>
      </c>
      <c r="B887" s="31" t="s">
        <v>1714</v>
      </c>
      <c r="C887" s="31" t="s">
        <v>4</v>
      </c>
      <c r="D887" s="31" t="s">
        <v>2090</v>
      </c>
      <c r="E887" s="32">
        <v>7050</v>
      </c>
      <c r="F887" s="32">
        <v>5</v>
      </c>
    </row>
    <row r="888" spans="1:6" x14ac:dyDescent="0.3">
      <c r="A888" s="31">
        <v>1000015114</v>
      </c>
      <c r="B888" s="31" t="s">
        <v>2673</v>
      </c>
      <c r="C888" s="31" t="s">
        <v>4</v>
      </c>
      <c r="D888" s="31" t="s">
        <v>2043</v>
      </c>
      <c r="E888" s="32">
        <v>7045.4369999999999</v>
      </c>
      <c r="F888" s="32">
        <v>7</v>
      </c>
    </row>
    <row r="889" spans="1:6" x14ac:dyDescent="0.3">
      <c r="A889" s="31">
        <v>1000103751</v>
      </c>
      <c r="B889" s="31" t="s">
        <v>2674</v>
      </c>
      <c r="C889" s="31" t="s">
        <v>4</v>
      </c>
      <c r="D889" s="31" t="s">
        <v>2056</v>
      </c>
      <c r="E889" s="32">
        <v>7035.6</v>
      </c>
      <c r="F889" s="32">
        <v>200</v>
      </c>
    </row>
    <row r="890" spans="1:6" x14ac:dyDescent="0.3">
      <c r="A890" s="31">
        <v>1000015094</v>
      </c>
      <c r="B890" s="31" t="s">
        <v>2675</v>
      </c>
      <c r="C890" s="31" t="s">
        <v>4</v>
      </c>
      <c r="D890" s="31" t="s">
        <v>2043</v>
      </c>
      <c r="E890" s="32">
        <v>7024.3469999999998</v>
      </c>
      <c r="F890" s="32">
        <v>67</v>
      </c>
    </row>
    <row r="891" spans="1:6" x14ac:dyDescent="0.3">
      <c r="A891" s="31">
        <v>1000093072</v>
      </c>
      <c r="B891" s="31" t="s">
        <v>2044</v>
      </c>
      <c r="C891" s="31" t="s">
        <v>4</v>
      </c>
      <c r="D891" s="31" t="s">
        <v>2043</v>
      </c>
      <c r="E891" s="32">
        <v>7020.4363636363596</v>
      </c>
      <c r="F891" s="32">
        <v>10</v>
      </c>
    </row>
    <row r="892" spans="1:6" x14ac:dyDescent="0.3">
      <c r="A892" s="31">
        <v>1000095867</v>
      </c>
      <c r="B892" s="31" t="s">
        <v>2676</v>
      </c>
      <c r="C892" s="31" t="s">
        <v>4</v>
      </c>
      <c r="D892" s="31" t="s">
        <v>2677</v>
      </c>
      <c r="E892" s="32">
        <v>6984</v>
      </c>
      <c r="F892" s="32">
        <v>4</v>
      </c>
    </row>
    <row r="893" spans="1:6" x14ac:dyDescent="0.3">
      <c r="A893" s="31">
        <v>1000107344</v>
      </c>
      <c r="B893" s="31" t="s">
        <v>135</v>
      </c>
      <c r="C893" s="31" t="s">
        <v>4</v>
      </c>
      <c r="D893" s="31" t="s">
        <v>2161</v>
      </c>
      <c r="E893" s="32">
        <v>6983.0922857142796</v>
      </c>
      <c r="F893" s="32">
        <v>9</v>
      </c>
    </row>
    <row r="894" spans="1:6" x14ac:dyDescent="0.3">
      <c r="A894" s="31">
        <v>2200000278</v>
      </c>
      <c r="B894" s="31" t="s">
        <v>2678</v>
      </c>
      <c r="C894" s="31" t="s">
        <v>2037</v>
      </c>
      <c r="D894" s="31" t="s">
        <v>2038</v>
      </c>
      <c r="E894" s="32">
        <v>6953.68</v>
      </c>
      <c r="F894" s="32">
        <v>1</v>
      </c>
    </row>
    <row r="895" spans="1:6" x14ac:dyDescent="0.3">
      <c r="A895" s="31">
        <v>1000100351</v>
      </c>
      <c r="B895" s="31" t="s">
        <v>2679</v>
      </c>
      <c r="C895" s="31" t="s">
        <v>4</v>
      </c>
      <c r="D895" s="31" t="s">
        <v>2090</v>
      </c>
      <c r="E895" s="32">
        <v>6939.2864099999997</v>
      </c>
      <c r="F895" s="32">
        <v>7</v>
      </c>
    </row>
    <row r="896" spans="1:6" x14ac:dyDescent="0.3">
      <c r="A896" s="31">
        <v>1000095106</v>
      </c>
      <c r="B896" s="31" t="s">
        <v>2680</v>
      </c>
      <c r="C896" s="31" t="s">
        <v>2109</v>
      </c>
      <c r="D896" s="31" t="s">
        <v>2399</v>
      </c>
      <c r="E896" s="32">
        <v>6927.5706846770099</v>
      </c>
      <c r="F896" s="32">
        <v>8</v>
      </c>
    </row>
    <row r="897" spans="1:6" x14ac:dyDescent="0.3">
      <c r="A897" s="31">
        <v>1000106111</v>
      </c>
      <c r="B897" s="31" t="s">
        <v>2681</v>
      </c>
      <c r="C897" s="31" t="s">
        <v>4</v>
      </c>
      <c r="D897" s="31" t="s">
        <v>2161</v>
      </c>
      <c r="E897" s="32">
        <v>6918.78</v>
      </c>
      <c r="F897" s="32">
        <v>5</v>
      </c>
    </row>
    <row r="898" spans="1:6" x14ac:dyDescent="0.3">
      <c r="A898" s="31">
        <v>1000021249</v>
      </c>
      <c r="B898" s="31" t="s">
        <v>1394</v>
      </c>
      <c r="C898" s="31" t="s">
        <v>4</v>
      </c>
      <c r="D898" s="31" t="s">
        <v>2090</v>
      </c>
      <c r="E898" s="32">
        <v>6908.2421666666596</v>
      </c>
      <c r="F898" s="32">
        <v>13</v>
      </c>
    </row>
    <row r="899" spans="1:6" x14ac:dyDescent="0.3">
      <c r="A899" s="31">
        <v>1000095835</v>
      </c>
      <c r="B899" s="31" t="s">
        <v>2682</v>
      </c>
      <c r="C899" s="31" t="s">
        <v>4</v>
      </c>
      <c r="D899" s="31" t="s">
        <v>2056</v>
      </c>
      <c r="E899" s="32">
        <v>6887.5619999999999</v>
      </c>
      <c r="F899" s="32">
        <v>121</v>
      </c>
    </row>
    <row r="900" spans="1:6" x14ac:dyDescent="0.3">
      <c r="A900" s="31">
        <v>1000010239</v>
      </c>
      <c r="B900" s="31" t="s">
        <v>2683</v>
      </c>
      <c r="C900" s="31" t="s">
        <v>4</v>
      </c>
      <c r="D900" s="31" t="s">
        <v>2230</v>
      </c>
      <c r="E900" s="32">
        <v>6887.49</v>
      </c>
      <c r="F900" s="32">
        <v>7</v>
      </c>
    </row>
    <row r="901" spans="1:6" x14ac:dyDescent="0.3">
      <c r="A901" s="31">
        <v>1000091847</v>
      </c>
      <c r="B901" s="31" t="s">
        <v>2684</v>
      </c>
      <c r="C901" s="31" t="s">
        <v>2109</v>
      </c>
      <c r="D901" s="31" t="s">
        <v>2070</v>
      </c>
      <c r="E901" s="32">
        <v>6839.6383777018</v>
      </c>
      <c r="F901" s="32">
        <v>3</v>
      </c>
    </row>
    <row r="902" spans="1:6" x14ac:dyDescent="0.3">
      <c r="A902" s="31">
        <v>1000020866</v>
      </c>
      <c r="B902" s="31" t="s">
        <v>1054</v>
      </c>
      <c r="C902" s="31" t="s">
        <v>4</v>
      </c>
      <c r="D902" s="31" t="s">
        <v>2218</v>
      </c>
      <c r="E902" s="32">
        <v>6837.0041379310296</v>
      </c>
      <c r="F902" s="32">
        <v>9</v>
      </c>
    </row>
    <row r="903" spans="1:6" x14ac:dyDescent="0.3">
      <c r="A903" s="31">
        <v>1000020129</v>
      </c>
      <c r="B903" s="31" t="s">
        <v>384</v>
      </c>
      <c r="C903" s="31" t="s">
        <v>4</v>
      </c>
      <c r="D903" s="31" t="s">
        <v>2090</v>
      </c>
      <c r="E903" s="32">
        <v>6790.28</v>
      </c>
      <c r="F903" s="32">
        <v>7</v>
      </c>
    </row>
    <row r="904" spans="1:6" x14ac:dyDescent="0.3">
      <c r="A904" s="31">
        <v>2500008773</v>
      </c>
      <c r="B904" s="31" t="s">
        <v>2685</v>
      </c>
      <c r="C904" s="31" t="s">
        <v>1996</v>
      </c>
      <c r="D904" s="31" t="s">
        <v>2025</v>
      </c>
      <c r="E904" s="32">
        <v>6783.75</v>
      </c>
      <c r="F904" s="32">
        <v>6</v>
      </c>
    </row>
    <row r="905" spans="1:6" x14ac:dyDescent="0.3">
      <c r="A905" s="31">
        <v>1000092874</v>
      </c>
      <c r="B905" s="31" t="s">
        <v>2686</v>
      </c>
      <c r="C905" s="31" t="s">
        <v>4</v>
      </c>
      <c r="D905" s="31" t="s">
        <v>2161</v>
      </c>
      <c r="E905" s="32">
        <v>6781.47</v>
      </c>
      <c r="F905" s="32">
        <v>30</v>
      </c>
    </row>
    <row r="906" spans="1:6" x14ac:dyDescent="0.3">
      <c r="A906" s="31">
        <v>1000102239</v>
      </c>
      <c r="B906" s="31" t="s">
        <v>1791</v>
      </c>
      <c r="C906" s="31" t="s">
        <v>4</v>
      </c>
      <c r="D906" s="31" t="s">
        <v>2090</v>
      </c>
      <c r="E906" s="32">
        <v>6777.34</v>
      </c>
      <c r="F906" s="32">
        <v>3</v>
      </c>
    </row>
    <row r="907" spans="1:6" x14ac:dyDescent="0.3">
      <c r="A907" s="31">
        <v>1000098618</v>
      </c>
      <c r="B907" s="31" t="s">
        <v>2687</v>
      </c>
      <c r="C907" s="31" t="s">
        <v>4</v>
      </c>
      <c r="D907" s="31" t="s">
        <v>2161</v>
      </c>
      <c r="E907" s="32">
        <v>6774.16217902892</v>
      </c>
      <c r="F907" s="32">
        <v>9</v>
      </c>
    </row>
    <row r="908" spans="1:6" x14ac:dyDescent="0.3">
      <c r="A908" s="31">
        <v>1000020084</v>
      </c>
      <c r="B908" s="31" t="s">
        <v>343</v>
      </c>
      <c r="C908" s="31" t="s">
        <v>4</v>
      </c>
      <c r="D908" s="31" t="s">
        <v>2090</v>
      </c>
      <c r="E908" s="32">
        <v>6769.9706360823402</v>
      </c>
      <c r="F908" s="32">
        <v>50</v>
      </c>
    </row>
    <row r="909" spans="1:6" x14ac:dyDescent="0.3">
      <c r="A909" s="31">
        <v>1000100307</v>
      </c>
      <c r="B909" s="31" t="s">
        <v>1695</v>
      </c>
      <c r="C909" s="31" t="s">
        <v>4</v>
      </c>
      <c r="D909" s="31" t="s">
        <v>2090</v>
      </c>
      <c r="E909" s="32">
        <v>6766.9475000000002</v>
      </c>
      <c r="F909" s="32">
        <v>4</v>
      </c>
    </row>
    <row r="910" spans="1:6" x14ac:dyDescent="0.3">
      <c r="A910" s="31">
        <v>1000097812</v>
      </c>
      <c r="B910" s="31" t="s">
        <v>2688</v>
      </c>
      <c r="C910" s="31" t="s">
        <v>4</v>
      </c>
      <c r="D910" s="31" t="s">
        <v>2161</v>
      </c>
      <c r="E910" s="32">
        <v>6755.9691666666604</v>
      </c>
      <c r="F910" s="32">
        <v>3</v>
      </c>
    </row>
    <row r="911" spans="1:6" x14ac:dyDescent="0.3">
      <c r="A911" s="31">
        <v>1000017188</v>
      </c>
      <c r="B911" s="31" t="s">
        <v>2689</v>
      </c>
      <c r="C911" s="31" t="s">
        <v>4</v>
      </c>
      <c r="D911" s="31" t="s">
        <v>2056</v>
      </c>
      <c r="E911" s="32">
        <v>6754.1039087991303</v>
      </c>
      <c r="F911" s="32">
        <v>3444</v>
      </c>
    </row>
    <row r="912" spans="1:6" x14ac:dyDescent="0.3">
      <c r="A912" s="31">
        <v>1000015157</v>
      </c>
      <c r="B912" s="31" t="s">
        <v>2690</v>
      </c>
      <c r="C912" s="31" t="s">
        <v>4</v>
      </c>
      <c r="D912" s="31" t="s">
        <v>2043</v>
      </c>
      <c r="E912" s="32">
        <v>6732.8494845360801</v>
      </c>
      <c r="F912" s="32">
        <v>71</v>
      </c>
    </row>
    <row r="913" spans="1:6" x14ac:dyDescent="0.3">
      <c r="A913" s="31">
        <v>1000109967</v>
      </c>
      <c r="B913" s="31" t="s">
        <v>2691</v>
      </c>
      <c r="C913" s="31" t="s">
        <v>2257</v>
      </c>
      <c r="D913" s="31" t="s">
        <v>2035</v>
      </c>
      <c r="E913" s="32">
        <v>6729.26</v>
      </c>
      <c r="F913" s="32">
        <v>1</v>
      </c>
    </row>
    <row r="914" spans="1:6" x14ac:dyDescent="0.3">
      <c r="A914" s="31">
        <v>1000100342</v>
      </c>
      <c r="B914" s="31" t="s">
        <v>2692</v>
      </c>
      <c r="C914" s="31" t="s">
        <v>4</v>
      </c>
      <c r="D914" s="31" t="s">
        <v>2090</v>
      </c>
      <c r="E914" s="32">
        <v>6682.5424999999996</v>
      </c>
      <c r="F914" s="32">
        <v>25</v>
      </c>
    </row>
    <row r="915" spans="1:6" x14ac:dyDescent="0.3">
      <c r="A915" s="31">
        <v>1000095508</v>
      </c>
      <c r="B915" s="31" t="s">
        <v>2693</v>
      </c>
      <c r="C915" s="31" t="s">
        <v>4</v>
      </c>
      <c r="D915" s="31" t="s">
        <v>2056</v>
      </c>
      <c r="E915" s="32">
        <v>6652.49981818181</v>
      </c>
      <c r="F915" s="32">
        <v>10</v>
      </c>
    </row>
    <row r="916" spans="1:6" x14ac:dyDescent="0.3">
      <c r="A916" s="31">
        <v>1000021133</v>
      </c>
      <c r="B916" s="31" t="s">
        <v>1287</v>
      </c>
      <c r="C916" s="31" t="s">
        <v>4</v>
      </c>
      <c r="D916" s="31" t="s">
        <v>2090</v>
      </c>
      <c r="E916" s="32">
        <v>6652.4</v>
      </c>
      <c r="F916" s="32">
        <v>14</v>
      </c>
    </row>
    <row r="917" spans="1:6" x14ac:dyDescent="0.3">
      <c r="A917" s="31">
        <v>1000021138</v>
      </c>
      <c r="B917" s="31" t="s">
        <v>1290</v>
      </c>
      <c r="C917" s="31" t="s">
        <v>4</v>
      </c>
      <c r="D917" s="31" t="s">
        <v>2090</v>
      </c>
      <c r="E917" s="32">
        <v>6632.0022222222196</v>
      </c>
      <c r="F917" s="32">
        <v>7</v>
      </c>
    </row>
    <row r="918" spans="1:6" x14ac:dyDescent="0.3">
      <c r="A918" s="31">
        <v>1000098195</v>
      </c>
      <c r="B918" s="31" t="s">
        <v>2694</v>
      </c>
      <c r="C918" s="31" t="s">
        <v>4</v>
      </c>
      <c r="D918" s="31" t="s">
        <v>2161</v>
      </c>
      <c r="E918" s="32">
        <v>6626.97</v>
      </c>
      <c r="F918" s="32">
        <v>5</v>
      </c>
    </row>
    <row r="919" spans="1:6" x14ac:dyDescent="0.3">
      <c r="A919" s="31">
        <v>1000110244</v>
      </c>
      <c r="B919" s="31" t="s">
        <v>2695</v>
      </c>
      <c r="C919" s="31" t="s">
        <v>2109</v>
      </c>
      <c r="D919" s="31" t="s">
        <v>2696</v>
      </c>
      <c r="E919" s="32">
        <v>6622</v>
      </c>
      <c r="F919" s="32">
        <v>1</v>
      </c>
    </row>
    <row r="920" spans="1:6" x14ac:dyDescent="0.3">
      <c r="A920" s="31">
        <v>1000015075</v>
      </c>
      <c r="B920" s="31" t="s">
        <v>63</v>
      </c>
      <c r="C920" s="31" t="s">
        <v>4</v>
      </c>
      <c r="D920" s="31" t="s">
        <v>2043</v>
      </c>
      <c r="E920" s="32">
        <v>6614.0014399769698</v>
      </c>
      <c r="F920" s="32">
        <v>533</v>
      </c>
    </row>
    <row r="921" spans="1:6" x14ac:dyDescent="0.3">
      <c r="A921" s="31">
        <v>1000001172</v>
      </c>
      <c r="B921" s="31" t="s">
        <v>2697</v>
      </c>
      <c r="C921" s="31" t="s">
        <v>2257</v>
      </c>
      <c r="D921" s="31" t="s">
        <v>2070</v>
      </c>
      <c r="E921" s="32">
        <v>6600</v>
      </c>
      <c r="F921" s="32">
        <v>20</v>
      </c>
    </row>
    <row r="922" spans="1:6" x14ac:dyDescent="0.3">
      <c r="A922" s="31">
        <v>2500001368</v>
      </c>
      <c r="B922" s="31" t="s">
        <v>2698</v>
      </c>
      <c r="C922" s="31" t="s">
        <v>1996</v>
      </c>
      <c r="D922" s="31" t="s">
        <v>2025</v>
      </c>
      <c r="E922" s="32">
        <v>6562.04</v>
      </c>
      <c r="F922" s="32">
        <v>2</v>
      </c>
    </row>
    <row r="923" spans="1:6" x14ac:dyDescent="0.3">
      <c r="A923" s="31">
        <v>2500008251</v>
      </c>
      <c r="B923" s="31" t="s">
        <v>2699</v>
      </c>
      <c r="C923" s="31" t="s">
        <v>1996</v>
      </c>
      <c r="D923" s="31" t="s">
        <v>2025</v>
      </c>
      <c r="E923" s="32">
        <v>6559.1338253985195</v>
      </c>
      <c r="F923" s="32">
        <v>18</v>
      </c>
    </row>
    <row r="924" spans="1:6" x14ac:dyDescent="0.3">
      <c r="A924" s="31">
        <v>1000020533</v>
      </c>
      <c r="B924" s="31" t="s">
        <v>754</v>
      </c>
      <c r="C924" s="31" t="s">
        <v>4</v>
      </c>
      <c r="D924" s="31" t="s">
        <v>2218</v>
      </c>
      <c r="E924" s="32">
        <v>6556.15025441949</v>
      </c>
      <c r="F924" s="32">
        <v>37</v>
      </c>
    </row>
    <row r="925" spans="1:6" x14ac:dyDescent="0.3">
      <c r="A925" s="31">
        <v>1000103043</v>
      </c>
      <c r="B925" s="31" t="s">
        <v>2700</v>
      </c>
      <c r="C925" s="31" t="s">
        <v>4</v>
      </c>
      <c r="D925" s="31" t="s">
        <v>2090</v>
      </c>
      <c r="E925" s="32">
        <v>6534.35</v>
      </c>
      <c r="F925" s="32">
        <v>5</v>
      </c>
    </row>
    <row r="926" spans="1:6" x14ac:dyDescent="0.3">
      <c r="A926" s="31">
        <v>1000111123</v>
      </c>
      <c r="B926" s="31" t="s">
        <v>2701</v>
      </c>
      <c r="C926" s="31" t="s">
        <v>4</v>
      </c>
      <c r="D926" s="31" t="s">
        <v>2284</v>
      </c>
      <c r="E926" s="32">
        <v>6520</v>
      </c>
      <c r="F926" s="32">
        <v>2</v>
      </c>
    </row>
    <row r="927" spans="1:6" x14ac:dyDescent="0.3">
      <c r="A927" s="31">
        <v>2200003014</v>
      </c>
      <c r="B927" s="31" t="s">
        <v>2702</v>
      </c>
      <c r="C927" s="31" t="s">
        <v>2037</v>
      </c>
      <c r="D927" s="31" t="s">
        <v>2038</v>
      </c>
      <c r="E927" s="32">
        <v>6509.78</v>
      </c>
      <c r="F927" s="32">
        <v>2</v>
      </c>
    </row>
    <row r="928" spans="1:6" x14ac:dyDescent="0.3">
      <c r="A928" s="31">
        <v>1000093527</v>
      </c>
      <c r="B928" s="31" t="s">
        <v>2703</v>
      </c>
      <c r="C928" s="31" t="s">
        <v>2109</v>
      </c>
      <c r="D928" s="31" t="s">
        <v>2070</v>
      </c>
      <c r="E928" s="32">
        <v>6496.15</v>
      </c>
      <c r="F928" s="32">
        <v>2</v>
      </c>
    </row>
    <row r="929" spans="1:6" x14ac:dyDescent="0.3">
      <c r="A929" s="31">
        <v>2700000086</v>
      </c>
      <c r="B929" s="31" t="s">
        <v>249</v>
      </c>
      <c r="C929" s="31" t="s">
        <v>2037</v>
      </c>
      <c r="D929" s="31" t="s">
        <v>2038</v>
      </c>
      <c r="E929" s="32">
        <v>6475.38</v>
      </c>
      <c r="F929" s="32">
        <v>2</v>
      </c>
    </row>
    <row r="930" spans="1:6" x14ac:dyDescent="0.3">
      <c r="A930" s="31">
        <v>1000092603</v>
      </c>
      <c r="B930" s="31" t="s">
        <v>2704</v>
      </c>
      <c r="C930" s="31" t="s">
        <v>2027</v>
      </c>
      <c r="D930" s="31" t="s">
        <v>2399</v>
      </c>
      <c r="E930" s="32">
        <v>6468.66</v>
      </c>
      <c r="F930" s="32">
        <v>18</v>
      </c>
    </row>
    <row r="931" spans="1:6" x14ac:dyDescent="0.3">
      <c r="A931" s="31">
        <v>1000020513</v>
      </c>
      <c r="B931" s="31" t="s">
        <v>735</v>
      </c>
      <c r="C931" s="31" t="s">
        <v>4</v>
      </c>
      <c r="D931" s="31" t="s">
        <v>2090</v>
      </c>
      <c r="E931" s="32">
        <v>6453.9340196078401</v>
      </c>
      <c r="F931" s="32">
        <v>47</v>
      </c>
    </row>
    <row r="932" spans="1:6" x14ac:dyDescent="0.3">
      <c r="A932" s="31">
        <v>1000096267</v>
      </c>
      <c r="B932" s="31" t="s">
        <v>2705</v>
      </c>
      <c r="C932" s="31" t="s">
        <v>4</v>
      </c>
      <c r="D932" s="31" t="s">
        <v>2056</v>
      </c>
      <c r="E932" s="32">
        <v>6436.7532000000001</v>
      </c>
      <c r="F932" s="32">
        <v>372</v>
      </c>
    </row>
    <row r="933" spans="1:6" x14ac:dyDescent="0.3">
      <c r="A933" s="31">
        <v>2700000093</v>
      </c>
      <c r="B933" s="31" t="s">
        <v>252</v>
      </c>
      <c r="C933" s="31" t="s">
        <v>2037</v>
      </c>
      <c r="D933" s="31" t="s">
        <v>2038</v>
      </c>
      <c r="E933" s="32">
        <v>6416.6777777777697</v>
      </c>
      <c r="F933" s="32">
        <v>5</v>
      </c>
    </row>
    <row r="934" spans="1:6" x14ac:dyDescent="0.3">
      <c r="A934" s="31">
        <v>1000105023</v>
      </c>
      <c r="B934" s="31" t="s">
        <v>2706</v>
      </c>
      <c r="C934" s="31" t="s">
        <v>4</v>
      </c>
      <c r="D934" s="31" t="s">
        <v>2161</v>
      </c>
      <c r="E934" s="32">
        <v>6406.51</v>
      </c>
      <c r="F934" s="32">
        <v>12</v>
      </c>
    </row>
    <row r="935" spans="1:6" x14ac:dyDescent="0.3">
      <c r="A935" s="31">
        <v>1000107093</v>
      </c>
      <c r="B935" s="31" t="s">
        <v>2707</v>
      </c>
      <c r="C935" s="31" t="s">
        <v>4</v>
      </c>
      <c r="D935" s="31" t="s">
        <v>2284</v>
      </c>
      <c r="E935" s="32">
        <v>6401</v>
      </c>
      <c r="F935" s="32">
        <v>1</v>
      </c>
    </row>
    <row r="936" spans="1:6" x14ac:dyDescent="0.3">
      <c r="A936" s="31">
        <v>8500000012</v>
      </c>
      <c r="B936" s="31" t="s">
        <v>2708</v>
      </c>
      <c r="C936" s="31" t="s">
        <v>2709</v>
      </c>
      <c r="D936" s="31" t="s">
        <v>2710</v>
      </c>
      <c r="E936" s="32">
        <v>6400</v>
      </c>
      <c r="F936" s="32">
        <v>200</v>
      </c>
    </row>
    <row r="937" spans="1:6" x14ac:dyDescent="0.3">
      <c r="A937" s="31">
        <v>2100006129</v>
      </c>
      <c r="B937" s="31" t="s">
        <v>2711</v>
      </c>
      <c r="C937" s="31" t="s">
        <v>2037</v>
      </c>
      <c r="D937" s="31" t="s">
        <v>2031</v>
      </c>
      <c r="E937" s="32">
        <v>6391.32</v>
      </c>
      <c r="F937" s="32">
        <v>2</v>
      </c>
    </row>
    <row r="938" spans="1:6" x14ac:dyDescent="0.3">
      <c r="A938" s="31">
        <v>1000098726</v>
      </c>
      <c r="B938" s="31" t="s">
        <v>1669</v>
      </c>
      <c r="C938" s="31" t="s">
        <v>4</v>
      </c>
      <c r="D938" s="31" t="s">
        <v>2090</v>
      </c>
      <c r="E938" s="32">
        <v>6381.9347142857096</v>
      </c>
      <c r="F938" s="32">
        <v>18</v>
      </c>
    </row>
    <row r="939" spans="1:6" x14ac:dyDescent="0.3">
      <c r="A939" s="31">
        <v>80000002250</v>
      </c>
      <c r="B939" s="31" t="s">
        <v>2712</v>
      </c>
      <c r="C939" s="31" t="s">
        <v>2521</v>
      </c>
      <c r="D939" s="31" t="s">
        <v>2645</v>
      </c>
      <c r="E939" s="32">
        <v>6365.1</v>
      </c>
      <c r="F939" s="32">
        <v>2165</v>
      </c>
    </row>
    <row r="940" spans="1:6" x14ac:dyDescent="0.3">
      <c r="A940" s="31">
        <v>1000109401</v>
      </c>
      <c r="B940" s="31" t="s">
        <v>2713</v>
      </c>
      <c r="C940" s="31" t="s">
        <v>2257</v>
      </c>
      <c r="D940" s="31" t="s">
        <v>2070</v>
      </c>
      <c r="E940" s="32">
        <v>6356.25</v>
      </c>
      <c r="F940" s="32">
        <v>1</v>
      </c>
    </row>
    <row r="941" spans="1:6" x14ac:dyDescent="0.3">
      <c r="A941" s="31">
        <v>1000103750</v>
      </c>
      <c r="B941" s="31" t="s">
        <v>2714</v>
      </c>
      <c r="C941" s="31" t="s">
        <v>4</v>
      </c>
      <c r="D941" s="31" t="s">
        <v>2056</v>
      </c>
      <c r="E941" s="32">
        <v>6336.3824999999997</v>
      </c>
      <c r="F941" s="32">
        <v>30</v>
      </c>
    </row>
    <row r="942" spans="1:6" x14ac:dyDescent="0.3">
      <c r="A942" s="31">
        <v>1000106118</v>
      </c>
      <c r="B942" s="31" t="s">
        <v>2715</v>
      </c>
      <c r="C942" s="31" t="s">
        <v>4</v>
      </c>
      <c r="D942" s="31" t="s">
        <v>2161</v>
      </c>
      <c r="E942" s="32">
        <v>6326.99</v>
      </c>
      <c r="F942" s="32">
        <v>5</v>
      </c>
    </row>
    <row r="943" spans="1:6" x14ac:dyDescent="0.3">
      <c r="A943" s="31">
        <v>2100006169</v>
      </c>
      <c r="B943" s="31" t="s">
        <v>2716</v>
      </c>
      <c r="C943" s="31" t="s">
        <v>2030</v>
      </c>
      <c r="D943" s="31" t="s">
        <v>2075</v>
      </c>
      <c r="E943" s="32">
        <v>6284.24</v>
      </c>
      <c r="F943" s="32">
        <v>6</v>
      </c>
    </row>
    <row r="944" spans="1:6" x14ac:dyDescent="0.3">
      <c r="A944" s="31">
        <v>1000103692</v>
      </c>
      <c r="B944" s="31" t="s">
        <v>2717</v>
      </c>
      <c r="C944" s="31" t="s">
        <v>4</v>
      </c>
      <c r="D944" s="31" t="s">
        <v>2161</v>
      </c>
      <c r="E944" s="32">
        <v>6273</v>
      </c>
      <c r="F944" s="32">
        <v>10</v>
      </c>
    </row>
    <row r="945" spans="1:6" x14ac:dyDescent="0.3">
      <c r="A945" s="31">
        <v>2500006879</v>
      </c>
      <c r="B945" s="31" t="s">
        <v>2718</v>
      </c>
      <c r="C945" s="31" t="s">
        <v>1996</v>
      </c>
      <c r="D945" s="31" t="s">
        <v>2025</v>
      </c>
      <c r="E945" s="32">
        <v>6244.9817263051</v>
      </c>
      <c r="F945" s="32">
        <v>15</v>
      </c>
    </row>
    <row r="946" spans="1:6" x14ac:dyDescent="0.3">
      <c r="A946" s="31">
        <v>1000020701</v>
      </c>
      <c r="B946" s="31" t="s">
        <v>911</v>
      </c>
      <c r="C946" s="31" t="s">
        <v>4</v>
      </c>
      <c r="D946" s="31" t="s">
        <v>2218</v>
      </c>
      <c r="E946" s="32">
        <v>6238.958984375</v>
      </c>
      <c r="F946" s="32">
        <v>65</v>
      </c>
    </row>
    <row r="947" spans="1:6" x14ac:dyDescent="0.3">
      <c r="A947" s="31">
        <v>1000110075</v>
      </c>
      <c r="B947" s="31" t="s">
        <v>2719</v>
      </c>
      <c r="C947" s="31" t="s">
        <v>4</v>
      </c>
      <c r="D947" s="31" t="s">
        <v>2056</v>
      </c>
      <c r="E947" s="32">
        <v>6231.54</v>
      </c>
      <c r="F947" s="32">
        <v>2</v>
      </c>
    </row>
    <row r="948" spans="1:6" x14ac:dyDescent="0.3">
      <c r="A948" s="31">
        <v>1000092074</v>
      </c>
      <c r="B948" s="31" t="s">
        <v>2720</v>
      </c>
      <c r="C948" s="31" t="s">
        <v>2109</v>
      </c>
      <c r="D948" s="31" t="s">
        <v>2035</v>
      </c>
      <c r="E948" s="32">
        <v>6170.2124999999996</v>
      </c>
      <c r="F948" s="32">
        <v>5</v>
      </c>
    </row>
    <row r="949" spans="1:6" x14ac:dyDescent="0.3">
      <c r="A949" s="31">
        <v>1000099265</v>
      </c>
      <c r="B949" s="31" t="s">
        <v>2721</v>
      </c>
      <c r="C949" s="31" t="s">
        <v>4</v>
      </c>
      <c r="D949" s="31" t="s">
        <v>2090</v>
      </c>
      <c r="E949" s="32">
        <v>6162.2882440476096</v>
      </c>
      <c r="F949" s="32">
        <v>6</v>
      </c>
    </row>
    <row r="950" spans="1:6" x14ac:dyDescent="0.3">
      <c r="A950" s="31">
        <v>1000106804</v>
      </c>
      <c r="B950" s="31" t="s">
        <v>1833</v>
      </c>
      <c r="C950" s="31" t="s">
        <v>4</v>
      </c>
      <c r="D950" s="31" t="s">
        <v>2090</v>
      </c>
      <c r="E950" s="32">
        <v>6150.52</v>
      </c>
      <c r="F950" s="32">
        <v>2</v>
      </c>
    </row>
    <row r="951" spans="1:6" x14ac:dyDescent="0.3">
      <c r="A951" s="31">
        <v>1000100374</v>
      </c>
      <c r="B951" s="31" t="s">
        <v>2722</v>
      </c>
      <c r="C951" s="31" t="s">
        <v>4</v>
      </c>
      <c r="D951" s="31" t="s">
        <v>2090</v>
      </c>
      <c r="E951" s="32">
        <v>6116.17</v>
      </c>
      <c r="F951" s="32">
        <v>5</v>
      </c>
    </row>
    <row r="952" spans="1:6" x14ac:dyDescent="0.3">
      <c r="A952" s="31">
        <v>1000106120</v>
      </c>
      <c r="B952" s="31" t="s">
        <v>2723</v>
      </c>
      <c r="C952" s="31" t="s">
        <v>4</v>
      </c>
      <c r="D952" s="31" t="s">
        <v>2161</v>
      </c>
      <c r="E952" s="32">
        <v>6113.26</v>
      </c>
      <c r="F952" s="32">
        <v>10</v>
      </c>
    </row>
    <row r="953" spans="1:6" x14ac:dyDescent="0.3">
      <c r="A953" s="31">
        <v>1000103259</v>
      </c>
      <c r="B953" s="31" t="s">
        <v>2724</v>
      </c>
      <c r="C953" s="31" t="s">
        <v>4</v>
      </c>
      <c r="D953" s="31" t="s">
        <v>2043</v>
      </c>
      <c r="E953" s="32">
        <v>6101.05</v>
      </c>
      <c r="F953" s="32">
        <v>35</v>
      </c>
    </row>
    <row r="954" spans="1:6" x14ac:dyDescent="0.3">
      <c r="A954" s="31">
        <v>1000106534</v>
      </c>
      <c r="B954" s="31" t="s">
        <v>2725</v>
      </c>
      <c r="C954" s="31" t="s">
        <v>4</v>
      </c>
      <c r="D954" s="31" t="s">
        <v>2056</v>
      </c>
      <c r="E954" s="32">
        <v>6098.4</v>
      </c>
      <c r="F954" s="32">
        <v>300</v>
      </c>
    </row>
    <row r="955" spans="1:6" x14ac:dyDescent="0.3">
      <c r="A955" s="31">
        <v>2500004247</v>
      </c>
      <c r="B955" s="31" t="s">
        <v>2726</v>
      </c>
      <c r="C955" s="31" t="s">
        <v>1996</v>
      </c>
      <c r="D955" s="31" t="s">
        <v>2025</v>
      </c>
      <c r="E955" s="32">
        <v>6075.6483333333299</v>
      </c>
      <c r="F955" s="32">
        <v>2</v>
      </c>
    </row>
    <row r="956" spans="1:6" x14ac:dyDescent="0.3">
      <c r="A956" s="31">
        <v>2100007038</v>
      </c>
      <c r="B956" s="31" t="s">
        <v>2727</v>
      </c>
      <c r="C956" s="31" t="s">
        <v>2037</v>
      </c>
      <c r="D956" s="31" t="s">
        <v>2031</v>
      </c>
      <c r="E956" s="32">
        <v>6072</v>
      </c>
      <c r="F956" s="32">
        <v>6</v>
      </c>
    </row>
    <row r="957" spans="1:6" x14ac:dyDescent="0.3">
      <c r="A957" s="31">
        <v>2500008360</v>
      </c>
      <c r="B957" s="31" t="s">
        <v>1933</v>
      </c>
      <c r="C957" s="31" t="s">
        <v>1996</v>
      </c>
      <c r="D957" s="31" t="s">
        <v>2025</v>
      </c>
      <c r="E957" s="32">
        <v>6056.5734285714198</v>
      </c>
      <c r="F957" s="32">
        <v>7</v>
      </c>
    </row>
    <row r="958" spans="1:6" x14ac:dyDescent="0.3">
      <c r="A958" s="31">
        <v>1000110225</v>
      </c>
      <c r="B958" s="31" t="s">
        <v>2728</v>
      </c>
      <c r="C958" s="31" t="s">
        <v>2109</v>
      </c>
      <c r="D958" s="31" t="s">
        <v>2035</v>
      </c>
      <c r="E958" s="32">
        <v>6048.75</v>
      </c>
      <c r="F958" s="32">
        <v>1</v>
      </c>
    </row>
    <row r="959" spans="1:6" x14ac:dyDescent="0.3">
      <c r="A959" s="31">
        <v>1000111063</v>
      </c>
      <c r="B959" s="31" t="s">
        <v>2729</v>
      </c>
      <c r="C959" s="31" t="s">
        <v>2109</v>
      </c>
      <c r="D959" s="31" t="s">
        <v>2070</v>
      </c>
      <c r="E959" s="32">
        <v>6045</v>
      </c>
      <c r="F959" s="32">
        <v>5</v>
      </c>
    </row>
    <row r="960" spans="1:6" x14ac:dyDescent="0.3">
      <c r="A960" s="31">
        <v>1000021265</v>
      </c>
      <c r="B960" s="31" t="s">
        <v>1408</v>
      </c>
      <c r="C960" s="31" t="s">
        <v>4</v>
      </c>
      <c r="D960" s="31" t="s">
        <v>2090</v>
      </c>
      <c r="E960" s="32">
        <v>6036.25</v>
      </c>
      <c r="F960" s="32">
        <v>5</v>
      </c>
    </row>
    <row r="961" spans="1:6" x14ac:dyDescent="0.3">
      <c r="A961" s="31">
        <v>2700000137</v>
      </c>
      <c r="B961" s="31" t="s">
        <v>265</v>
      </c>
      <c r="C961" s="31" t="s">
        <v>2037</v>
      </c>
      <c r="D961" s="31" t="s">
        <v>2038</v>
      </c>
      <c r="E961" s="32">
        <v>6018.46</v>
      </c>
      <c r="F961" s="32">
        <v>7</v>
      </c>
    </row>
    <row r="962" spans="1:6" x14ac:dyDescent="0.3">
      <c r="A962" s="31">
        <v>1000095722</v>
      </c>
      <c r="B962" s="31" t="s">
        <v>2730</v>
      </c>
      <c r="C962" s="31" t="s">
        <v>2109</v>
      </c>
      <c r="D962" s="31" t="s">
        <v>2070</v>
      </c>
      <c r="E962" s="32">
        <v>6000.49</v>
      </c>
      <c r="F962" s="32">
        <v>1</v>
      </c>
    </row>
    <row r="963" spans="1:6" x14ac:dyDescent="0.3">
      <c r="A963" s="31">
        <v>2500009670</v>
      </c>
      <c r="B963" s="31" t="s">
        <v>2731</v>
      </c>
      <c r="C963" s="31" t="s">
        <v>1996</v>
      </c>
      <c r="D963" s="31" t="s">
        <v>2025</v>
      </c>
      <c r="E963" s="32">
        <v>6000</v>
      </c>
      <c r="F963" s="32">
        <v>1</v>
      </c>
    </row>
    <row r="964" spans="1:6" x14ac:dyDescent="0.3">
      <c r="A964" s="31">
        <v>2700000090</v>
      </c>
      <c r="B964" s="31" t="s">
        <v>250</v>
      </c>
      <c r="C964" s="31" t="s">
        <v>2037</v>
      </c>
      <c r="D964" s="31" t="s">
        <v>2038</v>
      </c>
      <c r="E964" s="32">
        <v>5983.8010000000004</v>
      </c>
      <c r="F964" s="32">
        <v>2</v>
      </c>
    </row>
    <row r="965" spans="1:6" x14ac:dyDescent="0.3">
      <c r="A965" s="31">
        <v>1000102975</v>
      </c>
      <c r="B965" s="31" t="s">
        <v>2732</v>
      </c>
      <c r="C965" s="31" t="s">
        <v>4</v>
      </c>
      <c r="D965" s="31" t="s">
        <v>2090</v>
      </c>
      <c r="E965" s="32">
        <v>5980.35</v>
      </c>
      <c r="F965" s="32">
        <v>7</v>
      </c>
    </row>
    <row r="966" spans="1:6" x14ac:dyDescent="0.3">
      <c r="A966" s="31">
        <v>1000091215</v>
      </c>
      <c r="B966" s="31" t="s">
        <v>2733</v>
      </c>
      <c r="C966" s="31" t="s">
        <v>2257</v>
      </c>
      <c r="D966" s="31" t="s">
        <v>2070</v>
      </c>
      <c r="E966" s="32">
        <v>5962.5</v>
      </c>
      <c r="F966" s="32">
        <v>15</v>
      </c>
    </row>
    <row r="967" spans="1:6" x14ac:dyDescent="0.3">
      <c r="A967" s="31">
        <v>2500008442</v>
      </c>
      <c r="B967" s="31" t="s">
        <v>2734</v>
      </c>
      <c r="C967" s="31" t="s">
        <v>1996</v>
      </c>
      <c r="D967" s="31" t="s">
        <v>2025</v>
      </c>
      <c r="E967" s="32">
        <v>5957.7186938161703</v>
      </c>
      <c r="F967" s="32">
        <v>60</v>
      </c>
    </row>
    <row r="968" spans="1:6" x14ac:dyDescent="0.3">
      <c r="A968" s="31">
        <v>1000110719</v>
      </c>
      <c r="B968" s="31" t="s">
        <v>2322</v>
      </c>
      <c r="C968" s="31" t="s">
        <v>2109</v>
      </c>
      <c r="D968" s="31" t="s">
        <v>2035</v>
      </c>
      <c r="E968" s="32">
        <v>5902.5</v>
      </c>
      <c r="F968" s="32">
        <v>1</v>
      </c>
    </row>
    <row r="969" spans="1:6" x14ac:dyDescent="0.3">
      <c r="A969" s="31">
        <v>1000020838</v>
      </c>
      <c r="B969" s="31" t="s">
        <v>1032</v>
      </c>
      <c r="C969" s="31" t="s">
        <v>4</v>
      </c>
      <c r="D969" s="31" t="s">
        <v>2090</v>
      </c>
      <c r="E969" s="32">
        <v>5891.5207510204</v>
      </c>
      <c r="F969" s="32">
        <v>32</v>
      </c>
    </row>
    <row r="970" spans="1:6" x14ac:dyDescent="0.3">
      <c r="A970" s="31">
        <v>1000110276</v>
      </c>
      <c r="B970" s="31" t="s">
        <v>2735</v>
      </c>
      <c r="C970" s="31" t="s">
        <v>2109</v>
      </c>
      <c r="D970" s="31" t="s">
        <v>2696</v>
      </c>
      <c r="E970" s="32">
        <v>5880</v>
      </c>
      <c r="F970" s="32">
        <v>1</v>
      </c>
    </row>
    <row r="971" spans="1:6" x14ac:dyDescent="0.3">
      <c r="A971" s="31">
        <v>1000099239</v>
      </c>
      <c r="B971" s="31" t="s">
        <v>2736</v>
      </c>
      <c r="C971" s="31" t="s">
        <v>4</v>
      </c>
      <c r="D971" s="31" t="s">
        <v>2043</v>
      </c>
      <c r="E971" s="32">
        <v>5862.78</v>
      </c>
      <c r="F971" s="32">
        <v>141</v>
      </c>
    </row>
    <row r="972" spans="1:6" x14ac:dyDescent="0.3">
      <c r="A972" s="31">
        <v>1000021092</v>
      </c>
      <c r="B972" s="31" t="s">
        <v>1254</v>
      </c>
      <c r="C972" s="31" t="s">
        <v>4</v>
      </c>
      <c r="D972" s="31" t="s">
        <v>2090</v>
      </c>
      <c r="E972" s="32">
        <v>5853.6208477236996</v>
      </c>
      <c r="F972" s="32">
        <v>41</v>
      </c>
    </row>
    <row r="973" spans="1:6" x14ac:dyDescent="0.3">
      <c r="A973" s="31">
        <v>1000099106</v>
      </c>
      <c r="B973" s="31" t="s">
        <v>2737</v>
      </c>
      <c r="C973" s="31" t="s">
        <v>4</v>
      </c>
      <c r="D973" s="31" t="s">
        <v>2090</v>
      </c>
      <c r="E973" s="32">
        <v>5845.4477666666598</v>
      </c>
      <c r="F973" s="32">
        <v>2</v>
      </c>
    </row>
    <row r="974" spans="1:6" x14ac:dyDescent="0.3">
      <c r="A974" s="31">
        <v>2500008493</v>
      </c>
      <c r="B974" s="31" t="s">
        <v>2738</v>
      </c>
      <c r="C974" s="31" t="s">
        <v>1996</v>
      </c>
      <c r="D974" s="31" t="s">
        <v>2025</v>
      </c>
      <c r="E974" s="32">
        <v>5838.75</v>
      </c>
      <c r="F974" s="32">
        <v>9</v>
      </c>
    </row>
    <row r="975" spans="1:6" x14ac:dyDescent="0.3">
      <c r="A975" s="31">
        <v>1000021271</v>
      </c>
      <c r="B975" s="31" t="s">
        <v>1411</v>
      </c>
      <c r="C975" s="31" t="s">
        <v>4</v>
      </c>
      <c r="D975" s="31" t="s">
        <v>2090</v>
      </c>
      <c r="E975" s="32">
        <v>5833.31</v>
      </c>
      <c r="F975" s="32">
        <v>23</v>
      </c>
    </row>
    <row r="976" spans="1:6" x14ac:dyDescent="0.3">
      <c r="A976" s="31">
        <v>1000102433</v>
      </c>
      <c r="B976" s="31" t="s">
        <v>1796</v>
      </c>
      <c r="C976" s="31" t="s">
        <v>4</v>
      </c>
      <c r="D976" s="31" t="s">
        <v>2090</v>
      </c>
      <c r="E976" s="32">
        <v>5810.58</v>
      </c>
      <c r="F976" s="32">
        <v>15</v>
      </c>
    </row>
    <row r="977" spans="1:6" x14ac:dyDescent="0.3">
      <c r="A977" s="31">
        <v>1000103601</v>
      </c>
      <c r="B977" s="31" t="s">
        <v>1867</v>
      </c>
      <c r="C977" s="31" t="s">
        <v>4</v>
      </c>
      <c r="D977" s="31" t="s">
        <v>2056</v>
      </c>
      <c r="E977" s="32">
        <v>5798.86</v>
      </c>
      <c r="F977" s="32">
        <v>5100</v>
      </c>
    </row>
    <row r="978" spans="1:6" x14ac:dyDescent="0.3">
      <c r="A978" s="31">
        <v>1000111053</v>
      </c>
      <c r="B978" s="31" t="s">
        <v>2739</v>
      </c>
      <c r="C978" s="31" t="s">
        <v>2109</v>
      </c>
      <c r="D978" s="31" t="s">
        <v>2150</v>
      </c>
      <c r="E978" s="32">
        <v>5793.75</v>
      </c>
      <c r="F978" s="32">
        <v>1</v>
      </c>
    </row>
    <row r="979" spans="1:6" x14ac:dyDescent="0.3">
      <c r="A979" s="31">
        <v>1000020827</v>
      </c>
      <c r="B979" s="31" t="s">
        <v>1024</v>
      </c>
      <c r="C979" s="31" t="s">
        <v>4</v>
      </c>
      <c r="D979" s="31" t="s">
        <v>2090</v>
      </c>
      <c r="E979" s="32">
        <v>5789.625</v>
      </c>
      <c r="F979" s="32">
        <v>5</v>
      </c>
    </row>
    <row r="980" spans="1:6" x14ac:dyDescent="0.3">
      <c r="A980" s="31">
        <v>1000020567</v>
      </c>
      <c r="B980" s="31" t="s">
        <v>784</v>
      </c>
      <c r="C980" s="31" t="s">
        <v>4</v>
      </c>
      <c r="D980" s="31" t="s">
        <v>2090</v>
      </c>
      <c r="E980" s="32">
        <v>5784.8254047619002</v>
      </c>
      <c r="F980" s="32">
        <v>16</v>
      </c>
    </row>
    <row r="981" spans="1:6" x14ac:dyDescent="0.3">
      <c r="A981" s="31">
        <v>2100007193</v>
      </c>
      <c r="B981" s="31" t="s">
        <v>2740</v>
      </c>
      <c r="C981" s="31" t="s">
        <v>2037</v>
      </c>
      <c r="D981" s="31" t="s">
        <v>2031</v>
      </c>
      <c r="E981" s="32">
        <v>5782.1279999999997</v>
      </c>
      <c r="F981" s="32">
        <v>3</v>
      </c>
    </row>
    <row r="982" spans="1:6" x14ac:dyDescent="0.3">
      <c r="A982" s="31">
        <v>2200011919</v>
      </c>
      <c r="B982" s="31" t="s">
        <v>2741</v>
      </c>
      <c r="C982" s="31" t="s">
        <v>2037</v>
      </c>
      <c r="D982" s="31" t="s">
        <v>2038</v>
      </c>
      <c r="E982" s="32">
        <v>5779.9428742076998</v>
      </c>
      <c r="F982" s="32">
        <v>3</v>
      </c>
    </row>
    <row r="983" spans="1:6" x14ac:dyDescent="0.3">
      <c r="A983" s="31">
        <v>1000098623</v>
      </c>
      <c r="B983" s="31" t="s">
        <v>2742</v>
      </c>
      <c r="C983" s="31" t="s">
        <v>4</v>
      </c>
      <c r="D983" s="31" t="s">
        <v>2056</v>
      </c>
      <c r="E983" s="32">
        <v>5778.3646415094299</v>
      </c>
      <c r="F983" s="32">
        <v>206</v>
      </c>
    </row>
    <row r="984" spans="1:6" x14ac:dyDescent="0.3">
      <c r="A984" s="31">
        <v>1000021128</v>
      </c>
      <c r="B984" s="31" t="s">
        <v>1285</v>
      </c>
      <c r="C984" s="31" t="s">
        <v>4</v>
      </c>
      <c r="D984" s="31" t="s">
        <v>2090</v>
      </c>
      <c r="E984" s="32">
        <v>5774.0443583333299</v>
      </c>
      <c r="F984" s="32">
        <v>13</v>
      </c>
    </row>
    <row r="985" spans="1:6" x14ac:dyDescent="0.3">
      <c r="A985" s="31">
        <v>2200011431</v>
      </c>
      <c r="B985" s="31" t="s">
        <v>2743</v>
      </c>
      <c r="C985" s="31" t="s">
        <v>2037</v>
      </c>
      <c r="D985" s="31" t="s">
        <v>2038</v>
      </c>
      <c r="E985" s="32">
        <v>5771.3142782812502</v>
      </c>
      <c r="F985" s="32">
        <v>2</v>
      </c>
    </row>
    <row r="986" spans="1:6" x14ac:dyDescent="0.3">
      <c r="A986" s="31">
        <v>2500007363</v>
      </c>
      <c r="B986" s="31" t="s">
        <v>2744</v>
      </c>
      <c r="C986" s="31" t="s">
        <v>1996</v>
      </c>
      <c r="D986" s="31" t="s">
        <v>2025</v>
      </c>
      <c r="E986" s="32">
        <v>5759.80011519046</v>
      </c>
      <c r="F986" s="32">
        <v>27</v>
      </c>
    </row>
    <row r="987" spans="1:6" x14ac:dyDescent="0.3">
      <c r="A987" s="31">
        <v>1000109710</v>
      </c>
      <c r="B987" s="31" t="s">
        <v>2745</v>
      </c>
      <c r="C987" s="31" t="s">
        <v>2109</v>
      </c>
      <c r="D987" s="31" t="s">
        <v>2746</v>
      </c>
      <c r="E987" s="32">
        <v>5724</v>
      </c>
      <c r="F987" s="32">
        <v>3</v>
      </c>
    </row>
    <row r="988" spans="1:6" x14ac:dyDescent="0.3">
      <c r="A988" s="31">
        <v>1000021207</v>
      </c>
      <c r="B988" s="31" t="s">
        <v>1353</v>
      </c>
      <c r="C988" s="31" t="s">
        <v>4</v>
      </c>
      <c r="D988" s="31" t="s">
        <v>2090</v>
      </c>
      <c r="E988" s="32">
        <v>5717.4779545454503</v>
      </c>
      <c r="F988" s="32">
        <v>41</v>
      </c>
    </row>
    <row r="989" spans="1:6" x14ac:dyDescent="0.3">
      <c r="A989" s="31">
        <v>2200003018</v>
      </c>
      <c r="B989" s="31" t="s">
        <v>2747</v>
      </c>
      <c r="C989" s="31" t="s">
        <v>2037</v>
      </c>
      <c r="D989" s="31" t="s">
        <v>2038</v>
      </c>
      <c r="E989" s="32">
        <v>5716.4660000000003</v>
      </c>
      <c r="F989" s="32">
        <v>2</v>
      </c>
    </row>
    <row r="990" spans="1:6" x14ac:dyDescent="0.3">
      <c r="A990" s="31">
        <v>1000020647</v>
      </c>
      <c r="B990" s="31" t="s">
        <v>861</v>
      </c>
      <c r="C990" s="31" t="s">
        <v>4</v>
      </c>
      <c r="D990" s="31" t="s">
        <v>2218</v>
      </c>
      <c r="E990" s="32">
        <v>5710.6893571570799</v>
      </c>
      <c r="F990" s="32">
        <v>254</v>
      </c>
    </row>
    <row r="991" spans="1:6" x14ac:dyDescent="0.3">
      <c r="A991" s="31">
        <v>2500008807</v>
      </c>
      <c r="B991" s="31" t="s">
        <v>2748</v>
      </c>
      <c r="C991" s="31" t="s">
        <v>1996</v>
      </c>
      <c r="D991" s="31" t="s">
        <v>2025</v>
      </c>
      <c r="E991" s="32">
        <v>5686.7749999999996</v>
      </c>
      <c r="F991" s="32">
        <v>2</v>
      </c>
    </row>
    <row r="992" spans="1:6" x14ac:dyDescent="0.3">
      <c r="A992" s="31">
        <v>2500008293</v>
      </c>
      <c r="B992" s="31" t="s">
        <v>2749</v>
      </c>
      <c r="C992" s="31" t="s">
        <v>1996</v>
      </c>
      <c r="D992" s="31" t="s">
        <v>2025</v>
      </c>
      <c r="E992" s="32">
        <v>5670</v>
      </c>
      <c r="F992" s="32">
        <v>8</v>
      </c>
    </row>
    <row r="993" spans="1:6" x14ac:dyDescent="0.3">
      <c r="A993" s="31">
        <v>1000104421</v>
      </c>
      <c r="B993" s="31" t="s">
        <v>2750</v>
      </c>
      <c r="C993" s="31" t="s">
        <v>4</v>
      </c>
      <c r="D993" s="31" t="s">
        <v>2043</v>
      </c>
      <c r="E993" s="32">
        <v>5651.7929999999997</v>
      </c>
      <c r="F993" s="32">
        <v>18</v>
      </c>
    </row>
    <row r="994" spans="1:6" x14ac:dyDescent="0.3">
      <c r="A994" s="31">
        <v>1000093680</v>
      </c>
      <c r="B994" s="31" t="s">
        <v>2055</v>
      </c>
      <c r="C994" s="31" t="s">
        <v>4</v>
      </c>
      <c r="D994" s="31" t="s">
        <v>2056</v>
      </c>
      <c r="E994" s="32">
        <v>5647.6321090423398</v>
      </c>
      <c r="F994" s="32">
        <v>860</v>
      </c>
    </row>
    <row r="995" spans="1:6" x14ac:dyDescent="0.3">
      <c r="A995" s="31">
        <v>1000094899</v>
      </c>
      <c r="B995" s="31" t="s">
        <v>15</v>
      </c>
      <c r="C995" s="31" t="s">
        <v>2109</v>
      </c>
      <c r="D995" s="31" t="s">
        <v>2070</v>
      </c>
      <c r="E995" s="32">
        <v>5628</v>
      </c>
      <c r="F995" s="32">
        <v>2</v>
      </c>
    </row>
    <row r="996" spans="1:6" x14ac:dyDescent="0.3">
      <c r="A996" s="31">
        <v>2500001100</v>
      </c>
      <c r="B996" s="31" t="s">
        <v>2751</v>
      </c>
      <c r="C996" s="31" t="s">
        <v>1996</v>
      </c>
      <c r="D996" s="31" t="s">
        <v>2025</v>
      </c>
      <c r="E996" s="32">
        <v>5624.1428571428496</v>
      </c>
      <c r="F996" s="32">
        <v>6</v>
      </c>
    </row>
    <row r="997" spans="1:6" x14ac:dyDescent="0.3">
      <c r="A997" s="31">
        <v>1000015017</v>
      </c>
      <c r="B997" s="31" t="s">
        <v>2752</v>
      </c>
      <c r="C997" s="31" t="s">
        <v>4</v>
      </c>
      <c r="D997" s="31" t="s">
        <v>2043</v>
      </c>
      <c r="E997" s="32">
        <v>5623.0331249999999</v>
      </c>
      <c r="F997" s="32">
        <v>27</v>
      </c>
    </row>
    <row r="998" spans="1:6" x14ac:dyDescent="0.3">
      <c r="A998" s="31">
        <v>1000104797</v>
      </c>
      <c r="B998" s="31" t="s">
        <v>2753</v>
      </c>
      <c r="C998" s="31" t="s">
        <v>4</v>
      </c>
      <c r="D998" s="31" t="s">
        <v>2090</v>
      </c>
      <c r="E998" s="32">
        <v>5622.7924999999996</v>
      </c>
      <c r="F998" s="32">
        <v>11</v>
      </c>
    </row>
    <row r="999" spans="1:6" x14ac:dyDescent="0.3">
      <c r="A999" s="31">
        <v>1000094125</v>
      </c>
      <c r="B999" s="31" t="s">
        <v>2754</v>
      </c>
      <c r="C999" s="31" t="s">
        <v>4</v>
      </c>
      <c r="D999" s="31" t="s">
        <v>2230</v>
      </c>
      <c r="E999" s="32">
        <v>5619.42223333333</v>
      </c>
      <c r="F999" s="32">
        <v>5</v>
      </c>
    </row>
    <row r="1000" spans="1:6" x14ac:dyDescent="0.3">
      <c r="A1000" s="31">
        <v>80000002250</v>
      </c>
      <c r="B1000" s="31" t="s">
        <v>2712</v>
      </c>
      <c r="C1000" s="31" t="s">
        <v>2755</v>
      </c>
      <c r="D1000" s="31" t="s">
        <v>2645</v>
      </c>
      <c r="E1000" s="32">
        <v>5615.4</v>
      </c>
      <c r="F1000" s="32">
        <v>1910</v>
      </c>
    </row>
    <row r="1001" spans="1:6" x14ac:dyDescent="0.3">
      <c r="A1001" s="31">
        <v>1000020717</v>
      </c>
      <c r="B1001" s="31" t="s">
        <v>926</v>
      </c>
      <c r="C1001" s="31" t="s">
        <v>4</v>
      </c>
      <c r="D1001" s="31" t="s">
        <v>2090</v>
      </c>
      <c r="E1001" s="32">
        <v>5613.5096774193498</v>
      </c>
      <c r="F1001" s="32">
        <v>20</v>
      </c>
    </row>
    <row r="1002" spans="1:6" x14ac:dyDescent="0.3">
      <c r="A1002" s="31">
        <v>1000020499</v>
      </c>
      <c r="B1002" s="31" t="s">
        <v>724</v>
      </c>
      <c r="C1002" s="31" t="s">
        <v>4</v>
      </c>
      <c r="D1002" s="31" t="s">
        <v>2218</v>
      </c>
      <c r="E1002" s="32">
        <v>5607.3116437148101</v>
      </c>
      <c r="F1002" s="32">
        <v>108</v>
      </c>
    </row>
    <row r="1003" spans="1:6" x14ac:dyDescent="0.3">
      <c r="A1003" s="31">
        <v>8500000014</v>
      </c>
      <c r="B1003" s="31" t="s">
        <v>2756</v>
      </c>
      <c r="C1003" s="31" t="s">
        <v>2709</v>
      </c>
      <c r="D1003" s="31" t="s">
        <v>2710</v>
      </c>
      <c r="E1003" s="32">
        <v>5600</v>
      </c>
      <c r="F1003" s="32">
        <v>200</v>
      </c>
    </row>
    <row r="1004" spans="1:6" x14ac:dyDescent="0.3">
      <c r="A1004" s="31">
        <v>1000109112</v>
      </c>
      <c r="B1004" s="31" t="s">
        <v>2641</v>
      </c>
      <c r="C1004" s="31" t="s">
        <v>2205</v>
      </c>
      <c r="D1004" s="31" t="s">
        <v>2070</v>
      </c>
      <c r="E1004" s="32">
        <v>5591.25</v>
      </c>
      <c r="F1004" s="32">
        <v>1</v>
      </c>
    </row>
    <row r="1005" spans="1:6" x14ac:dyDescent="0.3">
      <c r="A1005" s="31">
        <v>1000096140</v>
      </c>
      <c r="B1005" s="31" t="s">
        <v>2757</v>
      </c>
      <c r="C1005" s="31" t="s">
        <v>4</v>
      </c>
      <c r="D1005" s="31" t="s">
        <v>2161</v>
      </c>
      <c r="E1005" s="32">
        <v>5585.3742857142797</v>
      </c>
      <c r="F1005" s="32">
        <v>6</v>
      </c>
    </row>
    <row r="1006" spans="1:6" x14ac:dyDescent="0.3">
      <c r="A1006" s="31">
        <v>1000100015</v>
      </c>
      <c r="B1006" s="31" t="s">
        <v>1845</v>
      </c>
      <c r="C1006" s="31" t="s">
        <v>4</v>
      </c>
      <c r="D1006" s="31" t="s">
        <v>2056</v>
      </c>
      <c r="E1006" s="32">
        <v>5584.5766666666595</v>
      </c>
      <c r="F1006" s="32">
        <v>140</v>
      </c>
    </row>
    <row r="1007" spans="1:6" x14ac:dyDescent="0.3">
      <c r="A1007" s="31">
        <v>1000092787</v>
      </c>
      <c r="B1007" s="31" t="s">
        <v>2758</v>
      </c>
      <c r="C1007" s="31" t="s">
        <v>2027</v>
      </c>
      <c r="D1007" s="31" t="s">
        <v>2399</v>
      </c>
      <c r="E1007" s="32">
        <v>5579.6728571428503</v>
      </c>
      <c r="F1007" s="32">
        <v>2</v>
      </c>
    </row>
    <row r="1008" spans="1:6" x14ac:dyDescent="0.3">
      <c r="A1008" s="31">
        <v>1000105791</v>
      </c>
      <c r="B1008" s="31" t="s">
        <v>2759</v>
      </c>
      <c r="C1008" s="31" t="s">
        <v>2109</v>
      </c>
      <c r="D1008" s="31" t="s">
        <v>2070</v>
      </c>
      <c r="E1008" s="32">
        <v>5573.7</v>
      </c>
      <c r="F1008" s="32">
        <v>1</v>
      </c>
    </row>
    <row r="1009" spans="1:6" x14ac:dyDescent="0.3">
      <c r="A1009" s="31">
        <v>2500008775</v>
      </c>
      <c r="B1009" s="31" t="s">
        <v>2760</v>
      </c>
      <c r="C1009" s="31" t="s">
        <v>1996</v>
      </c>
      <c r="D1009" s="31" t="s">
        <v>2025</v>
      </c>
      <c r="E1009" s="32">
        <v>5550</v>
      </c>
      <c r="F1009" s="32">
        <v>2</v>
      </c>
    </row>
    <row r="1010" spans="1:6" x14ac:dyDescent="0.3">
      <c r="A1010" s="31">
        <v>2500005914</v>
      </c>
      <c r="B1010" s="31" t="s">
        <v>1908</v>
      </c>
      <c r="C1010" s="31" t="s">
        <v>1996</v>
      </c>
      <c r="D1010" s="31" t="s">
        <v>2025</v>
      </c>
      <c r="E1010" s="32">
        <v>5541.7987499999999</v>
      </c>
      <c r="F1010" s="32">
        <v>3</v>
      </c>
    </row>
    <row r="1011" spans="1:6" x14ac:dyDescent="0.3">
      <c r="A1011" s="31">
        <v>1000095825</v>
      </c>
      <c r="B1011" s="31" t="s">
        <v>2761</v>
      </c>
      <c r="C1011" s="31" t="s">
        <v>4</v>
      </c>
      <c r="D1011" s="31" t="s">
        <v>2056</v>
      </c>
      <c r="E1011" s="32">
        <v>5540.8147222179196</v>
      </c>
      <c r="F1011" s="32">
        <v>2700</v>
      </c>
    </row>
    <row r="1012" spans="1:6" x14ac:dyDescent="0.3">
      <c r="A1012" s="31">
        <v>2200003016</v>
      </c>
      <c r="B1012" s="31" t="s">
        <v>2532</v>
      </c>
      <c r="C1012" s="31" t="s">
        <v>2088</v>
      </c>
      <c r="D1012" s="31" t="s">
        <v>2038</v>
      </c>
      <c r="E1012" s="32">
        <v>5528.98</v>
      </c>
      <c r="F1012" s="32">
        <v>1</v>
      </c>
    </row>
    <row r="1013" spans="1:6" x14ac:dyDescent="0.3">
      <c r="A1013" s="31">
        <v>1000020681</v>
      </c>
      <c r="B1013" s="31" t="s">
        <v>894</v>
      </c>
      <c r="C1013" s="31" t="s">
        <v>4</v>
      </c>
      <c r="D1013" s="31" t="s">
        <v>2090</v>
      </c>
      <c r="E1013" s="32">
        <v>5521.4</v>
      </c>
      <c r="F1013" s="32">
        <v>95</v>
      </c>
    </row>
    <row r="1014" spans="1:6" x14ac:dyDescent="0.3">
      <c r="A1014" s="31">
        <v>2700000202</v>
      </c>
      <c r="B1014" s="31" t="s">
        <v>285</v>
      </c>
      <c r="C1014" s="31" t="s">
        <v>2037</v>
      </c>
      <c r="D1014" s="31" t="s">
        <v>2038</v>
      </c>
      <c r="E1014" s="32">
        <v>5516.95</v>
      </c>
      <c r="F1014" s="32">
        <v>3</v>
      </c>
    </row>
    <row r="1015" spans="1:6" x14ac:dyDescent="0.3">
      <c r="A1015" s="31">
        <v>1000094725</v>
      </c>
      <c r="B1015" s="31" t="s">
        <v>2762</v>
      </c>
      <c r="C1015" s="31" t="s">
        <v>4</v>
      </c>
      <c r="D1015" s="31" t="s">
        <v>2090</v>
      </c>
      <c r="E1015" s="32">
        <v>5505</v>
      </c>
      <c r="F1015" s="32">
        <v>80</v>
      </c>
    </row>
    <row r="1016" spans="1:6" x14ac:dyDescent="0.3">
      <c r="A1016" s="31">
        <v>1000102218</v>
      </c>
      <c r="B1016" s="31" t="s">
        <v>1775</v>
      </c>
      <c r="C1016" s="31" t="s">
        <v>4</v>
      </c>
      <c r="D1016" s="31" t="s">
        <v>2090</v>
      </c>
      <c r="E1016" s="32">
        <v>5495.16</v>
      </c>
      <c r="F1016" s="32">
        <v>2</v>
      </c>
    </row>
    <row r="1017" spans="1:6" x14ac:dyDescent="0.3">
      <c r="A1017" s="31">
        <v>2200012013</v>
      </c>
      <c r="B1017" s="31" t="s">
        <v>2763</v>
      </c>
      <c r="C1017" s="31" t="s">
        <v>2037</v>
      </c>
      <c r="D1017" s="31" t="s">
        <v>2038</v>
      </c>
      <c r="E1017" s="32">
        <v>5491.64</v>
      </c>
      <c r="F1017" s="32">
        <v>1</v>
      </c>
    </row>
    <row r="1018" spans="1:6" x14ac:dyDescent="0.3">
      <c r="A1018" s="31">
        <v>1000020121</v>
      </c>
      <c r="B1018" s="31" t="s">
        <v>376</v>
      </c>
      <c r="C1018" s="31" t="s">
        <v>4</v>
      </c>
      <c r="D1018" s="31" t="s">
        <v>2090</v>
      </c>
      <c r="E1018" s="32">
        <v>5477.28</v>
      </c>
      <c r="F1018" s="32">
        <v>12</v>
      </c>
    </row>
    <row r="1019" spans="1:6" x14ac:dyDescent="0.3">
      <c r="A1019" s="31">
        <v>1000103441</v>
      </c>
      <c r="B1019" s="31" t="s">
        <v>2764</v>
      </c>
      <c r="C1019" s="31" t="s">
        <v>4</v>
      </c>
      <c r="D1019" s="31" t="s">
        <v>2161</v>
      </c>
      <c r="E1019" s="32">
        <v>5469.9744000000001</v>
      </c>
      <c r="F1019" s="32">
        <v>4</v>
      </c>
    </row>
    <row r="1020" spans="1:6" x14ac:dyDescent="0.3">
      <c r="A1020" s="31">
        <v>1000096266</v>
      </c>
      <c r="B1020" s="31" t="s">
        <v>2765</v>
      </c>
      <c r="C1020" s="31" t="s">
        <v>4</v>
      </c>
      <c r="D1020" s="31" t="s">
        <v>2056</v>
      </c>
      <c r="E1020" s="32">
        <v>5450.5204045964902</v>
      </c>
      <c r="F1020" s="32">
        <v>245</v>
      </c>
    </row>
    <row r="1021" spans="1:6" x14ac:dyDescent="0.3">
      <c r="A1021" s="31">
        <v>1000110792</v>
      </c>
      <c r="B1021" s="31" t="s">
        <v>2766</v>
      </c>
      <c r="C1021" s="31" t="s">
        <v>4</v>
      </c>
      <c r="D1021" s="31" t="s">
        <v>2043</v>
      </c>
      <c r="E1021" s="32">
        <v>5439.68</v>
      </c>
      <c r="F1021" s="32">
        <v>8</v>
      </c>
    </row>
    <row r="1022" spans="1:6" x14ac:dyDescent="0.3">
      <c r="A1022" s="31">
        <v>1000106113</v>
      </c>
      <c r="B1022" s="31" t="s">
        <v>2767</v>
      </c>
      <c r="C1022" s="31" t="s">
        <v>4</v>
      </c>
      <c r="D1022" s="31" t="s">
        <v>2161</v>
      </c>
      <c r="E1022" s="32">
        <v>5416.93</v>
      </c>
      <c r="F1022" s="32">
        <v>2</v>
      </c>
    </row>
    <row r="1023" spans="1:6" x14ac:dyDescent="0.3">
      <c r="A1023" s="31">
        <v>2200000398</v>
      </c>
      <c r="B1023" s="31" t="s">
        <v>159</v>
      </c>
      <c r="C1023" s="31" t="s">
        <v>2037</v>
      </c>
      <c r="D1023" s="31" t="s">
        <v>2038</v>
      </c>
      <c r="E1023" s="32">
        <v>5412.53</v>
      </c>
      <c r="F1023" s="32">
        <v>2</v>
      </c>
    </row>
    <row r="1024" spans="1:6" x14ac:dyDescent="0.3">
      <c r="A1024" s="31">
        <v>2200000409</v>
      </c>
      <c r="B1024" s="31" t="s">
        <v>162</v>
      </c>
      <c r="C1024" s="31" t="s">
        <v>2037</v>
      </c>
      <c r="D1024" s="31" t="s">
        <v>2038</v>
      </c>
      <c r="E1024" s="32">
        <v>5404.27</v>
      </c>
      <c r="F1024" s="32">
        <v>1</v>
      </c>
    </row>
    <row r="1025" spans="1:6" x14ac:dyDescent="0.3">
      <c r="A1025" s="31">
        <v>1000109297</v>
      </c>
      <c r="B1025" s="31" t="s">
        <v>2768</v>
      </c>
      <c r="C1025" s="31" t="s">
        <v>4</v>
      </c>
      <c r="D1025" s="31" t="s">
        <v>2043</v>
      </c>
      <c r="E1025" s="32">
        <v>5400</v>
      </c>
      <c r="F1025" s="32">
        <v>200</v>
      </c>
    </row>
    <row r="1026" spans="1:6" x14ac:dyDescent="0.3">
      <c r="A1026" s="31">
        <v>1000093780</v>
      </c>
      <c r="B1026" s="31" t="s">
        <v>2769</v>
      </c>
      <c r="C1026" s="31" t="s">
        <v>4</v>
      </c>
      <c r="D1026" s="31" t="s">
        <v>2090</v>
      </c>
      <c r="E1026" s="32">
        <v>5389.8456238180197</v>
      </c>
      <c r="F1026" s="32">
        <v>425</v>
      </c>
    </row>
    <row r="1027" spans="1:6" x14ac:dyDescent="0.3">
      <c r="A1027" s="31">
        <v>1000110743</v>
      </c>
      <c r="B1027" s="31" t="s">
        <v>2770</v>
      </c>
      <c r="C1027" s="31" t="s">
        <v>2109</v>
      </c>
      <c r="D1027" s="31" t="s">
        <v>2035</v>
      </c>
      <c r="E1027" s="32">
        <v>5385</v>
      </c>
      <c r="F1027" s="32">
        <v>1</v>
      </c>
    </row>
    <row r="1028" spans="1:6" x14ac:dyDescent="0.3">
      <c r="A1028" s="31">
        <v>2500008701</v>
      </c>
      <c r="B1028" s="31" t="s">
        <v>2771</v>
      </c>
      <c r="C1028" s="31" t="s">
        <v>1996</v>
      </c>
      <c r="D1028" s="31" t="s">
        <v>2025</v>
      </c>
      <c r="E1028" s="32">
        <v>5381.25</v>
      </c>
      <c r="F1028" s="32">
        <v>5</v>
      </c>
    </row>
    <row r="1029" spans="1:6" x14ac:dyDescent="0.3">
      <c r="A1029" s="31">
        <v>1000099489</v>
      </c>
      <c r="B1029" s="31" t="s">
        <v>2772</v>
      </c>
      <c r="C1029" s="31" t="s">
        <v>4</v>
      </c>
      <c r="D1029" s="31" t="s">
        <v>2161</v>
      </c>
      <c r="E1029" s="32">
        <v>5379.08</v>
      </c>
      <c r="F1029" s="32">
        <v>4</v>
      </c>
    </row>
    <row r="1030" spans="1:6" x14ac:dyDescent="0.3">
      <c r="A1030" s="31">
        <v>1000093013</v>
      </c>
      <c r="B1030" s="31" t="s">
        <v>2773</v>
      </c>
      <c r="C1030" s="31" t="s">
        <v>4</v>
      </c>
      <c r="D1030" s="31" t="s">
        <v>2230</v>
      </c>
      <c r="E1030" s="32">
        <v>5375.9679999999998</v>
      </c>
      <c r="F1030" s="32">
        <v>4</v>
      </c>
    </row>
    <row r="1031" spans="1:6" x14ac:dyDescent="0.3">
      <c r="A1031" s="31">
        <v>1000020737</v>
      </c>
      <c r="B1031" s="31" t="s">
        <v>945</v>
      </c>
      <c r="C1031" s="31" t="s">
        <v>4</v>
      </c>
      <c r="D1031" s="31" t="s">
        <v>2090</v>
      </c>
      <c r="E1031" s="32">
        <v>5368.1094444444398</v>
      </c>
      <c r="F1031" s="32">
        <v>14</v>
      </c>
    </row>
    <row r="1032" spans="1:6" x14ac:dyDescent="0.3">
      <c r="A1032" s="31">
        <v>1000100340</v>
      </c>
      <c r="B1032" s="31" t="s">
        <v>2774</v>
      </c>
      <c r="C1032" s="31" t="s">
        <v>4</v>
      </c>
      <c r="D1032" s="31" t="s">
        <v>2090</v>
      </c>
      <c r="E1032" s="32">
        <v>5344.0574999999999</v>
      </c>
      <c r="F1032" s="32">
        <v>25</v>
      </c>
    </row>
    <row r="1033" spans="1:6" x14ac:dyDescent="0.3">
      <c r="A1033" s="31">
        <v>1000104435</v>
      </c>
      <c r="B1033" s="31" t="s">
        <v>2775</v>
      </c>
      <c r="C1033" s="31" t="s">
        <v>4</v>
      </c>
      <c r="D1033" s="31" t="s">
        <v>2043</v>
      </c>
      <c r="E1033" s="32">
        <v>5331.3828571428503</v>
      </c>
      <c r="F1033" s="32">
        <v>8</v>
      </c>
    </row>
    <row r="1034" spans="1:6" x14ac:dyDescent="0.3">
      <c r="A1034" s="31">
        <v>1000010075</v>
      </c>
      <c r="B1034" s="31" t="s">
        <v>2776</v>
      </c>
      <c r="C1034" s="31" t="s">
        <v>4</v>
      </c>
      <c r="D1034" s="31" t="s">
        <v>2230</v>
      </c>
      <c r="E1034" s="32">
        <v>5325.6556818181798</v>
      </c>
      <c r="F1034" s="32">
        <v>7</v>
      </c>
    </row>
    <row r="1035" spans="1:6" x14ac:dyDescent="0.3">
      <c r="A1035" s="31">
        <v>1000015100</v>
      </c>
      <c r="B1035" s="31" t="s">
        <v>72</v>
      </c>
      <c r="C1035" s="31" t="s">
        <v>4</v>
      </c>
      <c r="D1035" s="31" t="s">
        <v>2043</v>
      </c>
      <c r="E1035" s="32">
        <v>5324.2803068357598</v>
      </c>
      <c r="F1035" s="32">
        <v>127</v>
      </c>
    </row>
    <row r="1036" spans="1:6" x14ac:dyDescent="0.3">
      <c r="A1036" s="31">
        <v>1000098744</v>
      </c>
      <c r="B1036" s="31" t="s">
        <v>1684</v>
      </c>
      <c r="C1036" s="31" t="s">
        <v>4</v>
      </c>
      <c r="D1036" s="31" t="s">
        <v>2090</v>
      </c>
      <c r="E1036" s="32">
        <v>5297.68</v>
      </c>
      <c r="F1036" s="32">
        <v>2</v>
      </c>
    </row>
    <row r="1037" spans="1:6" x14ac:dyDescent="0.3">
      <c r="A1037" s="31">
        <v>1000106114</v>
      </c>
      <c r="B1037" s="31" t="s">
        <v>2777</v>
      </c>
      <c r="C1037" s="31" t="s">
        <v>4</v>
      </c>
      <c r="D1037" s="31" t="s">
        <v>2161</v>
      </c>
      <c r="E1037" s="32">
        <v>5294.61</v>
      </c>
      <c r="F1037" s="32">
        <v>10</v>
      </c>
    </row>
    <row r="1038" spans="1:6" x14ac:dyDescent="0.3">
      <c r="A1038" s="31">
        <v>1000020692</v>
      </c>
      <c r="B1038" s="31" t="s">
        <v>904</v>
      </c>
      <c r="C1038" s="31" t="s">
        <v>4</v>
      </c>
      <c r="D1038" s="31" t="s">
        <v>2218</v>
      </c>
      <c r="E1038" s="32">
        <v>5285.7133415503704</v>
      </c>
      <c r="F1038" s="32">
        <v>72</v>
      </c>
    </row>
    <row r="1039" spans="1:6" x14ac:dyDescent="0.3">
      <c r="A1039" s="31">
        <v>2200000304</v>
      </c>
      <c r="B1039" s="31" t="s">
        <v>2778</v>
      </c>
      <c r="C1039" s="31" t="s">
        <v>2037</v>
      </c>
      <c r="D1039" s="31" t="s">
        <v>2038</v>
      </c>
      <c r="E1039" s="32">
        <v>5279.58</v>
      </c>
      <c r="F1039" s="32">
        <v>1</v>
      </c>
    </row>
    <row r="1040" spans="1:6" x14ac:dyDescent="0.3">
      <c r="A1040" s="31">
        <v>1000098727</v>
      </c>
      <c r="B1040" s="31" t="s">
        <v>1670</v>
      </c>
      <c r="C1040" s="31" t="s">
        <v>4</v>
      </c>
      <c r="D1040" s="31" t="s">
        <v>2090</v>
      </c>
      <c r="E1040" s="32">
        <v>5276.277</v>
      </c>
      <c r="F1040" s="32">
        <v>26</v>
      </c>
    </row>
    <row r="1041" spans="1:6" x14ac:dyDescent="0.3">
      <c r="A1041" s="31">
        <v>1000093677</v>
      </c>
      <c r="B1041" s="31" t="s">
        <v>2779</v>
      </c>
      <c r="C1041" s="31" t="s">
        <v>4</v>
      </c>
      <c r="D1041" s="31" t="s">
        <v>2056</v>
      </c>
      <c r="E1041" s="32">
        <v>5267.5</v>
      </c>
      <c r="F1041" s="32">
        <v>10</v>
      </c>
    </row>
    <row r="1042" spans="1:6" x14ac:dyDescent="0.3">
      <c r="A1042" s="31">
        <v>1000107258</v>
      </c>
      <c r="B1042" s="31" t="s">
        <v>2780</v>
      </c>
      <c r="C1042" s="31" t="s">
        <v>2205</v>
      </c>
      <c r="D1042" s="31" t="s">
        <v>2781</v>
      </c>
      <c r="E1042" s="32">
        <v>5265</v>
      </c>
      <c r="F1042" s="32">
        <v>1</v>
      </c>
    </row>
    <row r="1043" spans="1:6" x14ac:dyDescent="0.3">
      <c r="A1043" s="31">
        <v>80000009795</v>
      </c>
      <c r="B1043" s="31" t="s">
        <v>2782</v>
      </c>
      <c r="C1043" s="31" t="s">
        <v>2521</v>
      </c>
      <c r="D1043" s="31" t="s">
        <v>2670</v>
      </c>
      <c r="E1043" s="32">
        <v>5260.6892425747601</v>
      </c>
      <c r="F1043" s="32">
        <v>117</v>
      </c>
    </row>
    <row r="1044" spans="1:6" x14ac:dyDescent="0.3">
      <c r="A1044" s="31">
        <v>1000110722</v>
      </c>
      <c r="B1044" s="31" t="s">
        <v>2783</v>
      </c>
      <c r="C1044" s="31" t="s">
        <v>2109</v>
      </c>
      <c r="D1044" s="31" t="s">
        <v>2035</v>
      </c>
      <c r="E1044" s="32">
        <v>5258.25</v>
      </c>
      <c r="F1044" s="32">
        <v>1</v>
      </c>
    </row>
    <row r="1045" spans="1:6" x14ac:dyDescent="0.3">
      <c r="A1045" s="31">
        <v>1000100427</v>
      </c>
      <c r="B1045" s="31" t="s">
        <v>1738</v>
      </c>
      <c r="C1045" s="31" t="s">
        <v>4</v>
      </c>
      <c r="D1045" s="31" t="s">
        <v>2090</v>
      </c>
      <c r="E1045" s="32">
        <v>5254.2</v>
      </c>
      <c r="F1045" s="32">
        <v>3</v>
      </c>
    </row>
    <row r="1046" spans="1:6" x14ac:dyDescent="0.3">
      <c r="A1046" s="31">
        <v>1000020489</v>
      </c>
      <c r="B1046" s="31" t="s">
        <v>714</v>
      </c>
      <c r="C1046" s="31" t="s">
        <v>4</v>
      </c>
      <c r="D1046" s="31" t="s">
        <v>2090</v>
      </c>
      <c r="E1046" s="32">
        <v>5240.8417764987998</v>
      </c>
      <c r="F1046" s="32">
        <v>128</v>
      </c>
    </row>
    <row r="1047" spans="1:6" x14ac:dyDescent="0.3">
      <c r="A1047" s="31">
        <v>1000101622</v>
      </c>
      <c r="B1047" s="31" t="s">
        <v>2784</v>
      </c>
      <c r="C1047" s="31" t="s">
        <v>4</v>
      </c>
      <c r="D1047" s="31" t="s">
        <v>2639</v>
      </c>
      <c r="E1047" s="32">
        <v>5236.10837438423</v>
      </c>
      <c r="F1047" s="32">
        <v>330</v>
      </c>
    </row>
    <row r="1048" spans="1:6" x14ac:dyDescent="0.3">
      <c r="A1048" s="31">
        <v>1000094953</v>
      </c>
      <c r="B1048" s="31" t="s">
        <v>2785</v>
      </c>
      <c r="C1048" s="31" t="s">
        <v>4</v>
      </c>
      <c r="D1048" s="31" t="s">
        <v>2056</v>
      </c>
      <c r="E1048" s="32">
        <v>5229.4336718415097</v>
      </c>
      <c r="F1048" s="32">
        <v>3227</v>
      </c>
    </row>
    <row r="1049" spans="1:6" x14ac:dyDescent="0.3">
      <c r="A1049" s="31">
        <v>2200000413</v>
      </c>
      <c r="B1049" s="31" t="s">
        <v>165</v>
      </c>
      <c r="C1049" s="31" t="s">
        <v>2037</v>
      </c>
      <c r="D1049" s="31" t="s">
        <v>2038</v>
      </c>
      <c r="E1049" s="32">
        <v>5206.8999999999996</v>
      </c>
      <c r="F1049" s="32">
        <v>2</v>
      </c>
    </row>
    <row r="1050" spans="1:6" x14ac:dyDescent="0.3">
      <c r="A1050" s="31">
        <v>1000104006</v>
      </c>
      <c r="B1050" s="31" t="s">
        <v>104</v>
      </c>
      <c r="C1050" s="31" t="s">
        <v>4</v>
      </c>
      <c r="D1050" s="31" t="s">
        <v>2043</v>
      </c>
      <c r="E1050" s="32">
        <v>5202.4049480030999</v>
      </c>
      <c r="F1050" s="32">
        <v>376</v>
      </c>
    </row>
    <row r="1051" spans="1:6" x14ac:dyDescent="0.3">
      <c r="A1051" s="31">
        <v>1000101326</v>
      </c>
      <c r="B1051" s="31" t="s">
        <v>85</v>
      </c>
      <c r="C1051" s="31" t="s">
        <v>4</v>
      </c>
      <c r="D1051" s="31" t="s">
        <v>2043</v>
      </c>
      <c r="E1051" s="32">
        <v>5200</v>
      </c>
      <c r="F1051" s="32">
        <v>100</v>
      </c>
    </row>
    <row r="1052" spans="1:6" x14ac:dyDescent="0.3">
      <c r="A1052" s="31">
        <v>1000104407</v>
      </c>
      <c r="B1052" s="31" t="s">
        <v>2786</v>
      </c>
      <c r="C1052" s="31" t="s">
        <v>4</v>
      </c>
      <c r="D1052" s="31" t="s">
        <v>2043</v>
      </c>
      <c r="E1052" s="32">
        <v>5200</v>
      </c>
      <c r="F1052" s="32">
        <v>200</v>
      </c>
    </row>
    <row r="1053" spans="1:6" x14ac:dyDescent="0.3">
      <c r="A1053" s="31">
        <v>8500000013</v>
      </c>
      <c r="B1053" s="31" t="s">
        <v>2787</v>
      </c>
      <c r="C1053" s="31" t="s">
        <v>2709</v>
      </c>
      <c r="D1053" s="31" t="s">
        <v>2710</v>
      </c>
      <c r="E1053" s="32">
        <v>5200</v>
      </c>
      <c r="F1053" s="32">
        <v>200</v>
      </c>
    </row>
    <row r="1054" spans="1:6" x14ac:dyDescent="0.3">
      <c r="A1054" s="31">
        <v>1000099688</v>
      </c>
      <c r="B1054" s="31" t="s">
        <v>2788</v>
      </c>
      <c r="C1054" s="31" t="s">
        <v>4</v>
      </c>
      <c r="D1054" s="31" t="s">
        <v>2161</v>
      </c>
      <c r="E1054" s="32">
        <v>5183.6400000000003</v>
      </c>
      <c r="F1054" s="32">
        <v>14</v>
      </c>
    </row>
    <row r="1055" spans="1:6" x14ac:dyDescent="0.3">
      <c r="A1055" s="31">
        <v>2500009477</v>
      </c>
      <c r="B1055" s="31" t="s">
        <v>2789</v>
      </c>
      <c r="C1055" s="31" t="s">
        <v>1996</v>
      </c>
      <c r="D1055" s="31" t="s">
        <v>2289</v>
      </c>
      <c r="E1055" s="32">
        <v>5167.5</v>
      </c>
      <c r="F1055" s="32">
        <v>2</v>
      </c>
    </row>
    <row r="1056" spans="1:6" x14ac:dyDescent="0.3">
      <c r="A1056" s="31">
        <v>1000109708</v>
      </c>
      <c r="B1056" s="31" t="s">
        <v>2342</v>
      </c>
      <c r="C1056" s="31" t="s">
        <v>2109</v>
      </c>
      <c r="D1056" s="31" t="s">
        <v>2110</v>
      </c>
      <c r="E1056" s="32">
        <v>5165.55</v>
      </c>
      <c r="F1056" s="32">
        <v>1</v>
      </c>
    </row>
    <row r="1057" spans="1:6" x14ac:dyDescent="0.3">
      <c r="A1057" s="31">
        <v>1000098511</v>
      </c>
      <c r="B1057" s="31" t="s">
        <v>1549</v>
      </c>
      <c r="C1057" s="31" t="s">
        <v>4</v>
      </c>
      <c r="D1057" s="31" t="s">
        <v>2090</v>
      </c>
      <c r="E1057" s="32">
        <v>5152.0600000000004</v>
      </c>
      <c r="F1057" s="32">
        <v>5</v>
      </c>
    </row>
    <row r="1058" spans="1:6" x14ac:dyDescent="0.3">
      <c r="A1058" s="31">
        <v>2100005754</v>
      </c>
      <c r="B1058" s="31" t="s">
        <v>2790</v>
      </c>
      <c r="C1058" s="31" t="s">
        <v>2037</v>
      </c>
      <c r="D1058" s="31" t="s">
        <v>2031</v>
      </c>
      <c r="E1058" s="32">
        <v>5148</v>
      </c>
      <c r="F1058" s="32">
        <v>4</v>
      </c>
    </row>
    <row r="1059" spans="1:6" x14ac:dyDescent="0.3">
      <c r="A1059" s="31">
        <v>2500008346</v>
      </c>
      <c r="B1059" s="31" t="s">
        <v>1927</v>
      </c>
      <c r="C1059" s="31" t="s">
        <v>1996</v>
      </c>
      <c r="D1059" s="31" t="s">
        <v>2025</v>
      </c>
      <c r="E1059" s="32">
        <v>5145</v>
      </c>
      <c r="F1059" s="32">
        <v>4</v>
      </c>
    </row>
    <row r="1060" spans="1:6" x14ac:dyDescent="0.3">
      <c r="A1060" s="31">
        <v>1000020518</v>
      </c>
      <c r="B1060" s="31" t="s">
        <v>740</v>
      </c>
      <c r="C1060" s="31" t="s">
        <v>4</v>
      </c>
      <c r="D1060" s="31" t="s">
        <v>2090</v>
      </c>
      <c r="E1060" s="32">
        <v>5138.5896774193498</v>
      </c>
      <c r="F1060" s="32">
        <v>44</v>
      </c>
    </row>
    <row r="1061" spans="1:6" x14ac:dyDescent="0.3">
      <c r="A1061" s="31">
        <v>1000021314</v>
      </c>
      <c r="B1061" s="31" t="s">
        <v>1446</v>
      </c>
      <c r="C1061" s="31" t="s">
        <v>4</v>
      </c>
      <c r="D1061" s="31" t="s">
        <v>2090</v>
      </c>
      <c r="E1061" s="32">
        <v>5135.96</v>
      </c>
      <c r="F1061" s="32">
        <v>2</v>
      </c>
    </row>
    <row r="1062" spans="1:6" x14ac:dyDescent="0.3">
      <c r="A1062" s="31">
        <v>1000020750</v>
      </c>
      <c r="B1062" s="31" t="s">
        <v>956</v>
      </c>
      <c r="C1062" s="31" t="s">
        <v>4</v>
      </c>
      <c r="D1062" s="31" t="s">
        <v>2090</v>
      </c>
      <c r="E1062" s="32">
        <v>5132.3266666666595</v>
      </c>
      <c r="F1062" s="32">
        <v>2</v>
      </c>
    </row>
    <row r="1063" spans="1:6" x14ac:dyDescent="0.3">
      <c r="A1063" s="31">
        <v>1000106265</v>
      </c>
      <c r="B1063" s="31" t="s">
        <v>2791</v>
      </c>
      <c r="C1063" s="31" t="s">
        <v>4</v>
      </c>
      <c r="D1063" s="31" t="s">
        <v>2043</v>
      </c>
      <c r="E1063" s="32">
        <v>5130</v>
      </c>
      <c r="F1063" s="32">
        <v>135</v>
      </c>
    </row>
    <row r="1064" spans="1:6" x14ac:dyDescent="0.3">
      <c r="A1064" s="31">
        <v>1000021142</v>
      </c>
      <c r="B1064" s="31" t="s">
        <v>1293</v>
      </c>
      <c r="C1064" s="31" t="s">
        <v>4</v>
      </c>
      <c r="D1064" s="31" t="s">
        <v>2090</v>
      </c>
      <c r="E1064" s="32">
        <v>5124.9847619047596</v>
      </c>
      <c r="F1064" s="32">
        <v>8</v>
      </c>
    </row>
    <row r="1065" spans="1:6" x14ac:dyDescent="0.3">
      <c r="A1065" s="31">
        <v>1000015053</v>
      </c>
      <c r="B1065" s="31" t="s">
        <v>53</v>
      </c>
      <c r="C1065" s="31" t="s">
        <v>4</v>
      </c>
      <c r="D1065" s="31" t="s">
        <v>2043</v>
      </c>
      <c r="E1065" s="32">
        <v>5121.7</v>
      </c>
      <c r="F1065" s="32">
        <v>40</v>
      </c>
    </row>
    <row r="1066" spans="1:6" x14ac:dyDescent="0.3">
      <c r="A1066" s="31">
        <v>2200003122</v>
      </c>
      <c r="B1066" s="31" t="s">
        <v>2792</v>
      </c>
      <c r="C1066" s="31" t="s">
        <v>2037</v>
      </c>
      <c r="D1066" s="31" t="s">
        <v>2067</v>
      </c>
      <c r="E1066" s="32">
        <v>5108.5</v>
      </c>
      <c r="F1066" s="32">
        <v>1</v>
      </c>
    </row>
    <row r="1067" spans="1:6" x14ac:dyDescent="0.3">
      <c r="A1067" s="31">
        <v>1000098604</v>
      </c>
      <c r="B1067" s="31" t="s">
        <v>1609</v>
      </c>
      <c r="C1067" s="31" t="s">
        <v>4</v>
      </c>
      <c r="D1067" s="31" t="s">
        <v>2090</v>
      </c>
      <c r="E1067" s="32">
        <v>5103.6497489919302</v>
      </c>
      <c r="F1067" s="32">
        <v>29</v>
      </c>
    </row>
    <row r="1068" spans="1:6" x14ac:dyDescent="0.3">
      <c r="A1068" s="31">
        <v>1000020553</v>
      </c>
      <c r="B1068" s="31" t="s">
        <v>771</v>
      </c>
      <c r="C1068" s="31" t="s">
        <v>4</v>
      </c>
      <c r="D1068" s="31" t="s">
        <v>2218</v>
      </c>
      <c r="E1068" s="32">
        <v>5092.88</v>
      </c>
      <c r="F1068" s="32">
        <v>15</v>
      </c>
    </row>
    <row r="1069" spans="1:6" x14ac:dyDescent="0.3">
      <c r="A1069" s="31">
        <v>1000101041</v>
      </c>
      <c r="B1069" s="31" t="s">
        <v>2793</v>
      </c>
      <c r="C1069" s="31" t="s">
        <v>4</v>
      </c>
      <c r="D1069" s="31" t="s">
        <v>2056</v>
      </c>
      <c r="E1069" s="32">
        <v>5082.9416000000001</v>
      </c>
      <c r="F1069" s="32">
        <v>53600</v>
      </c>
    </row>
    <row r="1070" spans="1:6" x14ac:dyDescent="0.3">
      <c r="A1070" s="31">
        <v>1000021400</v>
      </c>
      <c r="B1070" s="31" t="s">
        <v>1474</v>
      </c>
      <c r="C1070" s="31" t="s">
        <v>4</v>
      </c>
      <c r="D1070" s="31" t="s">
        <v>2090</v>
      </c>
      <c r="E1070" s="32">
        <v>5073.37</v>
      </c>
      <c r="F1070" s="32">
        <v>3</v>
      </c>
    </row>
    <row r="1071" spans="1:6" x14ac:dyDescent="0.3">
      <c r="A1071" s="31">
        <v>1000110685</v>
      </c>
      <c r="B1071" s="31" t="s">
        <v>2794</v>
      </c>
      <c r="C1071" s="31" t="s">
        <v>2027</v>
      </c>
      <c r="D1071" s="31" t="s">
        <v>2070</v>
      </c>
      <c r="E1071" s="32">
        <v>5051.25</v>
      </c>
      <c r="F1071" s="32">
        <v>1</v>
      </c>
    </row>
    <row r="1072" spans="1:6" x14ac:dyDescent="0.3">
      <c r="A1072" s="31">
        <v>1000095713</v>
      </c>
      <c r="B1072" s="31" t="s">
        <v>2795</v>
      </c>
      <c r="C1072" s="31" t="s">
        <v>2027</v>
      </c>
      <c r="D1072" s="31" t="s">
        <v>2173</v>
      </c>
      <c r="E1072" s="32">
        <v>5050.47</v>
      </c>
      <c r="F1072" s="32">
        <v>5</v>
      </c>
    </row>
    <row r="1073" spans="1:6" x14ac:dyDescent="0.3">
      <c r="A1073" s="31">
        <v>1000020687</v>
      </c>
      <c r="B1073" s="31" t="s">
        <v>899</v>
      </c>
      <c r="C1073" s="31" t="s">
        <v>4</v>
      </c>
      <c r="D1073" s="31" t="s">
        <v>2090</v>
      </c>
      <c r="E1073" s="32">
        <v>5035.8931812884503</v>
      </c>
      <c r="F1073" s="32">
        <v>74</v>
      </c>
    </row>
    <row r="1074" spans="1:6" x14ac:dyDescent="0.3">
      <c r="A1074" s="31">
        <v>2200000293</v>
      </c>
      <c r="B1074" s="31" t="s">
        <v>2796</v>
      </c>
      <c r="C1074" s="31" t="s">
        <v>2037</v>
      </c>
      <c r="D1074" s="31" t="s">
        <v>2038</v>
      </c>
      <c r="E1074" s="32">
        <v>5026.82</v>
      </c>
      <c r="F1074" s="32">
        <v>1</v>
      </c>
    </row>
    <row r="1075" spans="1:6" x14ac:dyDescent="0.3">
      <c r="A1075" s="31">
        <v>1000098715</v>
      </c>
      <c r="B1075" s="31" t="s">
        <v>1662</v>
      </c>
      <c r="C1075" s="31" t="s">
        <v>4</v>
      </c>
      <c r="D1075" s="31" t="s">
        <v>2090</v>
      </c>
      <c r="E1075" s="32">
        <v>5013.79</v>
      </c>
      <c r="F1075" s="32">
        <v>3</v>
      </c>
    </row>
    <row r="1076" spans="1:6" x14ac:dyDescent="0.3">
      <c r="A1076" s="31">
        <v>1000098466</v>
      </c>
      <c r="B1076" s="31" t="s">
        <v>1541</v>
      </c>
      <c r="C1076" s="31" t="s">
        <v>4</v>
      </c>
      <c r="D1076" s="31" t="s">
        <v>2090</v>
      </c>
      <c r="E1076" s="32">
        <v>5000.7375000000002</v>
      </c>
      <c r="F1076" s="32">
        <v>27</v>
      </c>
    </row>
    <row r="1077" spans="1:6" x14ac:dyDescent="0.3">
      <c r="A1077" s="31">
        <v>8500000011</v>
      </c>
      <c r="B1077" s="31" t="s">
        <v>2797</v>
      </c>
      <c r="C1077" s="31" t="s">
        <v>2709</v>
      </c>
      <c r="D1077" s="31" t="s">
        <v>2710</v>
      </c>
      <c r="E1077" s="32">
        <v>5000</v>
      </c>
      <c r="F1077" s="32">
        <v>200</v>
      </c>
    </row>
    <row r="1078" spans="1:6" x14ac:dyDescent="0.3">
      <c r="A1078" s="31">
        <v>2500008078</v>
      </c>
      <c r="B1078" s="31" t="s">
        <v>1916</v>
      </c>
      <c r="C1078" s="31" t="s">
        <v>1996</v>
      </c>
      <c r="D1078" s="31" t="s">
        <v>2025</v>
      </c>
      <c r="E1078" s="32">
        <v>4987.6459511999701</v>
      </c>
      <c r="F1078" s="32">
        <v>38</v>
      </c>
    </row>
    <row r="1079" spans="1:6" x14ac:dyDescent="0.3">
      <c r="A1079" s="31">
        <v>1000102224</v>
      </c>
      <c r="B1079" s="31" t="s">
        <v>2798</v>
      </c>
      <c r="C1079" s="31" t="s">
        <v>4</v>
      </c>
      <c r="D1079" s="31" t="s">
        <v>2090</v>
      </c>
      <c r="E1079" s="32">
        <v>4986.9399999999996</v>
      </c>
      <c r="F1079" s="32">
        <v>5</v>
      </c>
    </row>
    <row r="1080" spans="1:6" x14ac:dyDescent="0.3">
      <c r="A1080" s="31">
        <v>1000102779</v>
      </c>
      <c r="B1080" s="31" t="s">
        <v>2799</v>
      </c>
      <c r="C1080" s="31" t="s">
        <v>4</v>
      </c>
      <c r="D1080" s="31" t="s">
        <v>2056</v>
      </c>
      <c r="E1080" s="32">
        <v>4981.46368831168</v>
      </c>
      <c r="F1080" s="32">
        <v>12</v>
      </c>
    </row>
    <row r="1081" spans="1:6" x14ac:dyDescent="0.3">
      <c r="A1081" s="31">
        <v>2200002985</v>
      </c>
      <c r="B1081" s="31" t="s">
        <v>2800</v>
      </c>
      <c r="C1081" s="31" t="s">
        <v>2030</v>
      </c>
      <c r="D1081" s="31" t="s">
        <v>2038</v>
      </c>
      <c r="E1081" s="32">
        <v>4980.3599999999997</v>
      </c>
      <c r="F1081" s="32">
        <v>21</v>
      </c>
    </row>
    <row r="1082" spans="1:6" x14ac:dyDescent="0.3">
      <c r="A1082" s="31">
        <v>1000001241</v>
      </c>
      <c r="B1082" s="31" t="s">
        <v>2801</v>
      </c>
      <c r="C1082" s="31" t="s">
        <v>2257</v>
      </c>
      <c r="D1082" s="31" t="s">
        <v>2234</v>
      </c>
      <c r="E1082" s="32">
        <v>4979.9572749950003</v>
      </c>
      <c r="F1082" s="32">
        <v>6</v>
      </c>
    </row>
    <row r="1083" spans="1:6" x14ac:dyDescent="0.3">
      <c r="A1083" s="31">
        <v>1000017108</v>
      </c>
      <c r="B1083" s="31" t="s">
        <v>2802</v>
      </c>
      <c r="C1083" s="31" t="s">
        <v>4</v>
      </c>
      <c r="D1083" s="31" t="s">
        <v>2056</v>
      </c>
      <c r="E1083" s="32">
        <v>4971.8999999999996</v>
      </c>
      <c r="F1083" s="32">
        <v>37500</v>
      </c>
    </row>
    <row r="1084" spans="1:6" x14ac:dyDescent="0.3">
      <c r="A1084" s="31">
        <v>1000100650</v>
      </c>
      <c r="B1084" s="31" t="s">
        <v>2803</v>
      </c>
      <c r="C1084" s="31" t="s">
        <v>4</v>
      </c>
      <c r="D1084" s="31" t="s">
        <v>2056</v>
      </c>
      <c r="E1084" s="32">
        <v>4970.5070802919699</v>
      </c>
      <c r="F1084" s="32">
        <v>35600</v>
      </c>
    </row>
    <row r="1085" spans="1:6" x14ac:dyDescent="0.3">
      <c r="A1085" s="31">
        <v>1000101324</v>
      </c>
      <c r="B1085" s="31" t="s">
        <v>84</v>
      </c>
      <c r="C1085" s="31" t="s">
        <v>4</v>
      </c>
      <c r="D1085" s="31" t="s">
        <v>2043</v>
      </c>
      <c r="E1085" s="32">
        <v>4958</v>
      </c>
      <c r="F1085" s="32">
        <v>134</v>
      </c>
    </row>
    <row r="1086" spans="1:6" x14ac:dyDescent="0.3">
      <c r="A1086" s="31">
        <v>1000110688</v>
      </c>
      <c r="B1086" s="31" t="s">
        <v>2804</v>
      </c>
      <c r="C1086" s="31" t="s">
        <v>2027</v>
      </c>
      <c r="D1086" s="31" t="s">
        <v>2070</v>
      </c>
      <c r="E1086" s="32">
        <v>4946.25</v>
      </c>
      <c r="F1086" s="32">
        <v>1</v>
      </c>
    </row>
    <row r="1087" spans="1:6" x14ac:dyDescent="0.3">
      <c r="A1087" s="31">
        <v>1000102214</v>
      </c>
      <c r="B1087" s="31" t="s">
        <v>1774</v>
      </c>
      <c r="C1087" s="31" t="s">
        <v>4</v>
      </c>
      <c r="D1087" s="31" t="s">
        <v>2090</v>
      </c>
      <c r="E1087" s="32">
        <v>4943.2299999999996</v>
      </c>
      <c r="F1087" s="32">
        <v>1</v>
      </c>
    </row>
    <row r="1088" spans="1:6" x14ac:dyDescent="0.3">
      <c r="A1088" s="31">
        <v>1000093591</v>
      </c>
      <c r="B1088" s="31" t="s">
        <v>2805</v>
      </c>
      <c r="C1088" s="31" t="s">
        <v>4</v>
      </c>
      <c r="D1088" s="31" t="s">
        <v>2056</v>
      </c>
      <c r="E1088" s="32">
        <v>4937.45481002204</v>
      </c>
      <c r="F1088" s="32">
        <v>1404</v>
      </c>
    </row>
    <row r="1089" spans="1:6" x14ac:dyDescent="0.3">
      <c r="A1089" s="31">
        <v>1000104097</v>
      </c>
      <c r="B1089" s="31" t="s">
        <v>1887</v>
      </c>
      <c r="C1089" s="31" t="s">
        <v>4</v>
      </c>
      <c r="D1089" s="31" t="s">
        <v>2056</v>
      </c>
      <c r="E1089" s="32">
        <v>4928.0840189189103</v>
      </c>
      <c r="F1089" s="32">
        <v>980</v>
      </c>
    </row>
    <row r="1090" spans="1:6" x14ac:dyDescent="0.3">
      <c r="A1090" s="31">
        <v>1000020965</v>
      </c>
      <c r="B1090" s="31" t="s">
        <v>1141</v>
      </c>
      <c r="C1090" s="31" t="s">
        <v>4</v>
      </c>
      <c r="D1090" s="31" t="s">
        <v>2090</v>
      </c>
      <c r="E1090" s="32">
        <v>4908.5</v>
      </c>
      <c r="F1090" s="32">
        <v>11</v>
      </c>
    </row>
    <row r="1091" spans="1:6" x14ac:dyDescent="0.3">
      <c r="A1091" s="31">
        <v>1000017109</v>
      </c>
      <c r="B1091" s="31" t="s">
        <v>2806</v>
      </c>
      <c r="C1091" s="31" t="s">
        <v>4</v>
      </c>
      <c r="D1091" s="31" t="s">
        <v>2056</v>
      </c>
      <c r="E1091" s="32">
        <v>4906.2074000000002</v>
      </c>
      <c r="F1091" s="32">
        <v>37000</v>
      </c>
    </row>
    <row r="1092" spans="1:6" x14ac:dyDescent="0.3">
      <c r="A1092" s="31">
        <v>1000021005</v>
      </c>
      <c r="B1092" s="31" t="s">
        <v>1177</v>
      </c>
      <c r="C1092" s="31" t="s">
        <v>4</v>
      </c>
      <c r="D1092" s="31" t="s">
        <v>2090</v>
      </c>
      <c r="E1092" s="32">
        <v>4900.9977777777704</v>
      </c>
      <c r="F1092" s="32">
        <v>29</v>
      </c>
    </row>
    <row r="1093" spans="1:6" x14ac:dyDescent="0.3">
      <c r="A1093" s="31">
        <v>1000092827</v>
      </c>
      <c r="B1093" s="31" t="s">
        <v>2807</v>
      </c>
      <c r="C1093" s="31" t="s">
        <v>2257</v>
      </c>
      <c r="D1093" s="31" t="s">
        <v>2035</v>
      </c>
      <c r="E1093" s="32">
        <v>4899.3649999999998</v>
      </c>
      <c r="F1093" s="32">
        <v>1</v>
      </c>
    </row>
    <row r="1094" spans="1:6" x14ac:dyDescent="0.3">
      <c r="A1094" s="31">
        <v>1000094597</v>
      </c>
      <c r="B1094" s="31" t="s">
        <v>2808</v>
      </c>
      <c r="C1094" s="31" t="s">
        <v>2027</v>
      </c>
      <c r="D1094" s="31" t="s">
        <v>2070</v>
      </c>
      <c r="E1094" s="32">
        <v>4896.5200000000004</v>
      </c>
      <c r="F1094" s="32">
        <v>2</v>
      </c>
    </row>
    <row r="1095" spans="1:6" x14ac:dyDescent="0.3">
      <c r="A1095" s="31">
        <v>2200003015</v>
      </c>
      <c r="B1095" s="31" t="s">
        <v>2809</v>
      </c>
      <c r="C1095" s="31" t="s">
        <v>2037</v>
      </c>
      <c r="D1095" s="31" t="s">
        <v>2038</v>
      </c>
      <c r="E1095" s="32">
        <v>4882.33</v>
      </c>
      <c r="F1095" s="32">
        <v>4</v>
      </c>
    </row>
    <row r="1096" spans="1:6" x14ac:dyDescent="0.3">
      <c r="A1096" s="31">
        <v>2500008241</v>
      </c>
      <c r="B1096" s="31" t="s">
        <v>2810</v>
      </c>
      <c r="C1096" s="31" t="s">
        <v>1996</v>
      </c>
      <c r="D1096" s="31" t="s">
        <v>2811</v>
      </c>
      <c r="E1096" s="32">
        <v>4876.6857142857098</v>
      </c>
      <c r="F1096" s="32">
        <v>7</v>
      </c>
    </row>
    <row r="1097" spans="1:6" x14ac:dyDescent="0.3">
      <c r="A1097" s="31">
        <v>1000101988</v>
      </c>
      <c r="B1097" s="31" t="s">
        <v>2812</v>
      </c>
      <c r="C1097" s="31" t="s">
        <v>4</v>
      </c>
      <c r="D1097" s="31" t="s">
        <v>2056</v>
      </c>
      <c r="E1097" s="32">
        <v>4865.08</v>
      </c>
      <c r="F1097" s="32">
        <v>203</v>
      </c>
    </row>
    <row r="1098" spans="1:6" x14ac:dyDescent="0.3">
      <c r="A1098" s="31">
        <v>1000100921</v>
      </c>
      <c r="B1098" s="31" t="s">
        <v>2813</v>
      </c>
      <c r="C1098" s="31" t="s">
        <v>4</v>
      </c>
      <c r="D1098" s="31" t="s">
        <v>2056</v>
      </c>
      <c r="E1098" s="32">
        <v>4860.8</v>
      </c>
      <c r="F1098" s="32">
        <v>50000</v>
      </c>
    </row>
    <row r="1099" spans="1:6" x14ac:dyDescent="0.3">
      <c r="A1099" s="31">
        <v>1000100922</v>
      </c>
      <c r="B1099" s="31" t="s">
        <v>2814</v>
      </c>
      <c r="C1099" s="31" t="s">
        <v>4</v>
      </c>
      <c r="D1099" s="31" t="s">
        <v>2056</v>
      </c>
      <c r="E1099" s="32">
        <v>4860.8</v>
      </c>
      <c r="F1099" s="32">
        <v>50000</v>
      </c>
    </row>
    <row r="1100" spans="1:6" x14ac:dyDescent="0.3">
      <c r="A1100" s="31">
        <v>1000100916</v>
      </c>
      <c r="B1100" s="31" t="s">
        <v>2815</v>
      </c>
      <c r="C1100" s="31" t="s">
        <v>4</v>
      </c>
      <c r="D1100" s="31" t="s">
        <v>2056</v>
      </c>
      <c r="E1100" s="32">
        <v>4860.8</v>
      </c>
      <c r="F1100" s="32">
        <v>50000</v>
      </c>
    </row>
    <row r="1101" spans="1:6" x14ac:dyDescent="0.3">
      <c r="A1101" s="31">
        <v>1000100919</v>
      </c>
      <c r="B1101" s="31" t="s">
        <v>2816</v>
      </c>
      <c r="C1101" s="31" t="s">
        <v>4</v>
      </c>
      <c r="D1101" s="31" t="s">
        <v>2056</v>
      </c>
      <c r="E1101" s="32">
        <v>4860.8</v>
      </c>
      <c r="F1101" s="32">
        <v>50000</v>
      </c>
    </row>
    <row r="1102" spans="1:6" x14ac:dyDescent="0.3">
      <c r="A1102" s="31">
        <v>1000100920</v>
      </c>
      <c r="B1102" s="31" t="s">
        <v>2817</v>
      </c>
      <c r="C1102" s="31" t="s">
        <v>4</v>
      </c>
      <c r="D1102" s="31" t="s">
        <v>2056</v>
      </c>
      <c r="E1102" s="32">
        <v>4860.8</v>
      </c>
      <c r="F1102" s="32">
        <v>50000</v>
      </c>
    </row>
    <row r="1103" spans="1:6" x14ac:dyDescent="0.3">
      <c r="A1103" s="31">
        <v>1000100918</v>
      </c>
      <c r="B1103" s="31" t="s">
        <v>2818</v>
      </c>
      <c r="C1103" s="31" t="s">
        <v>4</v>
      </c>
      <c r="D1103" s="31" t="s">
        <v>2056</v>
      </c>
      <c r="E1103" s="32">
        <v>4860.8</v>
      </c>
      <c r="F1103" s="32">
        <v>50000</v>
      </c>
    </row>
    <row r="1104" spans="1:6" x14ac:dyDescent="0.3">
      <c r="A1104" s="31">
        <v>1000100917</v>
      </c>
      <c r="B1104" s="31" t="s">
        <v>2819</v>
      </c>
      <c r="C1104" s="31" t="s">
        <v>4</v>
      </c>
      <c r="D1104" s="31" t="s">
        <v>2056</v>
      </c>
      <c r="E1104" s="32">
        <v>4860.8</v>
      </c>
      <c r="F1104" s="32">
        <v>50000</v>
      </c>
    </row>
    <row r="1105" spans="1:6" x14ac:dyDescent="0.3">
      <c r="A1105" s="31">
        <v>2200003124</v>
      </c>
      <c r="B1105" s="31" t="s">
        <v>204</v>
      </c>
      <c r="C1105" s="31" t="s">
        <v>2037</v>
      </c>
      <c r="D1105" s="31" t="s">
        <v>2038</v>
      </c>
      <c r="E1105" s="32">
        <v>4847.1045000000004</v>
      </c>
      <c r="F1105" s="32">
        <v>3</v>
      </c>
    </row>
    <row r="1106" spans="1:6" x14ac:dyDescent="0.3">
      <c r="A1106" s="31">
        <v>1000020498</v>
      </c>
      <c r="B1106" s="31" t="s">
        <v>723</v>
      </c>
      <c r="C1106" s="31" t="s">
        <v>4</v>
      </c>
      <c r="D1106" s="31" t="s">
        <v>2090</v>
      </c>
      <c r="E1106" s="32">
        <v>4842.5898058252396</v>
      </c>
      <c r="F1106" s="32">
        <v>99</v>
      </c>
    </row>
    <row r="1107" spans="1:6" x14ac:dyDescent="0.3">
      <c r="A1107" s="31">
        <v>2000009035</v>
      </c>
      <c r="B1107" s="31" t="s">
        <v>2820</v>
      </c>
      <c r="C1107" s="31" t="s">
        <v>2017</v>
      </c>
      <c r="D1107" s="31" t="s">
        <v>2063</v>
      </c>
      <c r="E1107" s="32">
        <v>4838.63</v>
      </c>
      <c r="F1107" s="32">
        <v>2</v>
      </c>
    </row>
    <row r="1108" spans="1:6" x14ac:dyDescent="0.3">
      <c r="A1108" s="31">
        <v>1000104995</v>
      </c>
      <c r="B1108" s="31" t="s">
        <v>2821</v>
      </c>
      <c r="C1108" s="31" t="s">
        <v>4</v>
      </c>
      <c r="D1108" s="31" t="s">
        <v>2161</v>
      </c>
      <c r="E1108" s="32">
        <v>4837.83</v>
      </c>
      <c r="F1108" s="32">
        <v>20</v>
      </c>
    </row>
    <row r="1109" spans="1:6" x14ac:dyDescent="0.3">
      <c r="A1109" s="31">
        <v>1000107240</v>
      </c>
      <c r="B1109" s="31" t="s">
        <v>2822</v>
      </c>
      <c r="C1109" s="31" t="s">
        <v>2109</v>
      </c>
      <c r="D1109" s="31" t="s">
        <v>2035</v>
      </c>
      <c r="E1109" s="32">
        <v>4834.5</v>
      </c>
      <c r="F1109" s="32">
        <v>1</v>
      </c>
    </row>
    <row r="1110" spans="1:6" x14ac:dyDescent="0.3">
      <c r="A1110" s="31">
        <v>1000020861</v>
      </c>
      <c r="B1110" s="31" t="s">
        <v>1050</v>
      </c>
      <c r="C1110" s="31" t="s">
        <v>4</v>
      </c>
      <c r="D1110" s="31" t="s">
        <v>2090</v>
      </c>
      <c r="E1110" s="32">
        <v>4820.3999999999996</v>
      </c>
      <c r="F1110" s="32">
        <v>13</v>
      </c>
    </row>
    <row r="1111" spans="1:6" x14ac:dyDescent="0.3">
      <c r="A1111" s="31">
        <v>2500009478</v>
      </c>
      <c r="B1111" s="31" t="s">
        <v>2823</v>
      </c>
      <c r="C1111" s="31" t="s">
        <v>1996</v>
      </c>
      <c r="D1111" s="31" t="s">
        <v>2289</v>
      </c>
      <c r="E1111" s="32">
        <v>4815</v>
      </c>
      <c r="F1111" s="32">
        <v>2</v>
      </c>
    </row>
    <row r="1112" spans="1:6" x14ac:dyDescent="0.3">
      <c r="A1112" s="31">
        <v>1000100915</v>
      </c>
      <c r="B1112" s="31" t="s">
        <v>2824</v>
      </c>
      <c r="C1112" s="31" t="s">
        <v>4</v>
      </c>
      <c r="D1112" s="31" t="s">
        <v>2056</v>
      </c>
      <c r="E1112" s="32">
        <v>4812.192</v>
      </c>
      <c r="F1112" s="32">
        <v>49500</v>
      </c>
    </row>
    <row r="1113" spans="1:6" x14ac:dyDescent="0.3">
      <c r="A1113" s="31">
        <v>1000015084</v>
      </c>
      <c r="B1113" s="31" t="s">
        <v>66</v>
      </c>
      <c r="C1113" s="31" t="s">
        <v>4</v>
      </c>
      <c r="D1113" s="31" t="s">
        <v>2043</v>
      </c>
      <c r="E1113" s="32">
        <v>4810.3879886967798</v>
      </c>
      <c r="F1113" s="32">
        <v>226</v>
      </c>
    </row>
    <row r="1114" spans="1:6" x14ac:dyDescent="0.3">
      <c r="A1114" s="31">
        <v>1000095429</v>
      </c>
      <c r="B1114" s="31" t="s">
        <v>2825</v>
      </c>
      <c r="C1114" s="31" t="s">
        <v>4</v>
      </c>
      <c r="D1114" s="31" t="s">
        <v>2090</v>
      </c>
      <c r="E1114" s="32">
        <v>4806</v>
      </c>
      <c r="F1114" s="32">
        <v>4</v>
      </c>
    </row>
    <row r="1115" spans="1:6" x14ac:dyDescent="0.3">
      <c r="A1115" s="31">
        <v>1000103261</v>
      </c>
      <c r="B1115" s="31" t="s">
        <v>2826</v>
      </c>
      <c r="C1115" s="31" t="s">
        <v>4</v>
      </c>
      <c r="D1115" s="31" t="s">
        <v>2043</v>
      </c>
      <c r="E1115" s="32">
        <v>4801.8282397959101</v>
      </c>
      <c r="F1115" s="32">
        <v>65</v>
      </c>
    </row>
    <row r="1116" spans="1:6" x14ac:dyDescent="0.3">
      <c r="A1116" s="31">
        <v>1000021227</v>
      </c>
      <c r="B1116" s="31" t="s">
        <v>1373</v>
      </c>
      <c r="C1116" s="31" t="s">
        <v>4</v>
      </c>
      <c r="D1116" s="31" t="s">
        <v>2090</v>
      </c>
      <c r="E1116" s="32">
        <v>4794.1642769230702</v>
      </c>
      <c r="F1116" s="32">
        <v>22</v>
      </c>
    </row>
    <row r="1117" spans="1:6" x14ac:dyDescent="0.3">
      <c r="A1117" s="31">
        <v>1000021269</v>
      </c>
      <c r="B1117" s="31" t="s">
        <v>1409</v>
      </c>
      <c r="C1117" s="31" t="s">
        <v>4</v>
      </c>
      <c r="D1117" s="31" t="s">
        <v>2090</v>
      </c>
      <c r="E1117" s="32">
        <v>4789.9236666666602</v>
      </c>
      <c r="F1117" s="32">
        <v>22</v>
      </c>
    </row>
    <row r="1118" spans="1:6" x14ac:dyDescent="0.3">
      <c r="A1118" s="31">
        <v>1000102219</v>
      </c>
      <c r="B1118" s="31" t="s">
        <v>2827</v>
      </c>
      <c r="C1118" s="31" t="s">
        <v>4</v>
      </c>
      <c r="D1118" s="31" t="s">
        <v>2090</v>
      </c>
      <c r="E1118" s="32">
        <v>4789.6549999999997</v>
      </c>
      <c r="F1118" s="32">
        <v>4</v>
      </c>
    </row>
    <row r="1119" spans="1:6" x14ac:dyDescent="0.3">
      <c r="A1119" s="31">
        <v>1000021260</v>
      </c>
      <c r="B1119" s="31" t="s">
        <v>1404</v>
      </c>
      <c r="C1119" s="31" t="s">
        <v>4</v>
      </c>
      <c r="D1119" s="31" t="s">
        <v>2090</v>
      </c>
      <c r="E1119" s="32">
        <v>4785.1000000000004</v>
      </c>
      <c r="F1119" s="32">
        <v>5</v>
      </c>
    </row>
    <row r="1120" spans="1:6" x14ac:dyDescent="0.3">
      <c r="A1120" s="31">
        <v>1000002878</v>
      </c>
      <c r="B1120" s="31" t="s">
        <v>13</v>
      </c>
      <c r="C1120" s="31" t="s">
        <v>2109</v>
      </c>
      <c r="D1120" s="31" t="s">
        <v>2035</v>
      </c>
      <c r="E1120" s="32">
        <v>4781.5563333333303</v>
      </c>
      <c r="F1120" s="32">
        <v>2</v>
      </c>
    </row>
    <row r="1121" spans="1:6" x14ac:dyDescent="0.3">
      <c r="A1121" s="31">
        <v>1000107733</v>
      </c>
      <c r="B1121" s="31" t="s">
        <v>2099</v>
      </c>
      <c r="C1121" s="31" t="s">
        <v>2165</v>
      </c>
      <c r="D1121" s="31" t="s">
        <v>2043</v>
      </c>
      <c r="E1121" s="32">
        <v>4781.1863064913696</v>
      </c>
      <c r="F1121" s="32">
        <v>38</v>
      </c>
    </row>
    <row r="1122" spans="1:6" x14ac:dyDescent="0.3">
      <c r="A1122" s="31">
        <v>2700000288</v>
      </c>
      <c r="B1122" s="31" t="s">
        <v>315</v>
      </c>
      <c r="C1122" s="31" t="s">
        <v>2037</v>
      </c>
      <c r="D1122" s="31" t="s">
        <v>2038</v>
      </c>
      <c r="E1122" s="32">
        <v>4764.74</v>
      </c>
      <c r="F1122" s="32">
        <v>1</v>
      </c>
    </row>
    <row r="1123" spans="1:6" x14ac:dyDescent="0.3">
      <c r="A1123" s="31">
        <v>1000100914</v>
      </c>
      <c r="B1123" s="31" t="s">
        <v>2828</v>
      </c>
      <c r="C1123" s="31" t="s">
        <v>4</v>
      </c>
      <c r="D1123" s="31" t="s">
        <v>2056</v>
      </c>
      <c r="E1123" s="32">
        <v>4763.5839999999998</v>
      </c>
      <c r="F1123" s="32">
        <v>49000</v>
      </c>
    </row>
    <row r="1124" spans="1:6" x14ac:dyDescent="0.3">
      <c r="A1124" s="31">
        <v>1000102226</v>
      </c>
      <c r="B1124" s="31" t="s">
        <v>2829</v>
      </c>
      <c r="C1124" s="31" t="s">
        <v>4</v>
      </c>
      <c r="D1124" s="31" t="s">
        <v>2090</v>
      </c>
      <c r="E1124" s="32">
        <v>4761.3374999999996</v>
      </c>
      <c r="F1124" s="32">
        <v>1</v>
      </c>
    </row>
    <row r="1125" spans="1:6" x14ac:dyDescent="0.3">
      <c r="A1125" s="31">
        <v>2500008417</v>
      </c>
      <c r="B1125" s="31" t="s">
        <v>2830</v>
      </c>
      <c r="C1125" s="31" t="s">
        <v>1996</v>
      </c>
      <c r="D1125" s="31" t="s">
        <v>2025</v>
      </c>
      <c r="E1125" s="32">
        <v>4751.65625</v>
      </c>
      <c r="F1125" s="32">
        <v>2</v>
      </c>
    </row>
    <row r="1126" spans="1:6" x14ac:dyDescent="0.3">
      <c r="A1126" s="31">
        <v>1000103511</v>
      </c>
      <c r="B1126" s="31" t="s">
        <v>2831</v>
      </c>
      <c r="C1126" s="31" t="s">
        <v>4</v>
      </c>
      <c r="D1126" s="31" t="s">
        <v>2043</v>
      </c>
      <c r="E1126" s="32">
        <v>4736.3999999999996</v>
      </c>
      <c r="F1126" s="32">
        <v>120</v>
      </c>
    </row>
    <row r="1127" spans="1:6" x14ac:dyDescent="0.3">
      <c r="A1127" s="31">
        <v>2100005574</v>
      </c>
      <c r="B1127" s="31" t="s">
        <v>2832</v>
      </c>
      <c r="C1127" s="31" t="s">
        <v>2030</v>
      </c>
      <c r="D1127" s="31" t="s">
        <v>2031</v>
      </c>
      <c r="E1127" s="32">
        <v>4721.8649999999998</v>
      </c>
      <c r="F1127" s="32">
        <v>25</v>
      </c>
    </row>
    <row r="1128" spans="1:6" x14ac:dyDescent="0.3">
      <c r="A1128" s="31">
        <v>1000093458</v>
      </c>
      <c r="B1128" s="31" t="s">
        <v>2833</v>
      </c>
      <c r="C1128" s="31" t="s">
        <v>4</v>
      </c>
      <c r="D1128" s="31" t="s">
        <v>2230</v>
      </c>
      <c r="E1128" s="32">
        <v>4706.1220000000003</v>
      </c>
      <c r="F1128" s="32">
        <v>2</v>
      </c>
    </row>
    <row r="1129" spans="1:6" x14ac:dyDescent="0.3">
      <c r="A1129" s="31">
        <v>2500008953</v>
      </c>
      <c r="B1129" s="31" t="s">
        <v>2834</v>
      </c>
      <c r="C1129" s="31" t="s">
        <v>1996</v>
      </c>
      <c r="D1129" s="31" t="s">
        <v>2025</v>
      </c>
      <c r="E1129" s="32">
        <v>4704.0286349206299</v>
      </c>
      <c r="F1129" s="32">
        <v>10</v>
      </c>
    </row>
    <row r="1130" spans="1:6" x14ac:dyDescent="0.3">
      <c r="A1130" s="31">
        <v>1000020509</v>
      </c>
      <c r="B1130" s="31" t="s">
        <v>732</v>
      </c>
      <c r="C1130" s="31" t="s">
        <v>4</v>
      </c>
      <c r="D1130" s="31" t="s">
        <v>2090</v>
      </c>
      <c r="E1130" s="32">
        <v>4696.45232142857</v>
      </c>
      <c r="F1130" s="32">
        <v>54</v>
      </c>
    </row>
    <row r="1131" spans="1:6" x14ac:dyDescent="0.3">
      <c r="A1131" s="31">
        <v>2200002853</v>
      </c>
      <c r="B1131" s="31" t="s">
        <v>2835</v>
      </c>
      <c r="C1131" s="31" t="s">
        <v>2037</v>
      </c>
      <c r="D1131" s="31" t="s">
        <v>2038</v>
      </c>
      <c r="E1131" s="32">
        <v>4684.68</v>
      </c>
      <c r="F1131" s="32">
        <v>1</v>
      </c>
    </row>
    <row r="1132" spans="1:6" x14ac:dyDescent="0.3">
      <c r="A1132" s="31">
        <v>1000103074</v>
      </c>
      <c r="B1132" s="31" t="s">
        <v>2836</v>
      </c>
      <c r="C1132" s="31" t="s">
        <v>4</v>
      </c>
      <c r="D1132" s="31" t="s">
        <v>2090</v>
      </c>
      <c r="E1132" s="32">
        <v>4676.3999999999996</v>
      </c>
      <c r="F1132" s="32">
        <v>10</v>
      </c>
    </row>
    <row r="1133" spans="1:6" x14ac:dyDescent="0.3">
      <c r="A1133" s="31">
        <v>1000103354</v>
      </c>
      <c r="B1133" s="31" t="s">
        <v>102</v>
      </c>
      <c r="C1133" s="31" t="s">
        <v>4</v>
      </c>
      <c r="D1133" s="31" t="s">
        <v>2043</v>
      </c>
      <c r="E1133" s="32">
        <v>4665.6000000000004</v>
      </c>
      <c r="F1133" s="32">
        <v>90</v>
      </c>
    </row>
    <row r="1134" spans="1:6" x14ac:dyDescent="0.3">
      <c r="A1134" s="31">
        <v>1000020800</v>
      </c>
      <c r="B1134" s="31" t="s">
        <v>1004</v>
      </c>
      <c r="C1134" s="31" t="s">
        <v>4</v>
      </c>
      <c r="D1134" s="31" t="s">
        <v>2090</v>
      </c>
      <c r="E1134" s="32">
        <v>4663.7879166666598</v>
      </c>
      <c r="F1134" s="32">
        <v>24</v>
      </c>
    </row>
    <row r="1135" spans="1:6" x14ac:dyDescent="0.3">
      <c r="A1135" s="31">
        <v>1000021270</v>
      </c>
      <c r="B1135" s="31" t="s">
        <v>1410</v>
      </c>
      <c r="C1135" s="31" t="s">
        <v>4</v>
      </c>
      <c r="D1135" s="31" t="s">
        <v>2090</v>
      </c>
      <c r="E1135" s="32">
        <v>4650</v>
      </c>
      <c r="F1135" s="32">
        <v>20</v>
      </c>
    </row>
    <row r="1136" spans="1:6" x14ac:dyDescent="0.3">
      <c r="A1136" s="31">
        <v>1000100386</v>
      </c>
      <c r="B1136" s="31" t="s">
        <v>1716</v>
      </c>
      <c r="C1136" s="31" t="s">
        <v>4</v>
      </c>
      <c r="D1136" s="31" t="s">
        <v>2090</v>
      </c>
      <c r="E1136" s="32">
        <v>4638.0375000000004</v>
      </c>
      <c r="F1136" s="32">
        <v>1</v>
      </c>
    </row>
    <row r="1137" spans="1:6" x14ac:dyDescent="0.3">
      <c r="A1137" s="31">
        <v>2700000275</v>
      </c>
      <c r="B1137" s="31" t="s">
        <v>310</v>
      </c>
      <c r="C1137" s="31" t="s">
        <v>2037</v>
      </c>
      <c r="D1137" s="31" t="s">
        <v>2038</v>
      </c>
      <c r="E1137" s="32">
        <v>4615.87</v>
      </c>
      <c r="F1137" s="32">
        <v>1</v>
      </c>
    </row>
    <row r="1138" spans="1:6" x14ac:dyDescent="0.3">
      <c r="A1138" s="31">
        <v>2700000061</v>
      </c>
      <c r="B1138" s="31" t="s">
        <v>242</v>
      </c>
      <c r="C1138" s="31" t="s">
        <v>2037</v>
      </c>
      <c r="D1138" s="31" t="s">
        <v>2038</v>
      </c>
      <c r="E1138" s="32">
        <v>4604.3034782608602</v>
      </c>
      <c r="F1138" s="32">
        <v>23</v>
      </c>
    </row>
    <row r="1139" spans="1:6" x14ac:dyDescent="0.3">
      <c r="A1139" s="31">
        <v>1000106163</v>
      </c>
      <c r="B1139" s="31" t="s">
        <v>19</v>
      </c>
      <c r="C1139" s="31" t="s">
        <v>2109</v>
      </c>
      <c r="D1139" s="31" t="s">
        <v>2472</v>
      </c>
      <c r="E1139" s="32">
        <v>4590</v>
      </c>
      <c r="F1139" s="32">
        <v>5</v>
      </c>
    </row>
    <row r="1140" spans="1:6" x14ac:dyDescent="0.3">
      <c r="A1140" s="31">
        <v>1000108321</v>
      </c>
      <c r="B1140" s="31" t="s">
        <v>1834</v>
      </c>
      <c r="C1140" s="31" t="s">
        <v>4</v>
      </c>
      <c r="D1140" s="31" t="s">
        <v>2090</v>
      </c>
      <c r="E1140" s="32">
        <v>4582.5</v>
      </c>
      <c r="F1140" s="32">
        <v>8</v>
      </c>
    </row>
    <row r="1141" spans="1:6" x14ac:dyDescent="0.3">
      <c r="A1141" s="31">
        <v>1000096851</v>
      </c>
      <c r="B1141" s="31" t="s">
        <v>2837</v>
      </c>
      <c r="C1141" s="31" t="s">
        <v>2205</v>
      </c>
      <c r="D1141" s="31" t="s">
        <v>2838</v>
      </c>
      <c r="E1141" s="32">
        <v>4580.63</v>
      </c>
      <c r="F1141" s="32">
        <v>1</v>
      </c>
    </row>
    <row r="1142" spans="1:6" x14ac:dyDescent="0.3">
      <c r="A1142" s="31">
        <v>1000101362</v>
      </c>
      <c r="B1142" s="31" t="s">
        <v>2839</v>
      </c>
      <c r="C1142" s="31" t="s">
        <v>4</v>
      </c>
      <c r="D1142" s="31" t="s">
        <v>2056</v>
      </c>
      <c r="E1142" s="32">
        <v>4570.7856774025804</v>
      </c>
      <c r="F1142" s="32">
        <v>1410</v>
      </c>
    </row>
    <row r="1143" spans="1:6" x14ac:dyDescent="0.3">
      <c r="A1143" s="31">
        <v>1000100912</v>
      </c>
      <c r="B1143" s="31" t="s">
        <v>2840</v>
      </c>
      <c r="C1143" s="31" t="s">
        <v>4</v>
      </c>
      <c r="D1143" s="31" t="s">
        <v>2056</v>
      </c>
      <c r="E1143" s="32">
        <v>4552.3221326643697</v>
      </c>
      <c r="F1143" s="32">
        <v>2074</v>
      </c>
    </row>
    <row r="1144" spans="1:6" x14ac:dyDescent="0.3">
      <c r="A1144" s="31">
        <v>1000106119</v>
      </c>
      <c r="B1144" s="31" t="s">
        <v>2657</v>
      </c>
      <c r="C1144" s="31" t="s">
        <v>4</v>
      </c>
      <c r="D1144" s="31" t="s">
        <v>2161</v>
      </c>
      <c r="E1144" s="32">
        <v>4539.91</v>
      </c>
      <c r="F1144" s="32">
        <v>5</v>
      </c>
    </row>
    <row r="1145" spans="1:6" x14ac:dyDescent="0.3">
      <c r="A1145" s="31">
        <v>2700000182</v>
      </c>
      <c r="B1145" s="31" t="s">
        <v>280</v>
      </c>
      <c r="C1145" s="31" t="s">
        <v>2037</v>
      </c>
      <c r="D1145" s="31" t="s">
        <v>2038</v>
      </c>
      <c r="E1145" s="32">
        <v>4527.4666005527197</v>
      </c>
      <c r="F1145" s="32">
        <v>3</v>
      </c>
    </row>
    <row r="1146" spans="1:6" x14ac:dyDescent="0.3">
      <c r="A1146" s="31">
        <v>1000020477</v>
      </c>
      <c r="B1146" s="31" t="s">
        <v>703</v>
      </c>
      <c r="C1146" s="31" t="s">
        <v>4</v>
      </c>
      <c r="D1146" s="31" t="s">
        <v>2090</v>
      </c>
      <c r="E1146" s="32">
        <v>4525.4070999211599</v>
      </c>
      <c r="F1146" s="32">
        <v>165</v>
      </c>
    </row>
    <row r="1147" spans="1:6" x14ac:dyDescent="0.3">
      <c r="A1147" s="31">
        <v>1000021113</v>
      </c>
      <c r="B1147" s="31" t="s">
        <v>1274</v>
      </c>
      <c r="C1147" s="31" t="s">
        <v>4</v>
      </c>
      <c r="D1147" s="31" t="s">
        <v>2090</v>
      </c>
      <c r="E1147" s="32">
        <v>4521.3782142857099</v>
      </c>
      <c r="F1147" s="32">
        <v>9</v>
      </c>
    </row>
    <row r="1148" spans="1:6" x14ac:dyDescent="0.3">
      <c r="A1148" s="31">
        <v>1000103891</v>
      </c>
      <c r="B1148" s="31" t="s">
        <v>2841</v>
      </c>
      <c r="C1148" s="31" t="s">
        <v>4</v>
      </c>
      <c r="D1148" s="31" t="s">
        <v>2161</v>
      </c>
      <c r="E1148" s="32">
        <v>4521</v>
      </c>
      <c r="F1148" s="32">
        <v>10</v>
      </c>
    </row>
    <row r="1149" spans="1:6" x14ac:dyDescent="0.3">
      <c r="A1149" s="31">
        <v>2000012636</v>
      </c>
      <c r="B1149" s="31" t="s">
        <v>2842</v>
      </c>
      <c r="C1149" s="31" t="s">
        <v>2017</v>
      </c>
      <c r="D1149" s="31" t="s">
        <v>2072</v>
      </c>
      <c r="E1149" s="32">
        <v>4511.25</v>
      </c>
      <c r="F1149" s="32">
        <v>3</v>
      </c>
    </row>
    <row r="1150" spans="1:6" x14ac:dyDescent="0.3">
      <c r="A1150" s="31">
        <v>1000101431</v>
      </c>
      <c r="B1150" s="31" t="s">
        <v>2843</v>
      </c>
      <c r="C1150" s="31" t="s">
        <v>2844</v>
      </c>
      <c r="D1150" s="31" t="s">
        <v>2845</v>
      </c>
      <c r="E1150" s="32">
        <v>4506.72</v>
      </c>
      <c r="F1150" s="32">
        <v>4</v>
      </c>
    </row>
    <row r="1151" spans="1:6" x14ac:dyDescent="0.3">
      <c r="A1151" s="31">
        <v>2200011938</v>
      </c>
      <c r="B1151" s="31" t="s">
        <v>2846</v>
      </c>
      <c r="C1151" s="31" t="s">
        <v>2037</v>
      </c>
      <c r="D1151" s="31" t="s">
        <v>2038</v>
      </c>
      <c r="E1151" s="32">
        <v>4502.96</v>
      </c>
      <c r="F1151" s="32">
        <v>1</v>
      </c>
    </row>
    <row r="1152" spans="1:6" x14ac:dyDescent="0.3">
      <c r="A1152" s="31">
        <v>1000098469</v>
      </c>
      <c r="B1152" s="31" t="s">
        <v>330</v>
      </c>
      <c r="C1152" s="31" t="s">
        <v>4</v>
      </c>
      <c r="D1152" s="31" t="s">
        <v>2090</v>
      </c>
      <c r="E1152" s="32">
        <v>4502.4719999999998</v>
      </c>
      <c r="F1152" s="32">
        <v>8</v>
      </c>
    </row>
    <row r="1153" spans="1:6" x14ac:dyDescent="0.3">
      <c r="A1153" s="31">
        <v>2700000040</v>
      </c>
      <c r="B1153" s="31" t="s">
        <v>235</v>
      </c>
      <c r="C1153" s="31" t="s">
        <v>2037</v>
      </c>
      <c r="D1153" s="31" t="s">
        <v>2038</v>
      </c>
      <c r="E1153" s="32">
        <v>4500.2380000000003</v>
      </c>
      <c r="F1153" s="32">
        <v>1</v>
      </c>
    </row>
    <row r="1154" spans="1:6" x14ac:dyDescent="0.3">
      <c r="A1154" s="31">
        <v>80000003069</v>
      </c>
      <c r="B1154" s="31" t="s">
        <v>2847</v>
      </c>
      <c r="C1154" s="31" t="s">
        <v>2521</v>
      </c>
      <c r="D1154" s="31" t="s">
        <v>2645</v>
      </c>
      <c r="E1154" s="32">
        <v>4493.34</v>
      </c>
      <c r="F1154" s="32">
        <v>477</v>
      </c>
    </row>
    <row r="1155" spans="1:6" x14ac:dyDescent="0.3">
      <c r="A1155" s="31">
        <v>1000021494</v>
      </c>
      <c r="B1155" s="31" t="s">
        <v>1497</v>
      </c>
      <c r="C1155" s="31" t="s">
        <v>4</v>
      </c>
      <c r="D1155" s="31" t="s">
        <v>2090</v>
      </c>
      <c r="E1155" s="32">
        <v>4491.04</v>
      </c>
      <c r="F1155" s="32">
        <v>3</v>
      </c>
    </row>
    <row r="1156" spans="1:6" x14ac:dyDescent="0.3">
      <c r="A1156" s="31">
        <v>1000098547</v>
      </c>
      <c r="B1156" s="31" t="s">
        <v>1578</v>
      </c>
      <c r="C1156" s="31" t="s">
        <v>4</v>
      </c>
      <c r="D1156" s="31" t="s">
        <v>2090</v>
      </c>
      <c r="E1156" s="32">
        <v>4489.1400000000003</v>
      </c>
      <c r="F1156" s="32">
        <v>5</v>
      </c>
    </row>
    <row r="1157" spans="1:6" x14ac:dyDescent="0.3">
      <c r="A1157" s="31">
        <v>1000093578</v>
      </c>
      <c r="B1157" s="31" t="s">
        <v>2848</v>
      </c>
      <c r="C1157" s="31" t="s">
        <v>4</v>
      </c>
      <c r="D1157" s="31" t="s">
        <v>2056</v>
      </c>
      <c r="E1157" s="32">
        <v>4488.6096163348702</v>
      </c>
      <c r="F1157" s="32">
        <v>8473</v>
      </c>
    </row>
    <row r="1158" spans="1:6" x14ac:dyDescent="0.3">
      <c r="A1158" s="31">
        <v>1000100924</v>
      </c>
      <c r="B1158" s="31" t="s">
        <v>2849</v>
      </c>
      <c r="C1158" s="31" t="s">
        <v>4</v>
      </c>
      <c r="D1158" s="31" t="s">
        <v>2056</v>
      </c>
      <c r="E1158" s="32">
        <v>4471.9359999999997</v>
      </c>
      <c r="F1158" s="32">
        <v>46000</v>
      </c>
    </row>
    <row r="1159" spans="1:6" x14ac:dyDescent="0.3">
      <c r="A1159" s="31">
        <v>1000021132</v>
      </c>
      <c r="B1159" s="31" t="s">
        <v>1286</v>
      </c>
      <c r="C1159" s="31" t="s">
        <v>4</v>
      </c>
      <c r="D1159" s="31" t="s">
        <v>2090</v>
      </c>
      <c r="E1159" s="32">
        <v>4462.5</v>
      </c>
      <c r="F1159" s="32">
        <v>8</v>
      </c>
    </row>
    <row r="1160" spans="1:6" x14ac:dyDescent="0.3">
      <c r="A1160" s="31">
        <v>1000102778</v>
      </c>
      <c r="B1160" s="31" t="s">
        <v>2850</v>
      </c>
      <c r="C1160" s="31" t="s">
        <v>4</v>
      </c>
      <c r="D1160" s="31" t="s">
        <v>2056</v>
      </c>
      <c r="E1160" s="32">
        <v>4446.45</v>
      </c>
      <c r="F1160" s="32">
        <v>150</v>
      </c>
    </row>
    <row r="1161" spans="1:6" x14ac:dyDescent="0.3">
      <c r="A1161" s="31">
        <v>1000095827</v>
      </c>
      <c r="B1161" s="31" t="s">
        <v>2851</v>
      </c>
      <c r="C1161" s="31" t="s">
        <v>4</v>
      </c>
      <c r="D1161" s="31" t="s">
        <v>2056</v>
      </c>
      <c r="E1161" s="32">
        <v>4437.2554399814999</v>
      </c>
      <c r="F1161" s="32">
        <v>514</v>
      </c>
    </row>
    <row r="1162" spans="1:6" x14ac:dyDescent="0.3">
      <c r="A1162" s="31">
        <v>1000020730</v>
      </c>
      <c r="B1162" s="31" t="s">
        <v>938</v>
      </c>
      <c r="C1162" s="31" t="s">
        <v>4</v>
      </c>
      <c r="D1162" s="31" t="s">
        <v>2090</v>
      </c>
      <c r="E1162" s="32">
        <v>4423.9741071428498</v>
      </c>
      <c r="F1162" s="32">
        <v>18</v>
      </c>
    </row>
    <row r="1163" spans="1:6" x14ac:dyDescent="0.3">
      <c r="A1163" s="31">
        <v>2500006877</v>
      </c>
      <c r="B1163" s="31" t="s">
        <v>2852</v>
      </c>
      <c r="C1163" s="31" t="s">
        <v>1996</v>
      </c>
      <c r="D1163" s="31" t="s">
        <v>2025</v>
      </c>
      <c r="E1163" s="32">
        <v>4417.5</v>
      </c>
      <c r="F1163" s="32">
        <v>4</v>
      </c>
    </row>
    <row r="1164" spans="1:6" x14ac:dyDescent="0.3">
      <c r="A1164" s="31">
        <v>1000098620</v>
      </c>
      <c r="B1164" s="31" t="s">
        <v>2853</v>
      </c>
      <c r="C1164" s="31" t="s">
        <v>4</v>
      </c>
      <c r="D1164" s="31" t="s">
        <v>2056</v>
      </c>
      <c r="E1164" s="32">
        <v>4416.6292341729304</v>
      </c>
      <c r="F1164" s="32">
        <v>230</v>
      </c>
    </row>
    <row r="1165" spans="1:6" x14ac:dyDescent="0.3">
      <c r="A1165" s="31">
        <v>1000017161</v>
      </c>
      <c r="B1165" s="31" t="s">
        <v>2854</v>
      </c>
      <c r="C1165" s="31" t="s">
        <v>4</v>
      </c>
      <c r="D1165" s="31" t="s">
        <v>2855</v>
      </c>
      <c r="E1165" s="32">
        <v>4410</v>
      </c>
      <c r="F1165" s="32">
        <v>45</v>
      </c>
    </row>
    <row r="1166" spans="1:6" x14ac:dyDescent="0.3">
      <c r="A1166" s="31">
        <v>1000100440</v>
      </c>
      <c r="B1166" s="31" t="s">
        <v>2856</v>
      </c>
      <c r="C1166" s="31" t="s">
        <v>4</v>
      </c>
      <c r="D1166" s="31" t="s">
        <v>2043</v>
      </c>
      <c r="E1166" s="32">
        <v>4410</v>
      </c>
      <c r="F1166" s="32">
        <v>9</v>
      </c>
    </row>
    <row r="1167" spans="1:6" x14ac:dyDescent="0.3">
      <c r="A1167" s="31">
        <v>2700000118</v>
      </c>
      <c r="B1167" s="31" t="s">
        <v>259</v>
      </c>
      <c r="C1167" s="31" t="s">
        <v>2037</v>
      </c>
      <c r="D1167" s="31" t="s">
        <v>2038</v>
      </c>
      <c r="E1167" s="32">
        <v>4404.15237081747</v>
      </c>
      <c r="F1167" s="32">
        <v>22</v>
      </c>
    </row>
    <row r="1168" spans="1:6" x14ac:dyDescent="0.3">
      <c r="A1168" s="31">
        <v>1000020492</v>
      </c>
      <c r="B1168" s="31" t="s">
        <v>717</v>
      </c>
      <c r="C1168" s="31" t="s">
        <v>4</v>
      </c>
      <c r="D1168" s="31" t="s">
        <v>2090</v>
      </c>
      <c r="E1168" s="32">
        <v>4394.61258147229</v>
      </c>
      <c r="F1168" s="32">
        <v>98</v>
      </c>
    </row>
    <row r="1169" spans="1:6" x14ac:dyDescent="0.3">
      <c r="A1169" s="31">
        <v>1000094199</v>
      </c>
      <c r="B1169" s="31" t="s">
        <v>2857</v>
      </c>
      <c r="C1169" s="31" t="s">
        <v>4</v>
      </c>
      <c r="D1169" s="31" t="s">
        <v>2056</v>
      </c>
      <c r="E1169" s="32">
        <v>4367.2079060640499</v>
      </c>
      <c r="F1169" s="32">
        <v>1642</v>
      </c>
    </row>
    <row r="1170" spans="1:6" x14ac:dyDescent="0.3">
      <c r="A1170" s="31">
        <v>2200003348</v>
      </c>
      <c r="B1170" s="31" t="s">
        <v>2858</v>
      </c>
      <c r="C1170" s="31" t="s">
        <v>2037</v>
      </c>
      <c r="D1170" s="31" t="s">
        <v>2859</v>
      </c>
      <c r="E1170" s="32">
        <v>4350</v>
      </c>
      <c r="F1170" s="32">
        <v>2</v>
      </c>
    </row>
    <row r="1171" spans="1:6" x14ac:dyDescent="0.3">
      <c r="A1171" s="31">
        <v>1000095664</v>
      </c>
      <c r="B1171" s="31" t="s">
        <v>2860</v>
      </c>
      <c r="C1171" s="31" t="s">
        <v>4</v>
      </c>
      <c r="D1171" s="31" t="s">
        <v>2056</v>
      </c>
      <c r="E1171" s="32">
        <v>4345.78</v>
      </c>
      <c r="F1171" s="32">
        <v>11</v>
      </c>
    </row>
    <row r="1172" spans="1:6" x14ac:dyDescent="0.3">
      <c r="A1172" s="31">
        <v>2500008254</v>
      </c>
      <c r="B1172" s="31" t="s">
        <v>2861</v>
      </c>
      <c r="C1172" s="31" t="s">
        <v>1996</v>
      </c>
      <c r="D1172" s="31" t="s">
        <v>2025</v>
      </c>
      <c r="E1172" s="32">
        <v>4344.375</v>
      </c>
      <c r="F1172" s="32">
        <v>5</v>
      </c>
    </row>
    <row r="1173" spans="1:6" x14ac:dyDescent="0.3">
      <c r="A1173" s="31">
        <v>1000020124</v>
      </c>
      <c r="B1173" s="31" t="s">
        <v>379</v>
      </c>
      <c r="C1173" s="31" t="s">
        <v>4</v>
      </c>
      <c r="D1173" s="31" t="s">
        <v>2090</v>
      </c>
      <c r="E1173" s="32">
        <v>4336.32</v>
      </c>
      <c r="F1173" s="32">
        <v>8</v>
      </c>
    </row>
    <row r="1174" spans="1:6" x14ac:dyDescent="0.3">
      <c r="A1174" s="31">
        <v>1000010227</v>
      </c>
      <c r="B1174" s="31" t="s">
        <v>2862</v>
      </c>
      <c r="C1174" s="31" t="s">
        <v>4</v>
      </c>
      <c r="D1174" s="31" t="s">
        <v>2161</v>
      </c>
      <c r="E1174" s="32">
        <v>4323.8249292929204</v>
      </c>
      <c r="F1174" s="32">
        <v>16</v>
      </c>
    </row>
    <row r="1175" spans="1:6" x14ac:dyDescent="0.3">
      <c r="A1175" s="31">
        <v>1000101987</v>
      </c>
      <c r="B1175" s="31" t="s">
        <v>2863</v>
      </c>
      <c r="C1175" s="31" t="s">
        <v>4</v>
      </c>
      <c r="D1175" s="31" t="s">
        <v>2056</v>
      </c>
      <c r="E1175" s="32">
        <v>4323.7634200913199</v>
      </c>
      <c r="F1175" s="32">
        <v>154</v>
      </c>
    </row>
    <row r="1176" spans="1:6" x14ac:dyDescent="0.3">
      <c r="A1176" s="31">
        <v>1000020745</v>
      </c>
      <c r="B1176" s="31" t="s">
        <v>952</v>
      </c>
      <c r="C1176" s="31" t="s">
        <v>4</v>
      </c>
      <c r="D1176" s="31" t="s">
        <v>2090</v>
      </c>
      <c r="E1176" s="32">
        <v>4316.5</v>
      </c>
      <c r="F1176" s="32">
        <v>2</v>
      </c>
    </row>
    <row r="1177" spans="1:6" x14ac:dyDescent="0.3">
      <c r="A1177" s="31">
        <v>2700000023</v>
      </c>
      <c r="B1177" s="31" t="s">
        <v>228</v>
      </c>
      <c r="C1177" s="31" t="s">
        <v>2037</v>
      </c>
      <c r="D1177" s="31" t="s">
        <v>2038</v>
      </c>
      <c r="E1177" s="32">
        <v>4310.2915000000003</v>
      </c>
      <c r="F1177" s="32">
        <v>3</v>
      </c>
    </row>
    <row r="1178" spans="1:6" x14ac:dyDescent="0.3">
      <c r="A1178" s="31">
        <v>1000095637</v>
      </c>
      <c r="B1178" s="31" t="s">
        <v>2864</v>
      </c>
      <c r="C1178" s="31" t="s">
        <v>4</v>
      </c>
      <c r="D1178" s="31" t="s">
        <v>2056</v>
      </c>
      <c r="E1178" s="32">
        <v>4297.1040000000003</v>
      </c>
      <c r="F1178" s="32">
        <v>29</v>
      </c>
    </row>
    <row r="1179" spans="1:6" x14ac:dyDescent="0.3">
      <c r="A1179" s="31">
        <v>1000101332</v>
      </c>
      <c r="B1179" s="31" t="s">
        <v>91</v>
      </c>
      <c r="C1179" s="31" t="s">
        <v>4</v>
      </c>
      <c r="D1179" s="31" t="s">
        <v>2043</v>
      </c>
      <c r="E1179" s="32">
        <v>4294.9411764705801</v>
      </c>
      <c r="F1179" s="32">
        <v>86</v>
      </c>
    </row>
    <row r="1180" spans="1:6" x14ac:dyDescent="0.3">
      <c r="A1180" s="31">
        <v>2100005179</v>
      </c>
      <c r="B1180" s="31" t="s">
        <v>2865</v>
      </c>
      <c r="C1180" s="31" t="s">
        <v>2030</v>
      </c>
      <c r="D1180" s="31" t="s">
        <v>2075</v>
      </c>
      <c r="E1180" s="32">
        <v>4285.6899999999996</v>
      </c>
      <c r="F1180" s="32">
        <v>1</v>
      </c>
    </row>
    <row r="1181" spans="1:6" x14ac:dyDescent="0.3">
      <c r="A1181" s="31">
        <v>80000009879</v>
      </c>
      <c r="B1181" s="31" t="s">
        <v>2866</v>
      </c>
      <c r="C1181" s="31" t="s">
        <v>2521</v>
      </c>
      <c r="D1181" s="31" t="s">
        <v>2670</v>
      </c>
      <c r="E1181" s="32">
        <v>4284.6950808625297</v>
      </c>
      <c r="F1181" s="32">
        <v>610</v>
      </c>
    </row>
    <row r="1182" spans="1:6" x14ac:dyDescent="0.3">
      <c r="A1182" s="31">
        <v>1000095712</v>
      </c>
      <c r="B1182" s="31" t="s">
        <v>2867</v>
      </c>
      <c r="C1182" s="31" t="s">
        <v>2027</v>
      </c>
      <c r="D1182" s="31" t="s">
        <v>2173</v>
      </c>
      <c r="E1182" s="32">
        <v>4280.7</v>
      </c>
      <c r="F1182" s="32">
        <v>5</v>
      </c>
    </row>
    <row r="1183" spans="1:6" x14ac:dyDescent="0.3">
      <c r="A1183" s="31">
        <v>1000020695</v>
      </c>
      <c r="B1183" s="31" t="s">
        <v>907</v>
      </c>
      <c r="C1183" s="31" t="s">
        <v>4</v>
      </c>
      <c r="D1183" s="31" t="s">
        <v>2090</v>
      </c>
      <c r="E1183" s="32">
        <v>4278.0473437500004</v>
      </c>
      <c r="F1183" s="32">
        <v>54</v>
      </c>
    </row>
    <row r="1184" spans="1:6" x14ac:dyDescent="0.3">
      <c r="A1184" s="31">
        <v>1000020856</v>
      </c>
      <c r="B1184" s="31" t="s">
        <v>1046</v>
      </c>
      <c r="C1184" s="31" t="s">
        <v>4</v>
      </c>
      <c r="D1184" s="31" t="s">
        <v>2218</v>
      </c>
      <c r="E1184" s="32">
        <v>4274.0055653981799</v>
      </c>
      <c r="F1184" s="32">
        <v>12</v>
      </c>
    </row>
    <row r="1185" spans="1:6" x14ac:dyDescent="0.3">
      <c r="A1185" s="31">
        <v>1000107983</v>
      </c>
      <c r="B1185" s="31" t="s">
        <v>2868</v>
      </c>
      <c r="C1185" s="31" t="s">
        <v>4</v>
      </c>
      <c r="D1185" s="31" t="s">
        <v>2869</v>
      </c>
      <c r="E1185" s="32">
        <v>4272</v>
      </c>
      <c r="F1185" s="32">
        <v>12</v>
      </c>
    </row>
    <row r="1186" spans="1:6" x14ac:dyDescent="0.3">
      <c r="A1186" s="31">
        <v>2200000410</v>
      </c>
      <c r="B1186" s="31" t="s">
        <v>163</v>
      </c>
      <c r="C1186" s="31" t="s">
        <v>2037</v>
      </c>
      <c r="D1186" s="31" t="s">
        <v>2038</v>
      </c>
      <c r="E1186" s="32">
        <v>4271.34</v>
      </c>
      <c r="F1186" s="32">
        <v>1</v>
      </c>
    </row>
    <row r="1187" spans="1:6" x14ac:dyDescent="0.3">
      <c r="A1187" s="31">
        <v>1000020132</v>
      </c>
      <c r="B1187" s="31" t="s">
        <v>387</v>
      </c>
      <c r="C1187" s="31" t="s">
        <v>4</v>
      </c>
      <c r="D1187" s="31" t="s">
        <v>2090</v>
      </c>
      <c r="E1187" s="32">
        <v>4248.72</v>
      </c>
      <c r="F1187" s="32">
        <v>2</v>
      </c>
    </row>
    <row r="1188" spans="1:6" x14ac:dyDescent="0.3">
      <c r="A1188" s="31">
        <v>1000099243</v>
      </c>
      <c r="B1188" s="31" t="s">
        <v>2870</v>
      </c>
      <c r="C1188" s="31" t="s">
        <v>4</v>
      </c>
      <c r="D1188" s="31" t="s">
        <v>2056</v>
      </c>
      <c r="E1188" s="32">
        <v>4242.7524999999996</v>
      </c>
      <c r="F1188" s="32">
        <v>4445</v>
      </c>
    </row>
    <row r="1189" spans="1:6" x14ac:dyDescent="0.3">
      <c r="A1189" s="31">
        <v>1000020463</v>
      </c>
      <c r="B1189" s="31" t="s">
        <v>689</v>
      </c>
      <c r="C1189" s="31" t="s">
        <v>4</v>
      </c>
      <c r="D1189" s="31" t="s">
        <v>2090</v>
      </c>
      <c r="E1189" s="32">
        <v>4231.2333079847904</v>
      </c>
      <c r="F1189" s="32">
        <v>179</v>
      </c>
    </row>
    <row r="1190" spans="1:6" x14ac:dyDescent="0.3">
      <c r="A1190" s="31">
        <v>2200002826</v>
      </c>
      <c r="B1190" s="31" t="s">
        <v>186</v>
      </c>
      <c r="C1190" s="31" t="s">
        <v>2037</v>
      </c>
      <c r="D1190" s="31" t="s">
        <v>2038</v>
      </c>
      <c r="E1190" s="32">
        <v>4229.5</v>
      </c>
      <c r="F1190" s="32">
        <v>1</v>
      </c>
    </row>
    <row r="1191" spans="1:6" x14ac:dyDescent="0.3">
      <c r="A1191" s="31">
        <v>1000106112</v>
      </c>
      <c r="B1191" s="31" t="s">
        <v>2871</v>
      </c>
      <c r="C1191" s="31" t="s">
        <v>4</v>
      </c>
      <c r="D1191" s="31" t="s">
        <v>2161</v>
      </c>
      <c r="E1191" s="32">
        <v>4227.3100000000004</v>
      </c>
      <c r="F1191" s="32">
        <v>10</v>
      </c>
    </row>
    <row r="1192" spans="1:6" x14ac:dyDescent="0.3">
      <c r="A1192" s="31">
        <v>2700000025</v>
      </c>
      <c r="B1192" s="31" t="s">
        <v>230</v>
      </c>
      <c r="C1192" s="31" t="s">
        <v>2037</v>
      </c>
      <c r="D1192" s="31" t="s">
        <v>2038</v>
      </c>
      <c r="E1192" s="32">
        <v>4226.0428235294103</v>
      </c>
      <c r="F1192" s="32">
        <v>12</v>
      </c>
    </row>
    <row r="1193" spans="1:6" x14ac:dyDescent="0.3">
      <c r="A1193" s="31">
        <v>1000021203</v>
      </c>
      <c r="B1193" s="31" t="s">
        <v>1349</v>
      </c>
      <c r="C1193" s="31" t="s">
        <v>4</v>
      </c>
      <c r="D1193" s="31" t="s">
        <v>2090</v>
      </c>
      <c r="E1193" s="32">
        <v>4209.7628571428504</v>
      </c>
      <c r="F1193" s="32">
        <v>33</v>
      </c>
    </row>
    <row r="1194" spans="1:6" x14ac:dyDescent="0.3">
      <c r="A1194" s="31">
        <v>1000021209</v>
      </c>
      <c r="B1194" s="31" t="s">
        <v>1355</v>
      </c>
      <c r="C1194" s="31" t="s">
        <v>4</v>
      </c>
      <c r="D1194" s="31" t="s">
        <v>2090</v>
      </c>
      <c r="E1194" s="32">
        <v>4194.375</v>
      </c>
      <c r="F1194" s="32">
        <v>25</v>
      </c>
    </row>
    <row r="1195" spans="1:6" x14ac:dyDescent="0.3">
      <c r="A1195" s="31">
        <v>1000020883</v>
      </c>
      <c r="B1195" s="31" t="s">
        <v>1066</v>
      </c>
      <c r="C1195" s="31" t="s">
        <v>4</v>
      </c>
      <c r="D1195" s="31" t="s">
        <v>2090</v>
      </c>
      <c r="E1195" s="32">
        <v>4185.92</v>
      </c>
      <c r="F1195" s="32">
        <v>2</v>
      </c>
    </row>
    <row r="1196" spans="1:6" x14ac:dyDescent="0.3">
      <c r="A1196" s="31">
        <v>1000020810</v>
      </c>
      <c r="B1196" s="31" t="s">
        <v>1013</v>
      </c>
      <c r="C1196" s="31" t="s">
        <v>4</v>
      </c>
      <c r="D1196" s="31" t="s">
        <v>2090</v>
      </c>
      <c r="E1196" s="32">
        <v>4182.3787828947297</v>
      </c>
      <c r="F1196" s="32">
        <v>12</v>
      </c>
    </row>
    <row r="1197" spans="1:6" x14ac:dyDescent="0.3">
      <c r="A1197" s="31">
        <v>1000102183</v>
      </c>
      <c r="B1197" s="31" t="s">
        <v>1760</v>
      </c>
      <c r="C1197" s="31" t="s">
        <v>4</v>
      </c>
      <c r="D1197" s="31" t="s">
        <v>2090</v>
      </c>
      <c r="E1197" s="32">
        <v>4180.7250000000004</v>
      </c>
      <c r="F1197" s="32">
        <v>17</v>
      </c>
    </row>
    <row r="1198" spans="1:6" x14ac:dyDescent="0.3">
      <c r="A1198" s="31">
        <v>1000100372</v>
      </c>
      <c r="B1198" s="31" t="s">
        <v>2872</v>
      </c>
      <c r="C1198" s="31" t="s">
        <v>4</v>
      </c>
      <c r="D1198" s="31" t="s">
        <v>2090</v>
      </c>
      <c r="E1198" s="32">
        <v>4140.0209999999997</v>
      </c>
      <c r="F1198" s="32">
        <v>6</v>
      </c>
    </row>
    <row r="1199" spans="1:6" x14ac:dyDescent="0.3">
      <c r="A1199" s="31">
        <v>1000103171</v>
      </c>
      <c r="B1199" s="31" t="s">
        <v>97</v>
      </c>
      <c r="C1199" s="31" t="s">
        <v>4</v>
      </c>
      <c r="D1199" s="31" t="s">
        <v>2873</v>
      </c>
      <c r="E1199" s="32">
        <v>4140</v>
      </c>
      <c r="F1199" s="32">
        <v>9</v>
      </c>
    </row>
    <row r="1200" spans="1:6" x14ac:dyDescent="0.3">
      <c r="A1200" s="31">
        <v>1000020031</v>
      </c>
      <c r="B1200" s="31" t="s">
        <v>337</v>
      </c>
      <c r="C1200" s="31" t="s">
        <v>4</v>
      </c>
      <c r="D1200" s="31" t="s">
        <v>2090</v>
      </c>
      <c r="E1200" s="32">
        <v>4139.08575757575</v>
      </c>
      <c r="F1200" s="32">
        <v>13</v>
      </c>
    </row>
    <row r="1201" spans="1:6" x14ac:dyDescent="0.3">
      <c r="A1201" s="31">
        <v>2500008799</v>
      </c>
      <c r="B1201" s="31" t="s">
        <v>2874</v>
      </c>
      <c r="C1201" s="31" t="s">
        <v>1996</v>
      </c>
      <c r="D1201" s="31" t="s">
        <v>2875</v>
      </c>
      <c r="E1201" s="32">
        <v>4131</v>
      </c>
      <c r="F1201" s="32">
        <v>900</v>
      </c>
    </row>
    <row r="1202" spans="1:6" x14ac:dyDescent="0.3">
      <c r="A1202" s="31">
        <v>1000020747</v>
      </c>
      <c r="B1202" s="31" t="s">
        <v>954</v>
      </c>
      <c r="C1202" s="31" t="s">
        <v>4</v>
      </c>
      <c r="D1202" s="31" t="s">
        <v>2090</v>
      </c>
      <c r="E1202" s="32">
        <v>4117.4747058823496</v>
      </c>
      <c r="F1202" s="32">
        <v>11</v>
      </c>
    </row>
    <row r="1203" spans="1:6" x14ac:dyDescent="0.3">
      <c r="A1203" s="31">
        <v>1000108455</v>
      </c>
      <c r="B1203" s="31" t="s">
        <v>2295</v>
      </c>
      <c r="C1203" s="31" t="s">
        <v>2521</v>
      </c>
      <c r="D1203" s="31" t="s">
        <v>2035</v>
      </c>
      <c r="E1203" s="32">
        <v>4113.09375</v>
      </c>
      <c r="F1203" s="32">
        <v>2</v>
      </c>
    </row>
    <row r="1204" spans="1:6" x14ac:dyDescent="0.3">
      <c r="A1204" s="31">
        <v>1000017141</v>
      </c>
      <c r="B1204" s="31" t="s">
        <v>2181</v>
      </c>
      <c r="C1204" s="31" t="s">
        <v>4</v>
      </c>
      <c r="D1204" s="31" t="s">
        <v>2056</v>
      </c>
      <c r="E1204" s="32">
        <v>4111.8766404491098</v>
      </c>
      <c r="F1204" s="32">
        <v>5456</v>
      </c>
    </row>
    <row r="1205" spans="1:6" x14ac:dyDescent="0.3">
      <c r="A1205" s="31">
        <v>1000103209</v>
      </c>
      <c r="B1205" s="31" t="s">
        <v>1816</v>
      </c>
      <c r="C1205" s="31" t="s">
        <v>4</v>
      </c>
      <c r="D1205" s="31" t="s">
        <v>2090</v>
      </c>
      <c r="E1205" s="32">
        <v>4076.44</v>
      </c>
      <c r="F1205" s="32">
        <v>3</v>
      </c>
    </row>
    <row r="1206" spans="1:6" x14ac:dyDescent="0.3">
      <c r="A1206" s="31">
        <v>2500008890</v>
      </c>
      <c r="B1206" s="31" t="s">
        <v>2876</v>
      </c>
      <c r="C1206" s="31" t="s">
        <v>1996</v>
      </c>
      <c r="D1206" s="31" t="s">
        <v>2025</v>
      </c>
      <c r="E1206" s="32">
        <v>4074</v>
      </c>
      <c r="F1206" s="32">
        <v>5</v>
      </c>
    </row>
    <row r="1207" spans="1:6" x14ac:dyDescent="0.3">
      <c r="A1207" s="31">
        <v>1000107578</v>
      </c>
      <c r="B1207" s="31" t="s">
        <v>2877</v>
      </c>
      <c r="C1207" s="31" t="s">
        <v>2109</v>
      </c>
      <c r="D1207" s="31" t="s">
        <v>2878</v>
      </c>
      <c r="E1207" s="32">
        <v>4070</v>
      </c>
      <c r="F1207" s="32">
        <v>22</v>
      </c>
    </row>
    <row r="1208" spans="1:6" x14ac:dyDescent="0.3">
      <c r="A1208" s="31">
        <v>1000020079</v>
      </c>
      <c r="B1208" s="31" t="s">
        <v>339</v>
      </c>
      <c r="C1208" s="31" t="s">
        <v>4</v>
      </c>
      <c r="D1208" s="31" t="s">
        <v>2090</v>
      </c>
      <c r="E1208" s="32">
        <v>4065.6471248499402</v>
      </c>
      <c r="F1208" s="32">
        <v>34</v>
      </c>
    </row>
    <row r="1209" spans="1:6" x14ac:dyDescent="0.3">
      <c r="A1209" s="31">
        <v>1000099977</v>
      </c>
      <c r="B1209" s="31" t="s">
        <v>2879</v>
      </c>
      <c r="C1209" s="31" t="s">
        <v>4</v>
      </c>
      <c r="D1209" s="31" t="s">
        <v>2880</v>
      </c>
      <c r="E1209" s="32">
        <v>4063.03912118481</v>
      </c>
      <c r="F1209" s="32">
        <v>13</v>
      </c>
    </row>
    <row r="1210" spans="1:6" x14ac:dyDescent="0.3">
      <c r="A1210" s="31">
        <v>1000100392</v>
      </c>
      <c r="B1210" s="31" t="s">
        <v>1721</v>
      </c>
      <c r="C1210" s="31" t="s">
        <v>4</v>
      </c>
      <c r="D1210" s="31" t="s">
        <v>2090</v>
      </c>
      <c r="E1210" s="32">
        <v>4059.6029629629602</v>
      </c>
      <c r="F1210" s="32">
        <v>16</v>
      </c>
    </row>
    <row r="1211" spans="1:6" x14ac:dyDescent="0.3">
      <c r="A1211" s="31">
        <v>1000099208</v>
      </c>
      <c r="B1211" s="31" t="s">
        <v>2881</v>
      </c>
      <c r="C1211" s="31" t="s">
        <v>4</v>
      </c>
      <c r="D1211" s="31" t="s">
        <v>2882</v>
      </c>
      <c r="E1211" s="32">
        <v>4057.0035608716498</v>
      </c>
      <c r="F1211" s="32">
        <v>179</v>
      </c>
    </row>
    <row r="1212" spans="1:6" x14ac:dyDescent="0.3">
      <c r="A1212" s="31">
        <v>1000098440</v>
      </c>
      <c r="B1212" s="31" t="s">
        <v>1520</v>
      </c>
      <c r="C1212" s="31" t="s">
        <v>4</v>
      </c>
      <c r="D1212" s="31" t="s">
        <v>2090</v>
      </c>
      <c r="E1212" s="32">
        <v>4055.24</v>
      </c>
      <c r="F1212" s="32">
        <v>5</v>
      </c>
    </row>
    <row r="1213" spans="1:6" x14ac:dyDescent="0.3">
      <c r="A1213" s="31">
        <v>1000096631</v>
      </c>
      <c r="B1213" s="31" t="s">
        <v>2883</v>
      </c>
      <c r="C1213" s="31" t="s">
        <v>2027</v>
      </c>
      <c r="D1213" s="31" t="s">
        <v>2399</v>
      </c>
      <c r="E1213" s="32">
        <v>4048</v>
      </c>
      <c r="F1213" s="32">
        <v>11</v>
      </c>
    </row>
    <row r="1214" spans="1:6" x14ac:dyDescent="0.3">
      <c r="A1214" s="31">
        <v>1000020576</v>
      </c>
      <c r="B1214" s="31" t="s">
        <v>793</v>
      </c>
      <c r="C1214" s="31" t="s">
        <v>4</v>
      </c>
      <c r="D1214" s="31" t="s">
        <v>2090</v>
      </c>
      <c r="E1214" s="32">
        <v>4036.46</v>
      </c>
      <c r="F1214" s="32">
        <v>2</v>
      </c>
    </row>
    <row r="1215" spans="1:6" x14ac:dyDescent="0.3">
      <c r="A1215" s="31">
        <v>1000021027</v>
      </c>
      <c r="B1215" s="31" t="s">
        <v>1199</v>
      </c>
      <c r="C1215" s="31" t="s">
        <v>4</v>
      </c>
      <c r="D1215" s="31" t="s">
        <v>2090</v>
      </c>
      <c r="E1215" s="32">
        <v>4032.2159999999999</v>
      </c>
      <c r="F1215" s="32">
        <v>9</v>
      </c>
    </row>
    <row r="1216" spans="1:6" x14ac:dyDescent="0.3">
      <c r="A1216" s="31">
        <v>1000093671</v>
      </c>
      <c r="B1216" s="31" t="s">
        <v>2884</v>
      </c>
      <c r="C1216" s="31" t="s">
        <v>4</v>
      </c>
      <c r="D1216" s="31" t="s">
        <v>2056</v>
      </c>
      <c r="E1216" s="32">
        <v>4027.8222139117602</v>
      </c>
      <c r="F1216" s="32">
        <v>38</v>
      </c>
    </row>
    <row r="1217" spans="1:6" x14ac:dyDescent="0.3">
      <c r="A1217" s="31">
        <v>2200000397</v>
      </c>
      <c r="B1217" s="31" t="s">
        <v>158</v>
      </c>
      <c r="C1217" s="31" t="s">
        <v>2037</v>
      </c>
      <c r="D1217" s="31" t="s">
        <v>2038</v>
      </c>
      <c r="E1217" s="32">
        <v>4017.17</v>
      </c>
      <c r="F1217" s="32">
        <v>2</v>
      </c>
    </row>
    <row r="1218" spans="1:6" x14ac:dyDescent="0.3">
      <c r="A1218" s="31">
        <v>1000092606</v>
      </c>
      <c r="B1218" s="31" t="s">
        <v>2885</v>
      </c>
      <c r="C1218" s="31" t="s">
        <v>2027</v>
      </c>
      <c r="D1218" s="31" t="s">
        <v>2399</v>
      </c>
      <c r="E1218" s="32">
        <v>3996.7829999999999</v>
      </c>
      <c r="F1218" s="32">
        <v>38</v>
      </c>
    </row>
    <row r="1219" spans="1:6" x14ac:dyDescent="0.3">
      <c r="A1219" s="31">
        <v>1000020843</v>
      </c>
      <c r="B1219" s="31" t="s">
        <v>1036</v>
      </c>
      <c r="C1219" s="31" t="s">
        <v>4</v>
      </c>
      <c r="D1219" s="31" t="s">
        <v>2090</v>
      </c>
      <c r="E1219" s="32">
        <v>3987.0166681688102</v>
      </c>
      <c r="F1219" s="32">
        <v>32</v>
      </c>
    </row>
    <row r="1220" spans="1:6" x14ac:dyDescent="0.3">
      <c r="A1220" s="31">
        <v>1000021216</v>
      </c>
      <c r="B1220" s="31" t="s">
        <v>1362</v>
      </c>
      <c r="C1220" s="31" t="s">
        <v>4</v>
      </c>
      <c r="D1220" s="31" t="s">
        <v>2090</v>
      </c>
      <c r="E1220" s="32">
        <v>3986.1275000000001</v>
      </c>
      <c r="F1220" s="32">
        <v>21</v>
      </c>
    </row>
    <row r="1221" spans="1:6" x14ac:dyDescent="0.3">
      <c r="A1221" s="31">
        <v>2500008206</v>
      </c>
      <c r="B1221" s="31" t="s">
        <v>2886</v>
      </c>
      <c r="C1221" s="31" t="s">
        <v>1996</v>
      </c>
      <c r="D1221" s="31" t="s">
        <v>2643</v>
      </c>
      <c r="E1221" s="32">
        <v>3975</v>
      </c>
      <c r="F1221" s="32">
        <v>4</v>
      </c>
    </row>
    <row r="1222" spans="1:6" x14ac:dyDescent="0.3">
      <c r="A1222" s="31">
        <v>1000110336</v>
      </c>
      <c r="B1222" s="31" t="s">
        <v>2887</v>
      </c>
      <c r="C1222" s="31" t="s">
        <v>2109</v>
      </c>
      <c r="D1222" s="31" t="s">
        <v>2035</v>
      </c>
      <c r="E1222" s="32">
        <v>3975</v>
      </c>
      <c r="F1222" s="32">
        <v>1</v>
      </c>
    </row>
    <row r="1223" spans="1:6" x14ac:dyDescent="0.3">
      <c r="A1223" s="31">
        <v>1000108785</v>
      </c>
      <c r="B1223" s="31" t="s">
        <v>2888</v>
      </c>
      <c r="C1223" s="31" t="s">
        <v>2109</v>
      </c>
      <c r="D1223" s="31" t="s">
        <v>2409</v>
      </c>
      <c r="E1223" s="32">
        <v>3973.38</v>
      </c>
      <c r="F1223" s="32">
        <v>4</v>
      </c>
    </row>
    <row r="1224" spans="1:6" x14ac:dyDescent="0.3">
      <c r="A1224" s="31">
        <v>1000111120</v>
      </c>
      <c r="B1224" s="31" t="s">
        <v>2889</v>
      </c>
      <c r="C1224" s="31" t="s">
        <v>4</v>
      </c>
      <c r="D1224" s="31" t="s">
        <v>2845</v>
      </c>
      <c r="E1224" s="32">
        <v>3952.5</v>
      </c>
      <c r="F1224" s="32">
        <v>1</v>
      </c>
    </row>
    <row r="1225" spans="1:6" x14ac:dyDescent="0.3">
      <c r="A1225" s="31">
        <v>2500008557</v>
      </c>
      <c r="B1225" s="31" t="s">
        <v>2890</v>
      </c>
      <c r="C1225" s="31" t="s">
        <v>1996</v>
      </c>
      <c r="D1225" s="31" t="s">
        <v>2025</v>
      </c>
      <c r="E1225" s="32">
        <v>3952.5</v>
      </c>
      <c r="F1225" s="32">
        <v>2</v>
      </c>
    </row>
    <row r="1226" spans="1:6" x14ac:dyDescent="0.3">
      <c r="A1226" s="31">
        <v>1000103518</v>
      </c>
      <c r="B1226" s="31" t="s">
        <v>2891</v>
      </c>
      <c r="C1226" s="31" t="s">
        <v>4</v>
      </c>
      <c r="D1226" s="31" t="s">
        <v>2043</v>
      </c>
      <c r="E1226" s="32">
        <v>3949.8744000000002</v>
      </c>
      <c r="F1226" s="32">
        <v>82</v>
      </c>
    </row>
    <row r="1227" spans="1:6" x14ac:dyDescent="0.3">
      <c r="A1227" s="31">
        <v>2700000191</v>
      </c>
      <c r="B1227" s="31" t="s">
        <v>282</v>
      </c>
      <c r="C1227" s="31" t="s">
        <v>2037</v>
      </c>
      <c r="D1227" s="31" t="s">
        <v>2038</v>
      </c>
      <c r="E1227" s="32">
        <v>3944.09</v>
      </c>
      <c r="F1227" s="32">
        <v>1</v>
      </c>
    </row>
    <row r="1228" spans="1:6" x14ac:dyDescent="0.3">
      <c r="A1228" s="31">
        <v>1000098507</v>
      </c>
      <c r="B1228" s="31" t="s">
        <v>2892</v>
      </c>
      <c r="C1228" s="31" t="s">
        <v>4</v>
      </c>
      <c r="D1228" s="31" t="s">
        <v>2161</v>
      </c>
      <c r="E1228" s="32">
        <v>3942.5</v>
      </c>
      <c r="F1228" s="32">
        <v>1</v>
      </c>
    </row>
    <row r="1229" spans="1:6" x14ac:dyDescent="0.3">
      <c r="A1229" s="31">
        <v>1000093576</v>
      </c>
      <c r="B1229" s="31" t="s">
        <v>2893</v>
      </c>
      <c r="C1229" s="31" t="s">
        <v>4</v>
      </c>
      <c r="D1229" s="31" t="s">
        <v>2056</v>
      </c>
      <c r="E1229" s="32">
        <v>3938.28756705358</v>
      </c>
      <c r="F1229" s="32">
        <v>5457</v>
      </c>
    </row>
    <row r="1230" spans="1:6" x14ac:dyDescent="0.3">
      <c r="A1230" s="31">
        <v>1000001239</v>
      </c>
      <c r="B1230" s="31" t="s">
        <v>2894</v>
      </c>
      <c r="C1230" s="31" t="s">
        <v>2257</v>
      </c>
      <c r="D1230" s="31" t="s">
        <v>2234</v>
      </c>
      <c r="E1230" s="32">
        <v>3935.6670004930902</v>
      </c>
      <c r="F1230" s="32">
        <v>7</v>
      </c>
    </row>
    <row r="1231" spans="1:6" x14ac:dyDescent="0.3">
      <c r="A1231" s="31">
        <v>1000110443</v>
      </c>
      <c r="B1231" s="31" t="s">
        <v>2895</v>
      </c>
      <c r="C1231" s="31" t="s">
        <v>2027</v>
      </c>
      <c r="D1231" s="31" t="s">
        <v>2035</v>
      </c>
      <c r="E1231" s="32">
        <v>3935.25</v>
      </c>
      <c r="F1231" s="32">
        <v>2</v>
      </c>
    </row>
    <row r="1232" spans="1:6" x14ac:dyDescent="0.3">
      <c r="A1232" s="31">
        <v>1000094726</v>
      </c>
      <c r="B1232" s="31" t="s">
        <v>2896</v>
      </c>
      <c r="C1232" s="31" t="s">
        <v>4</v>
      </c>
      <c r="D1232" s="31" t="s">
        <v>2043</v>
      </c>
      <c r="E1232" s="32">
        <v>3921.7666666666601</v>
      </c>
      <c r="F1232" s="32">
        <v>1</v>
      </c>
    </row>
    <row r="1233" spans="1:6" x14ac:dyDescent="0.3">
      <c r="A1233" s="31">
        <v>1000098739</v>
      </c>
      <c r="B1233" s="31" t="s">
        <v>1679</v>
      </c>
      <c r="C1233" s="31" t="s">
        <v>4</v>
      </c>
      <c r="D1233" s="31" t="s">
        <v>2090</v>
      </c>
      <c r="E1233" s="32">
        <v>3919.85</v>
      </c>
      <c r="F1233" s="32">
        <v>1</v>
      </c>
    </row>
    <row r="1234" spans="1:6" x14ac:dyDescent="0.3">
      <c r="A1234" s="31">
        <v>1000100429</v>
      </c>
      <c r="B1234" s="31" t="s">
        <v>1740</v>
      </c>
      <c r="C1234" s="31" t="s">
        <v>4</v>
      </c>
      <c r="D1234" s="31" t="s">
        <v>2090</v>
      </c>
      <c r="E1234" s="32">
        <v>3909.5816391509402</v>
      </c>
      <c r="F1234" s="32">
        <v>126</v>
      </c>
    </row>
    <row r="1235" spans="1:6" x14ac:dyDescent="0.3">
      <c r="A1235" s="31">
        <v>1000020462</v>
      </c>
      <c r="B1235" s="31" t="s">
        <v>688</v>
      </c>
      <c r="C1235" s="31" t="s">
        <v>4</v>
      </c>
      <c r="D1235" s="31" t="s">
        <v>2090</v>
      </c>
      <c r="E1235" s="32">
        <v>3905.1210081725499</v>
      </c>
      <c r="F1235" s="32">
        <v>192</v>
      </c>
    </row>
    <row r="1236" spans="1:6" x14ac:dyDescent="0.3">
      <c r="A1236" s="31">
        <v>1000100315</v>
      </c>
      <c r="B1236" s="31" t="s">
        <v>2897</v>
      </c>
      <c r="C1236" s="31" t="s">
        <v>4</v>
      </c>
      <c r="D1236" s="31" t="s">
        <v>2090</v>
      </c>
      <c r="E1236" s="32">
        <v>3895.76923076923</v>
      </c>
      <c r="F1236" s="32">
        <v>10</v>
      </c>
    </row>
    <row r="1237" spans="1:6" x14ac:dyDescent="0.3">
      <c r="A1237" s="31">
        <v>1000103232</v>
      </c>
      <c r="B1237" s="31" t="s">
        <v>2898</v>
      </c>
      <c r="C1237" s="31" t="s">
        <v>4</v>
      </c>
      <c r="D1237" s="31" t="s">
        <v>2056</v>
      </c>
      <c r="E1237" s="32">
        <v>3889.3736078675602</v>
      </c>
      <c r="F1237" s="32">
        <v>4980</v>
      </c>
    </row>
    <row r="1238" spans="1:6" x14ac:dyDescent="0.3">
      <c r="A1238" s="31">
        <v>1000094057</v>
      </c>
      <c r="B1238" s="31" t="s">
        <v>2899</v>
      </c>
      <c r="C1238" s="31" t="s">
        <v>2257</v>
      </c>
      <c r="D1238" s="31" t="s">
        <v>2070</v>
      </c>
      <c r="E1238" s="32">
        <v>3879.8625000000002</v>
      </c>
      <c r="F1238" s="32">
        <v>1</v>
      </c>
    </row>
    <row r="1239" spans="1:6" x14ac:dyDescent="0.3">
      <c r="A1239" s="31">
        <v>1000108786</v>
      </c>
      <c r="B1239" s="31" t="s">
        <v>2900</v>
      </c>
      <c r="C1239" s="31" t="s">
        <v>2109</v>
      </c>
      <c r="D1239" s="31" t="s">
        <v>2409</v>
      </c>
      <c r="E1239" s="32">
        <v>3871.37</v>
      </c>
      <c r="F1239" s="32">
        <v>8</v>
      </c>
    </row>
    <row r="1240" spans="1:6" x14ac:dyDescent="0.3">
      <c r="A1240" s="31">
        <v>1000093676</v>
      </c>
      <c r="B1240" s="31" t="s">
        <v>2901</v>
      </c>
      <c r="C1240" s="31" t="s">
        <v>4</v>
      </c>
      <c r="D1240" s="31" t="s">
        <v>2056</v>
      </c>
      <c r="E1240" s="32">
        <v>3870</v>
      </c>
      <c r="F1240" s="32">
        <v>9</v>
      </c>
    </row>
    <row r="1241" spans="1:6" x14ac:dyDescent="0.3">
      <c r="A1241" s="31">
        <v>2200000399</v>
      </c>
      <c r="B1241" s="31" t="s">
        <v>160</v>
      </c>
      <c r="C1241" s="31" t="s">
        <v>2037</v>
      </c>
      <c r="D1241" s="31" t="s">
        <v>2038</v>
      </c>
      <c r="E1241" s="32">
        <v>3843.625</v>
      </c>
      <c r="F1241" s="32">
        <v>1</v>
      </c>
    </row>
    <row r="1242" spans="1:6" x14ac:dyDescent="0.3">
      <c r="A1242" s="31">
        <v>1000095509</v>
      </c>
      <c r="B1242" s="31" t="s">
        <v>2902</v>
      </c>
      <c r="C1242" s="31" t="s">
        <v>4</v>
      </c>
      <c r="D1242" s="31" t="s">
        <v>2056</v>
      </c>
      <c r="E1242" s="32">
        <v>3843.36</v>
      </c>
      <c r="F1242" s="32">
        <v>288</v>
      </c>
    </row>
    <row r="1243" spans="1:6" x14ac:dyDescent="0.3">
      <c r="A1243" s="31">
        <v>1000100913</v>
      </c>
      <c r="B1243" s="31" t="s">
        <v>2903</v>
      </c>
      <c r="C1243" s="31" t="s">
        <v>4</v>
      </c>
      <c r="D1243" s="31" t="s">
        <v>2056</v>
      </c>
      <c r="E1243" s="32">
        <v>3840.0320000000002</v>
      </c>
      <c r="F1243" s="32">
        <v>39500</v>
      </c>
    </row>
    <row r="1244" spans="1:6" x14ac:dyDescent="0.3">
      <c r="A1244" s="31">
        <v>1000110112</v>
      </c>
      <c r="B1244" s="31" t="s">
        <v>2904</v>
      </c>
      <c r="C1244" s="31" t="s">
        <v>2027</v>
      </c>
      <c r="D1244" s="31" t="s">
        <v>2905</v>
      </c>
      <c r="E1244" s="32">
        <v>3840</v>
      </c>
      <c r="F1244" s="32">
        <v>32</v>
      </c>
    </row>
    <row r="1245" spans="1:6" x14ac:dyDescent="0.3">
      <c r="A1245" s="31">
        <v>2700000003</v>
      </c>
      <c r="B1245" s="31" t="s">
        <v>213</v>
      </c>
      <c r="C1245" s="31" t="s">
        <v>2037</v>
      </c>
      <c r="D1245" s="31" t="s">
        <v>2038</v>
      </c>
      <c r="E1245" s="32">
        <v>3835.05040386473</v>
      </c>
      <c r="F1245" s="32">
        <v>22</v>
      </c>
    </row>
    <row r="1246" spans="1:6" x14ac:dyDescent="0.3">
      <c r="A1246" s="31">
        <v>2500008887</v>
      </c>
      <c r="B1246" s="31" t="s">
        <v>2906</v>
      </c>
      <c r="C1246" s="31" t="s">
        <v>1996</v>
      </c>
      <c r="D1246" s="31" t="s">
        <v>2025</v>
      </c>
      <c r="E1246" s="32">
        <v>3832.5</v>
      </c>
      <c r="F1246" s="32">
        <v>2</v>
      </c>
    </row>
    <row r="1247" spans="1:6" x14ac:dyDescent="0.3">
      <c r="A1247" s="31">
        <v>2700000141</v>
      </c>
      <c r="B1247" s="31" t="s">
        <v>267</v>
      </c>
      <c r="C1247" s="31" t="s">
        <v>2037</v>
      </c>
      <c r="D1247" s="31" t="s">
        <v>2038</v>
      </c>
      <c r="E1247" s="32">
        <v>3813.4549999999999</v>
      </c>
      <c r="F1247" s="32">
        <v>1</v>
      </c>
    </row>
    <row r="1248" spans="1:6" x14ac:dyDescent="0.3">
      <c r="A1248" s="31">
        <v>1000094100</v>
      </c>
      <c r="B1248" s="31" t="s">
        <v>2907</v>
      </c>
      <c r="C1248" s="31" t="s">
        <v>4</v>
      </c>
      <c r="D1248" s="31" t="s">
        <v>2056</v>
      </c>
      <c r="E1248" s="32">
        <v>3810.8672000000001</v>
      </c>
      <c r="F1248" s="32">
        <v>39200</v>
      </c>
    </row>
    <row r="1249" spans="1:6" x14ac:dyDescent="0.3">
      <c r="A1249" s="31">
        <v>1000101327</v>
      </c>
      <c r="B1249" s="31" t="s">
        <v>86</v>
      </c>
      <c r="C1249" s="31" t="s">
        <v>4</v>
      </c>
      <c r="D1249" s="31" t="s">
        <v>2043</v>
      </c>
      <c r="E1249" s="32">
        <v>3800</v>
      </c>
      <c r="F1249" s="32">
        <v>100</v>
      </c>
    </row>
    <row r="1250" spans="1:6" x14ac:dyDescent="0.3">
      <c r="A1250" s="31">
        <v>2500009352</v>
      </c>
      <c r="B1250" s="31" t="s">
        <v>2908</v>
      </c>
      <c r="C1250" s="31" t="s">
        <v>1996</v>
      </c>
      <c r="D1250" s="31" t="s">
        <v>2025</v>
      </c>
      <c r="E1250" s="32">
        <v>3799.95</v>
      </c>
      <c r="F1250" s="32">
        <v>2</v>
      </c>
    </row>
    <row r="1251" spans="1:6" x14ac:dyDescent="0.3">
      <c r="A1251" s="31">
        <v>1000100326</v>
      </c>
      <c r="B1251" s="31" t="s">
        <v>2909</v>
      </c>
      <c r="C1251" s="31" t="s">
        <v>4</v>
      </c>
      <c r="D1251" s="31" t="s">
        <v>2090</v>
      </c>
      <c r="E1251" s="32">
        <v>3799.5</v>
      </c>
      <c r="F1251" s="32">
        <v>8</v>
      </c>
    </row>
    <row r="1252" spans="1:6" x14ac:dyDescent="0.3">
      <c r="A1252" s="31">
        <v>2500005908</v>
      </c>
      <c r="B1252" s="31" t="s">
        <v>2910</v>
      </c>
      <c r="C1252" s="31" t="s">
        <v>1996</v>
      </c>
      <c r="D1252" s="31" t="s">
        <v>2025</v>
      </c>
      <c r="E1252" s="32">
        <v>3799.0034466971301</v>
      </c>
      <c r="F1252" s="32">
        <v>6</v>
      </c>
    </row>
    <row r="1253" spans="1:6" x14ac:dyDescent="0.3">
      <c r="A1253" s="31">
        <v>2700000188</v>
      </c>
      <c r="B1253" s="31" t="s">
        <v>281</v>
      </c>
      <c r="C1253" s="31" t="s">
        <v>2037</v>
      </c>
      <c r="D1253" s="31" t="s">
        <v>2038</v>
      </c>
      <c r="E1253" s="32">
        <v>3788.4</v>
      </c>
      <c r="F1253" s="32">
        <v>5</v>
      </c>
    </row>
    <row r="1254" spans="1:6" x14ac:dyDescent="0.3">
      <c r="A1254" s="31">
        <v>1000094134</v>
      </c>
      <c r="B1254" s="31" t="s">
        <v>2911</v>
      </c>
      <c r="C1254" s="31" t="s">
        <v>4</v>
      </c>
      <c r="D1254" s="31" t="s">
        <v>2090</v>
      </c>
      <c r="E1254" s="32">
        <v>3769.1854917485898</v>
      </c>
      <c r="F1254" s="32">
        <v>5</v>
      </c>
    </row>
    <row r="1255" spans="1:6" x14ac:dyDescent="0.3">
      <c r="A1255" s="31">
        <v>1000109114</v>
      </c>
      <c r="B1255" s="31" t="s">
        <v>2912</v>
      </c>
      <c r="C1255" s="31" t="s">
        <v>2205</v>
      </c>
      <c r="D1255" s="31" t="s">
        <v>2838</v>
      </c>
      <c r="E1255" s="32">
        <v>3763.125</v>
      </c>
      <c r="F1255" s="32">
        <v>1</v>
      </c>
    </row>
    <row r="1256" spans="1:6" x14ac:dyDescent="0.3">
      <c r="A1256" s="31">
        <v>1000109113</v>
      </c>
      <c r="B1256" s="31" t="s">
        <v>2913</v>
      </c>
      <c r="C1256" s="31" t="s">
        <v>2205</v>
      </c>
      <c r="D1256" s="31" t="s">
        <v>2070</v>
      </c>
      <c r="E1256" s="32">
        <v>3763.125</v>
      </c>
      <c r="F1256" s="32">
        <v>1</v>
      </c>
    </row>
    <row r="1257" spans="1:6" x14ac:dyDescent="0.3">
      <c r="A1257" s="31">
        <v>2500009200</v>
      </c>
      <c r="B1257" s="31" t="s">
        <v>2914</v>
      </c>
      <c r="C1257" s="31" t="s">
        <v>1996</v>
      </c>
      <c r="D1257" s="31" t="s">
        <v>2915</v>
      </c>
      <c r="E1257" s="32">
        <v>3757</v>
      </c>
      <c r="F1257" s="32">
        <v>13</v>
      </c>
    </row>
    <row r="1258" spans="1:6" x14ac:dyDescent="0.3">
      <c r="A1258" s="31">
        <v>1000093933</v>
      </c>
      <c r="B1258" s="31" t="s">
        <v>2916</v>
      </c>
      <c r="C1258" s="31" t="s">
        <v>4</v>
      </c>
      <c r="D1258" s="31" t="s">
        <v>2090</v>
      </c>
      <c r="E1258" s="32">
        <v>3752.21</v>
      </c>
      <c r="F1258" s="32">
        <v>1</v>
      </c>
    </row>
    <row r="1259" spans="1:6" x14ac:dyDescent="0.3">
      <c r="A1259" s="31">
        <v>1000107335</v>
      </c>
      <c r="B1259" s="31" t="s">
        <v>2917</v>
      </c>
      <c r="C1259" s="31" t="s">
        <v>2918</v>
      </c>
      <c r="D1259" s="31" t="s">
        <v>2919</v>
      </c>
      <c r="E1259" s="32">
        <v>3750</v>
      </c>
      <c r="F1259" s="32">
        <v>1</v>
      </c>
    </row>
    <row r="1260" spans="1:6" x14ac:dyDescent="0.3">
      <c r="A1260" s="31">
        <v>1000102349</v>
      </c>
      <c r="B1260" s="31" t="s">
        <v>2920</v>
      </c>
      <c r="C1260" s="31" t="s">
        <v>2257</v>
      </c>
      <c r="D1260" s="31" t="s">
        <v>2921</v>
      </c>
      <c r="E1260" s="32">
        <v>3733.3333333333298</v>
      </c>
      <c r="F1260" s="32">
        <v>8</v>
      </c>
    </row>
    <row r="1261" spans="1:6" x14ac:dyDescent="0.3">
      <c r="A1261" s="31">
        <v>1000107197</v>
      </c>
      <c r="B1261" s="31" t="s">
        <v>2922</v>
      </c>
      <c r="C1261" s="31" t="s">
        <v>2109</v>
      </c>
      <c r="D1261" s="31" t="s">
        <v>2035</v>
      </c>
      <c r="E1261" s="32">
        <v>3727.5</v>
      </c>
      <c r="F1261" s="32">
        <v>1</v>
      </c>
    </row>
    <row r="1262" spans="1:6" x14ac:dyDescent="0.3">
      <c r="A1262" s="31">
        <v>1000020101</v>
      </c>
      <c r="B1262" s="31" t="s">
        <v>357</v>
      </c>
      <c r="C1262" s="31" t="s">
        <v>4</v>
      </c>
      <c r="D1262" s="31" t="s">
        <v>2090</v>
      </c>
      <c r="E1262" s="32">
        <v>3726.2170956632599</v>
      </c>
      <c r="F1262" s="32">
        <v>16</v>
      </c>
    </row>
    <row r="1263" spans="1:6" x14ac:dyDescent="0.3">
      <c r="A1263" s="31">
        <v>1000020707</v>
      </c>
      <c r="B1263" s="31" t="s">
        <v>916</v>
      </c>
      <c r="C1263" s="31" t="s">
        <v>4</v>
      </c>
      <c r="D1263" s="31" t="s">
        <v>2090</v>
      </c>
      <c r="E1263" s="32">
        <v>3715.41281828316</v>
      </c>
      <c r="F1263" s="32">
        <v>29</v>
      </c>
    </row>
    <row r="1264" spans="1:6" x14ac:dyDescent="0.3">
      <c r="A1264" s="31">
        <v>1000110663</v>
      </c>
      <c r="B1264" s="31" t="s">
        <v>2923</v>
      </c>
      <c r="C1264" s="31" t="s">
        <v>2109</v>
      </c>
      <c r="D1264" s="31" t="s">
        <v>2924</v>
      </c>
      <c r="E1264" s="32">
        <v>3714.64</v>
      </c>
      <c r="F1264" s="32">
        <v>1</v>
      </c>
    </row>
    <row r="1265" spans="1:6" x14ac:dyDescent="0.3">
      <c r="A1265" s="31">
        <v>1000094200</v>
      </c>
      <c r="B1265" s="31" t="s">
        <v>2925</v>
      </c>
      <c r="C1265" s="31" t="s">
        <v>4</v>
      </c>
      <c r="D1265" s="31" t="s">
        <v>2056</v>
      </c>
      <c r="E1265" s="32">
        <v>3704.16</v>
      </c>
      <c r="F1265" s="32">
        <v>1420</v>
      </c>
    </row>
    <row r="1266" spans="1:6" x14ac:dyDescent="0.3">
      <c r="A1266" s="31">
        <v>1000020751</v>
      </c>
      <c r="B1266" s="31" t="s">
        <v>957</v>
      </c>
      <c r="C1266" s="31" t="s">
        <v>4</v>
      </c>
      <c r="D1266" s="31" t="s">
        <v>2090</v>
      </c>
      <c r="E1266" s="32">
        <v>3702.6</v>
      </c>
      <c r="F1266" s="32">
        <v>8</v>
      </c>
    </row>
    <row r="1267" spans="1:6" x14ac:dyDescent="0.3">
      <c r="A1267" s="31">
        <v>1000020840</v>
      </c>
      <c r="B1267" s="31" t="s">
        <v>1033</v>
      </c>
      <c r="C1267" s="31" t="s">
        <v>4</v>
      </c>
      <c r="D1267" s="31" t="s">
        <v>2090</v>
      </c>
      <c r="E1267" s="32">
        <v>3702.0940000000001</v>
      </c>
      <c r="F1267" s="32">
        <v>22</v>
      </c>
    </row>
    <row r="1268" spans="1:6" x14ac:dyDescent="0.3">
      <c r="A1268" s="31">
        <v>1000021238</v>
      </c>
      <c r="B1268" s="31" t="s">
        <v>1383</v>
      </c>
      <c r="C1268" s="31" t="s">
        <v>4</v>
      </c>
      <c r="D1268" s="31" t="s">
        <v>2090</v>
      </c>
      <c r="E1268" s="32">
        <v>3689.25</v>
      </c>
      <c r="F1268" s="32">
        <v>10</v>
      </c>
    </row>
    <row r="1269" spans="1:6" x14ac:dyDescent="0.3">
      <c r="A1269" s="31">
        <v>1000095636</v>
      </c>
      <c r="B1269" s="31" t="s">
        <v>2926</v>
      </c>
      <c r="C1269" s="31" t="s">
        <v>4</v>
      </c>
      <c r="D1269" s="31" t="s">
        <v>2056</v>
      </c>
      <c r="E1269" s="32">
        <v>3687.7753333333299</v>
      </c>
      <c r="F1269" s="32">
        <v>29</v>
      </c>
    </row>
    <row r="1270" spans="1:6" x14ac:dyDescent="0.3">
      <c r="A1270" s="31">
        <v>1000020500</v>
      </c>
      <c r="B1270" s="31" t="s">
        <v>725</v>
      </c>
      <c r="C1270" s="31" t="s">
        <v>4</v>
      </c>
      <c r="D1270" s="31" t="s">
        <v>2090</v>
      </c>
      <c r="E1270" s="32">
        <v>3686.5</v>
      </c>
      <c r="F1270" s="32">
        <v>12</v>
      </c>
    </row>
    <row r="1271" spans="1:6" x14ac:dyDescent="0.3">
      <c r="A1271" s="31">
        <v>1000096857</v>
      </c>
      <c r="B1271" s="31" t="s">
        <v>2927</v>
      </c>
      <c r="C1271" s="31" t="s">
        <v>4</v>
      </c>
      <c r="D1271" s="31" t="s">
        <v>2090</v>
      </c>
      <c r="E1271" s="32">
        <v>3679.2233333333302</v>
      </c>
      <c r="F1271" s="32">
        <v>3</v>
      </c>
    </row>
    <row r="1272" spans="1:6" x14ac:dyDescent="0.3">
      <c r="A1272" s="31">
        <v>1000021025</v>
      </c>
      <c r="B1272" s="31" t="s">
        <v>1197</v>
      </c>
      <c r="C1272" s="31" t="s">
        <v>4</v>
      </c>
      <c r="D1272" s="31" t="s">
        <v>2090</v>
      </c>
      <c r="E1272" s="32">
        <v>3677.99</v>
      </c>
      <c r="F1272" s="32">
        <v>5</v>
      </c>
    </row>
    <row r="1273" spans="1:6" x14ac:dyDescent="0.3">
      <c r="A1273" s="31">
        <v>1000020723</v>
      </c>
      <c r="B1273" s="31" t="s">
        <v>931</v>
      </c>
      <c r="C1273" s="31" t="s">
        <v>4</v>
      </c>
      <c r="D1273" s="31" t="s">
        <v>2090</v>
      </c>
      <c r="E1273" s="32">
        <v>3663.38</v>
      </c>
      <c r="F1273" s="32">
        <v>20</v>
      </c>
    </row>
    <row r="1274" spans="1:6" x14ac:dyDescent="0.3">
      <c r="A1274" s="31">
        <v>1000020877</v>
      </c>
      <c r="B1274" s="31" t="s">
        <v>1061</v>
      </c>
      <c r="C1274" s="31" t="s">
        <v>4</v>
      </c>
      <c r="D1274" s="31" t="s">
        <v>2090</v>
      </c>
      <c r="E1274" s="32">
        <v>3660.3</v>
      </c>
      <c r="F1274" s="32">
        <v>3</v>
      </c>
    </row>
    <row r="1275" spans="1:6" x14ac:dyDescent="0.3">
      <c r="A1275" s="31">
        <v>2500008438</v>
      </c>
      <c r="B1275" s="31" t="s">
        <v>1935</v>
      </c>
      <c r="C1275" s="31" t="s">
        <v>1996</v>
      </c>
      <c r="D1275" s="31" t="s">
        <v>2025</v>
      </c>
      <c r="E1275" s="32">
        <v>3655.0749999999998</v>
      </c>
      <c r="F1275" s="32">
        <v>7</v>
      </c>
    </row>
    <row r="1276" spans="1:6" x14ac:dyDescent="0.3">
      <c r="A1276" s="31">
        <v>1000107659</v>
      </c>
      <c r="B1276" s="31" t="s">
        <v>137</v>
      </c>
      <c r="C1276" s="31" t="s">
        <v>4</v>
      </c>
      <c r="D1276" s="31" t="s">
        <v>2161</v>
      </c>
      <c r="E1276" s="32">
        <v>3626.23</v>
      </c>
      <c r="F1276" s="32">
        <v>10</v>
      </c>
    </row>
    <row r="1277" spans="1:6" x14ac:dyDescent="0.3">
      <c r="A1277" s="31">
        <v>2100006930</v>
      </c>
      <c r="B1277" s="31" t="s">
        <v>2928</v>
      </c>
      <c r="C1277" s="31" t="s">
        <v>2030</v>
      </c>
      <c r="D1277" s="31" t="s">
        <v>2031</v>
      </c>
      <c r="E1277" s="32">
        <v>3625.9</v>
      </c>
      <c r="F1277" s="32">
        <v>1</v>
      </c>
    </row>
    <row r="1278" spans="1:6" x14ac:dyDescent="0.3">
      <c r="A1278" s="31">
        <v>2200012208</v>
      </c>
      <c r="B1278" s="31" t="s">
        <v>2929</v>
      </c>
      <c r="C1278" s="31" t="s">
        <v>2030</v>
      </c>
      <c r="D1278" s="31" t="s">
        <v>2038</v>
      </c>
      <c r="E1278" s="32">
        <v>3622.08</v>
      </c>
      <c r="F1278" s="32">
        <v>1</v>
      </c>
    </row>
    <row r="1279" spans="1:6" x14ac:dyDescent="0.3">
      <c r="A1279" s="31">
        <v>1000093402</v>
      </c>
      <c r="B1279" s="31" t="s">
        <v>2930</v>
      </c>
      <c r="C1279" s="31" t="s">
        <v>2109</v>
      </c>
      <c r="D1279" s="31" t="s">
        <v>2070</v>
      </c>
      <c r="E1279" s="32">
        <v>3604.8</v>
      </c>
      <c r="F1279" s="32">
        <v>24</v>
      </c>
    </row>
    <row r="1280" spans="1:6" x14ac:dyDescent="0.3">
      <c r="A1280" s="31">
        <v>1000100367</v>
      </c>
      <c r="B1280" s="31" t="s">
        <v>1707</v>
      </c>
      <c r="C1280" s="31" t="s">
        <v>4</v>
      </c>
      <c r="D1280" s="31" t="s">
        <v>2090</v>
      </c>
      <c r="E1280" s="32">
        <v>3597.18631578947</v>
      </c>
      <c r="F1280" s="32">
        <v>18</v>
      </c>
    </row>
    <row r="1281" spans="1:6" x14ac:dyDescent="0.3">
      <c r="A1281" s="31">
        <v>1000100923</v>
      </c>
      <c r="B1281" s="31" t="s">
        <v>2931</v>
      </c>
      <c r="C1281" s="31" t="s">
        <v>4</v>
      </c>
      <c r="D1281" s="31" t="s">
        <v>2056</v>
      </c>
      <c r="E1281" s="32">
        <v>3596.9920000000002</v>
      </c>
      <c r="F1281" s="32">
        <v>37000</v>
      </c>
    </row>
    <row r="1282" spans="1:6" x14ac:dyDescent="0.3">
      <c r="A1282" s="31">
        <v>1000010096</v>
      </c>
      <c r="B1282" s="31" t="s">
        <v>2932</v>
      </c>
      <c r="C1282" s="31" t="s">
        <v>4</v>
      </c>
      <c r="D1282" s="31" t="s">
        <v>2161</v>
      </c>
      <c r="E1282" s="32">
        <v>3586.5297628205099</v>
      </c>
      <c r="F1282" s="32">
        <v>19</v>
      </c>
    </row>
    <row r="1283" spans="1:6" x14ac:dyDescent="0.3">
      <c r="A1283" s="31">
        <v>1000001118</v>
      </c>
      <c r="B1283" s="31" t="s">
        <v>2366</v>
      </c>
      <c r="C1283" s="31" t="s">
        <v>2257</v>
      </c>
      <c r="D1283" s="31" t="s">
        <v>2070</v>
      </c>
      <c r="E1283" s="32">
        <v>3579.4524999999999</v>
      </c>
      <c r="F1283" s="32">
        <v>1</v>
      </c>
    </row>
    <row r="1284" spans="1:6" x14ac:dyDescent="0.3">
      <c r="A1284" s="31">
        <v>1000020540</v>
      </c>
      <c r="B1284" s="31" t="s">
        <v>761</v>
      </c>
      <c r="C1284" s="31" t="s">
        <v>4</v>
      </c>
      <c r="D1284" s="31" t="s">
        <v>2090</v>
      </c>
      <c r="E1284" s="32">
        <v>3576.9788541666599</v>
      </c>
      <c r="F1284" s="32">
        <v>14</v>
      </c>
    </row>
    <row r="1285" spans="1:6" x14ac:dyDescent="0.3">
      <c r="A1285" s="31">
        <v>2500009669</v>
      </c>
      <c r="B1285" s="31" t="s">
        <v>2933</v>
      </c>
      <c r="C1285" s="31" t="s">
        <v>1996</v>
      </c>
      <c r="D1285" s="31" t="s">
        <v>2025</v>
      </c>
      <c r="E1285" s="32">
        <v>3562.5</v>
      </c>
      <c r="F1285" s="32">
        <v>1</v>
      </c>
    </row>
    <row r="1286" spans="1:6" x14ac:dyDescent="0.3">
      <c r="A1286" s="31">
        <v>2100003851</v>
      </c>
      <c r="B1286" s="31" t="s">
        <v>2934</v>
      </c>
      <c r="C1286" s="31" t="s">
        <v>2030</v>
      </c>
      <c r="D1286" s="31" t="s">
        <v>2935</v>
      </c>
      <c r="E1286" s="32">
        <v>3562.5</v>
      </c>
      <c r="F1286" s="32">
        <v>1</v>
      </c>
    </row>
    <row r="1287" spans="1:6" x14ac:dyDescent="0.3">
      <c r="A1287" s="31">
        <v>2200000303</v>
      </c>
      <c r="B1287" s="31" t="s">
        <v>2936</v>
      </c>
      <c r="C1287" s="31" t="s">
        <v>2037</v>
      </c>
      <c r="D1287" s="31" t="s">
        <v>2038</v>
      </c>
      <c r="E1287" s="32">
        <v>3561.37</v>
      </c>
      <c r="F1287" s="32">
        <v>1</v>
      </c>
    </row>
    <row r="1288" spans="1:6" x14ac:dyDescent="0.3">
      <c r="A1288" s="31">
        <v>1000107621</v>
      </c>
      <c r="B1288" s="31" t="s">
        <v>20</v>
      </c>
      <c r="C1288" s="31" t="s">
        <v>2109</v>
      </c>
      <c r="D1288" s="31" t="s">
        <v>2028</v>
      </c>
      <c r="E1288" s="32">
        <v>3556</v>
      </c>
      <c r="F1288" s="32">
        <v>8</v>
      </c>
    </row>
    <row r="1289" spans="1:6" x14ac:dyDescent="0.3">
      <c r="A1289" s="31">
        <v>1000093668</v>
      </c>
      <c r="B1289" s="31" t="s">
        <v>2937</v>
      </c>
      <c r="C1289" s="31" t="s">
        <v>4</v>
      </c>
      <c r="D1289" s="31" t="s">
        <v>2056</v>
      </c>
      <c r="E1289" s="32">
        <v>3552.6312908014402</v>
      </c>
      <c r="F1289" s="32">
        <v>569</v>
      </c>
    </row>
    <row r="1290" spans="1:6" x14ac:dyDescent="0.3">
      <c r="A1290" s="31">
        <v>2100006474</v>
      </c>
      <c r="B1290" s="31" t="s">
        <v>144</v>
      </c>
      <c r="C1290" s="31" t="s">
        <v>2037</v>
      </c>
      <c r="D1290" s="31" t="s">
        <v>2031</v>
      </c>
      <c r="E1290" s="32">
        <v>3550.98</v>
      </c>
      <c r="F1290" s="32">
        <v>7</v>
      </c>
    </row>
    <row r="1291" spans="1:6" x14ac:dyDescent="0.3">
      <c r="A1291" s="31">
        <v>1000093574</v>
      </c>
      <c r="B1291" s="31" t="s">
        <v>2938</v>
      </c>
      <c r="C1291" s="31" t="s">
        <v>4</v>
      </c>
      <c r="D1291" s="31" t="s">
        <v>2056</v>
      </c>
      <c r="E1291" s="32">
        <v>3539.79976157804</v>
      </c>
      <c r="F1291" s="32">
        <v>122</v>
      </c>
    </row>
    <row r="1292" spans="1:6" x14ac:dyDescent="0.3">
      <c r="A1292" s="31">
        <v>80000003068</v>
      </c>
      <c r="B1292" s="31" t="s">
        <v>2939</v>
      </c>
      <c r="C1292" s="31" t="s">
        <v>2755</v>
      </c>
      <c r="D1292" s="31" t="s">
        <v>2645</v>
      </c>
      <c r="E1292" s="32">
        <v>3537.85</v>
      </c>
      <c r="F1292" s="32">
        <v>409</v>
      </c>
    </row>
    <row r="1293" spans="1:6" x14ac:dyDescent="0.3">
      <c r="A1293" s="31">
        <v>1000106262</v>
      </c>
      <c r="B1293" s="31" t="s">
        <v>2940</v>
      </c>
      <c r="C1293" s="31" t="s">
        <v>4</v>
      </c>
      <c r="D1293" s="31" t="s">
        <v>2043</v>
      </c>
      <c r="E1293" s="32">
        <v>3534</v>
      </c>
      <c r="F1293" s="32">
        <v>38</v>
      </c>
    </row>
    <row r="1294" spans="1:6" x14ac:dyDescent="0.3">
      <c r="A1294" s="31">
        <v>2500008075</v>
      </c>
      <c r="B1294" s="31" t="s">
        <v>2941</v>
      </c>
      <c r="C1294" s="31" t="s">
        <v>1996</v>
      </c>
      <c r="D1294" s="31" t="s">
        <v>2025</v>
      </c>
      <c r="E1294" s="32">
        <v>3533.63</v>
      </c>
      <c r="F1294" s="32">
        <v>3</v>
      </c>
    </row>
    <row r="1295" spans="1:6" x14ac:dyDescent="0.3">
      <c r="A1295" s="31">
        <v>2500009470</v>
      </c>
      <c r="B1295" s="31" t="s">
        <v>2942</v>
      </c>
      <c r="C1295" s="31" t="s">
        <v>1996</v>
      </c>
      <c r="D1295" s="31" t="s">
        <v>2289</v>
      </c>
      <c r="E1295" s="32">
        <v>3532.5</v>
      </c>
      <c r="F1295" s="32">
        <v>6</v>
      </c>
    </row>
    <row r="1296" spans="1:6" x14ac:dyDescent="0.3">
      <c r="A1296" s="31">
        <v>2500009471</v>
      </c>
      <c r="B1296" s="31" t="s">
        <v>2943</v>
      </c>
      <c r="C1296" s="31" t="s">
        <v>1996</v>
      </c>
      <c r="D1296" s="31" t="s">
        <v>2289</v>
      </c>
      <c r="E1296" s="32">
        <v>3532.5</v>
      </c>
      <c r="F1296" s="32">
        <v>6</v>
      </c>
    </row>
    <row r="1297" spans="1:6" x14ac:dyDescent="0.3">
      <c r="A1297" s="31">
        <v>2500009472</v>
      </c>
      <c r="B1297" s="31" t="s">
        <v>2944</v>
      </c>
      <c r="C1297" s="31" t="s">
        <v>1996</v>
      </c>
      <c r="D1297" s="31" t="s">
        <v>2289</v>
      </c>
      <c r="E1297" s="32">
        <v>3532.5</v>
      </c>
      <c r="F1297" s="32">
        <v>6</v>
      </c>
    </row>
    <row r="1298" spans="1:6" x14ac:dyDescent="0.3">
      <c r="A1298" s="31">
        <v>2500009531</v>
      </c>
      <c r="B1298" s="31" t="s">
        <v>2945</v>
      </c>
      <c r="C1298" s="31" t="s">
        <v>1996</v>
      </c>
      <c r="D1298" s="31" t="s">
        <v>2025</v>
      </c>
      <c r="E1298" s="32">
        <v>3521.24</v>
      </c>
      <c r="F1298" s="32">
        <v>1</v>
      </c>
    </row>
    <row r="1299" spans="1:6" x14ac:dyDescent="0.3">
      <c r="A1299" s="31">
        <v>1000100320</v>
      </c>
      <c r="B1299" s="31" t="s">
        <v>2946</v>
      </c>
      <c r="C1299" s="31" t="s">
        <v>4</v>
      </c>
      <c r="D1299" s="31" t="s">
        <v>2090</v>
      </c>
      <c r="E1299" s="32">
        <v>3516.2015999999999</v>
      </c>
      <c r="F1299" s="32">
        <v>6</v>
      </c>
    </row>
    <row r="1300" spans="1:6" x14ac:dyDescent="0.3">
      <c r="A1300" s="31">
        <v>1000099642</v>
      </c>
      <c r="B1300" s="31" t="s">
        <v>2947</v>
      </c>
      <c r="C1300" s="31" t="s">
        <v>4</v>
      </c>
      <c r="D1300" s="31" t="s">
        <v>2161</v>
      </c>
      <c r="E1300" s="32">
        <v>3515.57</v>
      </c>
      <c r="F1300" s="32">
        <v>15</v>
      </c>
    </row>
    <row r="1301" spans="1:6" x14ac:dyDescent="0.3">
      <c r="A1301" s="31">
        <v>1000096754</v>
      </c>
      <c r="B1301" s="31" t="s">
        <v>2948</v>
      </c>
      <c r="C1301" s="31" t="s">
        <v>4</v>
      </c>
      <c r="D1301" s="31" t="s">
        <v>2090</v>
      </c>
      <c r="E1301" s="32">
        <v>3496.6834285714199</v>
      </c>
      <c r="F1301" s="32">
        <v>4</v>
      </c>
    </row>
    <row r="1302" spans="1:6" x14ac:dyDescent="0.3">
      <c r="A1302" s="31">
        <v>2500009227</v>
      </c>
      <c r="B1302" s="31" t="s">
        <v>2949</v>
      </c>
      <c r="C1302" s="31" t="s">
        <v>1996</v>
      </c>
      <c r="D1302" s="31" t="s">
        <v>2434</v>
      </c>
      <c r="E1302" s="32">
        <v>3490.6950000000002</v>
      </c>
      <c r="F1302" s="32">
        <v>1</v>
      </c>
    </row>
    <row r="1303" spans="1:6" x14ac:dyDescent="0.3">
      <c r="A1303" s="31">
        <v>2500009290</v>
      </c>
      <c r="B1303" s="31" t="s">
        <v>2950</v>
      </c>
      <c r="C1303" s="31" t="s">
        <v>1996</v>
      </c>
      <c r="D1303" s="31" t="s">
        <v>2025</v>
      </c>
      <c r="E1303" s="32">
        <v>3476.25</v>
      </c>
      <c r="F1303" s="32">
        <v>1</v>
      </c>
    </row>
    <row r="1304" spans="1:6" x14ac:dyDescent="0.3">
      <c r="A1304" s="31">
        <v>1000109654</v>
      </c>
      <c r="B1304" s="31" t="s">
        <v>2951</v>
      </c>
      <c r="C1304" s="31" t="s">
        <v>4</v>
      </c>
      <c r="D1304" s="31" t="s">
        <v>2090</v>
      </c>
      <c r="E1304" s="32">
        <v>3474.2249999999999</v>
      </c>
      <c r="F1304" s="32">
        <v>2</v>
      </c>
    </row>
    <row r="1305" spans="1:6" x14ac:dyDescent="0.3">
      <c r="A1305" s="31">
        <v>1000020311</v>
      </c>
      <c r="B1305" s="31" t="s">
        <v>546</v>
      </c>
      <c r="C1305" s="31" t="s">
        <v>4</v>
      </c>
      <c r="D1305" s="31" t="s">
        <v>2090</v>
      </c>
      <c r="E1305" s="32">
        <v>3463.32</v>
      </c>
      <c r="F1305" s="32">
        <v>31</v>
      </c>
    </row>
    <row r="1306" spans="1:6" x14ac:dyDescent="0.3">
      <c r="A1306" s="31">
        <v>1000096168</v>
      </c>
      <c r="B1306" s="31" t="s">
        <v>2952</v>
      </c>
      <c r="C1306" s="31" t="s">
        <v>4</v>
      </c>
      <c r="D1306" s="31" t="s">
        <v>2161</v>
      </c>
      <c r="E1306" s="32">
        <v>3458.25</v>
      </c>
      <c r="F1306" s="32">
        <v>3</v>
      </c>
    </row>
    <row r="1307" spans="1:6" x14ac:dyDescent="0.3">
      <c r="A1307" s="31">
        <v>1000098555</v>
      </c>
      <c r="B1307" s="31" t="s">
        <v>2953</v>
      </c>
      <c r="C1307" s="31" t="s">
        <v>4</v>
      </c>
      <c r="D1307" s="31" t="s">
        <v>2090</v>
      </c>
      <c r="E1307" s="32">
        <v>3458.03</v>
      </c>
      <c r="F1307" s="32">
        <v>1</v>
      </c>
    </row>
    <row r="1308" spans="1:6" x14ac:dyDescent="0.3">
      <c r="A1308" s="31">
        <v>1000106502</v>
      </c>
      <c r="B1308" s="31" t="s">
        <v>2954</v>
      </c>
      <c r="C1308" s="31" t="s">
        <v>4</v>
      </c>
      <c r="D1308" s="31" t="s">
        <v>2043</v>
      </c>
      <c r="E1308" s="32">
        <v>3456</v>
      </c>
      <c r="F1308" s="32">
        <v>72</v>
      </c>
    </row>
    <row r="1309" spans="1:6" x14ac:dyDescent="0.3">
      <c r="A1309" s="31">
        <v>1000101641</v>
      </c>
      <c r="B1309" s="31" t="s">
        <v>2955</v>
      </c>
      <c r="C1309" s="31" t="s">
        <v>4</v>
      </c>
      <c r="D1309" s="31" t="s">
        <v>2056</v>
      </c>
      <c r="E1309" s="32">
        <v>3455.7200780487801</v>
      </c>
      <c r="F1309" s="32">
        <v>176</v>
      </c>
    </row>
    <row r="1310" spans="1:6" x14ac:dyDescent="0.3">
      <c r="A1310" s="31">
        <v>2200002870</v>
      </c>
      <c r="B1310" s="31" t="s">
        <v>2956</v>
      </c>
      <c r="C1310" s="31" t="s">
        <v>2088</v>
      </c>
      <c r="D1310" s="31" t="s">
        <v>2038</v>
      </c>
      <c r="E1310" s="32">
        <v>3443.62</v>
      </c>
      <c r="F1310" s="32">
        <v>1</v>
      </c>
    </row>
    <row r="1311" spans="1:6" x14ac:dyDescent="0.3">
      <c r="A1311" s="31">
        <v>1000104003</v>
      </c>
      <c r="B1311" s="31" t="s">
        <v>103</v>
      </c>
      <c r="C1311" s="31" t="s">
        <v>4</v>
      </c>
      <c r="D1311" s="31" t="s">
        <v>2043</v>
      </c>
      <c r="E1311" s="32">
        <v>3441.82</v>
      </c>
      <c r="F1311" s="32">
        <v>170</v>
      </c>
    </row>
    <row r="1312" spans="1:6" x14ac:dyDescent="0.3">
      <c r="A1312" s="31">
        <v>1000095815</v>
      </c>
      <c r="B1312" s="31" t="s">
        <v>2957</v>
      </c>
      <c r="C1312" s="31" t="s">
        <v>4</v>
      </c>
      <c r="D1312" s="31" t="s">
        <v>2056</v>
      </c>
      <c r="E1312" s="32">
        <v>3440.8</v>
      </c>
      <c r="F1312" s="32">
        <v>506</v>
      </c>
    </row>
    <row r="1313" spans="1:6" x14ac:dyDescent="0.3">
      <c r="A1313" s="31">
        <v>1000109965</v>
      </c>
      <c r="B1313" s="31" t="s">
        <v>2958</v>
      </c>
      <c r="C1313" s="31" t="s">
        <v>2257</v>
      </c>
      <c r="D1313" s="31" t="s">
        <v>2035</v>
      </c>
      <c r="E1313" s="32">
        <v>3438.08</v>
      </c>
      <c r="F1313" s="32">
        <v>1</v>
      </c>
    </row>
    <row r="1314" spans="1:6" x14ac:dyDescent="0.3">
      <c r="A1314" s="31">
        <v>1000100414</v>
      </c>
      <c r="B1314" s="31" t="s">
        <v>1728</v>
      </c>
      <c r="C1314" s="31" t="s">
        <v>4</v>
      </c>
      <c r="D1314" s="31" t="s">
        <v>2090</v>
      </c>
      <c r="E1314" s="32">
        <v>3431.93</v>
      </c>
      <c r="F1314" s="32">
        <v>2</v>
      </c>
    </row>
    <row r="1315" spans="1:6" x14ac:dyDescent="0.3">
      <c r="A1315" s="31">
        <v>1000094387</v>
      </c>
      <c r="B1315" s="31" t="s">
        <v>2959</v>
      </c>
      <c r="C1315" s="31" t="s">
        <v>4</v>
      </c>
      <c r="D1315" s="31" t="s">
        <v>2056</v>
      </c>
      <c r="E1315" s="32">
        <v>3431.7210112129701</v>
      </c>
      <c r="F1315" s="32">
        <v>3043</v>
      </c>
    </row>
    <row r="1316" spans="1:6" x14ac:dyDescent="0.3">
      <c r="A1316" s="31">
        <v>1000100739</v>
      </c>
      <c r="B1316" s="31" t="s">
        <v>2960</v>
      </c>
      <c r="C1316" s="31" t="s">
        <v>2027</v>
      </c>
      <c r="D1316" s="31" t="s">
        <v>2070</v>
      </c>
      <c r="E1316" s="32">
        <v>3429.38</v>
      </c>
      <c r="F1316" s="32">
        <v>1</v>
      </c>
    </row>
    <row r="1317" spans="1:6" x14ac:dyDescent="0.3">
      <c r="A1317" s="31">
        <v>1000015076</v>
      </c>
      <c r="B1317" s="31" t="s">
        <v>64</v>
      </c>
      <c r="C1317" s="31" t="s">
        <v>4</v>
      </c>
      <c r="D1317" s="31" t="s">
        <v>2043</v>
      </c>
      <c r="E1317" s="32">
        <v>3415.2049861751102</v>
      </c>
      <c r="F1317" s="32">
        <v>191</v>
      </c>
    </row>
    <row r="1318" spans="1:6" x14ac:dyDescent="0.3">
      <c r="A1318" s="31">
        <v>2100005639</v>
      </c>
      <c r="B1318" s="31" t="s">
        <v>2961</v>
      </c>
      <c r="C1318" s="31" t="s">
        <v>2037</v>
      </c>
      <c r="D1318" s="31" t="s">
        <v>2031</v>
      </c>
      <c r="E1318" s="32">
        <v>3410</v>
      </c>
      <c r="F1318" s="32">
        <v>1</v>
      </c>
    </row>
    <row r="1319" spans="1:6" x14ac:dyDescent="0.3">
      <c r="A1319" s="31">
        <v>1000097513</v>
      </c>
      <c r="B1319" s="31" t="s">
        <v>2962</v>
      </c>
      <c r="C1319" s="31" t="s">
        <v>4</v>
      </c>
      <c r="D1319" s="31" t="s">
        <v>2056</v>
      </c>
      <c r="E1319" s="32">
        <v>3403.08</v>
      </c>
      <c r="F1319" s="32">
        <v>200</v>
      </c>
    </row>
    <row r="1320" spans="1:6" x14ac:dyDescent="0.3">
      <c r="A1320" s="31">
        <v>1000020636</v>
      </c>
      <c r="B1320" s="31" t="s">
        <v>851</v>
      </c>
      <c r="C1320" s="31" t="s">
        <v>4</v>
      </c>
      <c r="D1320" s="31" t="s">
        <v>2090</v>
      </c>
      <c r="E1320" s="32">
        <v>3402.3326775304699</v>
      </c>
      <c r="F1320" s="32">
        <v>235</v>
      </c>
    </row>
    <row r="1321" spans="1:6" x14ac:dyDescent="0.3">
      <c r="A1321" s="31">
        <v>1000010177</v>
      </c>
      <c r="B1321" s="31" t="s">
        <v>2963</v>
      </c>
      <c r="C1321" s="31" t="s">
        <v>4</v>
      </c>
      <c r="D1321" s="31" t="s">
        <v>2161</v>
      </c>
      <c r="E1321" s="32">
        <v>3400.65</v>
      </c>
      <c r="F1321" s="32">
        <v>5</v>
      </c>
    </row>
    <row r="1322" spans="1:6" x14ac:dyDescent="0.3">
      <c r="A1322" s="31">
        <v>1000010231</v>
      </c>
      <c r="B1322" s="31" t="s">
        <v>2964</v>
      </c>
      <c r="C1322" s="31" t="s">
        <v>4</v>
      </c>
      <c r="D1322" s="31" t="s">
        <v>2161</v>
      </c>
      <c r="E1322" s="32">
        <v>3394.5266666666598</v>
      </c>
      <c r="F1322" s="32">
        <v>10</v>
      </c>
    </row>
    <row r="1323" spans="1:6" x14ac:dyDescent="0.3">
      <c r="A1323" s="31">
        <v>80000003068</v>
      </c>
      <c r="B1323" s="31" t="s">
        <v>2939</v>
      </c>
      <c r="C1323" s="31" t="s">
        <v>2521</v>
      </c>
      <c r="D1323" s="31" t="s">
        <v>2645</v>
      </c>
      <c r="E1323" s="32">
        <v>3390.8</v>
      </c>
      <c r="F1323" s="32">
        <v>392</v>
      </c>
    </row>
    <row r="1324" spans="1:6" x14ac:dyDescent="0.3">
      <c r="A1324" s="31">
        <v>1000100485</v>
      </c>
      <c r="B1324" s="31" t="s">
        <v>2965</v>
      </c>
      <c r="C1324" s="31" t="s">
        <v>2109</v>
      </c>
      <c r="D1324" s="31" t="s">
        <v>2399</v>
      </c>
      <c r="E1324" s="32">
        <v>3390</v>
      </c>
      <c r="F1324" s="32">
        <v>4</v>
      </c>
    </row>
    <row r="1325" spans="1:6" x14ac:dyDescent="0.3">
      <c r="A1325" s="31">
        <v>1000001284</v>
      </c>
      <c r="B1325" s="31" t="s">
        <v>25</v>
      </c>
      <c r="C1325" s="31" t="s">
        <v>2027</v>
      </c>
      <c r="D1325" s="31" t="s">
        <v>2399</v>
      </c>
      <c r="E1325" s="32">
        <v>3387.6109939758999</v>
      </c>
      <c r="F1325" s="32">
        <v>34</v>
      </c>
    </row>
    <row r="1326" spans="1:6" x14ac:dyDescent="0.3">
      <c r="A1326" s="31">
        <v>1000110337</v>
      </c>
      <c r="B1326" s="31" t="s">
        <v>2966</v>
      </c>
      <c r="C1326" s="31" t="s">
        <v>2109</v>
      </c>
      <c r="D1326" s="31" t="s">
        <v>2035</v>
      </c>
      <c r="E1326" s="32">
        <v>3386.25</v>
      </c>
      <c r="F1326" s="32">
        <v>1</v>
      </c>
    </row>
    <row r="1327" spans="1:6" x14ac:dyDescent="0.3">
      <c r="A1327" s="31">
        <v>1000021101</v>
      </c>
      <c r="B1327" s="31" t="s">
        <v>1262</v>
      </c>
      <c r="C1327" s="31" t="s">
        <v>4</v>
      </c>
      <c r="D1327" s="31" t="s">
        <v>2090</v>
      </c>
      <c r="E1327" s="32">
        <v>3379.5052000000001</v>
      </c>
      <c r="F1327" s="32">
        <v>18</v>
      </c>
    </row>
    <row r="1328" spans="1:6" x14ac:dyDescent="0.3">
      <c r="A1328" s="31">
        <v>2500008354</v>
      </c>
      <c r="B1328" s="31" t="s">
        <v>2967</v>
      </c>
      <c r="C1328" s="31" t="s">
        <v>1996</v>
      </c>
      <c r="D1328" s="31" t="s">
        <v>2811</v>
      </c>
      <c r="E1328" s="32">
        <v>3375</v>
      </c>
      <c r="F1328" s="32">
        <v>6</v>
      </c>
    </row>
    <row r="1329" spans="1:6" x14ac:dyDescent="0.3">
      <c r="A1329" s="31">
        <v>2500009466</v>
      </c>
      <c r="B1329" s="31" t="s">
        <v>2968</v>
      </c>
      <c r="C1329" s="31" t="s">
        <v>1996</v>
      </c>
      <c r="D1329" s="31" t="s">
        <v>2289</v>
      </c>
      <c r="E1329" s="32">
        <v>3375</v>
      </c>
      <c r="F1329" s="32">
        <v>3</v>
      </c>
    </row>
    <row r="1330" spans="1:6" x14ac:dyDescent="0.3">
      <c r="A1330" s="31">
        <v>1000091290</v>
      </c>
      <c r="B1330" s="31" t="s">
        <v>2969</v>
      </c>
      <c r="C1330" s="31" t="s">
        <v>2027</v>
      </c>
      <c r="D1330" s="31" t="s">
        <v>2399</v>
      </c>
      <c r="E1330" s="32">
        <v>3374.4845604556699</v>
      </c>
      <c r="F1330" s="32">
        <v>33</v>
      </c>
    </row>
    <row r="1331" spans="1:6" x14ac:dyDescent="0.3">
      <c r="A1331" s="31">
        <v>1000002891</v>
      </c>
      <c r="B1331" s="31" t="s">
        <v>2970</v>
      </c>
      <c r="C1331" s="31" t="s">
        <v>2257</v>
      </c>
      <c r="D1331" s="31" t="s">
        <v>2070</v>
      </c>
      <c r="E1331" s="32">
        <v>3371.25</v>
      </c>
      <c r="F1331" s="32">
        <v>10</v>
      </c>
    </row>
    <row r="1332" spans="1:6" x14ac:dyDescent="0.3">
      <c r="A1332" s="31">
        <v>1000021022</v>
      </c>
      <c r="B1332" s="31" t="s">
        <v>1194</v>
      </c>
      <c r="C1332" s="31" t="s">
        <v>4</v>
      </c>
      <c r="D1332" s="31" t="s">
        <v>2090</v>
      </c>
      <c r="E1332" s="32">
        <v>3370.12</v>
      </c>
      <c r="F1332" s="32">
        <v>9</v>
      </c>
    </row>
    <row r="1333" spans="1:6" x14ac:dyDescent="0.3">
      <c r="A1333" s="31">
        <v>1000020125</v>
      </c>
      <c r="B1333" s="31" t="s">
        <v>380</v>
      </c>
      <c r="C1333" s="31" t="s">
        <v>4</v>
      </c>
      <c r="D1333" s="31" t="s">
        <v>2090</v>
      </c>
      <c r="E1333" s="32">
        <v>3368.1593181818098</v>
      </c>
      <c r="F1333" s="32">
        <v>6</v>
      </c>
    </row>
    <row r="1334" spans="1:6" x14ac:dyDescent="0.3">
      <c r="A1334" s="31">
        <v>1000110015</v>
      </c>
      <c r="B1334" s="31" t="s">
        <v>2971</v>
      </c>
      <c r="C1334" s="31" t="s">
        <v>2109</v>
      </c>
      <c r="D1334" s="31" t="s">
        <v>2028</v>
      </c>
      <c r="E1334" s="32">
        <v>3367</v>
      </c>
      <c r="F1334" s="32">
        <v>13</v>
      </c>
    </row>
    <row r="1335" spans="1:6" x14ac:dyDescent="0.3">
      <c r="A1335" s="31">
        <v>1000098596</v>
      </c>
      <c r="B1335" s="31" t="s">
        <v>1601</v>
      </c>
      <c r="C1335" s="31" t="s">
        <v>4</v>
      </c>
      <c r="D1335" s="31" t="s">
        <v>2090</v>
      </c>
      <c r="E1335" s="32">
        <v>3366.85</v>
      </c>
      <c r="F1335" s="32">
        <v>5</v>
      </c>
    </row>
    <row r="1336" spans="1:6" x14ac:dyDescent="0.3">
      <c r="A1336" s="31">
        <v>2500006140</v>
      </c>
      <c r="B1336" s="31" t="s">
        <v>1913</v>
      </c>
      <c r="C1336" s="31" t="s">
        <v>1996</v>
      </c>
      <c r="D1336" s="31" t="s">
        <v>2025</v>
      </c>
      <c r="E1336" s="32">
        <v>3366.5302083333299</v>
      </c>
      <c r="F1336" s="32">
        <v>5</v>
      </c>
    </row>
    <row r="1337" spans="1:6" x14ac:dyDescent="0.3">
      <c r="A1337" s="31">
        <v>1000108787</v>
      </c>
      <c r="B1337" s="31" t="s">
        <v>2972</v>
      </c>
      <c r="C1337" s="31" t="s">
        <v>2109</v>
      </c>
      <c r="D1337" s="31" t="s">
        <v>2409</v>
      </c>
      <c r="E1337" s="32">
        <v>3362.07</v>
      </c>
      <c r="F1337" s="32">
        <v>6</v>
      </c>
    </row>
    <row r="1338" spans="1:6" x14ac:dyDescent="0.3">
      <c r="A1338" s="31">
        <v>2500008222</v>
      </c>
      <c r="B1338" s="31" t="s">
        <v>2973</v>
      </c>
      <c r="C1338" s="31" t="s">
        <v>1996</v>
      </c>
      <c r="D1338" s="31" t="s">
        <v>2025</v>
      </c>
      <c r="E1338" s="32">
        <v>3357.23794642857</v>
      </c>
      <c r="F1338" s="32">
        <v>5</v>
      </c>
    </row>
    <row r="1339" spans="1:6" x14ac:dyDescent="0.3">
      <c r="A1339" s="31">
        <v>1000010070</v>
      </c>
      <c r="B1339" s="31" t="s">
        <v>2974</v>
      </c>
      <c r="C1339" s="31" t="s">
        <v>4</v>
      </c>
      <c r="D1339" s="31" t="s">
        <v>2161</v>
      </c>
      <c r="E1339" s="32">
        <v>3355.2965369034</v>
      </c>
      <c r="F1339" s="32">
        <v>19</v>
      </c>
    </row>
    <row r="1340" spans="1:6" x14ac:dyDescent="0.3">
      <c r="A1340" s="31">
        <v>1000101321</v>
      </c>
      <c r="B1340" s="31" t="s">
        <v>83</v>
      </c>
      <c r="C1340" s="31" t="s">
        <v>4</v>
      </c>
      <c r="D1340" s="31" t="s">
        <v>2043</v>
      </c>
      <c r="E1340" s="32">
        <v>3354</v>
      </c>
      <c r="F1340" s="32">
        <v>86</v>
      </c>
    </row>
    <row r="1341" spans="1:6" x14ac:dyDescent="0.3">
      <c r="A1341" s="31">
        <v>2200003366</v>
      </c>
      <c r="B1341" s="31" t="s">
        <v>2975</v>
      </c>
      <c r="C1341" s="31" t="s">
        <v>2037</v>
      </c>
      <c r="D1341" s="31" t="s">
        <v>2038</v>
      </c>
      <c r="E1341" s="32">
        <v>3351.04</v>
      </c>
      <c r="F1341" s="32">
        <v>2</v>
      </c>
    </row>
    <row r="1342" spans="1:6" x14ac:dyDescent="0.3">
      <c r="A1342" s="31">
        <v>1000021291</v>
      </c>
      <c r="B1342" s="31" t="s">
        <v>1427</v>
      </c>
      <c r="C1342" s="31" t="s">
        <v>4</v>
      </c>
      <c r="D1342" s="31" t="s">
        <v>2090</v>
      </c>
      <c r="E1342" s="32">
        <v>3343.06</v>
      </c>
      <c r="F1342" s="32">
        <v>7</v>
      </c>
    </row>
    <row r="1343" spans="1:6" x14ac:dyDescent="0.3">
      <c r="A1343" s="31">
        <v>1000100369</v>
      </c>
      <c r="B1343" s="31" t="s">
        <v>1708</v>
      </c>
      <c r="C1343" s="31" t="s">
        <v>4</v>
      </c>
      <c r="D1343" s="31" t="s">
        <v>2090</v>
      </c>
      <c r="E1343" s="32">
        <v>3339.375</v>
      </c>
      <c r="F1343" s="32">
        <v>8</v>
      </c>
    </row>
    <row r="1344" spans="1:6" x14ac:dyDescent="0.3">
      <c r="A1344" s="31">
        <v>80000002253</v>
      </c>
      <c r="B1344" s="31" t="s">
        <v>2976</v>
      </c>
      <c r="C1344" s="31" t="s">
        <v>2755</v>
      </c>
      <c r="D1344" s="31" t="s">
        <v>2645</v>
      </c>
      <c r="E1344" s="32">
        <v>3334.8</v>
      </c>
      <c r="F1344" s="32">
        <v>1985</v>
      </c>
    </row>
    <row r="1345" spans="1:6" x14ac:dyDescent="0.3">
      <c r="A1345" s="31">
        <v>1000020904</v>
      </c>
      <c r="B1345" s="31" t="s">
        <v>1085</v>
      </c>
      <c r="C1345" s="31" t="s">
        <v>4</v>
      </c>
      <c r="D1345" s="31" t="s">
        <v>2090</v>
      </c>
      <c r="E1345" s="32">
        <v>3328.8673684210498</v>
      </c>
      <c r="F1345" s="32">
        <v>16</v>
      </c>
    </row>
    <row r="1346" spans="1:6" x14ac:dyDescent="0.3">
      <c r="A1346" s="31">
        <v>1000093590</v>
      </c>
      <c r="B1346" s="31" t="s">
        <v>2977</v>
      </c>
      <c r="C1346" s="31" t="s">
        <v>4</v>
      </c>
      <c r="D1346" s="31" t="s">
        <v>2056</v>
      </c>
      <c r="E1346" s="32">
        <v>3325.7318746917599</v>
      </c>
      <c r="F1346" s="32">
        <v>749</v>
      </c>
    </row>
    <row r="1347" spans="1:6" x14ac:dyDescent="0.3">
      <c r="A1347" s="31">
        <v>1000095810</v>
      </c>
      <c r="B1347" s="31" t="s">
        <v>2978</v>
      </c>
      <c r="C1347" s="31" t="s">
        <v>4</v>
      </c>
      <c r="D1347" s="31" t="s">
        <v>2056</v>
      </c>
      <c r="E1347" s="32">
        <v>3318.5215873086399</v>
      </c>
      <c r="F1347" s="32">
        <v>1906</v>
      </c>
    </row>
    <row r="1348" spans="1:6" x14ac:dyDescent="0.3">
      <c r="A1348" s="31">
        <v>1000092106</v>
      </c>
      <c r="B1348" s="31" t="s">
        <v>2979</v>
      </c>
      <c r="C1348" s="31" t="s">
        <v>2257</v>
      </c>
      <c r="D1348" s="31" t="s">
        <v>2399</v>
      </c>
      <c r="E1348" s="32">
        <v>3315.2142857142799</v>
      </c>
      <c r="F1348" s="32">
        <v>30</v>
      </c>
    </row>
    <row r="1349" spans="1:6" x14ac:dyDescent="0.3">
      <c r="A1349" s="31">
        <v>2700000054</v>
      </c>
      <c r="B1349" s="31" t="s">
        <v>239</v>
      </c>
      <c r="C1349" s="31" t="s">
        <v>2037</v>
      </c>
      <c r="D1349" s="31" t="s">
        <v>2038</v>
      </c>
      <c r="E1349" s="32">
        <v>3307.73610218968</v>
      </c>
      <c r="F1349" s="32">
        <v>11</v>
      </c>
    </row>
    <row r="1350" spans="1:6" x14ac:dyDescent="0.3">
      <c r="A1350" s="31">
        <v>1000001174</v>
      </c>
      <c r="B1350" s="31" t="s">
        <v>2980</v>
      </c>
      <c r="C1350" s="31" t="s">
        <v>2257</v>
      </c>
      <c r="D1350" s="31" t="s">
        <v>2070</v>
      </c>
      <c r="E1350" s="32">
        <v>3304.97384528367</v>
      </c>
      <c r="F1350" s="32">
        <v>12</v>
      </c>
    </row>
    <row r="1351" spans="1:6" x14ac:dyDescent="0.3">
      <c r="A1351" s="31">
        <v>1000110946</v>
      </c>
      <c r="B1351" s="31" t="s">
        <v>2981</v>
      </c>
      <c r="C1351" s="31" t="s">
        <v>2109</v>
      </c>
      <c r="D1351" s="31" t="s">
        <v>2028</v>
      </c>
      <c r="E1351" s="32">
        <v>3304</v>
      </c>
      <c r="F1351" s="32">
        <v>14</v>
      </c>
    </row>
    <row r="1352" spans="1:6" x14ac:dyDescent="0.3">
      <c r="A1352" s="31">
        <v>1000107340</v>
      </c>
      <c r="B1352" s="31" t="s">
        <v>2982</v>
      </c>
      <c r="C1352" s="31" t="s">
        <v>4</v>
      </c>
      <c r="D1352" s="31" t="s">
        <v>2043</v>
      </c>
      <c r="E1352" s="32">
        <v>3300</v>
      </c>
      <c r="F1352" s="32">
        <v>75</v>
      </c>
    </row>
    <row r="1353" spans="1:6" x14ac:dyDescent="0.3">
      <c r="A1353" s="31">
        <v>1000100341</v>
      </c>
      <c r="B1353" s="31" t="s">
        <v>2983</v>
      </c>
      <c r="C1353" s="31" t="s">
        <v>4</v>
      </c>
      <c r="D1353" s="31" t="s">
        <v>2090</v>
      </c>
      <c r="E1353" s="32">
        <v>3291.8159999999998</v>
      </c>
      <c r="F1353" s="32">
        <v>15</v>
      </c>
    </row>
    <row r="1354" spans="1:6" x14ac:dyDescent="0.3">
      <c r="A1354" s="31">
        <v>1000021087</v>
      </c>
      <c r="B1354" s="31" t="s">
        <v>1249</v>
      </c>
      <c r="C1354" s="31" t="s">
        <v>4</v>
      </c>
      <c r="D1354" s="31" t="s">
        <v>2090</v>
      </c>
      <c r="E1354" s="32">
        <v>3290.7840000000001</v>
      </c>
      <c r="F1354" s="32">
        <v>28</v>
      </c>
    </row>
    <row r="1355" spans="1:6" x14ac:dyDescent="0.3">
      <c r="A1355" s="31">
        <v>80000002261</v>
      </c>
      <c r="B1355" s="31" t="s">
        <v>2984</v>
      </c>
      <c r="C1355" s="31" t="s">
        <v>2521</v>
      </c>
      <c r="D1355" s="31" t="s">
        <v>2645</v>
      </c>
      <c r="E1355" s="32">
        <v>3290.43</v>
      </c>
      <c r="F1355" s="32">
        <v>1859</v>
      </c>
    </row>
    <row r="1356" spans="1:6" x14ac:dyDescent="0.3">
      <c r="A1356" s="31">
        <v>1000106072</v>
      </c>
      <c r="B1356" s="31" t="s">
        <v>2985</v>
      </c>
      <c r="C1356" s="31" t="s">
        <v>4</v>
      </c>
      <c r="D1356" s="31" t="s">
        <v>2161</v>
      </c>
      <c r="E1356" s="32">
        <v>3288</v>
      </c>
      <c r="F1356" s="32">
        <v>2</v>
      </c>
    </row>
    <row r="1357" spans="1:6" x14ac:dyDescent="0.3">
      <c r="A1357" s="31">
        <v>1000094951</v>
      </c>
      <c r="B1357" s="31" t="s">
        <v>2986</v>
      </c>
      <c r="C1357" s="31" t="s">
        <v>4</v>
      </c>
      <c r="D1357" s="31" t="s">
        <v>2056</v>
      </c>
      <c r="E1357" s="32">
        <v>3283.98982416736</v>
      </c>
      <c r="F1357" s="32">
        <v>1479</v>
      </c>
    </row>
    <row r="1358" spans="1:6" x14ac:dyDescent="0.3">
      <c r="A1358" s="31">
        <v>1000096856</v>
      </c>
      <c r="B1358" s="31" t="s">
        <v>2987</v>
      </c>
      <c r="C1358" s="31" t="s">
        <v>4</v>
      </c>
      <c r="D1358" s="31" t="s">
        <v>2090</v>
      </c>
      <c r="E1358" s="32">
        <v>3279.3</v>
      </c>
      <c r="F1358" s="32">
        <v>3</v>
      </c>
    </row>
    <row r="1359" spans="1:6" x14ac:dyDescent="0.3">
      <c r="A1359" s="31">
        <v>2200011406</v>
      </c>
      <c r="B1359" s="31" t="s">
        <v>2988</v>
      </c>
      <c r="C1359" s="31" t="s">
        <v>2037</v>
      </c>
      <c r="D1359" s="31" t="s">
        <v>2038</v>
      </c>
      <c r="E1359" s="32">
        <v>3277.12</v>
      </c>
      <c r="F1359" s="32">
        <v>56</v>
      </c>
    </row>
    <row r="1360" spans="1:6" x14ac:dyDescent="0.3">
      <c r="A1360" s="31">
        <v>2700000024</v>
      </c>
      <c r="B1360" s="31" t="s">
        <v>229</v>
      </c>
      <c r="C1360" s="31" t="s">
        <v>2037</v>
      </c>
      <c r="D1360" s="31" t="s">
        <v>2038</v>
      </c>
      <c r="E1360" s="32">
        <v>3269.2045954745399</v>
      </c>
      <c r="F1360" s="32">
        <v>14</v>
      </c>
    </row>
    <row r="1361" spans="1:6" x14ac:dyDescent="0.3">
      <c r="A1361" s="31">
        <v>1000095536</v>
      </c>
      <c r="B1361" s="31" t="s">
        <v>2989</v>
      </c>
      <c r="C1361" s="31" t="s">
        <v>4</v>
      </c>
      <c r="D1361" s="31" t="s">
        <v>2161</v>
      </c>
      <c r="E1361" s="32">
        <v>3258.0459999999998</v>
      </c>
      <c r="F1361" s="32">
        <v>5</v>
      </c>
    </row>
    <row r="1362" spans="1:6" x14ac:dyDescent="0.3">
      <c r="A1362" s="31">
        <v>1000094887</v>
      </c>
      <c r="B1362" s="31" t="s">
        <v>2990</v>
      </c>
      <c r="C1362" s="31" t="s">
        <v>4</v>
      </c>
      <c r="D1362" s="31" t="s">
        <v>2230</v>
      </c>
      <c r="E1362" s="32">
        <v>3250.0039999999999</v>
      </c>
      <c r="F1362" s="32">
        <v>1</v>
      </c>
    </row>
    <row r="1363" spans="1:6" x14ac:dyDescent="0.3">
      <c r="A1363" s="31">
        <v>1000098519</v>
      </c>
      <c r="B1363" s="31" t="s">
        <v>1554</v>
      </c>
      <c r="C1363" s="31" t="s">
        <v>4</v>
      </c>
      <c r="D1363" s="31" t="s">
        <v>2090</v>
      </c>
      <c r="E1363" s="32">
        <v>3248.01</v>
      </c>
      <c r="F1363" s="32">
        <v>2</v>
      </c>
    </row>
    <row r="1364" spans="1:6" x14ac:dyDescent="0.3">
      <c r="A1364" s="31">
        <v>1000098510</v>
      </c>
      <c r="B1364" s="31" t="s">
        <v>1548</v>
      </c>
      <c r="C1364" s="31" t="s">
        <v>4</v>
      </c>
      <c r="D1364" s="31" t="s">
        <v>2090</v>
      </c>
      <c r="E1364" s="32">
        <v>3245.39</v>
      </c>
      <c r="F1364" s="32">
        <v>4</v>
      </c>
    </row>
    <row r="1365" spans="1:6" x14ac:dyDescent="0.3">
      <c r="A1365" s="31">
        <v>1000020844</v>
      </c>
      <c r="B1365" s="31" t="s">
        <v>1037</v>
      </c>
      <c r="C1365" s="31" t="s">
        <v>4</v>
      </c>
      <c r="D1365" s="31" t="s">
        <v>2218</v>
      </c>
      <c r="E1365" s="32">
        <v>3241.125</v>
      </c>
      <c r="F1365" s="32">
        <v>15</v>
      </c>
    </row>
    <row r="1366" spans="1:6" x14ac:dyDescent="0.3">
      <c r="A1366" s="31">
        <v>1000100380</v>
      </c>
      <c r="B1366" s="31" t="s">
        <v>2991</v>
      </c>
      <c r="C1366" s="31" t="s">
        <v>4</v>
      </c>
      <c r="D1366" s="31" t="s">
        <v>2090</v>
      </c>
      <c r="E1366" s="32">
        <v>3222.98</v>
      </c>
      <c r="F1366" s="32">
        <v>10</v>
      </c>
    </row>
    <row r="1367" spans="1:6" x14ac:dyDescent="0.3">
      <c r="A1367" s="31">
        <v>1000100153</v>
      </c>
      <c r="B1367" s="31" t="s">
        <v>2992</v>
      </c>
      <c r="C1367" s="31" t="s">
        <v>4</v>
      </c>
      <c r="D1367" s="31" t="s">
        <v>2090</v>
      </c>
      <c r="E1367" s="32">
        <v>3217.3670869565199</v>
      </c>
      <c r="F1367" s="32">
        <v>21</v>
      </c>
    </row>
    <row r="1368" spans="1:6" x14ac:dyDescent="0.3">
      <c r="A1368" s="31">
        <v>1000099990</v>
      </c>
      <c r="B1368" s="31" t="s">
        <v>2993</v>
      </c>
      <c r="C1368" s="31" t="s">
        <v>4</v>
      </c>
      <c r="D1368" s="31" t="s">
        <v>2161</v>
      </c>
      <c r="E1368" s="32">
        <v>3216.92</v>
      </c>
      <c r="F1368" s="32">
        <v>3</v>
      </c>
    </row>
    <row r="1369" spans="1:6" x14ac:dyDescent="0.3">
      <c r="A1369" s="31">
        <v>1000021233</v>
      </c>
      <c r="B1369" s="31" t="s">
        <v>1378</v>
      </c>
      <c r="C1369" s="31" t="s">
        <v>4</v>
      </c>
      <c r="D1369" s="31" t="s">
        <v>2090</v>
      </c>
      <c r="E1369" s="32">
        <v>3214.2258823529401</v>
      </c>
      <c r="F1369" s="32">
        <v>11</v>
      </c>
    </row>
    <row r="1370" spans="1:6" x14ac:dyDescent="0.3">
      <c r="A1370" s="31">
        <v>2700000229</v>
      </c>
      <c r="B1370" s="31" t="s">
        <v>291</v>
      </c>
      <c r="C1370" s="31" t="s">
        <v>2037</v>
      </c>
      <c r="D1370" s="31" t="s">
        <v>2038</v>
      </c>
      <c r="E1370" s="32">
        <v>3210.03</v>
      </c>
      <c r="F1370" s="32">
        <v>3</v>
      </c>
    </row>
    <row r="1371" spans="1:6" x14ac:dyDescent="0.3">
      <c r="A1371" s="31">
        <v>1000021330</v>
      </c>
      <c r="B1371" s="31" t="s">
        <v>1459</v>
      </c>
      <c r="C1371" s="31" t="s">
        <v>4</v>
      </c>
      <c r="D1371" s="31" t="s">
        <v>2090</v>
      </c>
      <c r="E1371" s="32">
        <v>3208.59</v>
      </c>
      <c r="F1371" s="32">
        <v>7</v>
      </c>
    </row>
    <row r="1372" spans="1:6" x14ac:dyDescent="0.3">
      <c r="A1372" s="31">
        <v>1000099195</v>
      </c>
      <c r="B1372" s="31" t="s">
        <v>2994</v>
      </c>
      <c r="C1372" s="31" t="s">
        <v>4</v>
      </c>
      <c r="D1372" s="31" t="s">
        <v>2639</v>
      </c>
      <c r="E1372" s="32">
        <v>3203.3651244179</v>
      </c>
      <c r="F1372" s="32">
        <v>171</v>
      </c>
    </row>
    <row r="1373" spans="1:6" x14ac:dyDescent="0.3">
      <c r="A1373" s="31">
        <v>1000100954</v>
      </c>
      <c r="B1373" s="31" t="s">
        <v>2995</v>
      </c>
      <c r="C1373" s="31" t="s">
        <v>4</v>
      </c>
      <c r="D1373" s="31" t="s">
        <v>2056</v>
      </c>
      <c r="E1373" s="32">
        <v>3191.44</v>
      </c>
      <c r="F1373" s="32">
        <v>140</v>
      </c>
    </row>
    <row r="1374" spans="1:6" x14ac:dyDescent="0.3">
      <c r="A1374" s="31">
        <v>1000010087</v>
      </c>
      <c r="B1374" s="31" t="s">
        <v>2996</v>
      </c>
      <c r="C1374" s="31" t="s">
        <v>4</v>
      </c>
      <c r="D1374" s="31" t="s">
        <v>2161</v>
      </c>
      <c r="E1374" s="32">
        <v>3186.0720000000001</v>
      </c>
      <c r="F1374" s="32">
        <v>19</v>
      </c>
    </row>
    <row r="1375" spans="1:6" x14ac:dyDescent="0.3">
      <c r="A1375" s="31">
        <v>1000020566</v>
      </c>
      <c r="B1375" s="31" t="s">
        <v>783</v>
      </c>
      <c r="C1375" s="31" t="s">
        <v>4</v>
      </c>
      <c r="D1375" s="31" t="s">
        <v>2090</v>
      </c>
      <c r="E1375" s="32">
        <v>3182.6959999999999</v>
      </c>
      <c r="F1375" s="32">
        <v>8</v>
      </c>
    </row>
    <row r="1376" spans="1:6" x14ac:dyDescent="0.3">
      <c r="A1376" s="31">
        <v>80000002253</v>
      </c>
      <c r="B1376" s="31" t="s">
        <v>2976</v>
      </c>
      <c r="C1376" s="31" t="s">
        <v>2521</v>
      </c>
      <c r="D1376" s="31" t="s">
        <v>2645</v>
      </c>
      <c r="E1376" s="32">
        <v>3180.24</v>
      </c>
      <c r="F1376" s="32">
        <v>1893</v>
      </c>
    </row>
    <row r="1377" spans="1:6" x14ac:dyDescent="0.3">
      <c r="A1377" s="31">
        <v>1000104720</v>
      </c>
      <c r="B1377" s="31" t="s">
        <v>2997</v>
      </c>
      <c r="C1377" s="31" t="s">
        <v>2257</v>
      </c>
      <c r="D1377" s="31" t="s">
        <v>2998</v>
      </c>
      <c r="E1377" s="32">
        <v>3161.4</v>
      </c>
      <c r="F1377" s="32">
        <v>13</v>
      </c>
    </row>
    <row r="1378" spans="1:6" x14ac:dyDescent="0.3">
      <c r="A1378" s="31">
        <v>1000096105</v>
      </c>
      <c r="B1378" s="31" t="s">
        <v>2999</v>
      </c>
      <c r="C1378" s="31" t="s">
        <v>4</v>
      </c>
      <c r="D1378" s="31" t="s">
        <v>2043</v>
      </c>
      <c r="E1378" s="32">
        <v>3158.96124550898</v>
      </c>
      <c r="F1378" s="32">
        <v>16</v>
      </c>
    </row>
    <row r="1379" spans="1:6" x14ac:dyDescent="0.3">
      <c r="A1379" s="31">
        <v>1000091839</v>
      </c>
      <c r="B1379" s="31" t="s">
        <v>3000</v>
      </c>
      <c r="C1379" s="31" t="s">
        <v>2109</v>
      </c>
      <c r="D1379" s="31" t="s">
        <v>2070</v>
      </c>
      <c r="E1379" s="32">
        <v>3156.08</v>
      </c>
      <c r="F1379" s="32">
        <v>1</v>
      </c>
    </row>
    <row r="1380" spans="1:6" x14ac:dyDescent="0.3">
      <c r="A1380" s="31">
        <v>10000918380</v>
      </c>
      <c r="B1380" s="31" t="s">
        <v>3001</v>
      </c>
      <c r="C1380" s="31" t="s">
        <v>2109</v>
      </c>
      <c r="D1380" s="31" t="s">
        <v>2070</v>
      </c>
      <c r="E1380" s="32">
        <v>3156.07666666666</v>
      </c>
      <c r="F1380" s="32">
        <v>1</v>
      </c>
    </row>
    <row r="1381" spans="1:6" x14ac:dyDescent="0.3">
      <c r="A1381" s="31">
        <v>1000102334</v>
      </c>
      <c r="B1381" s="31" t="s">
        <v>3002</v>
      </c>
      <c r="C1381" s="31" t="s">
        <v>4</v>
      </c>
      <c r="D1381" s="31" t="s">
        <v>2161</v>
      </c>
      <c r="E1381" s="32">
        <v>3155.75</v>
      </c>
      <c r="F1381" s="32">
        <v>3</v>
      </c>
    </row>
    <row r="1382" spans="1:6" x14ac:dyDescent="0.3">
      <c r="A1382" s="31">
        <v>2200003124</v>
      </c>
      <c r="B1382" s="31" t="s">
        <v>204</v>
      </c>
      <c r="C1382" s="31" t="s">
        <v>2088</v>
      </c>
      <c r="D1382" s="31" t="s">
        <v>2038</v>
      </c>
      <c r="E1382" s="32">
        <v>3149.692</v>
      </c>
      <c r="F1382" s="32">
        <v>2</v>
      </c>
    </row>
    <row r="1383" spans="1:6" x14ac:dyDescent="0.3">
      <c r="A1383" s="31">
        <v>1000110864</v>
      </c>
      <c r="B1383" s="31" t="s">
        <v>3003</v>
      </c>
      <c r="C1383" s="31" t="s">
        <v>2257</v>
      </c>
      <c r="D1383" s="31" t="s">
        <v>3004</v>
      </c>
      <c r="E1383" s="32">
        <v>3148.02</v>
      </c>
      <c r="F1383" s="32">
        <v>1</v>
      </c>
    </row>
    <row r="1384" spans="1:6" x14ac:dyDescent="0.3">
      <c r="A1384" s="31">
        <v>1000090908</v>
      </c>
      <c r="B1384" s="31" t="s">
        <v>3005</v>
      </c>
      <c r="C1384" s="31" t="s">
        <v>2027</v>
      </c>
      <c r="D1384" s="31" t="s">
        <v>3006</v>
      </c>
      <c r="E1384" s="32">
        <v>3145.5</v>
      </c>
      <c r="F1384" s="32">
        <v>1</v>
      </c>
    </row>
    <row r="1385" spans="1:6" x14ac:dyDescent="0.3">
      <c r="A1385" s="31">
        <v>1000094678</v>
      </c>
      <c r="B1385" s="31" t="s">
        <v>3007</v>
      </c>
      <c r="C1385" s="31" t="s">
        <v>4</v>
      </c>
      <c r="D1385" s="31" t="s">
        <v>2230</v>
      </c>
      <c r="E1385" s="32">
        <v>3139.0835999999999</v>
      </c>
      <c r="F1385" s="32">
        <v>3</v>
      </c>
    </row>
    <row r="1386" spans="1:6" x14ac:dyDescent="0.3">
      <c r="A1386" s="31">
        <v>80000003065</v>
      </c>
      <c r="B1386" s="31" t="s">
        <v>3008</v>
      </c>
      <c r="C1386" s="31" t="s">
        <v>2521</v>
      </c>
      <c r="D1386" s="31" t="s">
        <v>3009</v>
      </c>
      <c r="E1386" s="32">
        <v>3136</v>
      </c>
      <c r="F1386" s="32">
        <v>28</v>
      </c>
    </row>
    <row r="1387" spans="1:6" x14ac:dyDescent="0.3">
      <c r="A1387" s="31">
        <v>2500002370</v>
      </c>
      <c r="B1387" s="31" t="s">
        <v>1899</v>
      </c>
      <c r="C1387" s="31" t="s">
        <v>1996</v>
      </c>
      <c r="D1387" s="31" t="s">
        <v>2025</v>
      </c>
      <c r="E1387" s="32">
        <v>3127.90333333333</v>
      </c>
      <c r="F1387" s="32">
        <v>4</v>
      </c>
    </row>
    <row r="1388" spans="1:6" x14ac:dyDescent="0.3">
      <c r="A1388" s="31">
        <v>2500008158</v>
      </c>
      <c r="B1388" s="31" t="s">
        <v>1919</v>
      </c>
      <c r="C1388" s="31" t="s">
        <v>1996</v>
      </c>
      <c r="D1388" s="31" t="s">
        <v>2025</v>
      </c>
      <c r="E1388" s="32">
        <v>3116.0571428571402</v>
      </c>
      <c r="F1388" s="32">
        <v>4</v>
      </c>
    </row>
    <row r="1389" spans="1:6" x14ac:dyDescent="0.3">
      <c r="A1389" s="31">
        <v>1000100354</v>
      </c>
      <c r="B1389" s="31" t="s">
        <v>3010</v>
      </c>
      <c r="C1389" s="31" t="s">
        <v>4</v>
      </c>
      <c r="D1389" s="31" t="s">
        <v>2090</v>
      </c>
      <c r="E1389" s="32">
        <v>3111.3821052631502</v>
      </c>
      <c r="F1389" s="32">
        <v>14</v>
      </c>
    </row>
    <row r="1390" spans="1:6" x14ac:dyDescent="0.3">
      <c r="A1390" s="31">
        <v>1000099448</v>
      </c>
      <c r="B1390" s="31" t="s">
        <v>82</v>
      </c>
      <c r="C1390" s="31" t="s">
        <v>4</v>
      </c>
      <c r="D1390" s="31" t="s">
        <v>2639</v>
      </c>
      <c r="E1390" s="32">
        <v>3108.3946076257898</v>
      </c>
      <c r="F1390" s="32">
        <v>161</v>
      </c>
    </row>
    <row r="1391" spans="1:6" x14ac:dyDescent="0.3">
      <c r="A1391" s="31">
        <v>1000100324</v>
      </c>
      <c r="B1391" s="31" t="s">
        <v>3011</v>
      </c>
      <c r="C1391" s="31" t="s">
        <v>4</v>
      </c>
      <c r="D1391" s="31" t="s">
        <v>2090</v>
      </c>
      <c r="E1391" s="32">
        <v>3102.2337815126002</v>
      </c>
      <c r="F1391" s="32">
        <v>19</v>
      </c>
    </row>
    <row r="1392" spans="1:6" x14ac:dyDescent="0.3">
      <c r="A1392" s="31">
        <v>1000020245</v>
      </c>
      <c r="B1392" s="31" t="s">
        <v>484</v>
      </c>
      <c r="C1392" s="31" t="s">
        <v>4</v>
      </c>
      <c r="D1392" s="31" t="s">
        <v>2090</v>
      </c>
      <c r="E1392" s="32">
        <v>3099.2998282887002</v>
      </c>
      <c r="F1392" s="32">
        <v>435</v>
      </c>
    </row>
    <row r="1393" spans="1:6" x14ac:dyDescent="0.3">
      <c r="A1393" s="31">
        <v>1000020087</v>
      </c>
      <c r="B1393" s="31" t="s">
        <v>346</v>
      </c>
      <c r="C1393" s="31" t="s">
        <v>4</v>
      </c>
      <c r="D1393" s="31" t="s">
        <v>2090</v>
      </c>
      <c r="E1393" s="32">
        <v>3098.8229999999999</v>
      </c>
      <c r="F1393" s="32">
        <v>21</v>
      </c>
    </row>
    <row r="1394" spans="1:6" x14ac:dyDescent="0.3">
      <c r="A1394" s="31">
        <v>2500003460</v>
      </c>
      <c r="B1394" s="31" t="s">
        <v>1900</v>
      </c>
      <c r="C1394" s="31" t="s">
        <v>1996</v>
      </c>
      <c r="D1394" s="31" t="s">
        <v>2025</v>
      </c>
      <c r="E1394" s="32">
        <v>3094.5</v>
      </c>
      <c r="F1394" s="32">
        <v>4</v>
      </c>
    </row>
    <row r="1395" spans="1:6" x14ac:dyDescent="0.3">
      <c r="A1395" s="31">
        <v>1000100639</v>
      </c>
      <c r="B1395" s="31" t="s">
        <v>3012</v>
      </c>
      <c r="C1395" s="31" t="s">
        <v>4</v>
      </c>
      <c r="D1395" s="31" t="s">
        <v>2056</v>
      </c>
      <c r="E1395" s="32">
        <v>3091.1206447887198</v>
      </c>
      <c r="F1395" s="32">
        <v>5</v>
      </c>
    </row>
    <row r="1396" spans="1:6" x14ac:dyDescent="0.3">
      <c r="A1396" s="31">
        <v>1000100343</v>
      </c>
      <c r="B1396" s="31" t="s">
        <v>3013</v>
      </c>
      <c r="C1396" s="31" t="s">
        <v>4</v>
      </c>
      <c r="D1396" s="31" t="s">
        <v>2090</v>
      </c>
      <c r="E1396" s="32">
        <v>3090.2669999999998</v>
      </c>
      <c r="F1396" s="32">
        <v>12</v>
      </c>
    </row>
    <row r="1397" spans="1:6" x14ac:dyDescent="0.3">
      <c r="A1397" s="31">
        <v>1000099971</v>
      </c>
      <c r="B1397" s="31" t="s">
        <v>3014</v>
      </c>
      <c r="C1397" s="31" t="s">
        <v>4</v>
      </c>
      <c r="D1397" s="31" t="s">
        <v>2161</v>
      </c>
      <c r="E1397" s="32">
        <v>3088.13</v>
      </c>
      <c r="F1397" s="32">
        <v>3</v>
      </c>
    </row>
    <row r="1398" spans="1:6" x14ac:dyDescent="0.3">
      <c r="A1398" s="31">
        <v>2700000082</v>
      </c>
      <c r="B1398" s="31" t="s">
        <v>247</v>
      </c>
      <c r="C1398" s="31" t="s">
        <v>2037</v>
      </c>
      <c r="D1398" s="31" t="s">
        <v>2038</v>
      </c>
      <c r="E1398" s="32">
        <v>3086.48</v>
      </c>
      <c r="F1398" s="32">
        <v>8</v>
      </c>
    </row>
    <row r="1399" spans="1:6" x14ac:dyDescent="0.3">
      <c r="A1399" s="31">
        <v>2200010092</v>
      </c>
      <c r="B1399" s="31" t="s">
        <v>3015</v>
      </c>
      <c r="C1399" s="31" t="s">
        <v>2088</v>
      </c>
      <c r="D1399" s="31" t="s">
        <v>2067</v>
      </c>
      <c r="E1399" s="32">
        <v>3076.4027999999998</v>
      </c>
      <c r="F1399" s="32">
        <v>2</v>
      </c>
    </row>
    <row r="1400" spans="1:6" x14ac:dyDescent="0.3">
      <c r="A1400" s="31">
        <v>2500008436</v>
      </c>
      <c r="B1400" s="31" t="s">
        <v>3016</v>
      </c>
      <c r="C1400" s="31" t="s">
        <v>1996</v>
      </c>
      <c r="D1400" s="31" t="s">
        <v>2025</v>
      </c>
      <c r="E1400" s="32">
        <v>3074.4650000000001</v>
      </c>
      <c r="F1400" s="32">
        <v>4</v>
      </c>
    </row>
    <row r="1401" spans="1:6" x14ac:dyDescent="0.3">
      <c r="A1401" s="31">
        <v>1000099431</v>
      </c>
      <c r="B1401" s="31" t="s">
        <v>3017</v>
      </c>
      <c r="C1401" s="31" t="s">
        <v>4</v>
      </c>
      <c r="D1401" s="31" t="s">
        <v>2090</v>
      </c>
      <c r="E1401" s="32">
        <v>3060.4688973606999</v>
      </c>
      <c r="F1401" s="32">
        <v>69</v>
      </c>
    </row>
    <row r="1402" spans="1:6" x14ac:dyDescent="0.3">
      <c r="A1402" s="31">
        <v>1000096788</v>
      </c>
      <c r="B1402" s="31" t="s">
        <v>3018</v>
      </c>
      <c r="C1402" s="31" t="s">
        <v>4</v>
      </c>
      <c r="D1402" s="31" t="s">
        <v>2090</v>
      </c>
      <c r="E1402" s="32">
        <v>3054.83</v>
      </c>
      <c r="F1402" s="32">
        <v>36</v>
      </c>
    </row>
    <row r="1403" spans="1:6" x14ac:dyDescent="0.3">
      <c r="A1403" s="31">
        <v>1000020323</v>
      </c>
      <c r="B1403" s="31" t="s">
        <v>557</v>
      </c>
      <c r="C1403" s="31" t="s">
        <v>4</v>
      </c>
      <c r="D1403" s="31" t="s">
        <v>2090</v>
      </c>
      <c r="E1403" s="32">
        <v>3052.25</v>
      </c>
      <c r="F1403" s="32">
        <v>15</v>
      </c>
    </row>
    <row r="1404" spans="1:6" x14ac:dyDescent="0.3">
      <c r="A1404" s="31">
        <v>2500008255</v>
      </c>
      <c r="B1404" s="31" t="s">
        <v>3019</v>
      </c>
      <c r="C1404" s="31" t="s">
        <v>1996</v>
      </c>
      <c r="D1404" s="31" t="s">
        <v>2025</v>
      </c>
      <c r="E1404" s="32">
        <v>3040.0000285000001</v>
      </c>
      <c r="F1404" s="32">
        <v>6</v>
      </c>
    </row>
    <row r="1405" spans="1:6" x14ac:dyDescent="0.3">
      <c r="A1405" s="31">
        <v>2200002587</v>
      </c>
      <c r="B1405" s="31" t="s">
        <v>179</v>
      </c>
      <c r="C1405" s="31" t="s">
        <v>2037</v>
      </c>
      <c r="D1405" s="31" t="s">
        <v>2038</v>
      </c>
      <c r="E1405" s="32">
        <v>3035.69</v>
      </c>
      <c r="F1405" s="32">
        <v>5</v>
      </c>
    </row>
    <row r="1406" spans="1:6" x14ac:dyDescent="0.3">
      <c r="A1406" s="31">
        <v>80000002263</v>
      </c>
      <c r="B1406" s="31" t="s">
        <v>3020</v>
      </c>
      <c r="C1406" s="31" t="s">
        <v>2521</v>
      </c>
      <c r="D1406" s="31" t="s">
        <v>2645</v>
      </c>
      <c r="E1406" s="32">
        <v>3033.1</v>
      </c>
      <c r="F1406" s="32">
        <v>619</v>
      </c>
    </row>
    <row r="1407" spans="1:6" x14ac:dyDescent="0.3">
      <c r="A1407" s="31">
        <v>1000020679</v>
      </c>
      <c r="B1407" s="31" t="s">
        <v>892</v>
      </c>
      <c r="C1407" s="31" t="s">
        <v>4</v>
      </c>
      <c r="D1407" s="31" t="s">
        <v>2218</v>
      </c>
      <c r="E1407" s="32">
        <v>3031.6598062953899</v>
      </c>
      <c r="F1407" s="32">
        <v>60</v>
      </c>
    </row>
    <row r="1408" spans="1:6" x14ac:dyDescent="0.3">
      <c r="A1408" s="31">
        <v>1000098587</v>
      </c>
      <c r="B1408" s="31" t="s">
        <v>1594</v>
      </c>
      <c r="C1408" s="31" t="s">
        <v>4</v>
      </c>
      <c r="D1408" s="31" t="s">
        <v>2090</v>
      </c>
      <c r="E1408" s="32">
        <v>3031.46</v>
      </c>
      <c r="F1408" s="32">
        <v>10</v>
      </c>
    </row>
    <row r="1409" spans="1:6" x14ac:dyDescent="0.3">
      <c r="A1409" s="31">
        <v>1000021324</v>
      </c>
      <c r="B1409" s="31" t="s">
        <v>1456</v>
      </c>
      <c r="C1409" s="31" t="s">
        <v>4</v>
      </c>
      <c r="D1409" s="31" t="s">
        <v>2090</v>
      </c>
      <c r="E1409" s="32">
        <v>3026.57</v>
      </c>
      <c r="F1409" s="32">
        <v>6</v>
      </c>
    </row>
    <row r="1410" spans="1:6" x14ac:dyDescent="0.3">
      <c r="A1410" s="31">
        <v>80000002260</v>
      </c>
      <c r="B1410" s="31" t="s">
        <v>3021</v>
      </c>
      <c r="C1410" s="31" t="s">
        <v>2521</v>
      </c>
      <c r="D1410" s="31" t="s">
        <v>2645</v>
      </c>
      <c r="E1410" s="32">
        <v>3023.41</v>
      </c>
      <c r="F1410" s="32">
        <v>1789</v>
      </c>
    </row>
    <row r="1411" spans="1:6" x14ac:dyDescent="0.3">
      <c r="A1411" s="31">
        <v>2500008263</v>
      </c>
      <c r="B1411" s="31" t="s">
        <v>1925</v>
      </c>
      <c r="C1411" s="31" t="s">
        <v>1996</v>
      </c>
      <c r="D1411" s="31" t="s">
        <v>2025</v>
      </c>
      <c r="E1411" s="32">
        <v>3015</v>
      </c>
      <c r="F1411" s="32">
        <v>2</v>
      </c>
    </row>
    <row r="1412" spans="1:6" x14ac:dyDescent="0.3">
      <c r="A1412" s="31">
        <v>1000010236</v>
      </c>
      <c r="B1412" s="31" t="s">
        <v>3022</v>
      </c>
      <c r="C1412" s="31" t="s">
        <v>4</v>
      </c>
      <c r="D1412" s="31" t="s">
        <v>2161</v>
      </c>
      <c r="E1412" s="32">
        <v>3011.4479999999999</v>
      </c>
      <c r="F1412" s="32">
        <v>12</v>
      </c>
    </row>
    <row r="1413" spans="1:6" x14ac:dyDescent="0.3">
      <c r="A1413" s="31">
        <v>2500008590</v>
      </c>
      <c r="B1413" s="31" t="s">
        <v>3023</v>
      </c>
      <c r="C1413" s="31" t="s">
        <v>1996</v>
      </c>
      <c r="D1413" s="31" t="s">
        <v>2025</v>
      </c>
      <c r="E1413" s="32">
        <v>3010</v>
      </c>
      <c r="F1413" s="32">
        <v>2</v>
      </c>
    </row>
    <row r="1414" spans="1:6" x14ac:dyDescent="0.3">
      <c r="A1414" s="31">
        <v>1000098590</v>
      </c>
      <c r="B1414" s="31" t="s">
        <v>1597</v>
      </c>
      <c r="C1414" s="31" t="s">
        <v>4</v>
      </c>
      <c r="D1414" s="31" t="s">
        <v>2090</v>
      </c>
      <c r="E1414" s="32">
        <v>3006.74</v>
      </c>
      <c r="F1414" s="32">
        <v>2</v>
      </c>
    </row>
    <row r="1415" spans="1:6" x14ac:dyDescent="0.3">
      <c r="A1415" s="31">
        <v>1000020526</v>
      </c>
      <c r="B1415" s="31" t="s">
        <v>747</v>
      </c>
      <c r="C1415" s="31" t="s">
        <v>4</v>
      </c>
      <c r="D1415" s="31" t="s">
        <v>2090</v>
      </c>
      <c r="E1415" s="32">
        <v>3003.9243333333302</v>
      </c>
      <c r="F1415" s="32">
        <v>25</v>
      </c>
    </row>
    <row r="1416" spans="1:6" x14ac:dyDescent="0.3">
      <c r="A1416" s="31">
        <v>1000021003</v>
      </c>
      <c r="B1416" s="31" t="s">
        <v>1176</v>
      </c>
      <c r="C1416" s="31" t="s">
        <v>4</v>
      </c>
      <c r="D1416" s="31" t="s">
        <v>2090</v>
      </c>
      <c r="E1416" s="32">
        <v>3000.72</v>
      </c>
      <c r="F1416" s="32">
        <v>23</v>
      </c>
    </row>
    <row r="1417" spans="1:6" x14ac:dyDescent="0.3">
      <c r="A1417" s="31">
        <v>1000100356</v>
      </c>
      <c r="B1417" s="31" t="s">
        <v>3024</v>
      </c>
      <c r="C1417" s="31" t="s">
        <v>4</v>
      </c>
      <c r="D1417" s="31" t="s">
        <v>2090</v>
      </c>
      <c r="E1417" s="32">
        <v>2998.06</v>
      </c>
      <c r="F1417" s="32">
        <v>29</v>
      </c>
    </row>
    <row r="1418" spans="1:6" x14ac:dyDescent="0.3">
      <c r="A1418" s="31">
        <v>1000098743</v>
      </c>
      <c r="B1418" s="31" t="s">
        <v>1683</v>
      </c>
      <c r="C1418" s="31" t="s">
        <v>4</v>
      </c>
      <c r="D1418" s="31" t="s">
        <v>2090</v>
      </c>
      <c r="E1418" s="32">
        <v>2995.65</v>
      </c>
      <c r="F1418" s="32">
        <v>1</v>
      </c>
    </row>
    <row r="1419" spans="1:6" x14ac:dyDescent="0.3">
      <c r="A1419" s="31">
        <v>1000020863</v>
      </c>
      <c r="B1419" s="31" t="s">
        <v>1052</v>
      </c>
      <c r="C1419" s="31" t="s">
        <v>4</v>
      </c>
      <c r="D1419" s="31" t="s">
        <v>2090</v>
      </c>
      <c r="E1419" s="32">
        <v>2992.8083333333302</v>
      </c>
      <c r="F1419" s="32">
        <v>10</v>
      </c>
    </row>
    <row r="1420" spans="1:6" x14ac:dyDescent="0.3">
      <c r="A1420" s="31">
        <v>1000020111</v>
      </c>
      <c r="B1420" s="31" t="s">
        <v>367</v>
      </c>
      <c r="C1420" s="31" t="s">
        <v>4</v>
      </c>
      <c r="D1420" s="31" t="s">
        <v>2090</v>
      </c>
      <c r="E1420" s="32">
        <v>2985.3</v>
      </c>
      <c r="F1420" s="32">
        <v>10</v>
      </c>
    </row>
    <row r="1421" spans="1:6" x14ac:dyDescent="0.3">
      <c r="A1421" s="31">
        <v>2700000615</v>
      </c>
      <c r="B1421" s="31" t="s">
        <v>318</v>
      </c>
      <c r="C1421" s="31" t="s">
        <v>2037</v>
      </c>
      <c r="D1421" s="31" t="s">
        <v>2038</v>
      </c>
      <c r="E1421" s="32">
        <v>2983.8159999999998</v>
      </c>
      <c r="F1421" s="32">
        <v>1</v>
      </c>
    </row>
    <row r="1422" spans="1:6" x14ac:dyDescent="0.3">
      <c r="A1422" s="31">
        <v>1000100347</v>
      </c>
      <c r="B1422" s="31" t="s">
        <v>3025</v>
      </c>
      <c r="C1422" s="31" t="s">
        <v>4</v>
      </c>
      <c r="D1422" s="31" t="s">
        <v>2090</v>
      </c>
      <c r="E1422" s="32">
        <v>2973.64</v>
      </c>
      <c r="F1422" s="32">
        <v>24</v>
      </c>
    </row>
    <row r="1423" spans="1:6" x14ac:dyDescent="0.3">
      <c r="A1423" s="31">
        <v>1000102203</v>
      </c>
      <c r="B1423" s="31" t="s">
        <v>1766</v>
      </c>
      <c r="C1423" s="31" t="s">
        <v>4</v>
      </c>
      <c r="D1423" s="31" t="s">
        <v>2090</v>
      </c>
      <c r="E1423" s="32">
        <v>2968.8125</v>
      </c>
      <c r="F1423" s="32">
        <v>20</v>
      </c>
    </row>
    <row r="1424" spans="1:6" x14ac:dyDescent="0.3">
      <c r="A1424" s="31">
        <v>1000094024</v>
      </c>
      <c r="B1424" s="31" t="s">
        <v>3026</v>
      </c>
      <c r="C1424" s="31" t="s">
        <v>4</v>
      </c>
      <c r="D1424" s="31" t="s">
        <v>2090</v>
      </c>
      <c r="E1424" s="32">
        <v>2960.67</v>
      </c>
      <c r="F1424" s="32">
        <v>2</v>
      </c>
    </row>
    <row r="1425" spans="1:6" x14ac:dyDescent="0.3">
      <c r="A1425" s="31">
        <v>2500008476</v>
      </c>
      <c r="B1425" s="31" t="s">
        <v>3027</v>
      </c>
      <c r="C1425" s="31" t="s">
        <v>1996</v>
      </c>
      <c r="D1425" s="31" t="s">
        <v>2025</v>
      </c>
      <c r="E1425" s="32">
        <v>2958</v>
      </c>
      <c r="F1425" s="32">
        <v>5</v>
      </c>
    </row>
    <row r="1426" spans="1:6" x14ac:dyDescent="0.3">
      <c r="A1426" s="31">
        <v>1000103025</v>
      </c>
      <c r="B1426" s="31" t="s">
        <v>3028</v>
      </c>
      <c r="C1426" s="31" t="s">
        <v>4</v>
      </c>
      <c r="D1426" s="31" t="s">
        <v>2161</v>
      </c>
      <c r="E1426" s="32">
        <v>2949.91</v>
      </c>
      <c r="F1426" s="32">
        <v>15</v>
      </c>
    </row>
    <row r="1427" spans="1:6" x14ac:dyDescent="0.3">
      <c r="A1427" s="31">
        <v>2000019700</v>
      </c>
      <c r="B1427" s="31" t="s">
        <v>3029</v>
      </c>
      <c r="C1427" s="31" t="s">
        <v>2017</v>
      </c>
      <c r="D1427" s="31" t="s">
        <v>2072</v>
      </c>
      <c r="E1427" s="32">
        <v>2947.5</v>
      </c>
      <c r="F1427" s="32">
        <v>1</v>
      </c>
    </row>
    <row r="1428" spans="1:6" x14ac:dyDescent="0.3">
      <c r="A1428" s="31">
        <v>1000021026</v>
      </c>
      <c r="B1428" s="31" t="s">
        <v>1198</v>
      </c>
      <c r="C1428" s="31" t="s">
        <v>4</v>
      </c>
      <c r="D1428" s="31" t="s">
        <v>2090</v>
      </c>
      <c r="E1428" s="32">
        <v>2943.68</v>
      </c>
      <c r="F1428" s="32">
        <v>4</v>
      </c>
    </row>
    <row r="1429" spans="1:6" x14ac:dyDescent="0.3">
      <c r="A1429" s="31">
        <v>2500008172</v>
      </c>
      <c r="B1429" s="31" t="s">
        <v>3030</v>
      </c>
      <c r="C1429" s="31" t="s">
        <v>1996</v>
      </c>
      <c r="D1429" s="31" t="s">
        <v>2025</v>
      </c>
      <c r="E1429" s="32">
        <v>2934.6916666666598</v>
      </c>
      <c r="F1429" s="32">
        <v>5</v>
      </c>
    </row>
    <row r="1430" spans="1:6" x14ac:dyDescent="0.3">
      <c r="A1430" s="31">
        <v>1000091841</v>
      </c>
      <c r="B1430" s="31" t="s">
        <v>3031</v>
      </c>
      <c r="C1430" s="31" t="s">
        <v>2109</v>
      </c>
      <c r="D1430" s="31" t="s">
        <v>2070</v>
      </c>
      <c r="E1430" s="32">
        <v>2930.03</v>
      </c>
      <c r="F1430" s="32">
        <v>1</v>
      </c>
    </row>
    <row r="1431" spans="1:6" x14ac:dyDescent="0.3">
      <c r="A1431" s="31">
        <v>1000020193</v>
      </c>
      <c r="B1431" s="31" t="s">
        <v>434</v>
      </c>
      <c r="C1431" s="31" t="s">
        <v>4</v>
      </c>
      <c r="D1431" s="31" t="s">
        <v>2090</v>
      </c>
      <c r="E1431" s="32">
        <v>2925.26</v>
      </c>
      <c r="F1431" s="32">
        <v>2</v>
      </c>
    </row>
    <row r="1432" spans="1:6" x14ac:dyDescent="0.3">
      <c r="A1432" s="31">
        <v>1000020977</v>
      </c>
      <c r="B1432" s="31" t="s">
        <v>1151</v>
      </c>
      <c r="C1432" s="31" t="s">
        <v>4</v>
      </c>
      <c r="D1432" s="31" t="s">
        <v>2090</v>
      </c>
      <c r="E1432" s="32">
        <v>2923.22</v>
      </c>
      <c r="F1432" s="32">
        <v>5</v>
      </c>
    </row>
    <row r="1433" spans="1:6" x14ac:dyDescent="0.3">
      <c r="A1433" s="31">
        <v>2200000387</v>
      </c>
      <c r="B1433" s="31" t="s">
        <v>155</v>
      </c>
      <c r="C1433" s="31" t="s">
        <v>2037</v>
      </c>
      <c r="D1433" s="31" t="s">
        <v>2038</v>
      </c>
      <c r="E1433" s="32">
        <v>2922.91</v>
      </c>
      <c r="F1433" s="32">
        <v>4</v>
      </c>
    </row>
    <row r="1434" spans="1:6" x14ac:dyDescent="0.3">
      <c r="A1434" s="31">
        <v>1000021122</v>
      </c>
      <c r="B1434" s="31" t="s">
        <v>1281</v>
      </c>
      <c r="C1434" s="31" t="s">
        <v>4</v>
      </c>
      <c r="D1434" s="31" t="s">
        <v>2090</v>
      </c>
      <c r="E1434" s="32">
        <v>2922.75</v>
      </c>
      <c r="F1434" s="32">
        <v>8</v>
      </c>
    </row>
    <row r="1435" spans="1:6" x14ac:dyDescent="0.3">
      <c r="A1435" s="31">
        <v>1000020713</v>
      </c>
      <c r="B1435" s="31" t="s">
        <v>922</v>
      </c>
      <c r="C1435" s="31" t="s">
        <v>4</v>
      </c>
      <c r="D1435" s="31" t="s">
        <v>2090</v>
      </c>
      <c r="E1435" s="32">
        <v>2919.72</v>
      </c>
      <c r="F1435" s="32">
        <v>21</v>
      </c>
    </row>
    <row r="1436" spans="1:6" x14ac:dyDescent="0.3">
      <c r="A1436" s="31">
        <v>1000020579</v>
      </c>
      <c r="B1436" s="31" t="s">
        <v>796</v>
      </c>
      <c r="C1436" s="31" t="s">
        <v>4</v>
      </c>
      <c r="D1436" s="31" t="s">
        <v>2218</v>
      </c>
      <c r="E1436" s="32">
        <v>2918.25</v>
      </c>
      <c r="F1436" s="32">
        <v>5</v>
      </c>
    </row>
    <row r="1437" spans="1:6" x14ac:dyDescent="0.3">
      <c r="A1437" s="31">
        <v>1000098549</v>
      </c>
      <c r="B1437" s="31" t="s">
        <v>1579</v>
      </c>
      <c r="C1437" s="31" t="s">
        <v>4</v>
      </c>
      <c r="D1437" s="31" t="s">
        <v>2090</v>
      </c>
      <c r="E1437" s="32">
        <v>2912.4720000000002</v>
      </c>
      <c r="F1437" s="32">
        <v>3</v>
      </c>
    </row>
    <row r="1438" spans="1:6" x14ac:dyDescent="0.3">
      <c r="A1438" s="31">
        <v>1000098456</v>
      </c>
      <c r="B1438" s="31" t="s">
        <v>1533</v>
      </c>
      <c r="C1438" s="31" t="s">
        <v>4</v>
      </c>
      <c r="D1438" s="31" t="s">
        <v>2090</v>
      </c>
      <c r="E1438" s="32">
        <v>2912.47</v>
      </c>
      <c r="F1438" s="32">
        <v>3</v>
      </c>
    </row>
    <row r="1439" spans="1:6" x14ac:dyDescent="0.3">
      <c r="A1439" s="31">
        <v>1000020516</v>
      </c>
      <c r="B1439" s="31" t="s">
        <v>738</v>
      </c>
      <c r="C1439" s="31" t="s">
        <v>4</v>
      </c>
      <c r="D1439" s="31" t="s">
        <v>2090</v>
      </c>
      <c r="E1439" s="32">
        <v>2910.9</v>
      </c>
      <c r="F1439" s="32">
        <v>21</v>
      </c>
    </row>
    <row r="1440" spans="1:6" x14ac:dyDescent="0.3">
      <c r="A1440" s="31">
        <v>1000093685</v>
      </c>
      <c r="B1440" s="31" t="s">
        <v>2616</v>
      </c>
      <c r="C1440" s="31" t="s">
        <v>4</v>
      </c>
      <c r="D1440" s="31" t="s">
        <v>2056</v>
      </c>
      <c r="E1440" s="32">
        <v>2905.7440435653298</v>
      </c>
      <c r="F1440" s="32">
        <v>33250</v>
      </c>
    </row>
    <row r="1441" spans="1:6" x14ac:dyDescent="0.3">
      <c r="A1441" s="31">
        <v>1000020657</v>
      </c>
      <c r="B1441" s="31" t="s">
        <v>870</v>
      </c>
      <c r="C1441" s="31" t="s">
        <v>4</v>
      </c>
      <c r="D1441" s="31" t="s">
        <v>2090</v>
      </c>
      <c r="E1441" s="32">
        <v>2905.4711159270701</v>
      </c>
      <c r="F1441" s="32">
        <v>88</v>
      </c>
    </row>
    <row r="1442" spans="1:6" x14ac:dyDescent="0.3">
      <c r="A1442" s="31">
        <v>2100004126</v>
      </c>
      <c r="B1442" s="31" t="s">
        <v>3032</v>
      </c>
      <c r="C1442" s="31" t="s">
        <v>2037</v>
      </c>
      <c r="D1442" s="31" t="s">
        <v>2031</v>
      </c>
      <c r="E1442" s="32">
        <v>2903.12</v>
      </c>
      <c r="F1442" s="32">
        <v>2</v>
      </c>
    </row>
    <row r="1443" spans="1:6" x14ac:dyDescent="0.3">
      <c r="A1443" s="31">
        <v>1000092753</v>
      </c>
      <c r="B1443" s="31" t="s">
        <v>3033</v>
      </c>
      <c r="C1443" s="31" t="s">
        <v>2109</v>
      </c>
      <c r="D1443" s="31" t="s">
        <v>2070</v>
      </c>
      <c r="E1443" s="32">
        <v>2891.35</v>
      </c>
      <c r="F1443" s="32">
        <v>1</v>
      </c>
    </row>
    <row r="1444" spans="1:6" x14ac:dyDescent="0.3">
      <c r="A1444" s="31">
        <v>1000020715</v>
      </c>
      <c r="B1444" s="31" t="s">
        <v>924</v>
      </c>
      <c r="C1444" s="31" t="s">
        <v>4</v>
      </c>
      <c r="D1444" s="31" t="s">
        <v>2090</v>
      </c>
      <c r="E1444" s="32">
        <v>2884.4868009868401</v>
      </c>
      <c r="F1444" s="32">
        <v>19</v>
      </c>
    </row>
    <row r="1445" spans="1:6" x14ac:dyDescent="0.3">
      <c r="A1445" s="31">
        <v>2500005891</v>
      </c>
      <c r="B1445" s="31" t="s">
        <v>3034</v>
      </c>
      <c r="C1445" s="31" t="s">
        <v>1996</v>
      </c>
      <c r="D1445" s="31" t="s">
        <v>2025</v>
      </c>
      <c r="E1445" s="32">
        <v>2881.88</v>
      </c>
      <c r="F1445" s="32">
        <v>15</v>
      </c>
    </row>
    <row r="1446" spans="1:6" x14ac:dyDescent="0.3">
      <c r="A1446" s="31">
        <v>1000102445</v>
      </c>
      <c r="B1446" s="31" t="s">
        <v>3035</v>
      </c>
      <c r="C1446" s="31" t="s">
        <v>4</v>
      </c>
      <c r="D1446" s="31" t="s">
        <v>2161</v>
      </c>
      <c r="E1446" s="32">
        <v>2877</v>
      </c>
      <c r="F1446" s="32">
        <v>20</v>
      </c>
    </row>
    <row r="1447" spans="1:6" x14ac:dyDescent="0.3">
      <c r="A1447" s="31">
        <v>1000103737</v>
      </c>
      <c r="B1447" s="31" t="s">
        <v>1877</v>
      </c>
      <c r="C1447" s="31" t="s">
        <v>4</v>
      </c>
      <c r="D1447" s="31" t="s">
        <v>2056</v>
      </c>
      <c r="E1447" s="32">
        <v>2877</v>
      </c>
      <c r="F1447" s="32">
        <v>200</v>
      </c>
    </row>
    <row r="1448" spans="1:6" x14ac:dyDescent="0.3">
      <c r="A1448" s="31">
        <v>1000020817</v>
      </c>
      <c r="B1448" s="31" t="s">
        <v>1019</v>
      </c>
      <c r="C1448" s="31" t="s">
        <v>4</v>
      </c>
      <c r="D1448" s="31" t="s">
        <v>2090</v>
      </c>
      <c r="E1448" s="32">
        <v>2868.1875</v>
      </c>
      <c r="F1448" s="32">
        <v>5</v>
      </c>
    </row>
    <row r="1449" spans="1:6" x14ac:dyDescent="0.3">
      <c r="A1449" s="31">
        <v>1000097011</v>
      </c>
      <c r="B1449" s="31" t="s">
        <v>3036</v>
      </c>
      <c r="C1449" s="31" t="s">
        <v>4</v>
      </c>
      <c r="D1449" s="31" t="s">
        <v>3037</v>
      </c>
      <c r="E1449" s="32">
        <v>2867.3568</v>
      </c>
      <c r="F1449" s="32">
        <v>84</v>
      </c>
    </row>
    <row r="1450" spans="1:6" x14ac:dyDescent="0.3">
      <c r="A1450" s="31">
        <v>1000104413</v>
      </c>
      <c r="B1450" s="31" t="s">
        <v>3038</v>
      </c>
      <c r="C1450" s="31" t="s">
        <v>4</v>
      </c>
      <c r="D1450" s="31" t="s">
        <v>2043</v>
      </c>
      <c r="E1450" s="32">
        <v>2863.998</v>
      </c>
      <c r="F1450" s="32">
        <v>6</v>
      </c>
    </row>
    <row r="1451" spans="1:6" x14ac:dyDescent="0.3">
      <c r="A1451" s="31">
        <v>1000020461</v>
      </c>
      <c r="B1451" s="31" t="s">
        <v>687</v>
      </c>
      <c r="C1451" s="31" t="s">
        <v>4</v>
      </c>
      <c r="D1451" s="31" t="s">
        <v>2090</v>
      </c>
      <c r="E1451" s="32">
        <v>2863.5577028305902</v>
      </c>
      <c r="F1451" s="32">
        <v>117</v>
      </c>
    </row>
    <row r="1452" spans="1:6" x14ac:dyDescent="0.3">
      <c r="A1452" s="31">
        <v>1000107137</v>
      </c>
      <c r="B1452" s="31" t="s">
        <v>3039</v>
      </c>
      <c r="C1452" s="31" t="s">
        <v>2109</v>
      </c>
      <c r="D1452" s="31" t="s">
        <v>2035</v>
      </c>
      <c r="E1452" s="32">
        <v>2855.625</v>
      </c>
      <c r="F1452" s="32">
        <v>1</v>
      </c>
    </row>
    <row r="1453" spans="1:6" x14ac:dyDescent="0.3">
      <c r="A1453" s="31">
        <v>1000101821</v>
      </c>
      <c r="B1453" s="31" t="s">
        <v>3040</v>
      </c>
      <c r="C1453" s="31" t="s">
        <v>2257</v>
      </c>
      <c r="D1453" s="31" t="s">
        <v>2070</v>
      </c>
      <c r="E1453" s="32">
        <v>2853</v>
      </c>
      <c r="F1453" s="32">
        <v>3</v>
      </c>
    </row>
    <row r="1454" spans="1:6" x14ac:dyDescent="0.3">
      <c r="A1454" s="31">
        <v>2500008252</v>
      </c>
      <c r="B1454" s="31" t="s">
        <v>3041</v>
      </c>
      <c r="C1454" s="31" t="s">
        <v>1996</v>
      </c>
      <c r="D1454" s="31" t="s">
        <v>2025</v>
      </c>
      <c r="E1454" s="32">
        <v>2851.5050000000001</v>
      </c>
      <c r="F1454" s="32">
        <v>8</v>
      </c>
    </row>
    <row r="1455" spans="1:6" x14ac:dyDescent="0.3">
      <c r="A1455" s="31">
        <v>2200000294</v>
      </c>
      <c r="B1455" s="31" t="s">
        <v>3042</v>
      </c>
      <c r="C1455" s="31" t="s">
        <v>2037</v>
      </c>
      <c r="D1455" s="31" t="s">
        <v>2038</v>
      </c>
      <c r="E1455" s="32">
        <v>2845.92</v>
      </c>
      <c r="F1455" s="32">
        <v>2</v>
      </c>
    </row>
    <row r="1456" spans="1:6" x14ac:dyDescent="0.3">
      <c r="A1456" s="31">
        <v>2500008872</v>
      </c>
      <c r="B1456" s="31" t="s">
        <v>3043</v>
      </c>
      <c r="C1456" s="31" t="s">
        <v>1996</v>
      </c>
      <c r="D1456" s="31" t="s">
        <v>3044</v>
      </c>
      <c r="E1456" s="32">
        <v>2828.8</v>
      </c>
      <c r="F1456" s="32">
        <v>200</v>
      </c>
    </row>
    <row r="1457" spans="1:6" x14ac:dyDescent="0.3">
      <c r="A1457" s="31">
        <v>1000098514</v>
      </c>
      <c r="B1457" s="31" t="s">
        <v>1550</v>
      </c>
      <c r="C1457" s="31" t="s">
        <v>4</v>
      </c>
      <c r="D1457" s="31" t="s">
        <v>2090</v>
      </c>
      <c r="E1457" s="32">
        <v>2827.19</v>
      </c>
      <c r="F1457" s="32">
        <v>3</v>
      </c>
    </row>
    <row r="1458" spans="1:6" x14ac:dyDescent="0.3">
      <c r="A1458" s="31">
        <v>1000107758</v>
      </c>
      <c r="B1458" s="31" t="s">
        <v>3045</v>
      </c>
      <c r="C1458" s="31" t="s">
        <v>4</v>
      </c>
      <c r="D1458" s="31" t="s">
        <v>2090</v>
      </c>
      <c r="E1458" s="32">
        <v>2820.94</v>
      </c>
      <c r="F1458" s="32">
        <v>5</v>
      </c>
    </row>
    <row r="1459" spans="1:6" x14ac:dyDescent="0.3">
      <c r="A1459" s="31">
        <v>2700000007</v>
      </c>
      <c r="B1459" s="31" t="s">
        <v>3046</v>
      </c>
      <c r="C1459" s="31" t="s">
        <v>2088</v>
      </c>
      <c r="D1459" s="31" t="s">
        <v>2038</v>
      </c>
      <c r="E1459" s="32">
        <v>2820.8300537383502</v>
      </c>
      <c r="F1459" s="32">
        <v>2</v>
      </c>
    </row>
    <row r="1460" spans="1:6" x14ac:dyDescent="0.3">
      <c r="A1460" s="31">
        <v>2200001993</v>
      </c>
      <c r="B1460" s="31" t="s">
        <v>3047</v>
      </c>
      <c r="C1460" s="31" t="s">
        <v>2088</v>
      </c>
      <c r="D1460" s="31" t="s">
        <v>2067</v>
      </c>
      <c r="E1460" s="32">
        <v>2810.55</v>
      </c>
      <c r="F1460" s="32">
        <v>12</v>
      </c>
    </row>
    <row r="1461" spans="1:6" x14ac:dyDescent="0.3">
      <c r="A1461" s="31">
        <v>1000020629</v>
      </c>
      <c r="B1461" s="31" t="s">
        <v>844</v>
      </c>
      <c r="C1461" s="31" t="s">
        <v>4</v>
      </c>
      <c r="D1461" s="31" t="s">
        <v>2090</v>
      </c>
      <c r="E1461" s="32">
        <v>2807.19032487309</v>
      </c>
      <c r="F1461" s="32">
        <v>187</v>
      </c>
    </row>
    <row r="1462" spans="1:6" x14ac:dyDescent="0.3">
      <c r="A1462" s="31">
        <v>1000020127</v>
      </c>
      <c r="B1462" s="31" t="s">
        <v>382</v>
      </c>
      <c r="C1462" s="31" t="s">
        <v>4</v>
      </c>
      <c r="D1462" s="31" t="s">
        <v>2090</v>
      </c>
      <c r="E1462" s="32">
        <v>2801.76</v>
      </c>
      <c r="F1462" s="32">
        <v>4</v>
      </c>
    </row>
    <row r="1463" spans="1:6" x14ac:dyDescent="0.3">
      <c r="A1463" s="31">
        <v>1000105875</v>
      </c>
      <c r="B1463" s="31" t="s">
        <v>2099</v>
      </c>
      <c r="C1463" s="31" t="s">
        <v>4</v>
      </c>
      <c r="D1463" s="31" t="s">
        <v>2524</v>
      </c>
      <c r="E1463" s="32">
        <v>2799.34611915906</v>
      </c>
      <c r="F1463" s="32">
        <v>38</v>
      </c>
    </row>
    <row r="1464" spans="1:6" x14ac:dyDescent="0.3">
      <c r="A1464" s="31">
        <v>1000101477</v>
      </c>
      <c r="B1464" s="31" t="s">
        <v>3048</v>
      </c>
      <c r="C1464" s="31" t="s">
        <v>2257</v>
      </c>
      <c r="D1464" s="31" t="s">
        <v>2845</v>
      </c>
      <c r="E1464" s="32">
        <v>2797.2833333333301</v>
      </c>
      <c r="F1464" s="32">
        <v>2</v>
      </c>
    </row>
    <row r="1465" spans="1:6" x14ac:dyDescent="0.3">
      <c r="A1465" s="31">
        <v>1000020134</v>
      </c>
      <c r="B1465" s="31" t="s">
        <v>388</v>
      </c>
      <c r="C1465" s="31" t="s">
        <v>4</v>
      </c>
      <c r="D1465" s="31" t="s">
        <v>2090</v>
      </c>
      <c r="E1465" s="32">
        <v>2790.41</v>
      </c>
      <c r="F1465" s="32">
        <v>1</v>
      </c>
    </row>
    <row r="1466" spans="1:6" x14ac:dyDescent="0.3">
      <c r="A1466" s="31">
        <v>2500009527</v>
      </c>
      <c r="B1466" s="31" t="s">
        <v>3049</v>
      </c>
      <c r="C1466" s="31" t="s">
        <v>1996</v>
      </c>
      <c r="D1466" s="31" t="s">
        <v>2289</v>
      </c>
      <c r="E1466" s="32">
        <v>2790</v>
      </c>
      <c r="F1466" s="32">
        <v>2</v>
      </c>
    </row>
    <row r="1467" spans="1:6" x14ac:dyDescent="0.3">
      <c r="A1467" s="31">
        <v>1000020716</v>
      </c>
      <c r="B1467" s="31" t="s">
        <v>925</v>
      </c>
      <c r="C1467" s="31" t="s">
        <v>4</v>
      </c>
      <c r="D1467" s="31" t="s">
        <v>2090</v>
      </c>
      <c r="E1467" s="32">
        <v>2789.7750000000001</v>
      </c>
      <c r="F1467" s="32">
        <v>18</v>
      </c>
    </row>
    <row r="1468" spans="1:6" x14ac:dyDescent="0.3">
      <c r="A1468" s="31">
        <v>2500008288</v>
      </c>
      <c r="B1468" s="31" t="s">
        <v>3050</v>
      </c>
      <c r="C1468" s="31" t="s">
        <v>1996</v>
      </c>
      <c r="D1468" s="31" t="s">
        <v>2025</v>
      </c>
      <c r="E1468" s="32">
        <v>2784.76283333333</v>
      </c>
      <c r="F1468" s="32">
        <v>13</v>
      </c>
    </row>
    <row r="1469" spans="1:6" x14ac:dyDescent="0.3">
      <c r="A1469" s="31">
        <v>1000093949</v>
      </c>
      <c r="B1469" s="31" t="s">
        <v>3051</v>
      </c>
      <c r="C1469" s="31" t="s">
        <v>4</v>
      </c>
      <c r="D1469" s="31" t="s">
        <v>2090</v>
      </c>
      <c r="E1469" s="32">
        <v>2780.5302000000001</v>
      </c>
      <c r="F1469" s="32">
        <v>3</v>
      </c>
    </row>
    <row r="1470" spans="1:6" x14ac:dyDescent="0.3">
      <c r="A1470" s="31">
        <v>1000092872</v>
      </c>
      <c r="B1470" s="31" t="s">
        <v>3052</v>
      </c>
      <c r="C1470" s="31" t="s">
        <v>4</v>
      </c>
      <c r="D1470" s="31" t="s">
        <v>2161</v>
      </c>
      <c r="E1470" s="32">
        <v>2776.6345714285699</v>
      </c>
      <c r="F1470" s="32">
        <v>6</v>
      </c>
    </row>
    <row r="1471" spans="1:6" x14ac:dyDescent="0.3">
      <c r="A1471" s="31">
        <v>1000020722</v>
      </c>
      <c r="B1471" s="31" t="s">
        <v>930</v>
      </c>
      <c r="C1471" s="31" t="s">
        <v>4</v>
      </c>
      <c r="D1471" s="31" t="s">
        <v>2090</v>
      </c>
      <c r="E1471" s="32">
        <v>2765.63</v>
      </c>
      <c r="F1471" s="32">
        <v>10</v>
      </c>
    </row>
    <row r="1472" spans="1:6" x14ac:dyDescent="0.3">
      <c r="A1472" s="31">
        <v>1000107062</v>
      </c>
      <c r="B1472" s="31" t="s">
        <v>3053</v>
      </c>
      <c r="C1472" s="31" t="s">
        <v>4</v>
      </c>
      <c r="D1472" s="31" t="s">
        <v>2161</v>
      </c>
      <c r="E1472" s="32">
        <v>2750.23</v>
      </c>
      <c r="F1472" s="32">
        <v>3</v>
      </c>
    </row>
    <row r="1473" spans="1:6" x14ac:dyDescent="0.3">
      <c r="A1473" s="31">
        <v>1000105264</v>
      </c>
      <c r="B1473" s="31" t="s">
        <v>3054</v>
      </c>
      <c r="C1473" s="31" t="s">
        <v>4</v>
      </c>
      <c r="D1473" s="31" t="s">
        <v>3055</v>
      </c>
      <c r="E1473" s="32">
        <v>2750</v>
      </c>
      <c r="F1473" s="32">
        <v>50</v>
      </c>
    </row>
    <row r="1474" spans="1:6" x14ac:dyDescent="0.3">
      <c r="A1474" s="31">
        <v>1000015123</v>
      </c>
      <c r="B1474" s="31" t="s">
        <v>3056</v>
      </c>
      <c r="C1474" s="31" t="s">
        <v>4</v>
      </c>
      <c r="D1474" s="31" t="s">
        <v>2043</v>
      </c>
      <c r="E1474" s="32">
        <v>2744.71614470144</v>
      </c>
      <c r="F1474" s="32">
        <v>3</v>
      </c>
    </row>
    <row r="1475" spans="1:6" x14ac:dyDescent="0.3">
      <c r="A1475" s="31">
        <v>1000020584</v>
      </c>
      <c r="B1475" s="31" t="s">
        <v>800</v>
      </c>
      <c r="C1475" s="31" t="s">
        <v>4</v>
      </c>
      <c r="D1475" s="31" t="s">
        <v>2090</v>
      </c>
      <c r="E1475" s="32">
        <v>2742.98</v>
      </c>
      <c r="F1475" s="32">
        <v>46</v>
      </c>
    </row>
    <row r="1476" spans="1:6" x14ac:dyDescent="0.3">
      <c r="A1476" s="31">
        <v>1000105118</v>
      </c>
      <c r="B1476" s="31" t="s">
        <v>3057</v>
      </c>
      <c r="C1476" s="31" t="s">
        <v>4</v>
      </c>
      <c r="D1476" s="31" t="s">
        <v>2161</v>
      </c>
      <c r="E1476" s="32">
        <v>2741.0937406584899</v>
      </c>
      <c r="F1476" s="32">
        <v>1</v>
      </c>
    </row>
    <row r="1477" spans="1:6" x14ac:dyDescent="0.3">
      <c r="A1477" s="31">
        <v>1000021193</v>
      </c>
      <c r="B1477" s="31" t="s">
        <v>1340</v>
      </c>
      <c r="C1477" s="31" t="s">
        <v>4</v>
      </c>
      <c r="D1477" s="31" t="s">
        <v>2090</v>
      </c>
      <c r="E1477" s="32">
        <v>2738.66</v>
      </c>
      <c r="F1477" s="32">
        <v>19</v>
      </c>
    </row>
    <row r="1478" spans="1:6" x14ac:dyDescent="0.3">
      <c r="A1478" s="31">
        <v>1000099634</v>
      </c>
      <c r="B1478" s="31" t="s">
        <v>3058</v>
      </c>
      <c r="C1478" s="31" t="s">
        <v>4</v>
      </c>
      <c r="D1478" s="31" t="s">
        <v>2090</v>
      </c>
      <c r="E1478" s="32">
        <v>2738.44</v>
      </c>
      <c r="F1478" s="32">
        <v>25</v>
      </c>
    </row>
    <row r="1479" spans="1:6" x14ac:dyDescent="0.3">
      <c r="A1479" s="31">
        <v>1000104359</v>
      </c>
      <c r="B1479" s="31" t="s">
        <v>3059</v>
      </c>
      <c r="C1479" s="31" t="s">
        <v>2027</v>
      </c>
      <c r="D1479" s="31" t="s">
        <v>2070</v>
      </c>
      <c r="E1479" s="32">
        <v>2737.5</v>
      </c>
      <c r="F1479" s="32">
        <v>1</v>
      </c>
    </row>
    <row r="1480" spans="1:6" x14ac:dyDescent="0.3">
      <c r="A1480" s="31">
        <v>1000020655</v>
      </c>
      <c r="B1480" s="31" t="s">
        <v>868</v>
      </c>
      <c r="C1480" s="31" t="s">
        <v>4</v>
      </c>
      <c r="D1480" s="31" t="s">
        <v>2090</v>
      </c>
      <c r="E1480" s="32">
        <v>2736.4</v>
      </c>
      <c r="F1480" s="32">
        <v>70</v>
      </c>
    </row>
    <row r="1481" spans="1:6" x14ac:dyDescent="0.3">
      <c r="A1481" s="31">
        <v>1000099194</v>
      </c>
      <c r="B1481" s="31" t="s">
        <v>3060</v>
      </c>
      <c r="C1481" s="31" t="s">
        <v>4</v>
      </c>
      <c r="D1481" s="31" t="s">
        <v>2639</v>
      </c>
      <c r="E1481" s="32">
        <v>2735.49177528578</v>
      </c>
      <c r="F1481" s="32">
        <v>116</v>
      </c>
    </row>
    <row r="1482" spans="1:6" x14ac:dyDescent="0.3">
      <c r="A1482" s="31">
        <v>1000021364</v>
      </c>
      <c r="B1482" s="31" t="s">
        <v>1460</v>
      </c>
      <c r="C1482" s="31" t="s">
        <v>4</v>
      </c>
      <c r="D1482" s="31" t="s">
        <v>2090</v>
      </c>
      <c r="E1482" s="32">
        <v>2733.4044574203599</v>
      </c>
      <c r="F1482" s="32">
        <v>13</v>
      </c>
    </row>
    <row r="1483" spans="1:6" x14ac:dyDescent="0.3">
      <c r="A1483" s="31">
        <v>2500008294</v>
      </c>
      <c r="B1483" s="31" t="s">
        <v>3061</v>
      </c>
      <c r="C1483" s="31" t="s">
        <v>1996</v>
      </c>
      <c r="D1483" s="31" t="s">
        <v>2025</v>
      </c>
      <c r="E1483" s="32">
        <v>2722.5</v>
      </c>
      <c r="F1483" s="32">
        <v>3</v>
      </c>
    </row>
    <row r="1484" spans="1:6" x14ac:dyDescent="0.3">
      <c r="A1484" s="31">
        <v>1000020686</v>
      </c>
      <c r="B1484" s="31" t="s">
        <v>898</v>
      </c>
      <c r="C1484" s="31" t="s">
        <v>4</v>
      </c>
      <c r="D1484" s="31" t="s">
        <v>2090</v>
      </c>
      <c r="E1484" s="32">
        <v>2717.35977910156</v>
      </c>
      <c r="F1484" s="32">
        <v>32</v>
      </c>
    </row>
    <row r="1485" spans="1:6" x14ac:dyDescent="0.3">
      <c r="A1485" s="31">
        <v>1000095826</v>
      </c>
      <c r="B1485" s="31" t="s">
        <v>3062</v>
      </c>
      <c r="C1485" s="31" t="s">
        <v>4</v>
      </c>
      <c r="D1485" s="31" t="s">
        <v>2056</v>
      </c>
      <c r="E1485" s="32">
        <v>2712.8795969255798</v>
      </c>
      <c r="F1485" s="32">
        <v>1309</v>
      </c>
    </row>
    <row r="1486" spans="1:6" x14ac:dyDescent="0.3">
      <c r="A1486" s="31">
        <v>1000098449</v>
      </c>
      <c r="B1486" s="31" t="s">
        <v>1527</v>
      </c>
      <c r="C1486" s="31" t="s">
        <v>4</v>
      </c>
      <c r="D1486" s="31" t="s">
        <v>2090</v>
      </c>
      <c r="E1486" s="32">
        <v>2708.09</v>
      </c>
      <c r="F1486" s="32">
        <v>2</v>
      </c>
    </row>
    <row r="1487" spans="1:6" x14ac:dyDescent="0.3">
      <c r="A1487" s="31">
        <v>2500004256</v>
      </c>
      <c r="B1487" s="31" t="s">
        <v>1903</v>
      </c>
      <c r="C1487" s="31" t="s">
        <v>1996</v>
      </c>
      <c r="D1487" s="31" t="s">
        <v>2025</v>
      </c>
      <c r="E1487" s="32">
        <v>2706.9833335130202</v>
      </c>
      <c r="F1487" s="32">
        <v>5</v>
      </c>
    </row>
    <row r="1488" spans="1:6" x14ac:dyDescent="0.3">
      <c r="A1488" s="31">
        <v>2500008488</v>
      </c>
      <c r="B1488" s="31" t="s">
        <v>1938</v>
      </c>
      <c r="C1488" s="31" t="s">
        <v>1996</v>
      </c>
      <c r="D1488" s="31" t="s">
        <v>2025</v>
      </c>
      <c r="E1488" s="32">
        <v>2700</v>
      </c>
      <c r="F1488" s="32">
        <v>5</v>
      </c>
    </row>
    <row r="1489" spans="1:6" x14ac:dyDescent="0.3">
      <c r="A1489" s="31">
        <v>2500009187</v>
      </c>
      <c r="B1489" s="31" t="s">
        <v>3063</v>
      </c>
      <c r="C1489" s="31" t="s">
        <v>1996</v>
      </c>
      <c r="D1489" s="31" t="s">
        <v>2025</v>
      </c>
      <c r="E1489" s="32">
        <v>2700</v>
      </c>
      <c r="F1489" s="32">
        <v>4</v>
      </c>
    </row>
    <row r="1490" spans="1:6" x14ac:dyDescent="0.3">
      <c r="A1490" s="31">
        <v>2500008558</v>
      </c>
      <c r="B1490" s="31" t="s">
        <v>3064</v>
      </c>
      <c r="C1490" s="31" t="s">
        <v>1996</v>
      </c>
      <c r="D1490" s="31" t="s">
        <v>2025</v>
      </c>
      <c r="E1490" s="32">
        <v>2696.6261111111098</v>
      </c>
      <c r="F1490" s="32">
        <v>12</v>
      </c>
    </row>
    <row r="1491" spans="1:6" x14ac:dyDescent="0.3">
      <c r="A1491" s="31">
        <v>1000106060</v>
      </c>
      <c r="B1491" s="31" t="s">
        <v>3065</v>
      </c>
      <c r="C1491" s="31" t="s">
        <v>4</v>
      </c>
      <c r="D1491" s="31" t="s">
        <v>2161</v>
      </c>
      <c r="E1491" s="32">
        <v>2689.65</v>
      </c>
      <c r="F1491" s="32">
        <v>5</v>
      </c>
    </row>
    <row r="1492" spans="1:6" x14ac:dyDescent="0.3">
      <c r="A1492" s="31">
        <v>1000096711</v>
      </c>
      <c r="B1492" s="31" t="s">
        <v>3066</v>
      </c>
      <c r="C1492" s="31" t="s">
        <v>4</v>
      </c>
      <c r="D1492" s="31" t="s">
        <v>2090</v>
      </c>
      <c r="E1492" s="32">
        <v>2689.1120454545398</v>
      </c>
      <c r="F1492" s="32">
        <v>21</v>
      </c>
    </row>
    <row r="1493" spans="1:6" x14ac:dyDescent="0.3">
      <c r="A1493" s="31">
        <v>1000097644</v>
      </c>
      <c r="B1493" s="31" t="s">
        <v>3067</v>
      </c>
      <c r="C1493" s="31" t="s">
        <v>4</v>
      </c>
      <c r="D1493" s="31" t="s">
        <v>2090</v>
      </c>
      <c r="E1493" s="32">
        <v>2683.31</v>
      </c>
      <c r="F1493" s="32">
        <v>5</v>
      </c>
    </row>
    <row r="1494" spans="1:6" x14ac:dyDescent="0.3">
      <c r="A1494" s="31">
        <v>1000100339</v>
      </c>
      <c r="B1494" s="31" t="s">
        <v>3068</v>
      </c>
      <c r="C1494" s="31" t="s">
        <v>4</v>
      </c>
      <c r="D1494" s="31" t="s">
        <v>2090</v>
      </c>
      <c r="E1494" s="32">
        <v>2682.74</v>
      </c>
      <c r="F1494" s="32">
        <v>21</v>
      </c>
    </row>
    <row r="1495" spans="1:6" x14ac:dyDescent="0.3">
      <c r="A1495" s="31">
        <v>1000103521</v>
      </c>
      <c r="B1495" s="31" t="s">
        <v>1823</v>
      </c>
      <c r="C1495" s="31" t="s">
        <v>4</v>
      </c>
      <c r="D1495" s="31" t="s">
        <v>2090</v>
      </c>
      <c r="E1495" s="32">
        <v>2679.79</v>
      </c>
      <c r="F1495" s="32">
        <v>1</v>
      </c>
    </row>
    <row r="1496" spans="1:6" x14ac:dyDescent="0.3">
      <c r="A1496" s="31">
        <v>2500009353</v>
      </c>
      <c r="B1496" s="31" t="s">
        <v>3069</v>
      </c>
      <c r="C1496" s="31" t="s">
        <v>1996</v>
      </c>
      <c r="D1496" s="31" t="s">
        <v>2025</v>
      </c>
      <c r="E1496" s="32">
        <v>2679</v>
      </c>
      <c r="F1496" s="32">
        <v>4</v>
      </c>
    </row>
    <row r="1497" spans="1:6" x14ac:dyDescent="0.3">
      <c r="A1497" s="31">
        <v>1000110935</v>
      </c>
      <c r="B1497" s="31" t="s">
        <v>3070</v>
      </c>
      <c r="C1497" s="31" t="s">
        <v>2027</v>
      </c>
      <c r="D1497" s="31" t="s">
        <v>2035</v>
      </c>
      <c r="E1497" s="32">
        <v>2677.5</v>
      </c>
      <c r="F1497" s="32">
        <v>1</v>
      </c>
    </row>
    <row r="1498" spans="1:6" x14ac:dyDescent="0.3">
      <c r="A1498" s="31">
        <v>1000020987</v>
      </c>
      <c r="B1498" s="31" t="s">
        <v>1161</v>
      </c>
      <c r="C1498" s="31" t="s">
        <v>4</v>
      </c>
      <c r="D1498" s="31" t="s">
        <v>2090</v>
      </c>
      <c r="E1498" s="32">
        <v>2676.63</v>
      </c>
      <c r="F1498" s="32">
        <v>29</v>
      </c>
    </row>
    <row r="1499" spans="1:6" x14ac:dyDescent="0.3">
      <c r="A1499" s="31">
        <v>2500008238</v>
      </c>
      <c r="B1499" s="31" t="s">
        <v>1921</v>
      </c>
      <c r="C1499" s="31" t="s">
        <v>1996</v>
      </c>
      <c r="D1499" s="31" t="s">
        <v>2025</v>
      </c>
      <c r="E1499" s="32">
        <v>2673.75</v>
      </c>
      <c r="F1499" s="32">
        <v>1</v>
      </c>
    </row>
    <row r="1500" spans="1:6" x14ac:dyDescent="0.3">
      <c r="A1500" s="31">
        <v>2200002925</v>
      </c>
      <c r="B1500" s="31" t="s">
        <v>189</v>
      </c>
      <c r="C1500" s="31" t="s">
        <v>2037</v>
      </c>
      <c r="D1500" s="31" t="s">
        <v>2038</v>
      </c>
      <c r="E1500" s="32">
        <v>2673.22</v>
      </c>
      <c r="F1500" s="32">
        <v>2</v>
      </c>
    </row>
    <row r="1501" spans="1:6" x14ac:dyDescent="0.3">
      <c r="A1501" s="31">
        <v>2500008956</v>
      </c>
      <c r="B1501" s="31" t="s">
        <v>1950</v>
      </c>
      <c r="C1501" s="31" t="s">
        <v>1996</v>
      </c>
      <c r="D1501" s="31" t="s">
        <v>2025</v>
      </c>
      <c r="E1501" s="32">
        <v>2662.88</v>
      </c>
      <c r="F1501" s="32">
        <v>1</v>
      </c>
    </row>
    <row r="1502" spans="1:6" x14ac:dyDescent="0.3">
      <c r="A1502" s="31">
        <v>1000107658</v>
      </c>
      <c r="B1502" s="31" t="s">
        <v>136</v>
      </c>
      <c r="C1502" s="31" t="s">
        <v>4</v>
      </c>
      <c r="D1502" s="31" t="s">
        <v>2161</v>
      </c>
      <c r="E1502" s="32">
        <v>2660.46</v>
      </c>
      <c r="F1502" s="32">
        <v>10</v>
      </c>
    </row>
    <row r="1503" spans="1:6" x14ac:dyDescent="0.3">
      <c r="A1503" s="31">
        <v>1000106109</v>
      </c>
      <c r="B1503" s="31" t="s">
        <v>127</v>
      </c>
      <c r="C1503" s="31" t="s">
        <v>4</v>
      </c>
      <c r="D1503" s="31" t="s">
        <v>2161</v>
      </c>
      <c r="E1503" s="32">
        <v>2655.42</v>
      </c>
      <c r="F1503" s="32">
        <v>10</v>
      </c>
    </row>
    <row r="1504" spans="1:6" x14ac:dyDescent="0.3">
      <c r="A1504" s="31">
        <v>1000020690</v>
      </c>
      <c r="B1504" s="31" t="s">
        <v>902</v>
      </c>
      <c r="C1504" s="31" t="s">
        <v>4</v>
      </c>
      <c r="D1504" s="31" t="s">
        <v>2090</v>
      </c>
      <c r="E1504" s="32">
        <v>2649.3437142857101</v>
      </c>
      <c r="F1504" s="32">
        <v>33</v>
      </c>
    </row>
    <row r="1505" spans="1:6" x14ac:dyDescent="0.3">
      <c r="A1505" s="31">
        <v>1000020962</v>
      </c>
      <c r="B1505" s="31" t="s">
        <v>1139</v>
      </c>
      <c r="C1505" s="31" t="s">
        <v>4</v>
      </c>
      <c r="D1505" s="31" t="s">
        <v>2090</v>
      </c>
      <c r="E1505" s="32">
        <v>2641.8311111111102</v>
      </c>
      <c r="F1505" s="32">
        <v>8</v>
      </c>
    </row>
    <row r="1506" spans="1:6" x14ac:dyDescent="0.3">
      <c r="A1506" s="31">
        <v>1000020841</v>
      </c>
      <c r="B1506" s="31" t="s">
        <v>1034</v>
      </c>
      <c r="C1506" s="31" t="s">
        <v>4</v>
      </c>
      <c r="D1506" s="31" t="s">
        <v>2090</v>
      </c>
      <c r="E1506" s="32">
        <v>2639.8419776002502</v>
      </c>
      <c r="F1506" s="32">
        <v>17</v>
      </c>
    </row>
    <row r="1507" spans="1:6" x14ac:dyDescent="0.3">
      <c r="A1507" s="31">
        <v>2500005842</v>
      </c>
      <c r="B1507" s="31" t="s">
        <v>1907</v>
      </c>
      <c r="C1507" s="31" t="s">
        <v>1996</v>
      </c>
      <c r="D1507" s="31" t="s">
        <v>2025</v>
      </c>
      <c r="E1507" s="32">
        <v>2637.19</v>
      </c>
      <c r="F1507" s="32">
        <v>16</v>
      </c>
    </row>
    <row r="1508" spans="1:6" x14ac:dyDescent="0.3">
      <c r="A1508" s="31">
        <v>1000020706</v>
      </c>
      <c r="B1508" s="31" t="s">
        <v>915</v>
      </c>
      <c r="C1508" s="31" t="s">
        <v>4</v>
      </c>
      <c r="D1508" s="31" t="s">
        <v>2218</v>
      </c>
      <c r="E1508" s="32">
        <v>2632.5</v>
      </c>
      <c r="F1508" s="32">
        <v>20</v>
      </c>
    </row>
    <row r="1509" spans="1:6" x14ac:dyDescent="0.3">
      <c r="A1509" s="31">
        <v>1000020790</v>
      </c>
      <c r="B1509" s="31" t="s">
        <v>994</v>
      </c>
      <c r="C1509" s="31" t="s">
        <v>4</v>
      </c>
      <c r="D1509" s="31" t="s">
        <v>2090</v>
      </c>
      <c r="E1509" s="32">
        <v>2632.31</v>
      </c>
      <c r="F1509" s="32">
        <v>27</v>
      </c>
    </row>
    <row r="1510" spans="1:6" x14ac:dyDescent="0.3">
      <c r="A1510" s="31">
        <v>1000108324</v>
      </c>
      <c r="B1510" s="31" t="s">
        <v>1837</v>
      </c>
      <c r="C1510" s="31" t="s">
        <v>4</v>
      </c>
      <c r="D1510" s="31" t="s">
        <v>2090</v>
      </c>
      <c r="E1510" s="32">
        <v>2631</v>
      </c>
      <c r="F1510" s="32">
        <v>5</v>
      </c>
    </row>
    <row r="1511" spans="1:6" x14ac:dyDescent="0.3">
      <c r="A1511" s="31">
        <v>1000109986</v>
      </c>
      <c r="B1511" s="31" t="s">
        <v>3071</v>
      </c>
      <c r="C1511" s="31" t="s">
        <v>4</v>
      </c>
      <c r="D1511" s="31" t="s">
        <v>2043</v>
      </c>
      <c r="E1511" s="32">
        <v>2629.8</v>
      </c>
      <c r="F1511" s="32">
        <v>6</v>
      </c>
    </row>
    <row r="1512" spans="1:6" x14ac:dyDescent="0.3">
      <c r="A1512" s="31">
        <v>2500008759</v>
      </c>
      <c r="B1512" s="31" t="s">
        <v>3072</v>
      </c>
      <c r="C1512" s="31" t="s">
        <v>1996</v>
      </c>
      <c r="D1512" s="31" t="s">
        <v>2025</v>
      </c>
      <c r="E1512" s="32">
        <v>2628.9</v>
      </c>
      <c r="F1512" s="32">
        <v>3</v>
      </c>
    </row>
    <row r="1513" spans="1:6" x14ac:dyDescent="0.3">
      <c r="A1513" s="31">
        <v>1000020475</v>
      </c>
      <c r="B1513" s="31" t="s">
        <v>701</v>
      </c>
      <c r="C1513" s="31" t="s">
        <v>4</v>
      </c>
      <c r="D1513" s="31" t="s">
        <v>2090</v>
      </c>
      <c r="E1513" s="32">
        <v>2622</v>
      </c>
      <c r="F1513" s="32">
        <v>95</v>
      </c>
    </row>
    <row r="1514" spans="1:6" x14ac:dyDescent="0.3">
      <c r="A1514" s="31">
        <v>1000020089</v>
      </c>
      <c r="B1514" s="31" t="s">
        <v>348</v>
      </c>
      <c r="C1514" s="31" t="s">
        <v>4</v>
      </c>
      <c r="D1514" s="31" t="s">
        <v>2090</v>
      </c>
      <c r="E1514" s="32">
        <v>2620.125</v>
      </c>
      <c r="F1514" s="32">
        <v>15</v>
      </c>
    </row>
    <row r="1515" spans="1:6" x14ac:dyDescent="0.3">
      <c r="A1515" s="31">
        <v>2500008141</v>
      </c>
      <c r="B1515" s="31" t="s">
        <v>3073</v>
      </c>
      <c r="C1515" s="31" t="s">
        <v>1996</v>
      </c>
      <c r="D1515" s="31" t="s">
        <v>2025</v>
      </c>
      <c r="E1515" s="32">
        <v>2604.0949999999998</v>
      </c>
      <c r="F1515" s="32">
        <v>5</v>
      </c>
    </row>
    <row r="1516" spans="1:6" x14ac:dyDescent="0.3">
      <c r="A1516" s="31">
        <v>1000101359</v>
      </c>
      <c r="B1516" s="31" t="s">
        <v>3074</v>
      </c>
      <c r="C1516" s="31" t="s">
        <v>4</v>
      </c>
      <c r="D1516" s="31" t="s">
        <v>2056</v>
      </c>
      <c r="E1516" s="32">
        <v>2600.8161987875701</v>
      </c>
      <c r="F1516" s="32">
        <v>158</v>
      </c>
    </row>
    <row r="1517" spans="1:6" x14ac:dyDescent="0.3">
      <c r="A1517" s="31">
        <v>1000110705</v>
      </c>
      <c r="B1517" s="31" t="s">
        <v>3075</v>
      </c>
      <c r="C1517" s="31" t="s">
        <v>4</v>
      </c>
      <c r="D1517" s="31" t="s">
        <v>2390</v>
      </c>
      <c r="E1517" s="32">
        <v>2598</v>
      </c>
      <c r="F1517" s="32">
        <v>8</v>
      </c>
    </row>
    <row r="1518" spans="1:6" x14ac:dyDescent="0.3">
      <c r="A1518" s="31">
        <v>2500008492</v>
      </c>
      <c r="B1518" s="31" t="s">
        <v>3076</v>
      </c>
      <c r="C1518" s="31" t="s">
        <v>1996</v>
      </c>
      <c r="D1518" s="31" t="s">
        <v>2025</v>
      </c>
      <c r="E1518" s="32">
        <v>2595</v>
      </c>
      <c r="F1518" s="32">
        <v>4</v>
      </c>
    </row>
    <row r="1519" spans="1:6" x14ac:dyDescent="0.3">
      <c r="A1519" s="31">
        <v>2200002602</v>
      </c>
      <c r="B1519" s="31" t="s">
        <v>180</v>
      </c>
      <c r="C1519" s="31" t="s">
        <v>2037</v>
      </c>
      <c r="D1519" s="31" t="s">
        <v>2038</v>
      </c>
      <c r="E1519" s="32">
        <v>2593.36</v>
      </c>
      <c r="F1519" s="32">
        <v>1</v>
      </c>
    </row>
    <row r="1520" spans="1:6" x14ac:dyDescent="0.3">
      <c r="A1520" s="31">
        <v>1000092371</v>
      </c>
      <c r="B1520" s="31" t="s">
        <v>3077</v>
      </c>
      <c r="C1520" s="31" t="s">
        <v>4</v>
      </c>
      <c r="D1520" s="31" t="s">
        <v>2161</v>
      </c>
      <c r="E1520" s="32">
        <v>2592.19</v>
      </c>
      <c r="F1520" s="32">
        <v>5</v>
      </c>
    </row>
    <row r="1521" spans="1:6" x14ac:dyDescent="0.3">
      <c r="A1521" s="31">
        <v>1000105184</v>
      </c>
      <c r="B1521" s="31" t="s">
        <v>3078</v>
      </c>
      <c r="C1521" s="31" t="s">
        <v>4</v>
      </c>
      <c r="D1521" s="31" t="s">
        <v>2056</v>
      </c>
      <c r="E1521" s="32">
        <v>2592.1815999999999</v>
      </c>
      <c r="F1521" s="32">
        <v>940</v>
      </c>
    </row>
    <row r="1522" spans="1:6" x14ac:dyDescent="0.3">
      <c r="A1522" s="31">
        <v>1000020488</v>
      </c>
      <c r="B1522" s="31" t="s">
        <v>713</v>
      </c>
      <c r="C1522" s="31" t="s">
        <v>4</v>
      </c>
      <c r="D1522" s="31" t="s">
        <v>2090</v>
      </c>
      <c r="E1522" s="32">
        <v>2588.1694520547899</v>
      </c>
      <c r="F1522" s="32">
        <v>63</v>
      </c>
    </row>
    <row r="1523" spans="1:6" x14ac:dyDescent="0.3">
      <c r="A1523" s="31">
        <v>1000111090</v>
      </c>
      <c r="B1523" s="31" t="s">
        <v>3079</v>
      </c>
      <c r="C1523" s="31" t="s">
        <v>4</v>
      </c>
      <c r="D1523" s="31" t="s">
        <v>2090</v>
      </c>
      <c r="E1523" s="32">
        <v>2588.1</v>
      </c>
      <c r="F1523" s="32">
        <v>8</v>
      </c>
    </row>
    <row r="1524" spans="1:6" x14ac:dyDescent="0.3">
      <c r="A1524" s="31">
        <v>1000020869</v>
      </c>
      <c r="B1524" s="31" t="s">
        <v>1056</v>
      </c>
      <c r="C1524" s="31" t="s">
        <v>4</v>
      </c>
      <c r="D1524" s="31" t="s">
        <v>2090</v>
      </c>
      <c r="E1524" s="32">
        <v>2576.26827913533</v>
      </c>
      <c r="F1524" s="32">
        <v>3</v>
      </c>
    </row>
    <row r="1525" spans="1:6" x14ac:dyDescent="0.3">
      <c r="A1525" s="31">
        <v>1000101343</v>
      </c>
      <c r="B1525" s="31" t="s">
        <v>3080</v>
      </c>
      <c r="C1525" s="31" t="s">
        <v>4</v>
      </c>
      <c r="D1525" s="31" t="s">
        <v>2056</v>
      </c>
      <c r="E1525" s="32">
        <v>2576.0918095237998</v>
      </c>
      <c r="F1525" s="32">
        <v>419</v>
      </c>
    </row>
    <row r="1526" spans="1:6" x14ac:dyDescent="0.3">
      <c r="A1526" s="31">
        <v>2500008973</v>
      </c>
      <c r="B1526" s="31" t="s">
        <v>1953</v>
      </c>
      <c r="C1526" s="31" t="s">
        <v>1996</v>
      </c>
      <c r="D1526" s="31" t="s">
        <v>2025</v>
      </c>
      <c r="E1526" s="32">
        <v>2575.12</v>
      </c>
      <c r="F1526" s="32">
        <v>1</v>
      </c>
    </row>
    <row r="1527" spans="1:6" x14ac:dyDescent="0.3">
      <c r="A1527" s="31">
        <v>1000020782</v>
      </c>
      <c r="B1527" s="31" t="s">
        <v>986</v>
      </c>
      <c r="C1527" s="31" t="s">
        <v>4</v>
      </c>
      <c r="D1527" s="31" t="s">
        <v>2090</v>
      </c>
      <c r="E1527" s="32">
        <v>2573.2575000000002</v>
      </c>
      <c r="F1527" s="32">
        <v>99</v>
      </c>
    </row>
    <row r="1528" spans="1:6" x14ac:dyDescent="0.3">
      <c r="A1528" s="31">
        <v>2700000103</v>
      </c>
      <c r="B1528" s="31" t="s">
        <v>255</v>
      </c>
      <c r="C1528" s="31" t="s">
        <v>2088</v>
      </c>
      <c r="D1528" s="31" t="s">
        <v>2038</v>
      </c>
      <c r="E1528" s="32">
        <v>2571.1149999999998</v>
      </c>
      <c r="F1528" s="32">
        <v>1</v>
      </c>
    </row>
    <row r="1529" spans="1:6" x14ac:dyDescent="0.3">
      <c r="A1529" s="31">
        <v>2500009469</v>
      </c>
      <c r="B1529" s="31" t="s">
        <v>3081</v>
      </c>
      <c r="C1529" s="31" t="s">
        <v>1996</v>
      </c>
      <c r="D1529" s="31" t="s">
        <v>2289</v>
      </c>
      <c r="E1529" s="32">
        <v>2568.75</v>
      </c>
      <c r="F1529" s="32">
        <v>5</v>
      </c>
    </row>
    <row r="1530" spans="1:6" x14ac:dyDescent="0.3">
      <c r="A1530" s="31">
        <v>1000021316</v>
      </c>
      <c r="B1530" s="31" t="s">
        <v>1448</v>
      </c>
      <c r="C1530" s="31" t="s">
        <v>4</v>
      </c>
      <c r="D1530" s="31" t="s">
        <v>2090</v>
      </c>
      <c r="E1530" s="32">
        <v>2567.98</v>
      </c>
      <c r="F1530" s="32">
        <v>1</v>
      </c>
    </row>
    <row r="1531" spans="1:6" x14ac:dyDescent="0.3">
      <c r="A1531" s="31">
        <v>1000093781</v>
      </c>
      <c r="B1531" s="31" t="s">
        <v>3082</v>
      </c>
      <c r="C1531" s="31" t="s">
        <v>4</v>
      </c>
      <c r="D1531" s="31" t="s">
        <v>2218</v>
      </c>
      <c r="E1531" s="32">
        <v>2567.8359587493701</v>
      </c>
      <c r="F1531" s="32">
        <v>150</v>
      </c>
    </row>
    <row r="1532" spans="1:6" x14ac:dyDescent="0.3">
      <c r="A1532" s="31">
        <v>1000098684</v>
      </c>
      <c r="B1532" s="31" t="s">
        <v>1637</v>
      </c>
      <c r="C1532" s="31" t="s">
        <v>4</v>
      </c>
      <c r="D1532" s="31" t="s">
        <v>2090</v>
      </c>
      <c r="E1532" s="32">
        <v>2563.3000000000002</v>
      </c>
      <c r="F1532" s="32">
        <v>2</v>
      </c>
    </row>
    <row r="1533" spans="1:6" x14ac:dyDescent="0.3">
      <c r="A1533" s="31">
        <v>1000098677</v>
      </c>
      <c r="B1533" s="31" t="s">
        <v>1636</v>
      </c>
      <c r="C1533" s="31" t="s">
        <v>4</v>
      </c>
      <c r="D1533" s="31" t="s">
        <v>2090</v>
      </c>
      <c r="E1533" s="32">
        <v>2563.29</v>
      </c>
      <c r="F1533" s="32">
        <v>2</v>
      </c>
    </row>
    <row r="1534" spans="1:6" x14ac:dyDescent="0.3">
      <c r="A1534" s="31">
        <v>1000020833</v>
      </c>
      <c r="B1534" s="31" t="s">
        <v>1028</v>
      </c>
      <c r="C1534" s="31" t="s">
        <v>4</v>
      </c>
      <c r="D1534" s="31" t="s">
        <v>2090</v>
      </c>
      <c r="E1534" s="32">
        <v>2551.6028477078398</v>
      </c>
      <c r="F1534" s="32">
        <v>17</v>
      </c>
    </row>
    <row r="1535" spans="1:6" x14ac:dyDescent="0.3">
      <c r="A1535" s="31">
        <v>1000020440</v>
      </c>
      <c r="B1535" s="31" t="s">
        <v>667</v>
      </c>
      <c r="C1535" s="31" t="s">
        <v>4</v>
      </c>
      <c r="D1535" s="31" t="s">
        <v>2090</v>
      </c>
      <c r="E1535" s="32">
        <v>2548.0349448306101</v>
      </c>
      <c r="F1535" s="32">
        <v>185</v>
      </c>
    </row>
    <row r="1536" spans="1:6" x14ac:dyDescent="0.3">
      <c r="A1536" s="31">
        <v>1000099415</v>
      </c>
      <c r="B1536" s="31" t="s">
        <v>3083</v>
      </c>
      <c r="C1536" s="31" t="s">
        <v>4</v>
      </c>
      <c r="D1536" s="31" t="s">
        <v>2056</v>
      </c>
      <c r="E1536" s="32">
        <v>2547.2115183615801</v>
      </c>
      <c r="F1536" s="32">
        <v>5</v>
      </c>
    </row>
    <row r="1537" spans="1:6" x14ac:dyDescent="0.3">
      <c r="A1537" s="31">
        <v>1000010205</v>
      </c>
      <c r="B1537" s="31" t="s">
        <v>3084</v>
      </c>
      <c r="C1537" s="31" t="s">
        <v>4</v>
      </c>
      <c r="D1537" s="31" t="s">
        <v>2230</v>
      </c>
      <c r="E1537" s="32">
        <v>2546.9526133333302</v>
      </c>
      <c r="F1537" s="32">
        <v>4</v>
      </c>
    </row>
    <row r="1538" spans="1:6" x14ac:dyDescent="0.3">
      <c r="A1538" s="31">
        <v>1000098219</v>
      </c>
      <c r="B1538" s="31" t="s">
        <v>3085</v>
      </c>
      <c r="C1538" s="31" t="s">
        <v>4</v>
      </c>
      <c r="D1538" s="31" t="s">
        <v>2218</v>
      </c>
      <c r="E1538" s="32">
        <v>2544.6728870858601</v>
      </c>
      <c r="F1538" s="32">
        <v>160</v>
      </c>
    </row>
    <row r="1539" spans="1:6" x14ac:dyDescent="0.3">
      <c r="A1539" s="31">
        <v>1000021275</v>
      </c>
      <c r="B1539" s="31" t="s">
        <v>1414</v>
      </c>
      <c r="C1539" s="31" t="s">
        <v>4</v>
      </c>
      <c r="D1539" s="31" t="s">
        <v>2090</v>
      </c>
      <c r="E1539" s="32">
        <v>2540.85</v>
      </c>
      <c r="F1539" s="32">
        <v>7</v>
      </c>
    </row>
    <row r="1540" spans="1:6" x14ac:dyDescent="0.3">
      <c r="A1540" s="31">
        <v>1000020130</v>
      </c>
      <c r="B1540" s="31" t="s">
        <v>385</v>
      </c>
      <c r="C1540" s="31" t="s">
        <v>4</v>
      </c>
      <c r="D1540" s="31" t="s">
        <v>2090</v>
      </c>
      <c r="E1540" s="32">
        <v>2539.6799999999998</v>
      </c>
      <c r="F1540" s="32">
        <v>2</v>
      </c>
    </row>
    <row r="1541" spans="1:6" x14ac:dyDescent="0.3">
      <c r="A1541" s="31">
        <v>1000020131</v>
      </c>
      <c r="B1541" s="31" t="s">
        <v>386</v>
      </c>
      <c r="C1541" s="31" t="s">
        <v>4</v>
      </c>
      <c r="D1541" s="31" t="s">
        <v>2090</v>
      </c>
      <c r="E1541" s="32">
        <v>2539.6799999999998</v>
      </c>
      <c r="F1541" s="32">
        <v>2</v>
      </c>
    </row>
    <row r="1542" spans="1:6" x14ac:dyDescent="0.3">
      <c r="A1542" s="31">
        <v>1000021490</v>
      </c>
      <c r="B1542" s="31" t="s">
        <v>1496</v>
      </c>
      <c r="C1542" s="31" t="s">
        <v>4</v>
      </c>
      <c r="D1542" s="31" t="s">
        <v>2090</v>
      </c>
      <c r="E1542" s="32">
        <v>2537.5479999999998</v>
      </c>
      <c r="F1542" s="32">
        <v>19</v>
      </c>
    </row>
    <row r="1543" spans="1:6" x14ac:dyDescent="0.3">
      <c r="A1543" s="31">
        <v>1000103509</v>
      </c>
      <c r="B1543" s="31" t="s">
        <v>2079</v>
      </c>
      <c r="C1543" s="31" t="s">
        <v>2165</v>
      </c>
      <c r="D1543" s="31" t="s">
        <v>2043</v>
      </c>
      <c r="E1543" s="32">
        <v>2526.828</v>
      </c>
      <c r="F1543" s="32">
        <v>8</v>
      </c>
    </row>
    <row r="1544" spans="1:6" x14ac:dyDescent="0.3">
      <c r="A1544" s="31">
        <v>1000098839</v>
      </c>
      <c r="B1544" s="31" t="s">
        <v>3086</v>
      </c>
      <c r="C1544" s="31" t="s">
        <v>4</v>
      </c>
      <c r="D1544" s="31" t="s">
        <v>2056</v>
      </c>
      <c r="E1544" s="32">
        <v>2524.8573230769198</v>
      </c>
      <c r="F1544" s="32">
        <v>150</v>
      </c>
    </row>
    <row r="1545" spans="1:6" x14ac:dyDescent="0.3">
      <c r="A1545" s="31">
        <v>1000021325</v>
      </c>
      <c r="B1545" s="31" t="s">
        <v>1457</v>
      </c>
      <c r="C1545" s="31" t="s">
        <v>4</v>
      </c>
      <c r="D1545" s="31" t="s">
        <v>2090</v>
      </c>
      <c r="E1545" s="32">
        <v>2523.65</v>
      </c>
      <c r="F1545" s="32">
        <v>5</v>
      </c>
    </row>
    <row r="1546" spans="1:6" x14ac:dyDescent="0.3">
      <c r="A1546" s="31">
        <v>1000098607</v>
      </c>
      <c r="B1546" s="31" t="s">
        <v>1611</v>
      </c>
      <c r="C1546" s="31" t="s">
        <v>4</v>
      </c>
      <c r="D1546" s="31" t="s">
        <v>2090</v>
      </c>
      <c r="E1546" s="32">
        <v>2518.8209499999998</v>
      </c>
      <c r="F1546" s="32">
        <v>3</v>
      </c>
    </row>
    <row r="1547" spans="1:6" x14ac:dyDescent="0.3">
      <c r="A1547" s="31">
        <v>2100006944</v>
      </c>
      <c r="B1547" s="31" t="s">
        <v>3087</v>
      </c>
      <c r="C1547" s="31" t="s">
        <v>2030</v>
      </c>
      <c r="D1547" s="31" t="s">
        <v>2031</v>
      </c>
      <c r="E1547" s="32">
        <v>2515.5</v>
      </c>
      <c r="F1547" s="32">
        <v>3</v>
      </c>
    </row>
    <row r="1548" spans="1:6" x14ac:dyDescent="0.3">
      <c r="A1548" s="31">
        <v>1000097167</v>
      </c>
      <c r="B1548" s="31" t="s">
        <v>1849</v>
      </c>
      <c r="C1548" s="31" t="s">
        <v>4</v>
      </c>
      <c r="D1548" s="31" t="s">
        <v>2056</v>
      </c>
      <c r="E1548" s="32">
        <v>2515.3200000000002</v>
      </c>
      <c r="F1548" s="32">
        <v>850</v>
      </c>
    </row>
    <row r="1549" spans="1:6" x14ac:dyDescent="0.3">
      <c r="A1549" s="31">
        <v>1000021091</v>
      </c>
      <c r="B1549" s="31" t="s">
        <v>1253</v>
      </c>
      <c r="C1549" s="31" t="s">
        <v>4</v>
      </c>
      <c r="D1549" s="31" t="s">
        <v>2090</v>
      </c>
      <c r="E1549" s="32">
        <v>2504.2141093117398</v>
      </c>
      <c r="F1549" s="32">
        <v>26</v>
      </c>
    </row>
    <row r="1550" spans="1:6" x14ac:dyDescent="0.3">
      <c r="A1550" s="31">
        <v>1000020704</v>
      </c>
      <c r="B1550" s="31" t="s">
        <v>914</v>
      </c>
      <c r="C1550" s="31" t="s">
        <v>4</v>
      </c>
      <c r="D1550" s="31" t="s">
        <v>2218</v>
      </c>
      <c r="E1550" s="32">
        <v>2503.9392440117199</v>
      </c>
      <c r="F1550" s="32">
        <v>20</v>
      </c>
    </row>
    <row r="1551" spans="1:6" x14ac:dyDescent="0.3">
      <c r="A1551" s="31">
        <v>1000103202</v>
      </c>
      <c r="B1551" s="31" t="s">
        <v>1809</v>
      </c>
      <c r="C1551" s="31" t="s">
        <v>4</v>
      </c>
      <c r="D1551" s="31" t="s">
        <v>2090</v>
      </c>
      <c r="E1551" s="32">
        <v>2503.46</v>
      </c>
      <c r="F1551" s="32">
        <v>15</v>
      </c>
    </row>
    <row r="1552" spans="1:6" x14ac:dyDescent="0.3">
      <c r="A1552" s="31">
        <v>1000021059</v>
      </c>
      <c r="B1552" s="31" t="s">
        <v>1224</v>
      </c>
      <c r="C1552" s="31" t="s">
        <v>4</v>
      </c>
      <c r="D1552" s="31" t="s">
        <v>2090</v>
      </c>
      <c r="E1552" s="32">
        <v>2502.5675000000001</v>
      </c>
      <c r="F1552" s="32">
        <v>3</v>
      </c>
    </row>
    <row r="1553" spans="1:6" x14ac:dyDescent="0.3">
      <c r="A1553" s="31">
        <v>1000110680</v>
      </c>
      <c r="B1553" s="31" t="s">
        <v>3088</v>
      </c>
      <c r="C1553" s="31" t="s">
        <v>2027</v>
      </c>
      <c r="D1553" s="31" t="s">
        <v>2035</v>
      </c>
      <c r="E1553" s="32">
        <v>2499.75</v>
      </c>
      <c r="F1553" s="32">
        <v>1</v>
      </c>
    </row>
    <row r="1554" spans="1:6" x14ac:dyDescent="0.3">
      <c r="A1554" s="31">
        <v>2500009115</v>
      </c>
      <c r="B1554" s="31" t="s">
        <v>1972</v>
      </c>
      <c r="C1554" s="31" t="s">
        <v>1996</v>
      </c>
      <c r="D1554" s="31" t="s">
        <v>2289</v>
      </c>
      <c r="E1554" s="32">
        <v>2497.5</v>
      </c>
      <c r="F1554" s="32">
        <v>20</v>
      </c>
    </row>
    <row r="1555" spans="1:6" x14ac:dyDescent="0.3">
      <c r="A1555" s="31">
        <v>1000020106</v>
      </c>
      <c r="B1555" s="31" t="s">
        <v>362</v>
      </c>
      <c r="C1555" s="31" t="s">
        <v>4</v>
      </c>
      <c r="D1555" s="31" t="s">
        <v>2090</v>
      </c>
      <c r="E1555" s="32">
        <v>2488.1999999999998</v>
      </c>
      <c r="F1555" s="32">
        <v>8</v>
      </c>
    </row>
    <row r="1556" spans="1:6" x14ac:dyDescent="0.3">
      <c r="A1556" s="31">
        <v>1000021283</v>
      </c>
      <c r="B1556" s="31" t="s">
        <v>1420</v>
      </c>
      <c r="C1556" s="31" t="s">
        <v>4</v>
      </c>
      <c r="D1556" s="31" t="s">
        <v>2090</v>
      </c>
      <c r="E1556" s="32">
        <v>2486.89</v>
      </c>
      <c r="F1556" s="32">
        <v>7</v>
      </c>
    </row>
    <row r="1557" spans="1:6" x14ac:dyDescent="0.3">
      <c r="A1557" s="31">
        <v>1000098636</v>
      </c>
      <c r="B1557" s="31" t="s">
        <v>1614</v>
      </c>
      <c r="C1557" s="31" t="s">
        <v>4</v>
      </c>
      <c r="D1557" s="31" t="s">
        <v>2090</v>
      </c>
      <c r="E1557" s="32">
        <v>2485.73</v>
      </c>
      <c r="F1557" s="32">
        <v>3</v>
      </c>
    </row>
    <row r="1558" spans="1:6" x14ac:dyDescent="0.3">
      <c r="A1558" s="31">
        <v>1000108302</v>
      </c>
      <c r="B1558" s="31" t="s">
        <v>110</v>
      </c>
      <c r="C1558" s="31" t="s">
        <v>4</v>
      </c>
      <c r="D1558" s="31" t="s">
        <v>2161</v>
      </c>
      <c r="E1558" s="32">
        <v>2485.6799999999998</v>
      </c>
      <c r="F1558" s="32">
        <v>4</v>
      </c>
    </row>
    <row r="1559" spans="1:6" x14ac:dyDescent="0.3">
      <c r="A1559" s="31">
        <v>1000098982</v>
      </c>
      <c r="B1559" s="31" t="s">
        <v>3089</v>
      </c>
      <c r="C1559" s="31" t="s">
        <v>4</v>
      </c>
      <c r="D1559" s="31" t="s">
        <v>2056</v>
      </c>
      <c r="E1559" s="32">
        <v>2479.5066666666598</v>
      </c>
      <c r="F1559" s="32">
        <v>20</v>
      </c>
    </row>
    <row r="1560" spans="1:6" x14ac:dyDescent="0.3">
      <c r="A1560" s="31">
        <v>1000110640</v>
      </c>
      <c r="B1560" s="31" t="s">
        <v>3090</v>
      </c>
      <c r="C1560" s="31" t="s">
        <v>4</v>
      </c>
      <c r="D1560" s="31" t="s">
        <v>2043</v>
      </c>
      <c r="E1560" s="32">
        <v>2477.0300000000002</v>
      </c>
      <c r="F1560" s="32">
        <v>7</v>
      </c>
    </row>
    <row r="1561" spans="1:6" x14ac:dyDescent="0.3">
      <c r="A1561" s="31">
        <v>1000098672</v>
      </c>
      <c r="B1561" s="31" t="s">
        <v>1632</v>
      </c>
      <c r="C1561" s="31" t="s">
        <v>4</v>
      </c>
      <c r="D1561" s="31" t="s">
        <v>2090</v>
      </c>
      <c r="E1561" s="32">
        <v>2469.0495999999998</v>
      </c>
      <c r="F1561" s="32">
        <v>67</v>
      </c>
    </row>
    <row r="1562" spans="1:6" x14ac:dyDescent="0.3">
      <c r="A1562" s="31">
        <v>1000020536</v>
      </c>
      <c r="B1562" s="31" t="s">
        <v>757</v>
      </c>
      <c r="C1562" s="31" t="s">
        <v>4</v>
      </c>
      <c r="D1562" s="31" t="s">
        <v>2090</v>
      </c>
      <c r="E1562" s="32">
        <v>2468.1999999999998</v>
      </c>
      <c r="F1562" s="32">
        <v>10</v>
      </c>
    </row>
    <row r="1563" spans="1:6" x14ac:dyDescent="0.3">
      <c r="A1563" s="31">
        <v>1000097847</v>
      </c>
      <c r="B1563" s="31" t="s">
        <v>3091</v>
      </c>
      <c r="C1563" s="31" t="s">
        <v>4</v>
      </c>
      <c r="D1563" s="31" t="s">
        <v>2161</v>
      </c>
      <c r="E1563" s="32">
        <v>2467.13</v>
      </c>
      <c r="F1563" s="32">
        <v>3</v>
      </c>
    </row>
    <row r="1564" spans="1:6" x14ac:dyDescent="0.3">
      <c r="A1564" s="31">
        <v>1000100371</v>
      </c>
      <c r="B1564" s="31" t="s">
        <v>1710</v>
      </c>
      <c r="C1564" s="31" t="s">
        <v>4</v>
      </c>
      <c r="D1564" s="31" t="s">
        <v>2090</v>
      </c>
      <c r="E1564" s="32">
        <v>2465.6999999999998</v>
      </c>
      <c r="F1564" s="32">
        <v>13</v>
      </c>
    </row>
    <row r="1565" spans="1:6" x14ac:dyDescent="0.3">
      <c r="A1565" s="31">
        <v>80000002255</v>
      </c>
      <c r="B1565" s="31" t="s">
        <v>3092</v>
      </c>
      <c r="C1565" s="31" t="s">
        <v>2521</v>
      </c>
      <c r="D1565" s="31" t="s">
        <v>2645</v>
      </c>
      <c r="E1565" s="32">
        <v>2465.4</v>
      </c>
      <c r="F1565" s="32">
        <v>587</v>
      </c>
    </row>
    <row r="1566" spans="1:6" x14ac:dyDescent="0.3">
      <c r="A1566" s="31">
        <v>2200000383</v>
      </c>
      <c r="B1566" s="31" t="s">
        <v>153</v>
      </c>
      <c r="C1566" s="31" t="s">
        <v>2037</v>
      </c>
      <c r="D1566" s="31" t="s">
        <v>2038</v>
      </c>
      <c r="E1566" s="32">
        <v>2463.91</v>
      </c>
      <c r="F1566" s="32">
        <v>1</v>
      </c>
    </row>
    <row r="1567" spans="1:6" x14ac:dyDescent="0.3">
      <c r="A1567" s="31">
        <v>2200000383</v>
      </c>
      <c r="B1567" s="31" t="s">
        <v>153</v>
      </c>
      <c r="C1567" s="31" t="s">
        <v>2088</v>
      </c>
      <c r="D1567" s="31" t="s">
        <v>2038</v>
      </c>
      <c r="E1567" s="32">
        <v>2463.91</v>
      </c>
      <c r="F1567" s="32">
        <v>1</v>
      </c>
    </row>
    <row r="1568" spans="1:6" x14ac:dyDescent="0.3">
      <c r="A1568" s="31">
        <v>1000020874</v>
      </c>
      <c r="B1568" s="31" t="s">
        <v>1059</v>
      </c>
      <c r="C1568" s="31" t="s">
        <v>4</v>
      </c>
      <c r="D1568" s="31" t="s">
        <v>2090</v>
      </c>
      <c r="E1568" s="32">
        <v>2460.06</v>
      </c>
      <c r="F1568" s="32">
        <v>3</v>
      </c>
    </row>
    <row r="1569" spans="1:6" x14ac:dyDescent="0.3">
      <c r="A1569" s="31">
        <v>1000020879</v>
      </c>
      <c r="B1569" s="31" t="s">
        <v>1063</v>
      </c>
      <c r="C1569" s="31" t="s">
        <v>4</v>
      </c>
      <c r="D1569" s="31" t="s">
        <v>2090</v>
      </c>
      <c r="E1569" s="32">
        <v>2456.6799999999998</v>
      </c>
      <c r="F1569" s="32">
        <v>2</v>
      </c>
    </row>
    <row r="1570" spans="1:6" x14ac:dyDescent="0.3">
      <c r="A1570" s="31">
        <v>1000020472</v>
      </c>
      <c r="B1570" s="31" t="s">
        <v>698</v>
      </c>
      <c r="C1570" s="31" t="s">
        <v>4</v>
      </c>
      <c r="D1570" s="31" t="s">
        <v>2090</v>
      </c>
      <c r="E1570" s="32">
        <v>2454.3000000000002</v>
      </c>
      <c r="F1570" s="32">
        <v>101</v>
      </c>
    </row>
    <row r="1571" spans="1:6" x14ac:dyDescent="0.3">
      <c r="A1571" s="31">
        <v>1000098974</v>
      </c>
      <c r="B1571" s="31" t="s">
        <v>3093</v>
      </c>
      <c r="C1571" s="31" t="s">
        <v>4</v>
      </c>
      <c r="D1571" s="31" t="s">
        <v>2056</v>
      </c>
      <c r="E1571" s="32">
        <v>2449.9783333333298</v>
      </c>
      <c r="F1571" s="32">
        <v>6</v>
      </c>
    </row>
    <row r="1572" spans="1:6" x14ac:dyDescent="0.3">
      <c r="A1572" s="31">
        <v>1000095439</v>
      </c>
      <c r="B1572" s="31" t="s">
        <v>3094</v>
      </c>
      <c r="C1572" s="31" t="s">
        <v>4</v>
      </c>
      <c r="D1572" s="31" t="s">
        <v>2090</v>
      </c>
      <c r="E1572" s="32">
        <v>2444.44</v>
      </c>
      <c r="F1572" s="32">
        <v>1</v>
      </c>
    </row>
    <row r="1573" spans="1:6" x14ac:dyDescent="0.3">
      <c r="A1573" s="31">
        <v>1000102209</v>
      </c>
      <c r="B1573" s="31" t="s">
        <v>1771</v>
      </c>
      <c r="C1573" s="31" t="s">
        <v>4</v>
      </c>
      <c r="D1573" s="31" t="s">
        <v>2090</v>
      </c>
      <c r="E1573" s="32">
        <v>2441.59</v>
      </c>
      <c r="F1573" s="32">
        <v>1</v>
      </c>
    </row>
    <row r="1574" spans="1:6" x14ac:dyDescent="0.3">
      <c r="A1574" s="31">
        <v>1000020139</v>
      </c>
      <c r="B1574" s="31" t="s">
        <v>393</v>
      </c>
      <c r="C1574" s="31" t="s">
        <v>4</v>
      </c>
      <c r="D1574" s="31" t="s">
        <v>2090</v>
      </c>
      <c r="E1574" s="32">
        <v>2441.0839999999998</v>
      </c>
      <c r="F1574" s="32">
        <v>95</v>
      </c>
    </row>
    <row r="1575" spans="1:6" x14ac:dyDescent="0.3">
      <c r="A1575" s="31">
        <v>1000093529</v>
      </c>
      <c r="B1575" s="31" t="s">
        <v>3095</v>
      </c>
      <c r="C1575" s="31" t="s">
        <v>2109</v>
      </c>
      <c r="D1575" s="31" t="s">
        <v>2070</v>
      </c>
      <c r="E1575" s="32">
        <v>2440.75</v>
      </c>
      <c r="F1575" s="32">
        <v>2</v>
      </c>
    </row>
    <row r="1576" spans="1:6" x14ac:dyDescent="0.3">
      <c r="A1576" s="31">
        <v>1000093580</v>
      </c>
      <c r="B1576" s="31" t="s">
        <v>3096</v>
      </c>
      <c r="C1576" s="31" t="s">
        <v>4</v>
      </c>
      <c r="D1576" s="31" t="s">
        <v>2056</v>
      </c>
      <c r="E1576" s="32">
        <v>2439.5184283827298</v>
      </c>
      <c r="F1576" s="32">
        <v>1478</v>
      </c>
    </row>
    <row r="1577" spans="1:6" x14ac:dyDescent="0.3">
      <c r="A1577" s="31">
        <v>2100004248</v>
      </c>
      <c r="B1577" s="31" t="s">
        <v>3097</v>
      </c>
      <c r="C1577" s="31" t="s">
        <v>2037</v>
      </c>
      <c r="D1577" s="31" t="s">
        <v>2031</v>
      </c>
      <c r="E1577" s="32">
        <v>2430.1055494141701</v>
      </c>
      <c r="F1577" s="32">
        <v>21</v>
      </c>
    </row>
    <row r="1578" spans="1:6" x14ac:dyDescent="0.3">
      <c r="A1578" s="31">
        <v>1000021218</v>
      </c>
      <c r="B1578" s="31" t="s">
        <v>1364</v>
      </c>
      <c r="C1578" s="31" t="s">
        <v>4</v>
      </c>
      <c r="D1578" s="31" t="s">
        <v>2218</v>
      </c>
      <c r="E1578" s="32">
        <v>2424.152</v>
      </c>
      <c r="F1578" s="32">
        <v>12</v>
      </c>
    </row>
    <row r="1579" spans="1:6" x14ac:dyDescent="0.3">
      <c r="A1579" s="31">
        <v>1000021262</v>
      </c>
      <c r="B1579" s="31" t="s">
        <v>1406</v>
      </c>
      <c r="C1579" s="31" t="s">
        <v>4</v>
      </c>
      <c r="D1579" s="31" t="s">
        <v>2090</v>
      </c>
      <c r="E1579" s="32">
        <v>2423.1750000000002</v>
      </c>
      <c r="F1579" s="32">
        <v>2</v>
      </c>
    </row>
    <row r="1580" spans="1:6" x14ac:dyDescent="0.3">
      <c r="A1580" s="31">
        <v>1000093206</v>
      </c>
      <c r="B1580" s="31" t="s">
        <v>3098</v>
      </c>
      <c r="C1580" s="31" t="s">
        <v>2027</v>
      </c>
      <c r="D1580" s="31" t="s">
        <v>2399</v>
      </c>
      <c r="E1580" s="32">
        <v>2421.9529411764702</v>
      </c>
      <c r="F1580" s="32">
        <v>2</v>
      </c>
    </row>
    <row r="1581" spans="1:6" x14ac:dyDescent="0.3">
      <c r="A1581" s="31">
        <v>1000021264</v>
      </c>
      <c r="B1581" s="31" t="s">
        <v>1407</v>
      </c>
      <c r="C1581" s="31" t="s">
        <v>4</v>
      </c>
      <c r="D1581" s="31" t="s">
        <v>2090</v>
      </c>
      <c r="E1581" s="32">
        <v>2414.5</v>
      </c>
      <c r="F1581" s="32">
        <v>2</v>
      </c>
    </row>
    <row r="1582" spans="1:6" x14ac:dyDescent="0.3">
      <c r="A1582" s="31">
        <v>1000021300</v>
      </c>
      <c r="B1582" s="31" t="s">
        <v>1435</v>
      </c>
      <c r="C1582" s="31" t="s">
        <v>4</v>
      </c>
      <c r="D1582" s="31" t="s">
        <v>2090</v>
      </c>
      <c r="E1582" s="32">
        <v>2412.1999999999998</v>
      </c>
      <c r="F1582" s="32">
        <v>4</v>
      </c>
    </row>
    <row r="1583" spans="1:6" x14ac:dyDescent="0.3">
      <c r="A1583" s="31">
        <v>2500008168</v>
      </c>
      <c r="B1583" s="31" t="s">
        <v>3099</v>
      </c>
      <c r="C1583" s="31" t="s">
        <v>1996</v>
      </c>
      <c r="D1583" s="31" t="s">
        <v>2025</v>
      </c>
      <c r="E1583" s="32">
        <v>2411.4850000000001</v>
      </c>
      <c r="F1583" s="32">
        <v>10</v>
      </c>
    </row>
    <row r="1584" spans="1:6" x14ac:dyDescent="0.3">
      <c r="A1584" s="31">
        <v>1000093991</v>
      </c>
      <c r="B1584" s="31" t="s">
        <v>3100</v>
      </c>
      <c r="C1584" s="31" t="s">
        <v>2257</v>
      </c>
      <c r="D1584" s="31" t="s">
        <v>2070</v>
      </c>
      <c r="E1584" s="32">
        <v>2403.79</v>
      </c>
      <c r="F1584" s="32">
        <v>1</v>
      </c>
    </row>
    <row r="1585" spans="1:6" x14ac:dyDescent="0.3">
      <c r="A1585" s="31">
        <v>1000101549</v>
      </c>
      <c r="B1585" s="31" t="s">
        <v>3101</v>
      </c>
      <c r="C1585" s="31" t="s">
        <v>4</v>
      </c>
      <c r="D1585" s="31" t="s">
        <v>2056</v>
      </c>
      <c r="E1585" s="32">
        <v>2399.4195992724599</v>
      </c>
      <c r="F1585" s="32">
        <v>3349</v>
      </c>
    </row>
    <row r="1586" spans="1:6" x14ac:dyDescent="0.3">
      <c r="A1586" s="31">
        <v>1000106263</v>
      </c>
      <c r="B1586" s="31" t="s">
        <v>3102</v>
      </c>
      <c r="C1586" s="31" t="s">
        <v>4</v>
      </c>
      <c r="D1586" s="31" t="s">
        <v>2043</v>
      </c>
      <c r="E1586" s="32">
        <v>2398</v>
      </c>
      <c r="F1586" s="32">
        <v>22</v>
      </c>
    </row>
    <row r="1587" spans="1:6" x14ac:dyDescent="0.3">
      <c r="A1587" s="31">
        <v>1000020399</v>
      </c>
      <c r="B1587" s="31" t="s">
        <v>629</v>
      </c>
      <c r="C1587" s="31" t="s">
        <v>4</v>
      </c>
      <c r="D1587" s="31" t="s">
        <v>2090</v>
      </c>
      <c r="E1587" s="32">
        <v>2387.7600000000002</v>
      </c>
      <c r="F1587" s="32">
        <v>1</v>
      </c>
    </row>
    <row r="1588" spans="1:6" x14ac:dyDescent="0.3">
      <c r="A1588" s="31">
        <v>1000015117</v>
      </c>
      <c r="B1588" s="31" t="s">
        <v>75</v>
      </c>
      <c r="C1588" s="31" t="s">
        <v>4</v>
      </c>
      <c r="D1588" s="31" t="s">
        <v>2043</v>
      </c>
      <c r="E1588" s="32">
        <v>2387.7063505215301</v>
      </c>
      <c r="F1588" s="32">
        <v>16</v>
      </c>
    </row>
    <row r="1589" spans="1:6" x14ac:dyDescent="0.3">
      <c r="A1589" s="31">
        <v>1000102418</v>
      </c>
      <c r="B1589" s="31" t="s">
        <v>1795</v>
      </c>
      <c r="C1589" s="31" t="s">
        <v>4</v>
      </c>
      <c r="D1589" s="31" t="s">
        <v>2090</v>
      </c>
      <c r="E1589" s="32">
        <v>2384.14</v>
      </c>
      <c r="F1589" s="32">
        <v>1</v>
      </c>
    </row>
    <row r="1590" spans="1:6" x14ac:dyDescent="0.3">
      <c r="A1590" s="31">
        <v>1000106067</v>
      </c>
      <c r="B1590" s="31" t="s">
        <v>3103</v>
      </c>
      <c r="C1590" s="31" t="s">
        <v>4</v>
      </c>
      <c r="D1590" s="31" t="s">
        <v>2161</v>
      </c>
      <c r="E1590" s="32">
        <v>2383.8000000000002</v>
      </c>
      <c r="F1590" s="32">
        <v>2</v>
      </c>
    </row>
    <row r="1591" spans="1:6" x14ac:dyDescent="0.3">
      <c r="A1591" s="31">
        <v>1000020191</v>
      </c>
      <c r="B1591" s="31" t="s">
        <v>432</v>
      </c>
      <c r="C1591" s="31" t="s">
        <v>4</v>
      </c>
      <c r="D1591" s="31" t="s">
        <v>2090</v>
      </c>
      <c r="E1591" s="32">
        <v>2379.69</v>
      </c>
      <c r="F1591" s="32">
        <v>3</v>
      </c>
    </row>
    <row r="1592" spans="1:6" x14ac:dyDescent="0.3">
      <c r="A1592" s="31">
        <v>1000103734</v>
      </c>
      <c r="B1592" s="31" t="s">
        <v>1874</v>
      </c>
      <c r="C1592" s="31" t="s">
        <v>4</v>
      </c>
      <c r="D1592" s="31" t="s">
        <v>2056</v>
      </c>
      <c r="E1592" s="32">
        <v>2375.58</v>
      </c>
      <c r="F1592" s="32">
        <v>200</v>
      </c>
    </row>
    <row r="1593" spans="1:6" x14ac:dyDescent="0.3">
      <c r="A1593" s="31">
        <v>1000100028</v>
      </c>
      <c r="B1593" s="31" t="s">
        <v>3104</v>
      </c>
      <c r="C1593" s="31" t="s">
        <v>4</v>
      </c>
      <c r="D1593" s="31" t="s">
        <v>2090</v>
      </c>
      <c r="E1593" s="32">
        <v>2368.3125</v>
      </c>
      <c r="F1593" s="32">
        <v>20</v>
      </c>
    </row>
    <row r="1594" spans="1:6" x14ac:dyDescent="0.3">
      <c r="A1594" s="31">
        <v>1000093528</v>
      </c>
      <c r="B1594" s="31" t="s">
        <v>3105</v>
      </c>
      <c r="C1594" s="31" t="s">
        <v>2109</v>
      </c>
      <c r="D1594" s="31" t="s">
        <v>2070</v>
      </c>
      <c r="E1594" s="32">
        <v>2365.65</v>
      </c>
      <c r="F1594" s="32">
        <v>2</v>
      </c>
    </row>
    <row r="1595" spans="1:6" x14ac:dyDescent="0.3">
      <c r="A1595" s="31">
        <v>1000111129</v>
      </c>
      <c r="B1595" s="31" t="s">
        <v>3106</v>
      </c>
      <c r="C1595" s="31" t="s">
        <v>4</v>
      </c>
      <c r="D1595" s="31" t="s">
        <v>2390</v>
      </c>
      <c r="E1595" s="32">
        <v>2364.56</v>
      </c>
      <c r="F1595" s="32">
        <v>10</v>
      </c>
    </row>
    <row r="1596" spans="1:6" x14ac:dyDescent="0.3">
      <c r="A1596" s="31">
        <v>1000102442</v>
      </c>
      <c r="B1596" s="31" t="s">
        <v>3107</v>
      </c>
      <c r="C1596" s="31" t="s">
        <v>4</v>
      </c>
      <c r="D1596" s="31" t="s">
        <v>2090</v>
      </c>
      <c r="E1596" s="32">
        <v>2361.7476923076902</v>
      </c>
      <c r="F1596" s="32">
        <v>12</v>
      </c>
    </row>
    <row r="1597" spans="1:6" x14ac:dyDescent="0.3">
      <c r="A1597" s="31">
        <v>1000020522</v>
      </c>
      <c r="B1597" s="31" t="s">
        <v>744</v>
      </c>
      <c r="C1597" s="31" t="s">
        <v>4</v>
      </c>
      <c r="D1597" s="31" t="s">
        <v>2090</v>
      </c>
      <c r="E1597" s="32">
        <v>2361.5100000000002</v>
      </c>
      <c r="F1597" s="32">
        <v>19</v>
      </c>
    </row>
    <row r="1598" spans="1:6" x14ac:dyDescent="0.3">
      <c r="A1598" s="31">
        <v>1000091843</v>
      </c>
      <c r="B1598" s="31" t="s">
        <v>3108</v>
      </c>
      <c r="C1598" s="31" t="s">
        <v>2109</v>
      </c>
      <c r="D1598" s="31" t="s">
        <v>2070</v>
      </c>
      <c r="E1598" s="32">
        <v>2357.8385259259198</v>
      </c>
      <c r="F1598" s="32">
        <v>1</v>
      </c>
    </row>
    <row r="1599" spans="1:6" x14ac:dyDescent="0.3">
      <c r="A1599" s="31">
        <v>1000020264</v>
      </c>
      <c r="B1599" s="31" t="s">
        <v>503</v>
      </c>
      <c r="C1599" s="31" t="s">
        <v>4</v>
      </c>
      <c r="D1599" s="31" t="s">
        <v>2090</v>
      </c>
      <c r="E1599" s="32">
        <v>2357.01490384615</v>
      </c>
      <c r="F1599" s="32">
        <v>126</v>
      </c>
    </row>
    <row r="1600" spans="1:6" x14ac:dyDescent="0.3">
      <c r="A1600" s="31">
        <v>1000021141</v>
      </c>
      <c r="B1600" s="31" t="s">
        <v>1292</v>
      </c>
      <c r="C1600" s="31" t="s">
        <v>4</v>
      </c>
      <c r="D1600" s="31" t="s">
        <v>2090</v>
      </c>
      <c r="E1600" s="32">
        <v>2352.1999999999998</v>
      </c>
      <c r="F1600" s="32">
        <v>4</v>
      </c>
    </row>
    <row r="1601" spans="1:6" x14ac:dyDescent="0.3">
      <c r="A1601" s="31">
        <v>1000021179</v>
      </c>
      <c r="B1601" s="31" t="s">
        <v>1326</v>
      </c>
      <c r="C1601" s="31" t="s">
        <v>4</v>
      </c>
      <c r="D1601" s="31" t="s">
        <v>2090</v>
      </c>
      <c r="E1601" s="32">
        <v>2347</v>
      </c>
      <c r="F1601" s="32">
        <v>25</v>
      </c>
    </row>
    <row r="1602" spans="1:6" x14ac:dyDescent="0.3">
      <c r="A1602" s="31">
        <v>1000093093</v>
      </c>
      <c r="B1602" s="31" t="s">
        <v>3109</v>
      </c>
      <c r="C1602" s="31" t="s">
        <v>4</v>
      </c>
      <c r="D1602" s="31" t="s">
        <v>2161</v>
      </c>
      <c r="E1602" s="32">
        <v>2339.7066666666601</v>
      </c>
      <c r="F1602" s="32">
        <v>4</v>
      </c>
    </row>
    <row r="1603" spans="1:6" x14ac:dyDescent="0.3">
      <c r="A1603" s="31">
        <v>1000108561</v>
      </c>
      <c r="B1603" s="31" t="s">
        <v>3110</v>
      </c>
      <c r="C1603" s="31" t="s">
        <v>2257</v>
      </c>
      <c r="D1603" s="31" t="s">
        <v>2390</v>
      </c>
      <c r="E1603" s="32">
        <v>2338.11</v>
      </c>
      <c r="F1603" s="32">
        <v>6</v>
      </c>
    </row>
    <row r="1604" spans="1:6" x14ac:dyDescent="0.3">
      <c r="A1604" s="31">
        <v>1000098740</v>
      </c>
      <c r="B1604" s="31" t="s">
        <v>1680</v>
      </c>
      <c r="C1604" s="31" t="s">
        <v>4</v>
      </c>
      <c r="D1604" s="31" t="s">
        <v>2090</v>
      </c>
      <c r="E1604" s="32">
        <v>2324.87</v>
      </c>
      <c r="F1604" s="32">
        <v>1</v>
      </c>
    </row>
    <row r="1605" spans="1:6" x14ac:dyDescent="0.3">
      <c r="A1605" s="31">
        <v>1000015061</v>
      </c>
      <c r="B1605" s="31" t="s">
        <v>57</v>
      </c>
      <c r="C1605" s="31" t="s">
        <v>4</v>
      </c>
      <c r="D1605" s="31" t="s">
        <v>2043</v>
      </c>
      <c r="E1605" s="32">
        <v>2318.4423533333302</v>
      </c>
      <c r="F1605" s="32">
        <v>22</v>
      </c>
    </row>
    <row r="1606" spans="1:6" x14ac:dyDescent="0.3">
      <c r="A1606" s="31">
        <v>1000095824</v>
      </c>
      <c r="B1606" s="31" t="s">
        <v>3111</v>
      </c>
      <c r="C1606" s="31" t="s">
        <v>4</v>
      </c>
      <c r="D1606" s="31" t="s">
        <v>2056</v>
      </c>
      <c r="E1606" s="32">
        <v>2317.4033993141602</v>
      </c>
      <c r="F1606" s="32">
        <v>2317</v>
      </c>
    </row>
    <row r="1607" spans="1:6" x14ac:dyDescent="0.3">
      <c r="A1607" s="31">
        <v>1000002405</v>
      </c>
      <c r="B1607" s="31" t="s">
        <v>3112</v>
      </c>
      <c r="C1607" s="31" t="s">
        <v>2257</v>
      </c>
      <c r="D1607" s="31" t="s">
        <v>2070</v>
      </c>
      <c r="E1607" s="32">
        <v>2310.4499999999998</v>
      </c>
      <c r="F1607" s="32">
        <v>1</v>
      </c>
    </row>
    <row r="1608" spans="1:6" x14ac:dyDescent="0.3">
      <c r="A1608" s="31">
        <v>1000107209</v>
      </c>
      <c r="B1608" s="31" t="s">
        <v>130</v>
      </c>
      <c r="C1608" s="31" t="s">
        <v>4</v>
      </c>
      <c r="D1608" s="31" t="s">
        <v>2161</v>
      </c>
      <c r="E1608" s="32">
        <v>2308.9</v>
      </c>
      <c r="F1608" s="32">
        <v>5</v>
      </c>
    </row>
    <row r="1609" spans="1:6" x14ac:dyDescent="0.3">
      <c r="A1609" s="31">
        <v>1000100331</v>
      </c>
      <c r="B1609" s="31" t="s">
        <v>3013</v>
      </c>
      <c r="C1609" s="31" t="s">
        <v>4</v>
      </c>
      <c r="D1609" s="31" t="s">
        <v>2090</v>
      </c>
      <c r="E1609" s="32">
        <v>2308.5711000000001</v>
      </c>
      <c r="F1609" s="32">
        <v>9</v>
      </c>
    </row>
    <row r="1610" spans="1:6" x14ac:dyDescent="0.3">
      <c r="A1610" s="31">
        <v>2100004856</v>
      </c>
      <c r="B1610" s="31" t="s">
        <v>3113</v>
      </c>
      <c r="C1610" s="31" t="s">
        <v>2037</v>
      </c>
      <c r="D1610" s="31" t="s">
        <v>2031</v>
      </c>
      <c r="E1610" s="32">
        <v>2306.5239999999999</v>
      </c>
      <c r="F1610" s="32">
        <v>89</v>
      </c>
    </row>
    <row r="1611" spans="1:6" x14ac:dyDescent="0.3">
      <c r="A1611" s="31">
        <v>1000102156</v>
      </c>
      <c r="B1611" s="31" t="s">
        <v>3114</v>
      </c>
      <c r="C1611" s="31" t="s">
        <v>4</v>
      </c>
      <c r="D1611" s="31" t="s">
        <v>2043</v>
      </c>
      <c r="E1611" s="32">
        <v>2302.1865671641699</v>
      </c>
      <c r="F1611" s="32">
        <v>50</v>
      </c>
    </row>
    <row r="1612" spans="1:6" x14ac:dyDescent="0.3">
      <c r="A1612" s="31">
        <v>1000099416</v>
      </c>
      <c r="B1612" s="31" t="s">
        <v>3115</v>
      </c>
      <c r="C1612" s="31" t="s">
        <v>4</v>
      </c>
      <c r="D1612" s="31" t="s">
        <v>2056</v>
      </c>
      <c r="E1612" s="32">
        <v>2301.06494814814</v>
      </c>
      <c r="F1612" s="32">
        <v>8</v>
      </c>
    </row>
    <row r="1613" spans="1:6" x14ac:dyDescent="0.3">
      <c r="A1613" s="31">
        <v>1000020192</v>
      </c>
      <c r="B1613" s="31" t="s">
        <v>433</v>
      </c>
      <c r="C1613" s="31" t="s">
        <v>4</v>
      </c>
      <c r="D1613" s="31" t="s">
        <v>2090</v>
      </c>
      <c r="E1613" s="32">
        <v>2299.9</v>
      </c>
      <c r="F1613" s="32">
        <v>2</v>
      </c>
    </row>
    <row r="1614" spans="1:6" x14ac:dyDescent="0.3">
      <c r="A1614" s="31">
        <v>1000021478</v>
      </c>
      <c r="B1614" s="31" t="s">
        <v>1492</v>
      </c>
      <c r="C1614" s="31" t="s">
        <v>4</v>
      </c>
      <c r="D1614" s="31" t="s">
        <v>2090</v>
      </c>
      <c r="E1614" s="32">
        <v>2299.1</v>
      </c>
      <c r="F1614" s="32">
        <v>3</v>
      </c>
    </row>
    <row r="1615" spans="1:6" x14ac:dyDescent="0.3">
      <c r="A1615" s="31">
        <v>2500006443</v>
      </c>
      <c r="B1615" s="31" t="s">
        <v>3116</v>
      </c>
      <c r="C1615" s="31" t="s">
        <v>1996</v>
      </c>
      <c r="D1615" s="31" t="s">
        <v>2025</v>
      </c>
      <c r="E1615" s="32">
        <v>2299.0915465367898</v>
      </c>
      <c r="F1615" s="32">
        <v>26</v>
      </c>
    </row>
    <row r="1616" spans="1:6" x14ac:dyDescent="0.3">
      <c r="A1616" s="31">
        <v>2500006616</v>
      </c>
      <c r="B1616" s="31" t="s">
        <v>1914</v>
      </c>
      <c r="C1616" s="31" t="s">
        <v>1996</v>
      </c>
      <c r="D1616" s="31" t="s">
        <v>2025</v>
      </c>
      <c r="E1616" s="32">
        <v>2298.2605796350199</v>
      </c>
      <c r="F1616" s="32">
        <v>10</v>
      </c>
    </row>
    <row r="1617" spans="1:6" x14ac:dyDescent="0.3">
      <c r="A1617" s="31">
        <v>2500008150</v>
      </c>
      <c r="B1617" s="31" t="s">
        <v>3117</v>
      </c>
      <c r="C1617" s="31" t="s">
        <v>1996</v>
      </c>
      <c r="D1617" s="31" t="s">
        <v>2025</v>
      </c>
      <c r="E1617" s="32">
        <v>2291.625</v>
      </c>
      <c r="F1617" s="32">
        <v>23</v>
      </c>
    </row>
    <row r="1618" spans="1:6" x14ac:dyDescent="0.3">
      <c r="A1618" s="31">
        <v>2500002166</v>
      </c>
      <c r="B1618" s="31" t="s">
        <v>1898</v>
      </c>
      <c r="C1618" s="31" t="s">
        <v>1996</v>
      </c>
      <c r="D1618" s="31" t="s">
        <v>2025</v>
      </c>
      <c r="E1618" s="32">
        <v>2289.5729999999999</v>
      </c>
      <c r="F1618" s="32">
        <v>6</v>
      </c>
    </row>
    <row r="1619" spans="1:6" x14ac:dyDescent="0.3">
      <c r="A1619" s="31">
        <v>2700000272</v>
      </c>
      <c r="B1619" s="31" t="s">
        <v>308</v>
      </c>
      <c r="C1619" s="31" t="s">
        <v>2037</v>
      </c>
      <c r="D1619" s="31" t="s">
        <v>2038</v>
      </c>
      <c r="E1619" s="32">
        <v>2284.7354166666601</v>
      </c>
      <c r="F1619" s="32">
        <v>1</v>
      </c>
    </row>
    <row r="1620" spans="1:6" x14ac:dyDescent="0.3">
      <c r="A1620" s="31">
        <v>1000093395</v>
      </c>
      <c r="B1620" s="31" t="s">
        <v>3118</v>
      </c>
      <c r="C1620" s="31" t="s">
        <v>4</v>
      </c>
      <c r="D1620" s="31" t="s">
        <v>2090</v>
      </c>
      <c r="E1620" s="32">
        <v>2283.3302941176398</v>
      </c>
      <c r="F1620" s="32">
        <v>6</v>
      </c>
    </row>
    <row r="1621" spans="1:6" x14ac:dyDescent="0.3">
      <c r="A1621" s="31">
        <v>1000110872</v>
      </c>
      <c r="B1621" s="31" t="s">
        <v>3119</v>
      </c>
      <c r="C1621" s="31" t="s">
        <v>4</v>
      </c>
      <c r="D1621" s="31" t="s">
        <v>2043</v>
      </c>
      <c r="E1621" s="32">
        <v>2280</v>
      </c>
      <c r="F1621" s="32">
        <v>100</v>
      </c>
    </row>
    <row r="1622" spans="1:6" x14ac:dyDescent="0.3">
      <c r="A1622" s="31">
        <v>80000009763</v>
      </c>
      <c r="B1622" s="31" t="s">
        <v>3120</v>
      </c>
      <c r="C1622" s="31" t="s">
        <v>2521</v>
      </c>
      <c r="D1622" s="31" t="s">
        <v>2670</v>
      </c>
      <c r="E1622" s="32">
        <v>2280</v>
      </c>
      <c r="F1622" s="32">
        <v>114</v>
      </c>
    </row>
    <row r="1623" spans="1:6" x14ac:dyDescent="0.3">
      <c r="A1623" s="31">
        <v>1000020649</v>
      </c>
      <c r="B1623" s="31" t="s">
        <v>863</v>
      </c>
      <c r="C1623" s="31" t="s">
        <v>4</v>
      </c>
      <c r="D1623" s="31" t="s">
        <v>2090</v>
      </c>
      <c r="E1623" s="32">
        <v>2268.1677789473601</v>
      </c>
      <c r="F1623" s="32">
        <v>97</v>
      </c>
    </row>
    <row r="1624" spans="1:6" x14ac:dyDescent="0.3">
      <c r="A1624" s="31">
        <v>1000020648</v>
      </c>
      <c r="B1624" s="31" t="s">
        <v>862</v>
      </c>
      <c r="C1624" s="31" t="s">
        <v>4</v>
      </c>
      <c r="D1624" s="31" t="s">
        <v>2090</v>
      </c>
      <c r="E1624" s="32">
        <v>2268</v>
      </c>
      <c r="F1624" s="32">
        <v>90</v>
      </c>
    </row>
    <row r="1625" spans="1:6" x14ac:dyDescent="0.3">
      <c r="A1625" s="31">
        <v>1000097012</v>
      </c>
      <c r="B1625" s="31" t="s">
        <v>3121</v>
      </c>
      <c r="C1625" s="31" t="s">
        <v>4</v>
      </c>
      <c r="D1625" s="31" t="s">
        <v>3037</v>
      </c>
      <c r="E1625" s="32">
        <v>2262.4</v>
      </c>
      <c r="F1625" s="32">
        <v>40</v>
      </c>
    </row>
    <row r="1626" spans="1:6" x14ac:dyDescent="0.3">
      <c r="A1626" s="31">
        <v>2500007806</v>
      </c>
      <c r="B1626" s="31" t="s">
        <v>3122</v>
      </c>
      <c r="C1626" s="31" t="s">
        <v>1996</v>
      </c>
      <c r="D1626" s="31" t="s">
        <v>2025</v>
      </c>
      <c r="E1626" s="32">
        <v>2261.7610677083298</v>
      </c>
      <c r="F1626" s="32">
        <v>5</v>
      </c>
    </row>
    <row r="1627" spans="1:6" x14ac:dyDescent="0.3">
      <c r="A1627" s="31">
        <v>1000100402</v>
      </c>
      <c r="B1627" s="31" t="s">
        <v>3123</v>
      </c>
      <c r="C1627" s="31" t="s">
        <v>4</v>
      </c>
      <c r="D1627" s="31" t="s">
        <v>2090</v>
      </c>
      <c r="E1627" s="32">
        <v>2261.59</v>
      </c>
      <c r="F1627" s="32">
        <v>9</v>
      </c>
    </row>
    <row r="1628" spans="1:6" x14ac:dyDescent="0.3">
      <c r="A1628" s="31">
        <v>1000020460</v>
      </c>
      <c r="B1628" s="31" t="s">
        <v>686</v>
      </c>
      <c r="C1628" s="31" t="s">
        <v>4</v>
      </c>
      <c r="D1628" s="31" t="s">
        <v>2090</v>
      </c>
      <c r="E1628" s="32">
        <v>2258.9105573663601</v>
      </c>
      <c r="F1628" s="32">
        <v>114</v>
      </c>
    </row>
    <row r="1629" spans="1:6" x14ac:dyDescent="0.3">
      <c r="A1629" s="31">
        <v>1000015108</v>
      </c>
      <c r="B1629" s="31" t="s">
        <v>3124</v>
      </c>
      <c r="C1629" s="31" t="s">
        <v>4</v>
      </c>
      <c r="D1629" s="31" t="s">
        <v>2043</v>
      </c>
      <c r="E1629" s="32">
        <v>2257.5</v>
      </c>
      <c r="F1629" s="32">
        <v>3</v>
      </c>
    </row>
    <row r="1630" spans="1:6" x14ac:dyDescent="0.3">
      <c r="A1630" s="31">
        <v>1000099692</v>
      </c>
      <c r="B1630" s="31" t="s">
        <v>3125</v>
      </c>
      <c r="C1630" s="31" t="s">
        <v>4</v>
      </c>
      <c r="D1630" s="31" t="s">
        <v>2090</v>
      </c>
      <c r="E1630" s="32">
        <v>2253.4875000000002</v>
      </c>
      <c r="F1630" s="32">
        <v>1</v>
      </c>
    </row>
    <row r="1631" spans="1:6" x14ac:dyDescent="0.3">
      <c r="A1631" s="31">
        <v>1000021007</v>
      </c>
      <c r="B1631" s="31" t="s">
        <v>1179</v>
      </c>
      <c r="C1631" s="31" t="s">
        <v>4</v>
      </c>
      <c r="D1631" s="31" t="s">
        <v>2090</v>
      </c>
      <c r="E1631" s="32">
        <v>2252.0239999999999</v>
      </c>
      <c r="F1631" s="32">
        <v>17</v>
      </c>
    </row>
    <row r="1632" spans="1:6" x14ac:dyDescent="0.3">
      <c r="A1632" s="31">
        <v>1000110876</v>
      </c>
      <c r="B1632" s="31" t="s">
        <v>3126</v>
      </c>
      <c r="C1632" s="31" t="s">
        <v>4</v>
      </c>
      <c r="D1632" s="31" t="s">
        <v>2043</v>
      </c>
      <c r="E1632" s="32">
        <v>2250.36</v>
      </c>
      <c r="F1632" s="32">
        <v>63</v>
      </c>
    </row>
    <row r="1633" spans="1:6" x14ac:dyDescent="0.3">
      <c r="A1633" s="31">
        <v>1000021050</v>
      </c>
      <c r="B1633" s="31" t="s">
        <v>1217</v>
      </c>
      <c r="C1633" s="31" t="s">
        <v>4</v>
      </c>
      <c r="D1633" s="31" t="s">
        <v>2090</v>
      </c>
      <c r="E1633" s="32">
        <v>2248.6472727272699</v>
      </c>
      <c r="F1633" s="32">
        <v>6</v>
      </c>
    </row>
    <row r="1634" spans="1:6" x14ac:dyDescent="0.3">
      <c r="A1634" s="31">
        <v>1000092712</v>
      </c>
      <c r="B1634" s="31" t="s">
        <v>3127</v>
      </c>
      <c r="C1634" s="31" t="s">
        <v>2257</v>
      </c>
      <c r="D1634" s="31" t="s">
        <v>2234</v>
      </c>
      <c r="E1634" s="32">
        <v>2247.5947523867399</v>
      </c>
      <c r="F1634" s="32">
        <v>5</v>
      </c>
    </row>
    <row r="1635" spans="1:6" x14ac:dyDescent="0.3">
      <c r="A1635" s="31">
        <v>1000020196</v>
      </c>
      <c r="B1635" s="31" t="s">
        <v>437</v>
      </c>
      <c r="C1635" s="31" t="s">
        <v>4</v>
      </c>
      <c r="D1635" s="31" t="s">
        <v>2090</v>
      </c>
      <c r="E1635" s="32">
        <v>2246.4</v>
      </c>
      <c r="F1635" s="32">
        <v>13</v>
      </c>
    </row>
    <row r="1636" spans="1:6" x14ac:dyDescent="0.3">
      <c r="A1636" s="31">
        <v>80000003055</v>
      </c>
      <c r="B1636" s="31" t="s">
        <v>3128</v>
      </c>
      <c r="C1636" s="31" t="s">
        <v>2521</v>
      </c>
      <c r="D1636" s="31" t="s">
        <v>3129</v>
      </c>
      <c r="E1636" s="32">
        <v>2244</v>
      </c>
      <c r="F1636" s="32">
        <v>33</v>
      </c>
    </row>
    <row r="1637" spans="1:6" x14ac:dyDescent="0.3">
      <c r="A1637" s="31">
        <v>1000102696</v>
      </c>
      <c r="B1637" s="31" t="s">
        <v>3130</v>
      </c>
      <c r="C1637" s="31" t="s">
        <v>4</v>
      </c>
      <c r="D1637" s="31" t="s">
        <v>2882</v>
      </c>
      <c r="E1637" s="32">
        <v>2242.0348837209299</v>
      </c>
      <c r="F1637" s="32">
        <v>49</v>
      </c>
    </row>
    <row r="1638" spans="1:6" x14ac:dyDescent="0.3">
      <c r="A1638" s="31">
        <v>1000099558</v>
      </c>
      <c r="B1638" s="31" t="s">
        <v>3131</v>
      </c>
      <c r="C1638" s="31" t="s">
        <v>4</v>
      </c>
      <c r="D1638" s="31" t="s">
        <v>2090</v>
      </c>
      <c r="E1638" s="32">
        <v>2226.15</v>
      </c>
      <c r="F1638" s="32">
        <v>12</v>
      </c>
    </row>
    <row r="1639" spans="1:6" x14ac:dyDescent="0.3">
      <c r="A1639" s="31">
        <v>1000020474</v>
      </c>
      <c r="B1639" s="31" t="s">
        <v>700</v>
      </c>
      <c r="C1639" s="31" t="s">
        <v>4</v>
      </c>
      <c r="D1639" s="31" t="s">
        <v>2090</v>
      </c>
      <c r="E1639" s="32">
        <v>2225.9340659340601</v>
      </c>
      <c r="F1639" s="32">
        <v>75</v>
      </c>
    </row>
    <row r="1640" spans="1:6" x14ac:dyDescent="0.3">
      <c r="A1640" s="31">
        <v>2500008463</v>
      </c>
      <c r="B1640" s="31" t="s">
        <v>3132</v>
      </c>
      <c r="C1640" s="31" t="s">
        <v>1996</v>
      </c>
      <c r="D1640" s="31" t="s">
        <v>2025</v>
      </c>
      <c r="E1640" s="32">
        <v>2223.9030612244801</v>
      </c>
      <c r="F1640" s="32">
        <v>1</v>
      </c>
    </row>
    <row r="1641" spans="1:6" x14ac:dyDescent="0.3">
      <c r="A1641" s="31">
        <v>2500008752</v>
      </c>
      <c r="B1641" s="31" t="s">
        <v>3133</v>
      </c>
      <c r="C1641" s="31" t="s">
        <v>1996</v>
      </c>
      <c r="D1641" s="31" t="s">
        <v>2025</v>
      </c>
      <c r="E1641" s="32">
        <v>2219.6999999999998</v>
      </c>
      <c r="F1641" s="32">
        <v>2</v>
      </c>
    </row>
    <row r="1642" spans="1:6" x14ac:dyDescent="0.3">
      <c r="A1642" s="31">
        <v>1000021303</v>
      </c>
      <c r="B1642" s="31" t="s">
        <v>1438</v>
      </c>
      <c r="C1642" s="31" t="s">
        <v>4</v>
      </c>
      <c r="D1642" s="31" t="s">
        <v>2090</v>
      </c>
      <c r="E1642" s="32">
        <v>2208.9299999999998</v>
      </c>
      <c r="F1642" s="32">
        <v>3</v>
      </c>
    </row>
    <row r="1643" spans="1:6" x14ac:dyDescent="0.3">
      <c r="A1643" s="31">
        <v>1000100397</v>
      </c>
      <c r="B1643" s="31" t="s">
        <v>1725</v>
      </c>
      <c r="C1643" s="31" t="s">
        <v>4</v>
      </c>
      <c r="D1643" s="31" t="s">
        <v>2090</v>
      </c>
      <c r="E1643" s="32">
        <v>2206.8000000000002</v>
      </c>
      <c r="F1643" s="32">
        <v>4</v>
      </c>
    </row>
    <row r="1644" spans="1:6" x14ac:dyDescent="0.3">
      <c r="A1644" s="31">
        <v>1000104451</v>
      </c>
      <c r="B1644" s="31" t="s">
        <v>3134</v>
      </c>
      <c r="C1644" s="31" t="s">
        <v>2257</v>
      </c>
      <c r="D1644" s="31" t="s">
        <v>2998</v>
      </c>
      <c r="E1644" s="32">
        <v>2205.96</v>
      </c>
      <c r="F1644" s="32">
        <v>6</v>
      </c>
    </row>
    <row r="1645" spans="1:6" x14ac:dyDescent="0.3">
      <c r="A1645" s="31">
        <v>1000020680</v>
      </c>
      <c r="B1645" s="31" t="s">
        <v>893</v>
      </c>
      <c r="C1645" s="31" t="s">
        <v>4</v>
      </c>
      <c r="D1645" s="31" t="s">
        <v>2090</v>
      </c>
      <c r="E1645" s="32">
        <v>2202.91</v>
      </c>
      <c r="F1645" s="32">
        <v>7</v>
      </c>
    </row>
    <row r="1646" spans="1:6" x14ac:dyDescent="0.3">
      <c r="A1646" s="31">
        <v>2500008131</v>
      </c>
      <c r="B1646" s="31" t="s">
        <v>3135</v>
      </c>
      <c r="C1646" s="31" t="s">
        <v>1996</v>
      </c>
      <c r="D1646" s="31" t="s">
        <v>2025</v>
      </c>
      <c r="E1646" s="32">
        <v>2198.4375</v>
      </c>
      <c r="F1646" s="32">
        <v>7</v>
      </c>
    </row>
    <row r="1647" spans="1:6" x14ac:dyDescent="0.3">
      <c r="A1647" s="31">
        <v>1000102212</v>
      </c>
      <c r="B1647" s="31" t="s">
        <v>1772</v>
      </c>
      <c r="C1647" s="31" t="s">
        <v>4</v>
      </c>
      <c r="D1647" s="31" t="s">
        <v>2090</v>
      </c>
      <c r="E1647" s="32">
        <v>2190.8200000000002</v>
      </c>
      <c r="F1647" s="32">
        <v>2</v>
      </c>
    </row>
    <row r="1648" spans="1:6" x14ac:dyDescent="0.3">
      <c r="A1648" s="31">
        <v>2200003012</v>
      </c>
      <c r="B1648" s="31" t="s">
        <v>3136</v>
      </c>
      <c r="C1648" s="31" t="s">
        <v>2037</v>
      </c>
      <c r="D1648" s="31" t="s">
        <v>2038</v>
      </c>
      <c r="E1648" s="32">
        <v>2187.16</v>
      </c>
      <c r="F1648" s="32">
        <v>3</v>
      </c>
    </row>
    <row r="1649" spans="1:6" x14ac:dyDescent="0.3">
      <c r="A1649" s="31">
        <v>1000097295</v>
      </c>
      <c r="B1649" s="31" t="s">
        <v>3137</v>
      </c>
      <c r="C1649" s="31" t="s">
        <v>4</v>
      </c>
      <c r="D1649" s="31" t="s">
        <v>2161</v>
      </c>
      <c r="E1649" s="32">
        <v>2187</v>
      </c>
      <c r="F1649" s="32">
        <v>2</v>
      </c>
    </row>
    <row r="1650" spans="1:6" x14ac:dyDescent="0.3">
      <c r="A1650" s="31">
        <v>1000021248</v>
      </c>
      <c r="B1650" s="31" t="s">
        <v>1393</v>
      </c>
      <c r="C1650" s="31" t="s">
        <v>4</v>
      </c>
      <c r="D1650" s="31" t="s">
        <v>2090</v>
      </c>
      <c r="E1650" s="32">
        <v>2186.4499999999998</v>
      </c>
      <c r="F1650" s="32">
        <v>5</v>
      </c>
    </row>
    <row r="1651" spans="1:6" x14ac:dyDescent="0.3">
      <c r="A1651" s="31">
        <v>1000020709</v>
      </c>
      <c r="B1651" s="31" t="s">
        <v>918</v>
      </c>
      <c r="C1651" s="31" t="s">
        <v>4</v>
      </c>
      <c r="D1651" s="31" t="s">
        <v>2090</v>
      </c>
      <c r="E1651" s="32">
        <v>2186.28666666666</v>
      </c>
      <c r="F1651" s="32">
        <v>10</v>
      </c>
    </row>
    <row r="1652" spans="1:6" x14ac:dyDescent="0.3">
      <c r="A1652" s="31">
        <v>1000020836</v>
      </c>
      <c r="B1652" s="31" t="s">
        <v>1030</v>
      </c>
      <c r="C1652" s="31" t="s">
        <v>4</v>
      </c>
      <c r="D1652" s="31" t="s">
        <v>2090</v>
      </c>
      <c r="E1652" s="32">
        <v>2179.5509999999999</v>
      </c>
      <c r="F1652" s="32">
        <v>22</v>
      </c>
    </row>
    <row r="1653" spans="1:6" x14ac:dyDescent="0.3">
      <c r="A1653" s="31">
        <v>1000100321</v>
      </c>
      <c r="B1653" s="31" t="s">
        <v>3138</v>
      </c>
      <c r="C1653" s="31" t="s">
        <v>4</v>
      </c>
      <c r="D1653" s="31" t="s">
        <v>2090</v>
      </c>
      <c r="E1653" s="32">
        <v>2179.4428571428498</v>
      </c>
      <c r="F1653" s="32">
        <v>1</v>
      </c>
    </row>
    <row r="1654" spans="1:6" x14ac:dyDescent="0.3">
      <c r="A1654" s="31">
        <v>1000093784</v>
      </c>
      <c r="B1654" s="31" t="s">
        <v>3139</v>
      </c>
      <c r="C1654" s="31" t="s">
        <v>4</v>
      </c>
      <c r="D1654" s="31" t="s">
        <v>2090</v>
      </c>
      <c r="E1654" s="32">
        <v>2171.0065185185099</v>
      </c>
      <c r="F1654" s="32">
        <v>106</v>
      </c>
    </row>
    <row r="1655" spans="1:6" x14ac:dyDescent="0.3">
      <c r="A1655" s="31">
        <v>1000020742</v>
      </c>
      <c r="B1655" s="31" t="s">
        <v>950</v>
      </c>
      <c r="C1655" s="31" t="s">
        <v>4</v>
      </c>
      <c r="D1655" s="31" t="s">
        <v>2090</v>
      </c>
      <c r="E1655" s="32">
        <v>2165.15</v>
      </c>
      <c r="F1655" s="32">
        <v>5</v>
      </c>
    </row>
    <row r="1656" spans="1:6" x14ac:dyDescent="0.3">
      <c r="A1656" s="31">
        <v>1000020583</v>
      </c>
      <c r="B1656" s="31" t="s">
        <v>799</v>
      </c>
      <c r="C1656" s="31" t="s">
        <v>4</v>
      </c>
      <c r="D1656" s="31" t="s">
        <v>2090</v>
      </c>
      <c r="E1656" s="32">
        <v>2165</v>
      </c>
      <c r="F1656" s="32">
        <v>50</v>
      </c>
    </row>
    <row r="1657" spans="1:6" x14ac:dyDescent="0.3">
      <c r="A1657" s="31">
        <v>1000111058</v>
      </c>
      <c r="B1657" s="31" t="s">
        <v>3140</v>
      </c>
      <c r="C1657" s="31" t="s">
        <v>4</v>
      </c>
      <c r="D1657" s="31" t="s">
        <v>2855</v>
      </c>
      <c r="E1657" s="32">
        <v>2160</v>
      </c>
      <c r="F1657" s="32">
        <v>24</v>
      </c>
    </row>
    <row r="1658" spans="1:6" x14ac:dyDescent="0.3">
      <c r="A1658" s="31">
        <v>2500008663</v>
      </c>
      <c r="B1658" s="31" t="s">
        <v>3141</v>
      </c>
      <c r="C1658" s="31" t="s">
        <v>1996</v>
      </c>
      <c r="D1658" s="31" t="s">
        <v>2025</v>
      </c>
      <c r="E1658" s="32">
        <v>2160</v>
      </c>
      <c r="F1658" s="32">
        <v>2</v>
      </c>
    </row>
    <row r="1659" spans="1:6" x14ac:dyDescent="0.3">
      <c r="A1659" s="31">
        <v>1000020674</v>
      </c>
      <c r="B1659" s="31" t="s">
        <v>887</v>
      </c>
      <c r="C1659" s="31" t="s">
        <v>4</v>
      </c>
      <c r="D1659" s="31" t="s">
        <v>2090</v>
      </c>
      <c r="E1659" s="32">
        <v>2154.0725806451601</v>
      </c>
      <c r="F1659" s="32">
        <v>50</v>
      </c>
    </row>
    <row r="1660" spans="1:6" x14ac:dyDescent="0.3">
      <c r="A1660" s="31">
        <v>1000010245</v>
      </c>
      <c r="B1660" s="31" t="s">
        <v>3142</v>
      </c>
      <c r="C1660" s="31" t="s">
        <v>4</v>
      </c>
      <c r="D1660" s="31" t="s">
        <v>2230</v>
      </c>
      <c r="E1660" s="32">
        <v>2153.5724</v>
      </c>
      <c r="F1660" s="32">
        <v>1</v>
      </c>
    </row>
    <row r="1661" spans="1:6" x14ac:dyDescent="0.3">
      <c r="A1661" s="31">
        <v>2500009008</v>
      </c>
      <c r="B1661" s="31" t="s">
        <v>1955</v>
      </c>
      <c r="C1661" s="31" t="s">
        <v>1996</v>
      </c>
      <c r="D1661" s="31" t="s">
        <v>2025</v>
      </c>
      <c r="E1661" s="32">
        <v>2152.5</v>
      </c>
      <c r="F1661" s="32">
        <v>1</v>
      </c>
    </row>
    <row r="1662" spans="1:6" x14ac:dyDescent="0.3">
      <c r="A1662" s="31">
        <v>2500009009</v>
      </c>
      <c r="B1662" s="31" t="s">
        <v>1956</v>
      </c>
      <c r="C1662" s="31" t="s">
        <v>1996</v>
      </c>
      <c r="D1662" s="31" t="s">
        <v>2025</v>
      </c>
      <c r="E1662" s="32">
        <v>2152.5</v>
      </c>
      <c r="F1662" s="32">
        <v>1</v>
      </c>
    </row>
    <row r="1663" spans="1:6" x14ac:dyDescent="0.3">
      <c r="A1663" s="31">
        <v>1000021257</v>
      </c>
      <c r="B1663" s="31" t="s">
        <v>1402</v>
      </c>
      <c r="C1663" s="31" t="s">
        <v>4</v>
      </c>
      <c r="D1663" s="31" t="s">
        <v>2090</v>
      </c>
      <c r="E1663" s="32">
        <v>2150.4299999999998</v>
      </c>
      <c r="F1663" s="32">
        <v>3</v>
      </c>
    </row>
    <row r="1664" spans="1:6" x14ac:dyDescent="0.3">
      <c r="A1664" s="31">
        <v>1000096963</v>
      </c>
      <c r="B1664" s="31" t="s">
        <v>3143</v>
      </c>
      <c r="C1664" s="31" t="s">
        <v>4</v>
      </c>
      <c r="D1664" s="31" t="s">
        <v>2161</v>
      </c>
      <c r="E1664" s="32">
        <v>2150.0700000000002</v>
      </c>
      <c r="F1664" s="32">
        <v>12</v>
      </c>
    </row>
    <row r="1665" spans="1:6" x14ac:dyDescent="0.3">
      <c r="A1665" s="31">
        <v>2700000213</v>
      </c>
      <c r="B1665" s="31" t="s">
        <v>3144</v>
      </c>
      <c r="C1665" s="31" t="s">
        <v>2037</v>
      </c>
      <c r="D1665" s="31" t="s">
        <v>2038</v>
      </c>
      <c r="E1665" s="32">
        <v>2143.79</v>
      </c>
      <c r="F1665" s="32">
        <v>2</v>
      </c>
    </row>
    <row r="1666" spans="1:6" x14ac:dyDescent="0.3">
      <c r="A1666" s="31">
        <v>2200011582</v>
      </c>
      <c r="B1666" s="31" t="s">
        <v>3145</v>
      </c>
      <c r="C1666" s="31" t="s">
        <v>2037</v>
      </c>
      <c r="D1666" s="31" t="s">
        <v>2038</v>
      </c>
      <c r="E1666" s="32">
        <v>2143.6799999999998</v>
      </c>
      <c r="F1666" s="32">
        <v>2</v>
      </c>
    </row>
    <row r="1667" spans="1:6" x14ac:dyDescent="0.3">
      <c r="A1667" s="31">
        <v>1000020855</v>
      </c>
      <c r="B1667" s="31" t="s">
        <v>1045</v>
      </c>
      <c r="C1667" s="31" t="s">
        <v>4</v>
      </c>
      <c r="D1667" s="31" t="s">
        <v>2090</v>
      </c>
      <c r="E1667" s="32">
        <v>2141.5765151515102</v>
      </c>
      <c r="F1667" s="32">
        <v>7</v>
      </c>
    </row>
    <row r="1668" spans="1:6" x14ac:dyDescent="0.3">
      <c r="A1668" s="31">
        <v>1000098729</v>
      </c>
      <c r="B1668" s="31" t="s">
        <v>3146</v>
      </c>
      <c r="C1668" s="31" t="s">
        <v>4</v>
      </c>
      <c r="D1668" s="31" t="s">
        <v>2070</v>
      </c>
      <c r="E1668" s="32">
        <v>2139.38</v>
      </c>
      <c r="F1668" s="32">
        <v>23</v>
      </c>
    </row>
    <row r="1669" spans="1:6" x14ac:dyDescent="0.3">
      <c r="A1669" s="31">
        <v>1000092917</v>
      </c>
      <c r="B1669" s="31" t="s">
        <v>30</v>
      </c>
      <c r="C1669" s="31" t="s">
        <v>2109</v>
      </c>
      <c r="D1669" s="31" t="s">
        <v>2070</v>
      </c>
      <c r="E1669" s="32">
        <v>2138.94</v>
      </c>
      <c r="F1669" s="32">
        <v>3</v>
      </c>
    </row>
    <row r="1670" spans="1:6" x14ac:dyDescent="0.3">
      <c r="A1670" s="31">
        <v>1000097144</v>
      </c>
      <c r="B1670" s="31" t="s">
        <v>3147</v>
      </c>
      <c r="C1670" s="31" t="s">
        <v>4</v>
      </c>
      <c r="D1670" s="31" t="s">
        <v>2056</v>
      </c>
      <c r="E1670" s="32">
        <v>2137.8719999999998</v>
      </c>
      <c r="F1670" s="32">
        <v>2</v>
      </c>
    </row>
    <row r="1671" spans="1:6" x14ac:dyDescent="0.3">
      <c r="A1671" s="31">
        <v>1000103211</v>
      </c>
      <c r="B1671" s="31" t="s">
        <v>1818</v>
      </c>
      <c r="C1671" s="31" t="s">
        <v>4</v>
      </c>
      <c r="D1671" s="31" t="s">
        <v>2090</v>
      </c>
      <c r="E1671" s="32">
        <v>2136.64</v>
      </c>
      <c r="F1671" s="32">
        <v>19</v>
      </c>
    </row>
    <row r="1672" spans="1:6" x14ac:dyDescent="0.3">
      <c r="A1672" s="31">
        <v>2100005491</v>
      </c>
      <c r="B1672" s="31" t="s">
        <v>3148</v>
      </c>
      <c r="C1672" s="31" t="s">
        <v>2414</v>
      </c>
      <c r="D1672" s="31" t="s">
        <v>3149</v>
      </c>
      <c r="E1672" s="32">
        <v>2134</v>
      </c>
      <c r="F1672" s="32">
        <v>1</v>
      </c>
    </row>
    <row r="1673" spans="1:6" x14ac:dyDescent="0.3">
      <c r="A1673" s="31">
        <v>1000021479</v>
      </c>
      <c r="B1673" s="31" t="s">
        <v>1493</v>
      </c>
      <c r="C1673" s="31" t="s">
        <v>4</v>
      </c>
      <c r="D1673" s="31" t="s">
        <v>2090</v>
      </c>
      <c r="E1673" s="32">
        <v>2133.5120000000002</v>
      </c>
      <c r="F1673" s="32">
        <v>2</v>
      </c>
    </row>
    <row r="1674" spans="1:6" x14ac:dyDescent="0.3">
      <c r="A1674" s="31">
        <v>1000020733</v>
      </c>
      <c r="B1674" s="31" t="s">
        <v>941</v>
      </c>
      <c r="C1674" s="31" t="s">
        <v>4</v>
      </c>
      <c r="D1674" s="31" t="s">
        <v>2090</v>
      </c>
      <c r="E1674" s="32">
        <v>2129.9630000000002</v>
      </c>
      <c r="F1674" s="32">
        <v>11</v>
      </c>
    </row>
    <row r="1675" spans="1:6" x14ac:dyDescent="0.3">
      <c r="A1675" s="31">
        <v>1000020039</v>
      </c>
      <c r="B1675" s="31" t="s">
        <v>3150</v>
      </c>
      <c r="C1675" s="31" t="s">
        <v>4</v>
      </c>
      <c r="D1675" s="31" t="s">
        <v>2090</v>
      </c>
      <c r="E1675" s="32">
        <v>2121.25</v>
      </c>
      <c r="F1675" s="32">
        <v>6</v>
      </c>
    </row>
    <row r="1676" spans="1:6" x14ac:dyDescent="0.3">
      <c r="A1676" s="31">
        <v>1000021009</v>
      </c>
      <c r="B1676" s="31" t="s">
        <v>1181</v>
      </c>
      <c r="C1676" s="31" t="s">
        <v>4</v>
      </c>
      <c r="D1676" s="31" t="s">
        <v>2090</v>
      </c>
      <c r="E1676" s="32">
        <v>2120.0033139858901</v>
      </c>
      <c r="F1676" s="32">
        <v>4</v>
      </c>
    </row>
    <row r="1677" spans="1:6" x14ac:dyDescent="0.3">
      <c r="A1677" s="31">
        <v>2500009497</v>
      </c>
      <c r="B1677" s="31" t="s">
        <v>3151</v>
      </c>
      <c r="C1677" s="31" t="s">
        <v>1996</v>
      </c>
      <c r="D1677" s="31" t="s">
        <v>2289</v>
      </c>
      <c r="E1677" s="32">
        <v>2115</v>
      </c>
      <c r="F1677" s="32">
        <v>3</v>
      </c>
    </row>
    <row r="1678" spans="1:6" x14ac:dyDescent="0.3">
      <c r="A1678" s="31">
        <v>1000101329</v>
      </c>
      <c r="B1678" s="31" t="s">
        <v>88</v>
      </c>
      <c r="C1678" s="31" t="s">
        <v>4</v>
      </c>
      <c r="D1678" s="31" t="s">
        <v>2043</v>
      </c>
      <c r="E1678" s="32">
        <v>2112</v>
      </c>
      <c r="F1678" s="32">
        <v>44</v>
      </c>
    </row>
    <row r="1679" spans="1:6" x14ac:dyDescent="0.3">
      <c r="A1679" s="31">
        <v>1000098706</v>
      </c>
      <c r="B1679" s="31" t="s">
        <v>334</v>
      </c>
      <c r="C1679" s="31" t="s">
        <v>4</v>
      </c>
      <c r="D1679" s="31" t="s">
        <v>2090</v>
      </c>
      <c r="E1679" s="32">
        <v>2111.61</v>
      </c>
      <c r="F1679" s="32">
        <v>4</v>
      </c>
    </row>
    <row r="1680" spans="1:6" x14ac:dyDescent="0.3">
      <c r="A1680" s="31">
        <v>1000099258</v>
      </c>
      <c r="B1680" s="31" t="s">
        <v>3152</v>
      </c>
      <c r="C1680" s="31" t="s">
        <v>4</v>
      </c>
      <c r="D1680" s="31" t="s">
        <v>2090</v>
      </c>
      <c r="E1680" s="32">
        <v>2106</v>
      </c>
      <c r="F1680" s="32">
        <v>2</v>
      </c>
    </row>
    <row r="1681" spans="1:6" x14ac:dyDescent="0.3">
      <c r="A1681" s="31">
        <v>2500008597</v>
      </c>
      <c r="B1681" s="31" t="s">
        <v>1941</v>
      </c>
      <c r="C1681" s="31" t="s">
        <v>1996</v>
      </c>
      <c r="D1681" s="31" t="s">
        <v>2025</v>
      </c>
      <c r="E1681" s="32">
        <v>2106</v>
      </c>
      <c r="F1681" s="32">
        <v>3</v>
      </c>
    </row>
    <row r="1682" spans="1:6" x14ac:dyDescent="0.3">
      <c r="A1682" s="31">
        <v>1000020523</v>
      </c>
      <c r="B1682" s="31" t="s">
        <v>745</v>
      </c>
      <c r="C1682" s="31" t="s">
        <v>4</v>
      </c>
      <c r="D1682" s="31" t="s">
        <v>2090</v>
      </c>
      <c r="E1682" s="32">
        <v>2105.34176470588</v>
      </c>
      <c r="F1682" s="32">
        <v>11</v>
      </c>
    </row>
    <row r="1683" spans="1:6" x14ac:dyDescent="0.3">
      <c r="A1683" s="31">
        <v>1000020850</v>
      </c>
      <c r="B1683" s="31" t="s">
        <v>1042</v>
      </c>
      <c r="C1683" s="31" t="s">
        <v>4</v>
      </c>
      <c r="D1683" s="31" t="s">
        <v>2090</v>
      </c>
      <c r="E1683" s="32">
        <v>2105.3062891774798</v>
      </c>
      <c r="F1683" s="32">
        <v>12</v>
      </c>
    </row>
    <row r="1684" spans="1:6" x14ac:dyDescent="0.3">
      <c r="A1684" s="31">
        <v>2500008608</v>
      </c>
      <c r="B1684" s="31" t="s">
        <v>1946</v>
      </c>
      <c r="C1684" s="31" t="s">
        <v>1996</v>
      </c>
      <c r="D1684" s="31" t="s">
        <v>2025</v>
      </c>
      <c r="E1684" s="32">
        <v>2104.4279999999999</v>
      </c>
      <c r="F1684" s="32">
        <v>3</v>
      </c>
    </row>
    <row r="1685" spans="1:6" x14ac:dyDescent="0.3">
      <c r="A1685" s="31">
        <v>1000021205</v>
      </c>
      <c r="B1685" s="31" t="s">
        <v>1351</v>
      </c>
      <c r="C1685" s="31" t="s">
        <v>4</v>
      </c>
      <c r="D1685" s="31" t="s">
        <v>2090</v>
      </c>
      <c r="E1685" s="32">
        <v>2104.1999999999998</v>
      </c>
      <c r="F1685" s="32">
        <v>18</v>
      </c>
    </row>
    <row r="1686" spans="1:6" x14ac:dyDescent="0.3">
      <c r="A1686" s="31">
        <v>1000110873</v>
      </c>
      <c r="B1686" s="31" t="s">
        <v>3153</v>
      </c>
      <c r="C1686" s="31" t="s">
        <v>4</v>
      </c>
      <c r="D1686" s="31" t="s">
        <v>2043</v>
      </c>
      <c r="E1686" s="32">
        <v>2103</v>
      </c>
      <c r="F1686" s="32">
        <v>50</v>
      </c>
    </row>
    <row r="1687" spans="1:6" x14ac:dyDescent="0.3">
      <c r="A1687" s="31">
        <v>1000021016</v>
      </c>
      <c r="B1687" s="31" t="s">
        <v>1188</v>
      </c>
      <c r="C1687" s="31" t="s">
        <v>4</v>
      </c>
      <c r="D1687" s="31" t="s">
        <v>2090</v>
      </c>
      <c r="E1687" s="32">
        <v>2098.9241666666599</v>
      </c>
      <c r="F1687" s="32">
        <v>9</v>
      </c>
    </row>
    <row r="1688" spans="1:6" x14ac:dyDescent="0.3">
      <c r="A1688" s="31">
        <v>1000106063</v>
      </c>
      <c r="B1688" s="31" t="s">
        <v>3154</v>
      </c>
      <c r="C1688" s="31" t="s">
        <v>4</v>
      </c>
      <c r="D1688" s="31" t="s">
        <v>2161</v>
      </c>
      <c r="E1688" s="32">
        <v>2096.1</v>
      </c>
      <c r="F1688" s="32">
        <v>2</v>
      </c>
    </row>
    <row r="1689" spans="1:6" x14ac:dyDescent="0.3">
      <c r="A1689" s="31">
        <v>1000106071</v>
      </c>
      <c r="B1689" s="31" t="s">
        <v>3155</v>
      </c>
      <c r="C1689" s="31" t="s">
        <v>4</v>
      </c>
      <c r="D1689" s="31" t="s">
        <v>2161</v>
      </c>
      <c r="E1689" s="32">
        <v>2096.1</v>
      </c>
      <c r="F1689" s="32">
        <v>2</v>
      </c>
    </row>
    <row r="1690" spans="1:6" x14ac:dyDescent="0.3">
      <c r="A1690" s="31">
        <v>2500009071</v>
      </c>
      <c r="B1690" s="31" t="s">
        <v>3156</v>
      </c>
      <c r="C1690" s="31" t="s">
        <v>1996</v>
      </c>
      <c r="D1690" s="31" t="s">
        <v>2289</v>
      </c>
      <c r="E1690" s="32">
        <v>2088.75</v>
      </c>
      <c r="F1690" s="32">
        <v>1</v>
      </c>
    </row>
    <row r="1691" spans="1:6" x14ac:dyDescent="0.3">
      <c r="A1691" s="31">
        <v>1000020471</v>
      </c>
      <c r="B1691" s="31" t="s">
        <v>697</v>
      </c>
      <c r="C1691" s="31" t="s">
        <v>4</v>
      </c>
      <c r="D1691" s="31" t="s">
        <v>2090</v>
      </c>
      <c r="E1691" s="32">
        <v>2088.5606382978699</v>
      </c>
      <c r="F1691" s="32">
        <v>92</v>
      </c>
    </row>
    <row r="1692" spans="1:6" x14ac:dyDescent="0.3">
      <c r="A1692" s="31">
        <v>1000098700</v>
      </c>
      <c r="B1692" s="31" t="s">
        <v>1651</v>
      </c>
      <c r="C1692" s="31" t="s">
        <v>4</v>
      </c>
      <c r="D1692" s="31" t="s">
        <v>2090</v>
      </c>
      <c r="E1692" s="32">
        <v>2085.1950000000002</v>
      </c>
      <c r="F1692" s="32">
        <v>12</v>
      </c>
    </row>
    <row r="1693" spans="1:6" x14ac:dyDescent="0.3">
      <c r="A1693" s="31">
        <v>1000020764</v>
      </c>
      <c r="B1693" s="31" t="s">
        <v>968</v>
      </c>
      <c r="C1693" s="31" t="s">
        <v>4</v>
      </c>
      <c r="D1693" s="31" t="s">
        <v>2090</v>
      </c>
      <c r="E1693" s="32">
        <v>2085.0149999999999</v>
      </c>
      <c r="F1693" s="32">
        <v>25</v>
      </c>
    </row>
    <row r="1694" spans="1:6" x14ac:dyDescent="0.3">
      <c r="A1694" s="31">
        <v>2500003026</v>
      </c>
      <c r="B1694" s="31" t="s">
        <v>3157</v>
      </c>
      <c r="C1694" s="31" t="s">
        <v>1996</v>
      </c>
      <c r="D1694" s="31" t="s">
        <v>2025</v>
      </c>
      <c r="E1694" s="32">
        <v>2082.9560631909899</v>
      </c>
      <c r="F1694" s="32">
        <v>4</v>
      </c>
    </row>
    <row r="1695" spans="1:6" x14ac:dyDescent="0.3">
      <c r="A1695" s="31">
        <v>80000009720</v>
      </c>
      <c r="B1695" s="31" t="s">
        <v>3158</v>
      </c>
      <c r="C1695" s="31" t="s">
        <v>2521</v>
      </c>
      <c r="D1695" s="31" t="s">
        <v>2670</v>
      </c>
      <c r="E1695" s="32">
        <v>2079.9346590908999</v>
      </c>
      <c r="F1695" s="32">
        <v>37</v>
      </c>
    </row>
    <row r="1696" spans="1:6" x14ac:dyDescent="0.3">
      <c r="A1696" s="31">
        <v>2500008201</v>
      </c>
      <c r="B1696" s="31" t="s">
        <v>3159</v>
      </c>
      <c r="C1696" s="31" t="s">
        <v>1996</v>
      </c>
      <c r="D1696" s="31" t="s">
        <v>2025</v>
      </c>
      <c r="E1696" s="32">
        <v>2077.5</v>
      </c>
      <c r="F1696" s="32">
        <v>2</v>
      </c>
    </row>
    <row r="1697" spans="1:6" x14ac:dyDescent="0.3">
      <c r="A1697" s="31">
        <v>1000021191</v>
      </c>
      <c r="B1697" s="31" t="s">
        <v>1338</v>
      </c>
      <c r="C1697" s="31" t="s">
        <v>4</v>
      </c>
      <c r="D1697" s="31" t="s">
        <v>2090</v>
      </c>
      <c r="E1697" s="32">
        <v>2076.8159999999998</v>
      </c>
      <c r="F1697" s="32">
        <v>4</v>
      </c>
    </row>
    <row r="1698" spans="1:6" x14ac:dyDescent="0.3">
      <c r="A1698" s="31">
        <v>2500008185</v>
      </c>
      <c r="B1698" s="31" t="s">
        <v>3160</v>
      </c>
      <c r="C1698" s="31" t="s">
        <v>1996</v>
      </c>
      <c r="D1698" s="31" t="s">
        <v>2025</v>
      </c>
      <c r="E1698" s="32">
        <v>2073.0016009599999</v>
      </c>
      <c r="F1698" s="32">
        <v>4</v>
      </c>
    </row>
    <row r="1699" spans="1:6" x14ac:dyDescent="0.3">
      <c r="A1699" s="31">
        <v>1000020424</v>
      </c>
      <c r="B1699" s="31" t="s">
        <v>652</v>
      </c>
      <c r="C1699" s="31" t="s">
        <v>4</v>
      </c>
      <c r="D1699" s="31" t="s">
        <v>2090</v>
      </c>
      <c r="E1699" s="32">
        <v>2071.1</v>
      </c>
      <c r="F1699" s="32">
        <v>278</v>
      </c>
    </row>
    <row r="1700" spans="1:6" x14ac:dyDescent="0.3">
      <c r="A1700" s="31">
        <v>2700000220</v>
      </c>
      <c r="B1700" s="31" t="s">
        <v>288</v>
      </c>
      <c r="C1700" s="31" t="s">
        <v>2037</v>
      </c>
      <c r="D1700" s="31" t="s">
        <v>2038</v>
      </c>
      <c r="E1700" s="32">
        <v>2062.1523809523801</v>
      </c>
      <c r="F1700" s="32">
        <v>5</v>
      </c>
    </row>
    <row r="1701" spans="1:6" x14ac:dyDescent="0.3">
      <c r="A1701" s="31">
        <v>1000021153</v>
      </c>
      <c r="B1701" s="31" t="s">
        <v>1302</v>
      </c>
      <c r="C1701" s="31" t="s">
        <v>4</v>
      </c>
      <c r="D1701" s="31" t="s">
        <v>2090</v>
      </c>
      <c r="E1701" s="32">
        <v>2061.04</v>
      </c>
      <c r="F1701" s="32">
        <v>8</v>
      </c>
    </row>
    <row r="1702" spans="1:6" x14ac:dyDescent="0.3">
      <c r="A1702" s="31">
        <v>1000110101</v>
      </c>
      <c r="B1702" s="31" t="s">
        <v>3161</v>
      </c>
      <c r="C1702" s="31" t="s">
        <v>2257</v>
      </c>
      <c r="D1702" s="31" t="s">
        <v>2070</v>
      </c>
      <c r="E1702" s="32">
        <v>2061</v>
      </c>
      <c r="F1702" s="32">
        <v>6</v>
      </c>
    </row>
    <row r="1703" spans="1:6" x14ac:dyDescent="0.3">
      <c r="A1703" s="31">
        <v>1000104146</v>
      </c>
      <c r="B1703" s="31" t="s">
        <v>3162</v>
      </c>
      <c r="C1703" s="31" t="s">
        <v>4</v>
      </c>
      <c r="D1703" s="31" t="s">
        <v>2161</v>
      </c>
      <c r="E1703" s="32">
        <v>2055</v>
      </c>
      <c r="F1703" s="32">
        <v>2</v>
      </c>
    </row>
    <row r="1704" spans="1:6" x14ac:dyDescent="0.3">
      <c r="A1704" s="31">
        <v>1000021243</v>
      </c>
      <c r="B1704" s="31" t="s">
        <v>1388</v>
      </c>
      <c r="C1704" s="31" t="s">
        <v>4</v>
      </c>
      <c r="D1704" s="31" t="s">
        <v>2090</v>
      </c>
      <c r="E1704" s="32">
        <v>2049.2550000000001</v>
      </c>
      <c r="F1704" s="32">
        <v>5</v>
      </c>
    </row>
    <row r="1705" spans="1:6" x14ac:dyDescent="0.3">
      <c r="A1705" s="31">
        <v>2500009473</v>
      </c>
      <c r="B1705" s="31" t="s">
        <v>3163</v>
      </c>
      <c r="C1705" s="31" t="s">
        <v>1996</v>
      </c>
      <c r="D1705" s="31" t="s">
        <v>2289</v>
      </c>
      <c r="E1705" s="32">
        <v>2047.5</v>
      </c>
      <c r="F1705" s="32">
        <v>2</v>
      </c>
    </row>
    <row r="1706" spans="1:6" x14ac:dyDescent="0.3">
      <c r="A1706" s="31">
        <v>1000020878</v>
      </c>
      <c r="B1706" s="31" t="s">
        <v>1062</v>
      </c>
      <c r="C1706" s="31" t="s">
        <v>4</v>
      </c>
      <c r="D1706" s="31" t="s">
        <v>2090</v>
      </c>
      <c r="E1706" s="32">
        <v>2042.44</v>
      </c>
      <c r="F1706" s="32">
        <v>2</v>
      </c>
    </row>
    <row r="1707" spans="1:6" x14ac:dyDescent="0.3">
      <c r="A1707" s="31">
        <v>1000021037</v>
      </c>
      <c r="B1707" s="31" t="s">
        <v>1208</v>
      </c>
      <c r="C1707" s="31" t="s">
        <v>4</v>
      </c>
      <c r="D1707" s="31" t="s">
        <v>2090</v>
      </c>
      <c r="E1707" s="32">
        <v>2039.5975000000001</v>
      </c>
      <c r="F1707" s="32">
        <v>25</v>
      </c>
    </row>
    <row r="1708" spans="1:6" x14ac:dyDescent="0.3">
      <c r="A1708" s="31">
        <v>1000103066</v>
      </c>
      <c r="B1708" s="31" t="s">
        <v>3164</v>
      </c>
      <c r="C1708" s="31" t="s">
        <v>4</v>
      </c>
      <c r="D1708" s="31" t="s">
        <v>2090</v>
      </c>
      <c r="E1708" s="32">
        <v>2038.4829388297801</v>
      </c>
      <c r="F1708" s="32">
        <v>77</v>
      </c>
    </row>
    <row r="1709" spans="1:6" x14ac:dyDescent="0.3">
      <c r="A1709" s="31">
        <v>1000110686</v>
      </c>
      <c r="B1709" s="31" t="s">
        <v>3165</v>
      </c>
      <c r="C1709" s="31" t="s">
        <v>2027</v>
      </c>
      <c r="D1709" s="31" t="s">
        <v>2070</v>
      </c>
      <c r="E1709" s="32">
        <v>2036.25</v>
      </c>
      <c r="F1709" s="32">
        <v>1</v>
      </c>
    </row>
    <row r="1710" spans="1:6" x14ac:dyDescent="0.3">
      <c r="A1710" s="31">
        <v>1000110687</v>
      </c>
      <c r="B1710" s="31" t="s">
        <v>3166</v>
      </c>
      <c r="C1710" s="31" t="s">
        <v>2027</v>
      </c>
      <c r="D1710" s="31" t="s">
        <v>2070</v>
      </c>
      <c r="E1710" s="32">
        <v>2036.25</v>
      </c>
      <c r="F1710" s="32">
        <v>1</v>
      </c>
    </row>
    <row r="1711" spans="1:6" x14ac:dyDescent="0.3">
      <c r="A1711" s="31">
        <v>1000098709</v>
      </c>
      <c r="B1711" s="31" t="s">
        <v>1657</v>
      </c>
      <c r="C1711" s="31" t="s">
        <v>4</v>
      </c>
      <c r="D1711" s="31" t="s">
        <v>2090</v>
      </c>
      <c r="E1711" s="32">
        <v>2035.36</v>
      </c>
      <c r="F1711" s="32">
        <v>2</v>
      </c>
    </row>
    <row r="1712" spans="1:6" x14ac:dyDescent="0.3">
      <c r="A1712" s="31">
        <v>80000008426</v>
      </c>
      <c r="B1712" s="31" t="s">
        <v>3167</v>
      </c>
      <c r="C1712" s="31" t="s">
        <v>2755</v>
      </c>
      <c r="D1712" s="31" t="s">
        <v>2670</v>
      </c>
      <c r="E1712" s="32">
        <v>2035</v>
      </c>
      <c r="F1712" s="32">
        <v>370</v>
      </c>
    </row>
    <row r="1713" spans="1:6" x14ac:dyDescent="0.3">
      <c r="A1713" s="31">
        <v>1000021162</v>
      </c>
      <c r="B1713" s="31" t="s">
        <v>1310</v>
      </c>
      <c r="C1713" s="31" t="s">
        <v>4</v>
      </c>
      <c r="D1713" s="31" t="s">
        <v>2090</v>
      </c>
      <c r="E1713" s="32">
        <v>2030.37</v>
      </c>
      <c r="F1713" s="32">
        <v>3</v>
      </c>
    </row>
    <row r="1714" spans="1:6" x14ac:dyDescent="0.3">
      <c r="A1714" s="31">
        <v>2500008860</v>
      </c>
      <c r="B1714" s="31" t="s">
        <v>3168</v>
      </c>
      <c r="C1714" s="31" t="s">
        <v>1996</v>
      </c>
      <c r="D1714" s="31" t="s">
        <v>2875</v>
      </c>
      <c r="E1714" s="32">
        <v>2028.6</v>
      </c>
      <c r="F1714" s="32">
        <v>110</v>
      </c>
    </row>
    <row r="1715" spans="1:6" x14ac:dyDescent="0.3">
      <c r="A1715" s="31">
        <v>1000020725</v>
      </c>
      <c r="B1715" s="31" t="s">
        <v>933</v>
      </c>
      <c r="C1715" s="31" t="s">
        <v>4</v>
      </c>
      <c r="D1715" s="31" t="s">
        <v>2090</v>
      </c>
      <c r="E1715" s="32">
        <v>2028.2504109588999</v>
      </c>
      <c r="F1715" s="32">
        <v>10</v>
      </c>
    </row>
    <row r="1716" spans="1:6" x14ac:dyDescent="0.3">
      <c r="A1716" s="31">
        <v>2500004253</v>
      </c>
      <c r="B1716" s="31" t="s">
        <v>1902</v>
      </c>
      <c r="C1716" s="31" t="s">
        <v>1996</v>
      </c>
      <c r="D1716" s="31" t="s">
        <v>2025</v>
      </c>
      <c r="E1716" s="32">
        <v>2024.1985714285699</v>
      </c>
      <c r="F1716" s="32">
        <v>3</v>
      </c>
    </row>
    <row r="1717" spans="1:6" x14ac:dyDescent="0.3">
      <c r="A1717" s="31">
        <v>1000021318</v>
      </c>
      <c r="B1717" s="31" t="s">
        <v>1450</v>
      </c>
      <c r="C1717" s="31" t="s">
        <v>4</v>
      </c>
      <c r="D1717" s="31" t="s">
        <v>2090</v>
      </c>
      <c r="E1717" s="32">
        <v>2022.88</v>
      </c>
      <c r="F1717" s="32">
        <v>4</v>
      </c>
    </row>
    <row r="1718" spans="1:6" x14ac:dyDescent="0.3">
      <c r="A1718" s="31">
        <v>1000103933</v>
      </c>
      <c r="B1718" s="31" t="s">
        <v>3169</v>
      </c>
      <c r="C1718" s="31" t="s">
        <v>2257</v>
      </c>
      <c r="D1718" s="31" t="s">
        <v>2399</v>
      </c>
      <c r="E1718" s="32">
        <v>2022.62289473684</v>
      </c>
      <c r="F1718" s="32">
        <v>15</v>
      </c>
    </row>
    <row r="1719" spans="1:6" x14ac:dyDescent="0.3">
      <c r="A1719" s="31">
        <v>1000020443</v>
      </c>
      <c r="B1719" s="31" t="s">
        <v>670</v>
      </c>
      <c r="C1719" s="31" t="s">
        <v>4</v>
      </c>
      <c r="D1719" s="31" t="s">
        <v>2090</v>
      </c>
      <c r="E1719" s="32">
        <v>2022.2218740092101</v>
      </c>
      <c r="F1719" s="32">
        <v>157</v>
      </c>
    </row>
    <row r="1720" spans="1:6" x14ac:dyDescent="0.3">
      <c r="A1720" s="31">
        <v>1000110690</v>
      </c>
      <c r="B1720" s="31" t="s">
        <v>3170</v>
      </c>
      <c r="C1720" s="31" t="s">
        <v>2027</v>
      </c>
      <c r="D1720" s="31" t="s">
        <v>2070</v>
      </c>
      <c r="E1720" s="32">
        <v>2019.375</v>
      </c>
      <c r="F1720" s="32">
        <v>1</v>
      </c>
    </row>
    <row r="1721" spans="1:6" x14ac:dyDescent="0.3">
      <c r="A1721" s="31">
        <v>2500008574</v>
      </c>
      <c r="B1721" s="31" t="s">
        <v>3171</v>
      </c>
      <c r="C1721" s="31" t="s">
        <v>1996</v>
      </c>
      <c r="D1721" s="31" t="s">
        <v>2117</v>
      </c>
      <c r="E1721" s="32">
        <v>2018.25</v>
      </c>
      <c r="F1721" s="32">
        <v>3</v>
      </c>
    </row>
    <row r="1722" spans="1:6" x14ac:dyDescent="0.3">
      <c r="A1722" s="31">
        <v>1000021058</v>
      </c>
      <c r="B1722" s="31" t="s">
        <v>1223</v>
      </c>
      <c r="C1722" s="31" t="s">
        <v>4</v>
      </c>
      <c r="D1722" s="31" t="s">
        <v>2090</v>
      </c>
      <c r="E1722" s="32">
        <v>2017.5</v>
      </c>
      <c r="F1722" s="32">
        <v>3</v>
      </c>
    </row>
    <row r="1723" spans="1:6" x14ac:dyDescent="0.3">
      <c r="A1723" s="31">
        <v>1000104705</v>
      </c>
      <c r="B1723" s="31" t="s">
        <v>3172</v>
      </c>
      <c r="C1723" s="31" t="s">
        <v>2257</v>
      </c>
      <c r="D1723" s="31" t="s">
        <v>2173</v>
      </c>
      <c r="E1723" s="32">
        <v>2016.33383412644</v>
      </c>
      <c r="F1723" s="32">
        <v>3</v>
      </c>
    </row>
    <row r="1724" spans="1:6" x14ac:dyDescent="0.3">
      <c r="A1724" s="31">
        <v>1000103785</v>
      </c>
      <c r="B1724" s="31" t="s">
        <v>3173</v>
      </c>
      <c r="C1724" s="31" t="s">
        <v>4</v>
      </c>
      <c r="D1724" s="31" t="s">
        <v>2161</v>
      </c>
      <c r="E1724" s="32">
        <v>2014.9753846153801</v>
      </c>
      <c r="F1724" s="32">
        <v>11</v>
      </c>
    </row>
    <row r="1725" spans="1:6" x14ac:dyDescent="0.3">
      <c r="A1725" s="31">
        <v>2700000287</v>
      </c>
      <c r="B1725" s="31" t="s">
        <v>3174</v>
      </c>
      <c r="C1725" s="31" t="s">
        <v>2037</v>
      </c>
      <c r="D1725" s="31" t="s">
        <v>2038</v>
      </c>
      <c r="E1725" s="32">
        <v>2007.5</v>
      </c>
      <c r="F1725" s="32">
        <v>1</v>
      </c>
    </row>
    <row r="1726" spans="1:6" x14ac:dyDescent="0.3">
      <c r="A1726" s="31">
        <v>2500008355</v>
      </c>
      <c r="B1726" s="31" t="s">
        <v>1928</v>
      </c>
      <c r="C1726" s="31" t="s">
        <v>1996</v>
      </c>
      <c r="D1726" s="31" t="s">
        <v>2811</v>
      </c>
      <c r="E1726" s="32">
        <v>2006.25</v>
      </c>
      <c r="F1726" s="32">
        <v>5</v>
      </c>
    </row>
    <row r="1727" spans="1:6" x14ac:dyDescent="0.3">
      <c r="A1727" s="31">
        <v>2100005160</v>
      </c>
      <c r="B1727" s="31" t="s">
        <v>3175</v>
      </c>
      <c r="C1727" s="31" t="s">
        <v>2030</v>
      </c>
      <c r="D1727" s="31" t="s">
        <v>2075</v>
      </c>
      <c r="E1727" s="32">
        <v>2004.75</v>
      </c>
      <c r="F1727" s="32">
        <v>2</v>
      </c>
    </row>
    <row r="1728" spans="1:6" x14ac:dyDescent="0.3">
      <c r="A1728" s="31">
        <v>1000101872</v>
      </c>
      <c r="B1728" s="31" t="s">
        <v>1756</v>
      </c>
      <c r="C1728" s="31" t="s">
        <v>4</v>
      </c>
      <c r="D1728" s="31" t="s">
        <v>2090</v>
      </c>
      <c r="E1728" s="32">
        <v>2000.18</v>
      </c>
      <c r="F1728" s="32">
        <v>11</v>
      </c>
    </row>
    <row r="1729" spans="1:6" x14ac:dyDescent="0.3">
      <c r="A1729" s="31">
        <v>2500008573</v>
      </c>
      <c r="B1729" s="31" t="s">
        <v>3176</v>
      </c>
      <c r="C1729" s="31" t="s">
        <v>1996</v>
      </c>
      <c r="D1729" s="31" t="s">
        <v>2117</v>
      </c>
      <c r="E1729" s="32">
        <v>1996.875</v>
      </c>
      <c r="F1729" s="32">
        <v>3</v>
      </c>
    </row>
    <row r="1730" spans="1:6" x14ac:dyDescent="0.3">
      <c r="A1730" s="31">
        <v>1000015099</v>
      </c>
      <c r="B1730" s="31" t="s">
        <v>70</v>
      </c>
      <c r="C1730" s="31" t="s">
        <v>4</v>
      </c>
      <c r="D1730" s="31" t="s">
        <v>2043</v>
      </c>
      <c r="E1730" s="32">
        <v>1989.3014953094801</v>
      </c>
      <c r="F1730" s="32">
        <v>57</v>
      </c>
    </row>
    <row r="1731" spans="1:6" x14ac:dyDescent="0.3">
      <c r="A1731" s="31">
        <v>1000103144</v>
      </c>
      <c r="B1731" s="31" t="s">
        <v>3177</v>
      </c>
      <c r="C1731" s="31" t="s">
        <v>4</v>
      </c>
      <c r="D1731" s="31" t="s">
        <v>2090</v>
      </c>
      <c r="E1731" s="32">
        <v>1974.6</v>
      </c>
      <c r="F1731" s="32">
        <v>8</v>
      </c>
    </row>
    <row r="1732" spans="1:6" x14ac:dyDescent="0.3">
      <c r="A1732" s="31">
        <v>1000091497</v>
      </c>
      <c r="B1732" s="31" t="s">
        <v>3178</v>
      </c>
      <c r="C1732" s="31" t="s">
        <v>2257</v>
      </c>
      <c r="D1732" s="31" t="s">
        <v>2399</v>
      </c>
      <c r="E1732" s="32">
        <v>1973.78904292372</v>
      </c>
      <c r="F1732" s="32">
        <v>19</v>
      </c>
    </row>
    <row r="1733" spans="1:6" x14ac:dyDescent="0.3">
      <c r="A1733" s="31">
        <v>1000091851</v>
      </c>
      <c r="B1733" s="31" t="s">
        <v>3179</v>
      </c>
      <c r="C1733" s="31" t="s">
        <v>2109</v>
      </c>
      <c r="D1733" s="31" t="s">
        <v>2070</v>
      </c>
      <c r="E1733" s="32">
        <v>1971.1135028368899</v>
      </c>
      <c r="F1733" s="32">
        <v>1</v>
      </c>
    </row>
    <row r="1734" spans="1:6" x14ac:dyDescent="0.3">
      <c r="A1734" s="31">
        <v>1000098465</v>
      </c>
      <c r="B1734" s="31" t="s">
        <v>1540</v>
      </c>
      <c r="C1734" s="31" t="s">
        <v>4</v>
      </c>
      <c r="D1734" s="31" t="s">
        <v>2090</v>
      </c>
      <c r="E1734" s="32">
        <v>1967.79</v>
      </c>
      <c r="F1734" s="32">
        <v>5</v>
      </c>
    </row>
    <row r="1735" spans="1:6" x14ac:dyDescent="0.3">
      <c r="A1735" s="31">
        <v>2500008506</v>
      </c>
      <c r="B1735" s="31" t="s">
        <v>3180</v>
      </c>
      <c r="C1735" s="31" t="s">
        <v>1996</v>
      </c>
      <c r="D1735" s="31" t="s">
        <v>2025</v>
      </c>
      <c r="E1735" s="32">
        <v>1964.87666666666</v>
      </c>
      <c r="F1735" s="32">
        <v>1</v>
      </c>
    </row>
    <row r="1736" spans="1:6" x14ac:dyDescent="0.3">
      <c r="A1736" s="31">
        <v>1000020188</v>
      </c>
      <c r="B1736" s="31" t="s">
        <v>430</v>
      </c>
      <c r="C1736" s="31" t="s">
        <v>4</v>
      </c>
      <c r="D1736" s="31" t="s">
        <v>2090</v>
      </c>
      <c r="E1736" s="32">
        <v>1962.75</v>
      </c>
      <c r="F1736" s="32">
        <v>5</v>
      </c>
    </row>
    <row r="1737" spans="1:6" x14ac:dyDescent="0.3">
      <c r="A1737" s="31">
        <v>1000098086</v>
      </c>
      <c r="B1737" s="31" t="s">
        <v>3181</v>
      </c>
      <c r="C1737" s="31" t="s">
        <v>4</v>
      </c>
      <c r="D1737" s="31" t="s">
        <v>2161</v>
      </c>
      <c r="E1737" s="32">
        <v>1962.1283066666599</v>
      </c>
      <c r="F1737" s="32">
        <v>2</v>
      </c>
    </row>
    <row r="1738" spans="1:6" x14ac:dyDescent="0.3">
      <c r="A1738" s="31">
        <v>1000021239</v>
      </c>
      <c r="B1738" s="31" t="s">
        <v>1384</v>
      </c>
      <c r="C1738" s="31" t="s">
        <v>4</v>
      </c>
      <c r="D1738" s="31" t="s">
        <v>2090</v>
      </c>
      <c r="E1738" s="32">
        <v>1958.04</v>
      </c>
      <c r="F1738" s="32">
        <v>6</v>
      </c>
    </row>
    <row r="1739" spans="1:6" x14ac:dyDescent="0.3">
      <c r="A1739" s="31">
        <v>1000010164</v>
      </c>
      <c r="B1739" s="31" t="s">
        <v>3182</v>
      </c>
      <c r="C1739" s="31" t="s">
        <v>4</v>
      </c>
      <c r="D1739" s="31" t="s">
        <v>2161</v>
      </c>
      <c r="E1739" s="32">
        <v>1951.5509999999999</v>
      </c>
      <c r="F1739" s="32">
        <v>9</v>
      </c>
    </row>
    <row r="1740" spans="1:6" x14ac:dyDescent="0.3">
      <c r="A1740" s="31">
        <v>2500009328</v>
      </c>
      <c r="B1740" s="31" t="s">
        <v>3183</v>
      </c>
      <c r="C1740" s="31" t="s">
        <v>1996</v>
      </c>
      <c r="D1740" s="31" t="s">
        <v>2289</v>
      </c>
      <c r="E1740" s="32">
        <v>1950</v>
      </c>
      <c r="F1740" s="32">
        <v>10</v>
      </c>
    </row>
    <row r="1741" spans="1:6" x14ac:dyDescent="0.3">
      <c r="A1741" s="31">
        <v>80000002254</v>
      </c>
      <c r="B1741" s="31" t="s">
        <v>3184</v>
      </c>
      <c r="C1741" s="31" t="s">
        <v>2521</v>
      </c>
      <c r="D1741" s="31" t="s">
        <v>2645</v>
      </c>
      <c r="E1741" s="32">
        <v>1949.64</v>
      </c>
      <c r="F1741" s="32">
        <v>633</v>
      </c>
    </row>
    <row r="1742" spans="1:6" x14ac:dyDescent="0.3">
      <c r="A1742" s="31">
        <v>80000009710</v>
      </c>
      <c r="B1742" s="31" t="s">
        <v>3185</v>
      </c>
      <c r="C1742" s="31" t="s">
        <v>2521</v>
      </c>
      <c r="D1742" s="31" t="s">
        <v>2670</v>
      </c>
      <c r="E1742" s="32">
        <v>1948.9618175276901</v>
      </c>
      <c r="F1742" s="32">
        <v>252</v>
      </c>
    </row>
    <row r="1743" spans="1:6" x14ac:dyDescent="0.3">
      <c r="A1743" s="31">
        <v>1000020607</v>
      </c>
      <c r="B1743" s="31" t="s">
        <v>823</v>
      </c>
      <c r="C1743" s="31" t="s">
        <v>4</v>
      </c>
      <c r="D1743" s="31" t="s">
        <v>2090</v>
      </c>
      <c r="E1743" s="32">
        <v>1944.05</v>
      </c>
      <c r="F1743" s="32">
        <v>54</v>
      </c>
    </row>
    <row r="1744" spans="1:6" x14ac:dyDescent="0.3">
      <c r="A1744" s="31">
        <v>1000020490</v>
      </c>
      <c r="B1744" s="31" t="s">
        <v>715</v>
      </c>
      <c r="C1744" s="31" t="s">
        <v>4</v>
      </c>
      <c r="D1744" s="31" t="s">
        <v>2090</v>
      </c>
      <c r="E1744" s="32">
        <v>1943.5229411764701</v>
      </c>
      <c r="F1744" s="32">
        <v>83</v>
      </c>
    </row>
    <row r="1745" spans="1:6" x14ac:dyDescent="0.3">
      <c r="A1745" s="31">
        <v>2200001358</v>
      </c>
      <c r="B1745" s="31" t="s">
        <v>3186</v>
      </c>
      <c r="C1745" s="31" t="s">
        <v>2037</v>
      </c>
      <c r="D1745" s="31" t="s">
        <v>2038</v>
      </c>
      <c r="E1745" s="32">
        <v>1941.11</v>
      </c>
      <c r="F1745" s="32">
        <v>2</v>
      </c>
    </row>
    <row r="1746" spans="1:6" x14ac:dyDescent="0.3">
      <c r="A1746" s="31">
        <v>1000110684</v>
      </c>
      <c r="B1746" s="31" t="s">
        <v>3187</v>
      </c>
      <c r="C1746" s="31" t="s">
        <v>2027</v>
      </c>
      <c r="D1746" s="31" t="s">
        <v>2070</v>
      </c>
      <c r="E1746" s="32">
        <v>1938.75</v>
      </c>
      <c r="F1746" s="32">
        <v>1</v>
      </c>
    </row>
    <row r="1747" spans="1:6" x14ac:dyDescent="0.3">
      <c r="A1747" s="31">
        <v>1000020578</v>
      </c>
      <c r="B1747" s="31" t="s">
        <v>795</v>
      </c>
      <c r="C1747" s="31" t="s">
        <v>4</v>
      </c>
      <c r="D1747" s="31" t="s">
        <v>2090</v>
      </c>
      <c r="E1747" s="32">
        <v>1936.84</v>
      </c>
      <c r="F1747" s="32">
        <v>4</v>
      </c>
    </row>
    <row r="1748" spans="1:6" x14ac:dyDescent="0.3">
      <c r="A1748" s="31">
        <v>1000092944</v>
      </c>
      <c r="B1748" s="31" t="s">
        <v>3188</v>
      </c>
      <c r="C1748" s="31" t="s">
        <v>2027</v>
      </c>
      <c r="D1748" s="31" t="s">
        <v>3189</v>
      </c>
      <c r="E1748" s="32">
        <v>1936</v>
      </c>
      <c r="F1748" s="32">
        <v>1</v>
      </c>
    </row>
    <row r="1749" spans="1:6" x14ac:dyDescent="0.3">
      <c r="A1749" s="31">
        <v>2500008240</v>
      </c>
      <c r="B1749" s="31" t="s">
        <v>3190</v>
      </c>
      <c r="C1749" s="31" t="s">
        <v>1996</v>
      </c>
      <c r="D1749" s="31" t="s">
        <v>2025</v>
      </c>
      <c r="E1749" s="32">
        <v>1931.7</v>
      </c>
      <c r="F1749" s="32">
        <v>1</v>
      </c>
    </row>
    <row r="1750" spans="1:6" x14ac:dyDescent="0.3">
      <c r="A1750" s="31">
        <v>2500008452</v>
      </c>
      <c r="B1750" s="31" t="s">
        <v>3191</v>
      </c>
      <c r="C1750" s="31" t="s">
        <v>1996</v>
      </c>
      <c r="D1750" s="31" t="s">
        <v>2025</v>
      </c>
      <c r="E1750" s="32">
        <v>1927.35172923294</v>
      </c>
      <c r="F1750" s="32">
        <v>11</v>
      </c>
    </row>
    <row r="1751" spans="1:6" x14ac:dyDescent="0.3">
      <c r="A1751" s="31">
        <v>2500008894</v>
      </c>
      <c r="B1751" s="31" t="s">
        <v>3192</v>
      </c>
      <c r="C1751" s="31" t="s">
        <v>1996</v>
      </c>
      <c r="D1751" s="31" t="s">
        <v>2875</v>
      </c>
      <c r="E1751" s="32">
        <v>1918.8</v>
      </c>
      <c r="F1751" s="32">
        <v>104</v>
      </c>
    </row>
    <row r="1752" spans="1:6" x14ac:dyDescent="0.3">
      <c r="A1752" s="31">
        <v>1000091850</v>
      </c>
      <c r="B1752" s="31" t="s">
        <v>3193</v>
      </c>
      <c r="C1752" s="31" t="s">
        <v>2109</v>
      </c>
      <c r="D1752" s="31" t="s">
        <v>2070</v>
      </c>
      <c r="E1752" s="32">
        <v>1916.4</v>
      </c>
      <c r="F1752" s="32">
        <v>4</v>
      </c>
    </row>
    <row r="1753" spans="1:6" x14ac:dyDescent="0.3">
      <c r="A1753" s="31">
        <v>1000021017</v>
      </c>
      <c r="B1753" s="31" t="s">
        <v>1189</v>
      </c>
      <c r="C1753" s="31" t="s">
        <v>4</v>
      </c>
      <c r="D1753" s="31" t="s">
        <v>2090</v>
      </c>
      <c r="E1753" s="32">
        <v>1913.56</v>
      </c>
      <c r="F1753" s="32">
        <v>4</v>
      </c>
    </row>
    <row r="1754" spans="1:6" x14ac:dyDescent="0.3">
      <c r="A1754" s="31">
        <v>1000021281</v>
      </c>
      <c r="B1754" s="31" t="s">
        <v>1418</v>
      </c>
      <c r="C1754" s="31" t="s">
        <v>4</v>
      </c>
      <c r="D1754" s="31" t="s">
        <v>2090</v>
      </c>
      <c r="E1754" s="32">
        <v>1909.768</v>
      </c>
      <c r="F1754" s="32">
        <v>24</v>
      </c>
    </row>
    <row r="1755" spans="1:6" x14ac:dyDescent="0.3">
      <c r="A1755" s="31">
        <v>2500008243</v>
      </c>
      <c r="B1755" s="31" t="s">
        <v>1923</v>
      </c>
      <c r="C1755" s="31" t="s">
        <v>1996</v>
      </c>
      <c r="D1755" s="31" t="s">
        <v>2643</v>
      </c>
      <c r="E1755" s="32">
        <v>1905</v>
      </c>
      <c r="F1755" s="32">
        <v>2</v>
      </c>
    </row>
    <row r="1756" spans="1:6" x14ac:dyDescent="0.3">
      <c r="A1756" s="31">
        <v>1000100756</v>
      </c>
      <c r="B1756" s="31" t="s">
        <v>3194</v>
      </c>
      <c r="C1756" s="31" t="s">
        <v>4</v>
      </c>
      <c r="D1756" s="31" t="s">
        <v>2056</v>
      </c>
      <c r="E1756" s="32">
        <v>1903.6849999999999</v>
      </c>
      <c r="F1756" s="32">
        <v>7</v>
      </c>
    </row>
    <row r="1757" spans="1:6" x14ac:dyDescent="0.3">
      <c r="A1757" s="31">
        <v>2500008353</v>
      </c>
      <c r="B1757" s="31" t="s">
        <v>3195</v>
      </c>
      <c r="C1757" s="31" t="s">
        <v>1996</v>
      </c>
      <c r="D1757" s="31" t="s">
        <v>2025</v>
      </c>
      <c r="E1757" s="32">
        <v>1897.4800002474999</v>
      </c>
      <c r="F1757" s="32">
        <v>2</v>
      </c>
    </row>
    <row r="1758" spans="1:6" x14ac:dyDescent="0.3">
      <c r="A1758" s="31">
        <v>1000020720</v>
      </c>
      <c r="B1758" s="31" t="s">
        <v>928</v>
      </c>
      <c r="C1758" s="31" t="s">
        <v>4</v>
      </c>
      <c r="D1758" s="31" t="s">
        <v>2090</v>
      </c>
      <c r="E1758" s="32">
        <v>1894.3273638344201</v>
      </c>
      <c r="F1758" s="32">
        <v>12</v>
      </c>
    </row>
    <row r="1759" spans="1:6" x14ac:dyDescent="0.3">
      <c r="A1759" s="31">
        <v>1000107343</v>
      </c>
      <c r="B1759" s="31" t="s">
        <v>134</v>
      </c>
      <c r="C1759" s="31" t="s">
        <v>4</v>
      </c>
      <c r="D1759" s="31" t="s">
        <v>2161</v>
      </c>
      <c r="E1759" s="32">
        <v>1892.13673289434</v>
      </c>
      <c r="F1759" s="32">
        <v>16</v>
      </c>
    </row>
    <row r="1760" spans="1:6" x14ac:dyDescent="0.3">
      <c r="A1760" s="31">
        <v>1000106075</v>
      </c>
      <c r="B1760" s="31" t="s">
        <v>3196</v>
      </c>
      <c r="C1760" s="31" t="s">
        <v>4</v>
      </c>
      <c r="D1760" s="31" t="s">
        <v>2161</v>
      </c>
      <c r="E1760" s="32">
        <v>1890.6</v>
      </c>
      <c r="F1760" s="32">
        <v>2</v>
      </c>
    </row>
    <row r="1761" spans="1:6" x14ac:dyDescent="0.3">
      <c r="A1761" s="31">
        <v>1000020938</v>
      </c>
      <c r="B1761" s="31" t="s">
        <v>1117</v>
      </c>
      <c r="C1761" s="31" t="s">
        <v>4</v>
      </c>
      <c r="D1761" s="31" t="s">
        <v>2090</v>
      </c>
      <c r="E1761" s="32">
        <v>1889.16</v>
      </c>
      <c r="F1761" s="32">
        <v>6</v>
      </c>
    </row>
    <row r="1762" spans="1:6" x14ac:dyDescent="0.3">
      <c r="A1762" s="31">
        <v>1000020639</v>
      </c>
      <c r="B1762" s="31" t="s">
        <v>854</v>
      </c>
      <c r="C1762" s="31" t="s">
        <v>4</v>
      </c>
      <c r="D1762" s="31" t="s">
        <v>2090</v>
      </c>
      <c r="E1762" s="32">
        <v>1888.4595585096599</v>
      </c>
      <c r="F1762" s="32">
        <v>111</v>
      </c>
    </row>
    <row r="1763" spans="1:6" x14ac:dyDescent="0.3">
      <c r="A1763" s="31">
        <v>1000020941</v>
      </c>
      <c r="B1763" s="31" t="s">
        <v>1120</v>
      </c>
      <c r="C1763" s="31" t="s">
        <v>4</v>
      </c>
      <c r="D1763" s="31" t="s">
        <v>2090</v>
      </c>
      <c r="E1763" s="32">
        <v>1886.76</v>
      </c>
      <c r="F1763" s="32">
        <v>4</v>
      </c>
    </row>
    <row r="1764" spans="1:6" x14ac:dyDescent="0.3">
      <c r="A1764" s="31">
        <v>2500001767</v>
      </c>
      <c r="B1764" s="31" t="s">
        <v>3197</v>
      </c>
      <c r="C1764" s="31" t="s">
        <v>1996</v>
      </c>
      <c r="D1764" s="31" t="s">
        <v>2025</v>
      </c>
      <c r="E1764" s="32">
        <v>1882.96</v>
      </c>
      <c r="F1764" s="32">
        <v>3</v>
      </c>
    </row>
    <row r="1765" spans="1:6" x14ac:dyDescent="0.3">
      <c r="A1765" s="31">
        <v>2500001778</v>
      </c>
      <c r="B1765" s="31" t="s">
        <v>3198</v>
      </c>
      <c r="C1765" s="31" t="s">
        <v>1996</v>
      </c>
      <c r="D1765" s="31" t="s">
        <v>2025</v>
      </c>
      <c r="E1765" s="32">
        <v>1881.0875000000001</v>
      </c>
      <c r="F1765" s="32">
        <v>2</v>
      </c>
    </row>
    <row r="1766" spans="1:6" x14ac:dyDescent="0.3">
      <c r="A1766" s="31">
        <v>1000094849</v>
      </c>
      <c r="B1766" s="31" t="s">
        <v>3199</v>
      </c>
      <c r="C1766" s="31" t="s">
        <v>4</v>
      </c>
      <c r="D1766" s="31" t="s">
        <v>2056</v>
      </c>
      <c r="E1766" s="32">
        <v>1880.32</v>
      </c>
      <c r="F1766" s="32">
        <v>50</v>
      </c>
    </row>
    <row r="1767" spans="1:6" x14ac:dyDescent="0.3">
      <c r="A1767" s="31">
        <v>1000021292</v>
      </c>
      <c r="B1767" s="31" t="s">
        <v>1428</v>
      </c>
      <c r="C1767" s="31" t="s">
        <v>4</v>
      </c>
      <c r="D1767" s="31" t="s">
        <v>2090</v>
      </c>
      <c r="E1767" s="32">
        <v>1879.68</v>
      </c>
      <c r="F1767" s="32">
        <v>4</v>
      </c>
    </row>
    <row r="1768" spans="1:6" x14ac:dyDescent="0.3">
      <c r="A1768" s="31">
        <v>2200003347</v>
      </c>
      <c r="B1768" s="31" t="s">
        <v>3200</v>
      </c>
      <c r="C1768" s="31" t="s">
        <v>2037</v>
      </c>
      <c r="D1768" s="31" t="s">
        <v>2038</v>
      </c>
      <c r="E1768" s="32">
        <v>1878.8</v>
      </c>
      <c r="F1768" s="32">
        <v>1</v>
      </c>
    </row>
    <row r="1769" spans="1:6" x14ac:dyDescent="0.3">
      <c r="A1769" s="31">
        <v>1000096643</v>
      </c>
      <c r="B1769" s="31" t="s">
        <v>3201</v>
      </c>
      <c r="C1769" s="31" t="s">
        <v>4</v>
      </c>
      <c r="D1769" s="31" t="s">
        <v>2090</v>
      </c>
      <c r="E1769" s="32">
        <v>1871.54</v>
      </c>
      <c r="F1769" s="32">
        <v>1</v>
      </c>
    </row>
    <row r="1770" spans="1:6" x14ac:dyDescent="0.3">
      <c r="A1770" s="31">
        <v>1000020575</v>
      </c>
      <c r="B1770" s="31" t="s">
        <v>792</v>
      </c>
      <c r="C1770" s="31" t="s">
        <v>4</v>
      </c>
      <c r="D1770" s="31" t="s">
        <v>2090</v>
      </c>
      <c r="E1770" s="32">
        <v>1863.1092857142801</v>
      </c>
      <c r="F1770" s="32">
        <v>5</v>
      </c>
    </row>
    <row r="1771" spans="1:6" x14ac:dyDescent="0.3">
      <c r="A1771" s="31">
        <v>1000098599</v>
      </c>
      <c r="B1771" s="31" t="s">
        <v>1604</v>
      </c>
      <c r="C1771" s="31" t="s">
        <v>4</v>
      </c>
      <c r="D1771" s="31" t="s">
        <v>2090</v>
      </c>
      <c r="E1771" s="32">
        <v>1861.2375</v>
      </c>
      <c r="F1771" s="32">
        <v>15</v>
      </c>
    </row>
    <row r="1772" spans="1:6" x14ac:dyDescent="0.3">
      <c r="A1772" s="31">
        <v>2500008140</v>
      </c>
      <c r="B1772" s="31" t="s">
        <v>3202</v>
      </c>
      <c r="C1772" s="31" t="s">
        <v>1996</v>
      </c>
      <c r="D1772" s="31" t="s">
        <v>2025</v>
      </c>
      <c r="E1772" s="32">
        <v>1860.9255000000001</v>
      </c>
      <c r="F1772" s="32">
        <v>4</v>
      </c>
    </row>
    <row r="1773" spans="1:6" x14ac:dyDescent="0.3">
      <c r="A1773" s="31">
        <v>1000020319</v>
      </c>
      <c r="B1773" s="31" t="s">
        <v>553</v>
      </c>
      <c r="C1773" s="31" t="s">
        <v>4</v>
      </c>
      <c r="D1773" s="31" t="s">
        <v>2090</v>
      </c>
      <c r="E1773" s="32">
        <v>1856.8</v>
      </c>
      <c r="F1773" s="32">
        <v>10</v>
      </c>
    </row>
    <row r="1774" spans="1:6" x14ac:dyDescent="0.3">
      <c r="A1774" s="31">
        <v>1000097239</v>
      </c>
      <c r="B1774" s="31" t="s">
        <v>3203</v>
      </c>
      <c r="C1774" s="31" t="s">
        <v>4</v>
      </c>
      <c r="D1774" s="31" t="s">
        <v>2090</v>
      </c>
      <c r="E1774" s="32">
        <v>1854.94</v>
      </c>
      <c r="F1774" s="32">
        <v>3</v>
      </c>
    </row>
    <row r="1775" spans="1:6" x14ac:dyDescent="0.3">
      <c r="A1775" s="31">
        <v>80000002252</v>
      </c>
      <c r="B1775" s="31" t="s">
        <v>3204</v>
      </c>
      <c r="C1775" s="31" t="s">
        <v>2521</v>
      </c>
      <c r="D1775" s="31" t="s">
        <v>2645</v>
      </c>
      <c r="E1775" s="32">
        <v>1851.3</v>
      </c>
      <c r="F1775" s="32">
        <v>1210</v>
      </c>
    </row>
    <row r="1776" spans="1:6" x14ac:dyDescent="0.3">
      <c r="A1776" s="31">
        <v>1000097815</v>
      </c>
      <c r="B1776" s="31" t="s">
        <v>3205</v>
      </c>
      <c r="C1776" s="31" t="s">
        <v>4</v>
      </c>
      <c r="D1776" s="31" t="s">
        <v>2090</v>
      </c>
      <c r="E1776" s="32">
        <v>1849.7625</v>
      </c>
      <c r="F1776" s="32">
        <v>17</v>
      </c>
    </row>
    <row r="1777" spans="1:6" x14ac:dyDescent="0.3">
      <c r="A1777" s="31">
        <v>1000103260</v>
      </c>
      <c r="B1777" s="31" t="s">
        <v>3206</v>
      </c>
      <c r="C1777" s="31" t="s">
        <v>4</v>
      </c>
      <c r="D1777" s="31" t="s">
        <v>2043</v>
      </c>
      <c r="E1777" s="32">
        <v>1848.28</v>
      </c>
      <c r="F1777" s="32">
        <v>41</v>
      </c>
    </row>
    <row r="1778" spans="1:6" x14ac:dyDescent="0.3">
      <c r="A1778" s="31">
        <v>1000098690</v>
      </c>
      <c r="B1778" s="31" t="s">
        <v>1643</v>
      </c>
      <c r="C1778" s="31" t="s">
        <v>4</v>
      </c>
      <c r="D1778" s="31" t="s">
        <v>2090</v>
      </c>
      <c r="E1778" s="32">
        <v>1846.3050000000001</v>
      </c>
      <c r="F1778" s="32">
        <v>16</v>
      </c>
    </row>
    <row r="1779" spans="1:6" x14ac:dyDescent="0.3">
      <c r="A1779" s="31">
        <v>2500008285</v>
      </c>
      <c r="B1779" s="31" t="s">
        <v>3207</v>
      </c>
      <c r="C1779" s="31" t="s">
        <v>1996</v>
      </c>
      <c r="D1779" s="31" t="s">
        <v>2025</v>
      </c>
      <c r="E1779" s="32">
        <v>1845.6666666666599</v>
      </c>
      <c r="F1779" s="32">
        <v>8</v>
      </c>
    </row>
    <row r="1780" spans="1:6" x14ac:dyDescent="0.3">
      <c r="A1780" s="31">
        <v>1000020746</v>
      </c>
      <c r="B1780" s="31" t="s">
        <v>953</v>
      </c>
      <c r="C1780" s="31" t="s">
        <v>4</v>
      </c>
      <c r="D1780" s="31" t="s">
        <v>2090</v>
      </c>
      <c r="E1780" s="32">
        <v>1842.1875</v>
      </c>
      <c r="F1780" s="32">
        <v>5</v>
      </c>
    </row>
    <row r="1781" spans="1:6" x14ac:dyDescent="0.3">
      <c r="A1781" s="31">
        <v>80000009821</v>
      </c>
      <c r="B1781" s="31" t="s">
        <v>3208</v>
      </c>
      <c r="C1781" s="31" t="s">
        <v>2521</v>
      </c>
      <c r="D1781" s="31" t="s">
        <v>2670</v>
      </c>
      <c r="E1781" s="32">
        <v>1840</v>
      </c>
      <c r="F1781" s="32">
        <v>115</v>
      </c>
    </row>
    <row r="1782" spans="1:6" x14ac:dyDescent="0.3">
      <c r="A1782" s="31">
        <v>1000105875</v>
      </c>
      <c r="B1782" s="31" t="s">
        <v>3209</v>
      </c>
      <c r="C1782" s="31" t="s">
        <v>2521</v>
      </c>
      <c r="D1782" s="31" t="s">
        <v>2524</v>
      </c>
      <c r="E1782" s="32">
        <v>1838.0540631901499</v>
      </c>
      <c r="F1782" s="32">
        <v>20</v>
      </c>
    </row>
    <row r="1783" spans="1:6" x14ac:dyDescent="0.3">
      <c r="A1783" s="31">
        <v>1000110871</v>
      </c>
      <c r="B1783" s="31" t="s">
        <v>3210</v>
      </c>
      <c r="C1783" s="31" t="s">
        <v>4</v>
      </c>
      <c r="D1783" s="31" t="s">
        <v>2043</v>
      </c>
      <c r="E1783" s="32">
        <v>1838</v>
      </c>
      <c r="F1783" s="32">
        <v>100</v>
      </c>
    </row>
    <row r="1784" spans="1:6" x14ac:dyDescent="0.3">
      <c r="A1784" s="31">
        <v>1000098689</v>
      </c>
      <c r="B1784" s="31" t="s">
        <v>1642</v>
      </c>
      <c r="C1784" s="31" t="s">
        <v>4</v>
      </c>
      <c r="D1784" s="31" t="s">
        <v>2090</v>
      </c>
      <c r="E1784" s="32">
        <v>1834.91</v>
      </c>
      <c r="F1784" s="32">
        <v>2</v>
      </c>
    </row>
    <row r="1785" spans="1:6" x14ac:dyDescent="0.3">
      <c r="A1785" s="31">
        <v>1000099211</v>
      </c>
      <c r="B1785" s="31" t="s">
        <v>3211</v>
      </c>
      <c r="C1785" s="31" t="s">
        <v>4</v>
      </c>
      <c r="D1785" s="31" t="s">
        <v>2639</v>
      </c>
      <c r="E1785" s="32">
        <v>1833.93847872529</v>
      </c>
      <c r="F1785" s="32">
        <v>128</v>
      </c>
    </row>
    <row r="1786" spans="1:6" x14ac:dyDescent="0.3">
      <c r="A1786" s="31">
        <v>1000010253</v>
      </c>
      <c r="B1786" s="31" t="s">
        <v>3212</v>
      </c>
      <c r="C1786" s="31" t="s">
        <v>4</v>
      </c>
      <c r="D1786" s="31" t="s">
        <v>2161</v>
      </c>
      <c r="E1786" s="32">
        <v>1831.26258333333</v>
      </c>
      <c r="F1786" s="32">
        <v>3</v>
      </c>
    </row>
    <row r="1787" spans="1:6" x14ac:dyDescent="0.3">
      <c r="A1787" s="31">
        <v>1000110809</v>
      </c>
      <c r="B1787" s="31" t="s">
        <v>3213</v>
      </c>
      <c r="C1787" s="31" t="s">
        <v>2109</v>
      </c>
      <c r="D1787" s="31" t="s">
        <v>2141</v>
      </c>
      <c r="E1787" s="32">
        <v>1826.25</v>
      </c>
      <c r="F1787" s="32">
        <v>1</v>
      </c>
    </row>
    <row r="1788" spans="1:6" x14ac:dyDescent="0.3">
      <c r="A1788" s="31">
        <v>1000020452</v>
      </c>
      <c r="B1788" s="31" t="s">
        <v>678</v>
      </c>
      <c r="C1788" s="31" t="s">
        <v>4</v>
      </c>
      <c r="D1788" s="31" t="s">
        <v>2090</v>
      </c>
      <c r="E1788" s="32">
        <v>1825.69342541527</v>
      </c>
      <c r="F1788" s="32">
        <v>104</v>
      </c>
    </row>
    <row r="1789" spans="1:6" x14ac:dyDescent="0.3">
      <c r="A1789" s="31">
        <v>2200010356</v>
      </c>
      <c r="B1789" s="31" t="s">
        <v>209</v>
      </c>
      <c r="C1789" s="31" t="s">
        <v>2037</v>
      </c>
      <c r="D1789" s="31" t="s">
        <v>2067</v>
      </c>
      <c r="E1789" s="32">
        <v>1820.7</v>
      </c>
      <c r="F1789" s="32">
        <v>1</v>
      </c>
    </row>
    <row r="1790" spans="1:6" x14ac:dyDescent="0.3">
      <c r="A1790" s="31">
        <v>80000003034</v>
      </c>
      <c r="B1790" s="31" t="s">
        <v>3214</v>
      </c>
      <c r="C1790" s="31" t="s">
        <v>2755</v>
      </c>
      <c r="D1790" s="31" t="s">
        <v>2670</v>
      </c>
      <c r="E1790" s="32">
        <v>1820</v>
      </c>
      <c r="F1790" s="32">
        <v>14</v>
      </c>
    </row>
    <row r="1791" spans="1:6" x14ac:dyDescent="0.3">
      <c r="A1791" s="31">
        <v>1000106108</v>
      </c>
      <c r="B1791" s="31" t="s">
        <v>3215</v>
      </c>
      <c r="C1791" s="31" t="s">
        <v>4</v>
      </c>
      <c r="D1791" s="31" t="s">
        <v>2161</v>
      </c>
      <c r="E1791" s="32">
        <v>1819.51</v>
      </c>
      <c r="F1791" s="32">
        <v>5</v>
      </c>
    </row>
    <row r="1792" spans="1:6" x14ac:dyDescent="0.3">
      <c r="A1792" s="31">
        <v>2200011362</v>
      </c>
      <c r="B1792" s="31" t="s">
        <v>3216</v>
      </c>
      <c r="C1792" s="31" t="s">
        <v>2037</v>
      </c>
      <c r="D1792" s="31" t="s">
        <v>2038</v>
      </c>
      <c r="E1792" s="32">
        <v>1817.7760115736601</v>
      </c>
      <c r="F1792" s="32">
        <v>3</v>
      </c>
    </row>
    <row r="1793" spans="1:6" x14ac:dyDescent="0.3">
      <c r="A1793" s="31">
        <v>1000098646</v>
      </c>
      <c r="B1793" s="31" t="s">
        <v>1623</v>
      </c>
      <c r="C1793" s="31" t="s">
        <v>4</v>
      </c>
      <c r="D1793" s="31" t="s">
        <v>2090</v>
      </c>
      <c r="E1793" s="32">
        <v>1815.83</v>
      </c>
      <c r="F1793" s="32">
        <v>2</v>
      </c>
    </row>
    <row r="1794" spans="1:6" x14ac:dyDescent="0.3">
      <c r="A1794" s="31">
        <v>2000015736</v>
      </c>
      <c r="B1794" s="31" t="s">
        <v>3217</v>
      </c>
      <c r="C1794" s="31" t="s">
        <v>2017</v>
      </c>
      <c r="D1794" s="31" t="s">
        <v>2072</v>
      </c>
      <c r="E1794" s="32">
        <v>1815</v>
      </c>
      <c r="F1794" s="32">
        <v>1</v>
      </c>
    </row>
    <row r="1795" spans="1:6" x14ac:dyDescent="0.3">
      <c r="A1795" s="31">
        <v>1000100368</v>
      </c>
      <c r="B1795" s="31" t="s">
        <v>3218</v>
      </c>
      <c r="C1795" s="31" t="s">
        <v>4</v>
      </c>
      <c r="D1795" s="31" t="s">
        <v>2090</v>
      </c>
      <c r="E1795" s="32">
        <v>1812.2750000000001</v>
      </c>
      <c r="F1795" s="32">
        <v>12</v>
      </c>
    </row>
    <row r="1796" spans="1:6" x14ac:dyDescent="0.3">
      <c r="A1796" s="31">
        <v>2500008630</v>
      </c>
      <c r="B1796" s="31" t="s">
        <v>3219</v>
      </c>
      <c r="C1796" s="31" t="s">
        <v>1996</v>
      </c>
      <c r="D1796" s="31" t="s">
        <v>2025</v>
      </c>
      <c r="E1796" s="32">
        <v>1811.25</v>
      </c>
      <c r="F1796" s="32">
        <v>3</v>
      </c>
    </row>
    <row r="1797" spans="1:6" x14ac:dyDescent="0.3">
      <c r="A1797" s="31">
        <v>1000099142</v>
      </c>
      <c r="B1797" s="31" t="s">
        <v>3220</v>
      </c>
      <c r="C1797" s="31" t="s">
        <v>4</v>
      </c>
      <c r="D1797" s="31" t="s">
        <v>2090</v>
      </c>
      <c r="E1797" s="32">
        <v>1810.4749999999999</v>
      </c>
      <c r="F1797" s="32">
        <v>2</v>
      </c>
    </row>
    <row r="1798" spans="1:6" x14ac:dyDescent="0.3">
      <c r="A1798" s="31">
        <v>1000101076</v>
      </c>
      <c r="B1798" s="31" t="s">
        <v>3221</v>
      </c>
      <c r="C1798" s="31" t="s">
        <v>4</v>
      </c>
      <c r="D1798" s="31" t="s">
        <v>2056</v>
      </c>
      <c r="E1798" s="32">
        <v>1810.2</v>
      </c>
      <c r="F1798" s="32">
        <v>5</v>
      </c>
    </row>
    <row r="1799" spans="1:6" x14ac:dyDescent="0.3">
      <c r="A1799" s="31">
        <v>1000021288</v>
      </c>
      <c r="B1799" s="31" t="s">
        <v>1424</v>
      </c>
      <c r="C1799" s="31" t="s">
        <v>4</v>
      </c>
      <c r="D1799" s="31" t="s">
        <v>2090</v>
      </c>
      <c r="E1799" s="32">
        <v>1810.1608799999999</v>
      </c>
      <c r="F1799" s="32">
        <v>4</v>
      </c>
    </row>
    <row r="1800" spans="1:6" x14ac:dyDescent="0.3">
      <c r="A1800" s="31">
        <v>1000100312</v>
      </c>
      <c r="B1800" s="31" t="s">
        <v>3222</v>
      </c>
      <c r="C1800" s="31" t="s">
        <v>4</v>
      </c>
      <c r="D1800" s="31" t="s">
        <v>2090</v>
      </c>
      <c r="E1800" s="32">
        <v>1809.7149999999999</v>
      </c>
      <c r="F1800" s="32">
        <v>1</v>
      </c>
    </row>
    <row r="1801" spans="1:6" x14ac:dyDescent="0.3">
      <c r="A1801" s="31">
        <v>1000021301</v>
      </c>
      <c r="B1801" s="31" t="s">
        <v>1436</v>
      </c>
      <c r="C1801" s="31" t="s">
        <v>4</v>
      </c>
      <c r="D1801" s="31" t="s">
        <v>2090</v>
      </c>
      <c r="E1801" s="32">
        <v>1809.15</v>
      </c>
      <c r="F1801" s="32">
        <v>3</v>
      </c>
    </row>
    <row r="1802" spans="1:6" x14ac:dyDescent="0.3">
      <c r="A1802" s="31">
        <v>1000102204</v>
      </c>
      <c r="B1802" s="31" t="s">
        <v>1767</v>
      </c>
      <c r="C1802" s="31" t="s">
        <v>4</v>
      </c>
      <c r="D1802" s="31" t="s">
        <v>2090</v>
      </c>
      <c r="E1802" s="32">
        <v>1807.69</v>
      </c>
      <c r="F1802" s="32">
        <v>20</v>
      </c>
    </row>
    <row r="1803" spans="1:6" x14ac:dyDescent="0.3">
      <c r="A1803" s="31">
        <v>1000099220</v>
      </c>
      <c r="B1803" s="31" t="s">
        <v>3223</v>
      </c>
      <c r="C1803" s="31" t="s">
        <v>4</v>
      </c>
      <c r="D1803" s="31" t="s">
        <v>2090</v>
      </c>
      <c r="E1803" s="32">
        <v>1806.83</v>
      </c>
      <c r="F1803" s="32">
        <v>2</v>
      </c>
    </row>
    <row r="1804" spans="1:6" x14ac:dyDescent="0.3">
      <c r="A1804" s="31">
        <v>1000102697</v>
      </c>
      <c r="B1804" s="31" t="s">
        <v>3224</v>
      </c>
      <c r="C1804" s="31" t="s">
        <v>4</v>
      </c>
      <c r="D1804" s="31" t="s">
        <v>2869</v>
      </c>
      <c r="E1804" s="32">
        <v>1806</v>
      </c>
      <c r="F1804" s="32">
        <v>23</v>
      </c>
    </row>
    <row r="1805" spans="1:6" x14ac:dyDescent="0.3">
      <c r="A1805" s="31">
        <v>1000098875</v>
      </c>
      <c r="B1805" s="31" t="s">
        <v>2181</v>
      </c>
      <c r="C1805" s="31" t="s">
        <v>4</v>
      </c>
      <c r="D1805" s="31" t="s">
        <v>2056</v>
      </c>
      <c r="E1805" s="32">
        <v>1804.4475688616401</v>
      </c>
      <c r="F1805" s="32">
        <v>108</v>
      </c>
    </row>
    <row r="1806" spans="1:6" x14ac:dyDescent="0.3">
      <c r="A1806" s="31">
        <v>2200010357</v>
      </c>
      <c r="B1806" s="31" t="s">
        <v>210</v>
      </c>
      <c r="C1806" s="31" t="s">
        <v>2037</v>
      </c>
      <c r="D1806" s="31" t="s">
        <v>2067</v>
      </c>
      <c r="E1806" s="32">
        <v>1803.36</v>
      </c>
      <c r="F1806" s="32">
        <v>1</v>
      </c>
    </row>
    <row r="1807" spans="1:6" x14ac:dyDescent="0.3">
      <c r="A1807" s="31">
        <v>2100002078</v>
      </c>
      <c r="B1807" s="31" t="s">
        <v>1896</v>
      </c>
      <c r="C1807" s="31" t="s">
        <v>1996</v>
      </c>
      <c r="D1807" s="31" t="s">
        <v>2811</v>
      </c>
      <c r="E1807" s="32">
        <v>1802.5</v>
      </c>
      <c r="F1807" s="32">
        <v>2</v>
      </c>
    </row>
    <row r="1808" spans="1:6" x14ac:dyDescent="0.3">
      <c r="A1808" s="31">
        <v>1000020802</v>
      </c>
      <c r="B1808" s="31" t="s">
        <v>1006</v>
      </c>
      <c r="C1808" s="31" t="s">
        <v>4</v>
      </c>
      <c r="D1808" s="31" t="s">
        <v>2090</v>
      </c>
      <c r="E1808" s="32">
        <v>1801.1852083333299</v>
      </c>
      <c r="F1808" s="32">
        <v>13</v>
      </c>
    </row>
    <row r="1809" spans="1:6" x14ac:dyDescent="0.3">
      <c r="A1809" s="31">
        <v>1000104330</v>
      </c>
      <c r="B1809" s="31" t="s">
        <v>3225</v>
      </c>
      <c r="C1809" s="31" t="s">
        <v>4</v>
      </c>
      <c r="D1809" s="31" t="s">
        <v>2043</v>
      </c>
      <c r="E1809" s="32">
        <v>1800</v>
      </c>
      <c r="F1809" s="32">
        <v>2</v>
      </c>
    </row>
    <row r="1810" spans="1:6" x14ac:dyDescent="0.3">
      <c r="A1810" s="31">
        <v>1000104331</v>
      </c>
      <c r="B1810" s="31" t="s">
        <v>3226</v>
      </c>
      <c r="C1810" s="31" t="s">
        <v>4</v>
      </c>
      <c r="D1810" s="31" t="s">
        <v>2043</v>
      </c>
      <c r="E1810" s="32">
        <v>1800</v>
      </c>
      <c r="F1810" s="32">
        <v>2</v>
      </c>
    </row>
    <row r="1811" spans="1:6" x14ac:dyDescent="0.3">
      <c r="A1811" s="31">
        <v>1000020975</v>
      </c>
      <c r="B1811" s="31" t="s">
        <v>1149</v>
      </c>
      <c r="C1811" s="31" t="s">
        <v>4</v>
      </c>
      <c r="D1811" s="31" t="s">
        <v>2090</v>
      </c>
      <c r="E1811" s="32">
        <v>1796.55</v>
      </c>
      <c r="F1811" s="32">
        <v>8</v>
      </c>
    </row>
    <row r="1812" spans="1:6" x14ac:dyDescent="0.3">
      <c r="A1812" s="31">
        <v>2500008945</v>
      </c>
      <c r="B1812" s="31" t="s">
        <v>3227</v>
      </c>
      <c r="C1812" s="31" t="s">
        <v>1996</v>
      </c>
      <c r="D1812" s="31" t="s">
        <v>2875</v>
      </c>
      <c r="E1812" s="32">
        <v>1793.75</v>
      </c>
      <c r="F1812" s="32">
        <v>50</v>
      </c>
    </row>
    <row r="1813" spans="1:6" x14ac:dyDescent="0.3">
      <c r="A1813" s="31">
        <v>1000010156</v>
      </c>
      <c r="B1813" s="31" t="s">
        <v>3228</v>
      </c>
      <c r="C1813" s="31" t="s">
        <v>4</v>
      </c>
      <c r="D1813" s="31" t="s">
        <v>2161</v>
      </c>
      <c r="E1813" s="32">
        <v>1792.22</v>
      </c>
      <c r="F1813" s="32">
        <v>3</v>
      </c>
    </row>
    <row r="1814" spans="1:6" x14ac:dyDescent="0.3">
      <c r="A1814" s="31">
        <v>1000020515</v>
      </c>
      <c r="B1814" s="31" t="s">
        <v>737</v>
      </c>
      <c r="C1814" s="31" t="s">
        <v>4</v>
      </c>
      <c r="D1814" s="31" t="s">
        <v>2090</v>
      </c>
      <c r="E1814" s="32">
        <v>1786.19</v>
      </c>
      <c r="F1814" s="32">
        <v>17</v>
      </c>
    </row>
    <row r="1815" spans="1:6" x14ac:dyDescent="0.3">
      <c r="A1815" s="31">
        <v>1000104404</v>
      </c>
      <c r="B1815" s="31" t="s">
        <v>3229</v>
      </c>
      <c r="C1815" s="31" t="s">
        <v>4</v>
      </c>
      <c r="D1815" s="31" t="s">
        <v>2043</v>
      </c>
      <c r="E1815" s="32">
        <v>1783.665</v>
      </c>
      <c r="F1815" s="32">
        <v>6</v>
      </c>
    </row>
    <row r="1816" spans="1:6" x14ac:dyDescent="0.3">
      <c r="A1816" s="31">
        <v>1000098235</v>
      </c>
      <c r="B1816" s="31" t="s">
        <v>3230</v>
      </c>
      <c r="C1816" s="31" t="s">
        <v>2257</v>
      </c>
      <c r="D1816" s="31" t="s">
        <v>2173</v>
      </c>
      <c r="E1816" s="32">
        <v>1782.92934494417</v>
      </c>
      <c r="F1816" s="32">
        <v>2</v>
      </c>
    </row>
    <row r="1817" spans="1:6" x14ac:dyDescent="0.3">
      <c r="A1817" s="31">
        <v>1000021117</v>
      </c>
      <c r="B1817" s="31" t="s">
        <v>1277</v>
      </c>
      <c r="C1817" s="31" t="s">
        <v>4</v>
      </c>
      <c r="D1817" s="31" t="s">
        <v>2090</v>
      </c>
      <c r="E1817" s="32">
        <v>1782</v>
      </c>
      <c r="F1817" s="32">
        <v>5</v>
      </c>
    </row>
    <row r="1818" spans="1:6" x14ac:dyDescent="0.3">
      <c r="A1818" s="31">
        <v>1000111089</v>
      </c>
      <c r="B1818" s="31" t="s">
        <v>3231</v>
      </c>
      <c r="C1818" s="31" t="s">
        <v>4</v>
      </c>
      <c r="D1818" s="31" t="s">
        <v>2090</v>
      </c>
      <c r="E1818" s="32">
        <v>1780.5</v>
      </c>
      <c r="F1818" s="32">
        <v>10</v>
      </c>
    </row>
    <row r="1819" spans="1:6" x14ac:dyDescent="0.3">
      <c r="A1819" s="31">
        <v>1000010154</v>
      </c>
      <c r="B1819" s="31" t="s">
        <v>3232</v>
      </c>
      <c r="C1819" s="31" t="s">
        <v>4</v>
      </c>
      <c r="D1819" s="31" t="s">
        <v>2161</v>
      </c>
      <c r="E1819" s="32">
        <v>1775.52</v>
      </c>
      <c r="F1819" s="32">
        <v>6</v>
      </c>
    </row>
    <row r="1820" spans="1:6" x14ac:dyDescent="0.3">
      <c r="A1820" s="31">
        <v>2500008145</v>
      </c>
      <c r="B1820" s="31" t="s">
        <v>3233</v>
      </c>
      <c r="C1820" s="31" t="s">
        <v>1996</v>
      </c>
      <c r="D1820" s="31" t="s">
        <v>2025</v>
      </c>
      <c r="E1820" s="32">
        <v>1773.75</v>
      </c>
      <c r="F1820" s="32">
        <v>1</v>
      </c>
    </row>
    <row r="1821" spans="1:6" x14ac:dyDescent="0.3">
      <c r="A1821" s="31">
        <v>1000098602</v>
      </c>
      <c r="B1821" s="31" t="s">
        <v>1607</v>
      </c>
      <c r="C1821" s="31" t="s">
        <v>4</v>
      </c>
      <c r="D1821" s="31" t="s">
        <v>2090</v>
      </c>
      <c r="E1821" s="32">
        <v>1772.55</v>
      </c>
      <c r="F1821" s="32">
        <v>7</v>
      </c>
    </row>
    <row r="1822" spans="1:6" x14ac:dyDescent="0.3">
      <c r="A1822" s="31">
        <v>1000020482</v>
      </c>
      <c r="B1822" s="31" t="s">
        <v>708</v>
      </c>
      <c r="C1822" s="31" t="s">
        <v>4</v>
      </c>
      <c r="D1822" s="31" t="s">
        <v>2218</v>
      </c>
      <c r="E1822" s="32">
        <v>1771.9713529098599</v>
      </c>
      <c r="F1822" s="32">
        <v>58</v>
      </c>
    </row>
    <row r="1823" spans="1:6" x14ac:dyDescent="0.3">
      <c r="A1823" s="31">
        <v>80000009710</v>
      </c>
      <c r="B1823" s="31" t="s">
        <v>3185</v>
      </c>
      <c r="C1823" s="31" t="s">
        <v>2755</v>
      </c>
      <c r="D1823" s="31" t="s">
        <v>2670</v>
      </c>
      <c r="E1823" s="32">
        <v>1770.1666666666599</v>
      </c>
      <c r="F1823" s="32">
        <v>215</v>
      </c>
    </row>
    <row r="1824" spans="1:6" x14ac:dyDescent="0.3">
      <c r="A1824" s="31">
        <v>2500009467</v>
      </c>
      <c r="B1824" s="31" t="s">
        <v>3234</v>
      </c>
      <c r="C1824" s="31" t="s">
        <v>1996</v>
      </c>
      <c r="D1824" s="31" t="s">
        <v>2289</v>
      </c>
      <c r="E1824" s="32">
        <v>1766.25</v>
      </c>
      <c r="F1824" s="32">
        <v>3</v>
      </c>
    </row>
    <row r="1825" spans="1:6" x14ac:dyDescent="0.3">
      <c r="A1825" s="31">
        <v>1000107098</v>
      </c>
      <c r="B1825" s="31" t="s">
        <v>3235</v>
      </c>
      <c r="C1825" s="31" t="s">
        <v>4</v>
      </c>
      <c r="D1825" s="31" t="s">
        <v>2056</v>
      </c>
      <c r="E1825" s="32">
        <v>1765.74</v>
      </c>
      <c r="F1825" s="32">
        <v>2</v>
      </c>
    </row>
    <row r="1826" spans="1:6" x14ac:dyDescent="0.3">
      <c r="A1826" s="31">
        <v>1000021023</v>
      </c>
      <c r="B1826" s="31" t="s">
        <v>1195</v>
      </c>
      <c r="C1826" s="31" t="s">
        <v>4</v>
      </c>
      <c r="D1826" s="31" t="s">
        <v>2090</v>
      </c>
      <c r="E1826" s="32">
        <v>1760.34</v>
      </c>
      <c r="F1826" s="32">
        <v>3</v>
      </c>
    </row>
    <row r="1827" spans="1:6" x14ac:dyDescent="0.3">
      <c r="A1827" s="31">
        <v>1000095107</v>
      </c>
      <c r="B1827" s="31" t="s">
        <v>3236</v>
      </c>
      <c r="C1827" s="31" t="s">
        <v>4</v>
      </c>
      <c r="D1827" s="31" t="s">
        <v>2090</v>
      </c>
      <c r="E1827" s="32">
        <v>1758.12</v>
      </c>
      <c r="F1827" s="32">
        <v>3</v>
      </c>
    </row>
    <row r="1828" spans="1:6" x14ac:dyDescent="0.3">
      <c r="A1828" s="31">
        <v>1000020650</v>
      </c>
      <c r="B1828" s="31" t="s">
        <v>864</v>
      </c>
      <c r="C1828" s="31" t="s">
        <v>4</v>
      </c>
      <c r="D1828" s="31" t="s">
        <v>2090</v>
      </c>
      <c r="E1828" s="32">
        <v>1757.1603260869499</v>
      </c>
      <c r="F1828" s="32">
        <v>75</v>
      </c>
    </row>
    <row r="1829" spans="1:6" x14ac:dyDescent="0.3">
      <c r="A1829" s="31">
        <v>1000099259</v>
      </c>
      <c r="B1829" s="31" t="s">
        <v>3237</v>
      </c>
      <c r="C1829" s="31" t="s">
        <v>4</v>
      </c>
      <c r="D1829" s="31" t="s">
        <v>2090</v>
      </c>
      <c r="E1829" s="32">
        <v>1755.27</v>
      </c>
      <c r="F1829" s="32">
        <v>13</v>
      </c>
    </row>
    <row r="1830" spans="1:6" x14ac:dyDescent="0.3">
      <c r="A1830" s="31">
        <v>1000094464</v>
      </c>
      <c r="B1830" s="31" t="s">
        <v>3238</v>
      </c>
      <c r="C1830" s="31" t="s">
        <v>4</v>
      </c>
      <c r="D1830" s="31" t="s">
        <v>2161</v>
      </c>
      <c r="E1830" s="32">
        <v>1754.3848666666599</v>
      </c>
      <c r="F1830" s="32">
        <v>6</v>
      </c>
    </row>
    <row r="1831" spans="1:6" x14ac:dyDescent="0.3">
      <c r="A1831" s="31">
        <v>1000105834</v>
      </c>
      <c r="B1831" s="31" t="s">
        <v>3239</v>
      </c>
      <c r="C1831" s="31" t="s">
        <v>4</v>
      </c>
      <c r="D1831" s="31" t="s">
        <v>2161</v>
      </c>
      <c r="E1831" s="32">
        <v>1751.86</v>
      </c>
      <c r="F1831" s="32">
        <v>5</v>
      </c>
    </row>
    <row r="1832" spans="1:6" x14ac:dyDescent="0.3">
      <c r="A1832" s="31">
        <v>1000109881</v>
      </c>
      <c r="B1832" s="31" t="s">
        <v>3240</v>
      </c>
      <c r="C1832" s="31" t="s">
        <v>2205</v>
      </c>
      <c r="D1832" s="31" t="s">
        <v>2150</v>
      </c>
      <c r="E1832" s="32">
        <v>1749.6</v>
      </c>
      <c r="F1832" s="32">
        <v>4</v>
      </c>
    </row>
    <row r="1833" spans="1:6" x14ac:dyDescent="0.3">
      <c r="A1833" s="31">
        <v>2200003369</v>
      </c>
      <c r="B1833" s="31" t="s">
        <v>3241</v>
      </c>
      <c r="C1833" s="31" t="s">
        <v>2030</v>
      </c>
      <c r="D1833" s="31" t="s">
        <v>2859</v>
      </c>
      <c r="E1833" s="32">
        <v>1748.6624999999999</v>
      </c>
      <c r="F1833" s="32">
        <v>1</v>
      </c>
    </row>
    <row r="1834" spans="1:6" x14ac:dyDescent="0.3">
      <c r="A1834" s="31">
        <v>2500005898</v>
      </c>
      <c r="B1834" s="31" t="s">
        <v>3242</v>
      </c>
      <c r="C1834" s="31" t="s">
        <v>1996</v>
      </c>
      <c r="D1834" s="31" t="s">
        <v>2025</v>
      </c>
      <c r="E1834" s="32">
        <v>1748.25</v>
      </c>
      <c r="F1834" s="32">
        <v>38</v>
      </c>
    </row>
    <row r="1835" spans="1:6" x14ac:dyDescent="0.3">
      <c r="A1835" s="31">
        <v>80000002262</v>
      </c>
      <c r="B1835" s="31" t="s">
        <v>3243</v>
      </c>
      <c r="C1835" s="31" t="s">
        <v>2521</v>
      </c>
      <c r="D1835" s="31" t="s">
        <v>2645</v>
      </c>
      <c r="E1835" s="32">
        <v>1747.46</v>
      </c>
      <c r="F1835" s="32">
        <v>517</v>
      </c>
    </row>
    <row r="1836" spans="1:6" x14ac:dyDescent="0.3">
      <c r="A1836" s="31">
        <v>1000020905</v>
      </c>
      <c r="B1836" s="31" t="s">
        <v>1086</v>
      </c>
      <c r="C1836" s="31" t="s">
        <v>4</v>
      </c>
      <c r="D1836" s="31" t="s">
        <v>2090</v>
      </c>
      <c r="E1836" s="32">
        <v>1745.42</v>
      </c>
      <c r="F1836" s="32">
        <v>7</v>
      </c>
    </row>
    <row r="1837" spans="1:6" x14ac:dyDescent="0.3">
      <c r="A1837" s="31">
        <v>1000015006</v>
      </c>
      <c r="B1837" s="31" t="s">
        <v>3244</v>
      </c>
      <c r="C1837" s="31" t="s">
        <v>4</v>
      </c>
      <c r="D1837" s="31" t="s">
        <v>2043</v>
      </c>
      <c r="E1837" s="32">
        <v>1744.6233726498599</v>
      </c>
      <c r="F1837" s="32">
        <v>20</v>
      </c>
    </row>
    <row r="1838" spans="1:6" x14ac:dyDescent="0.3">
      <c r="A1838" s="31">
        <v>2500009330</v>
      </c>
      <c r="B1838" s="31" t="s">
        <v>3245</v>
      </c>
      <c r="C1838" s="31" t="s">
        <v>1996</v>
      </c>
      <c r="D1838" s="31" t="s">
        <v>2289</v>
      </c>
      <c r="E1838" s="32">
        <v>1743.75</v>
      </c>
      <c r="F1838" s="32">
        <v>15</v>
      </c>
    </row>
    <row r="1839" spans="1:6" x14ac:dyDescent="0.3">
      <c r="A1839" s="31">
        <v>1000096439</v>
      </c>
      <c r="B1839" s="31" t="s">
        <v>3246</v>
      </c>
      <c r="C1839" s="31" t="s">
        <v>4</v>
      </c>
      <c r="D1839" s="31" t="s">
        <v>2161</v>
      </c>
      <c r="E1839" s="32">
        <v>1738.7066666666601</v>
      </c>
      <c r="F1839" s="32">
        <v>2</v>
      </c>
    </row>
    <row r="1840" spans="1:6" x14ac:dyDescent="0.3">
      <c r="A1840" s="31">
        <v>1000098940</v>
      </c>
      <c r="B1840" s="31" t="s">
        <v>3247</v>
      </c>
      <c r="C1840" s="31" t="s">
        <v>4</v>
      </c>
      <c r="D1840" s="31" t="s">
        <v>2161</v>
      </c>
      <c r="E1840" s="32">
        <v>1734.9863</v>
      </c>
      <c r="F1840" s="32">
        <v>1</v>
      </c>
    </row>
    <row r="1841" spans="1:6" x14ac:dyDescent="0.3">
      <c r="A1841" s="31">
        <v>1000100319</v>
      </c>
      <c r="B1841" s="31" t="s">
        <v>3248</v>
      </c>
      <c r="C1841" s="31" t="s">
        <v>4</v>
      </c>
      <c r="D1841" s="31" t="s">
        <v>2090</v>
      </c>
      <c r="E1841" s="32">
        <v>1729.05</v>
      </c>
      <c r="F1841" s="32">
        <v>4</v>
      </c>
    </row>
    <row r="1842" spans="1:6" x14ac:dyDescent="0.3">
      <c r="A1842" s="31">
        <v>1000103012</v>
      </c>
      <c r="B1842" s="31" t="s">
        <v>3249</v>
      </c>
      <c r="C1842" s="31" t="s">
        <v>4</v>
      </c>
      <c r="D1842" s="31" t="s">
        <v>2090</v>
      </c>
      <c r="E1842" s="32">
        <v>1727.8164489795899</v>
      </c>
      <c r="F1842" s="32">
        <v>58</v>
      </c>
    </row>
    <row r="1843" spans="1:6" x14ac:dyDescent="0.3">
      <c r="A1843" s="31">
        <v>1000093526</v>
      </c>
      <c r="B1843" s="31" t="s">
        <v>3250</v>
      </c>
      <c r="C1843" s="31" t="s">
        <v>2109</v>
      </c>
      <c r="D1843" s="31" t="s">
        <v>2070</v>
      </c>
      <c r="E1843" s="32">
        <v>1727.3</v>
      </c>
      <c r="F1843" s="32">
        <v>2</v>
      </c>
    </row>
    <row r="1844" spans="1:6" x14ac:dyDescent="0.3">
      <c r="A1844" s="31">
        <v>1000100349</v>
      </c>
      <c r="B1844" s="31" t="s">
        <v>3251</v>
      </c>
      <c r="C1844" s="31" t="s">
        <v>4</v>
      </c>
      <c r="D1844" s="31" t="s">
        <v>2090</v>
      </c>
      <c r="E1844" s="32">
        <v>1727.259</v>
      </c>
      <c r="F1844" s="32">
        <v>3</v>
      </c>
    </row>
    <row r="1845" spans="1:6" x14ac:dyDescent="0.3">
      <c r="A1845" s="31">
        <v>1000100280</v>
      </c>
      <c r="B1845" s="31" t="s">
        <v>3252</v>
      </c>
      <c r="C1845" s="31" t="s">
        <v>4</v>
      </c>
      <c r="D1845" s="31" t="s">
        <v>2090</v>
      </c>
      <c r="E1845" s="32">
        <v>1717.88</v>
      </c>
      <c r="F1845" s="32">
        <v>11</v>
      </c>
    </row>
    <row r="1846" spans="1:6" x14ac:dyDescent="0.3">
      <c r="A1846" s="31">
        <v>1000020496</v>
      </c>
      <c r="B1846" s="31" t="s">
        <v>721</v>
      </c>
      <c r="C1846" s="31" t="s">
        <v>4</v>
      </c>
      <c r="D1846" s="31" t="s">
        <v>2090</v>
      </c>
      <c r="E1846" s="32">
        <v>1715.0074999999999</v>
      </c>
      <c r="F1846" s="32">
        <v>23</v>
      </c>
    </row>
    <row r="1847" spans="1:6" x14ac:dyDescent="0.3">
      <c r="A1847" s="31">
        <v>1000098541</v>
      </c>
      <c r="B1847" s="31" t="s">
        <v>1572</v>
      </c>
      <c r="C1847" s="31" t="s">
        <v>4</v>
      </c>
      <c r="D1847" s="31" t="s">
        <v>2090</v>
      </c>
      <c r="E1847" s="32">
        <v>1714.58</v>
      </c>
      <c r="F1847" s="32">
        <v>19</v>
      </c>
    </row>
    <row r="1848" spans="1:6" x14ac:dyDescent="0.3">
      <c r="A1848" s="31">
        <v>1000095596</v>
      </c>
      <c r="B1848" s="31" t="s">
        <v>3253</v>
      </c>
      <c r="C1848" s="31" t="s">
        <v>4</v>
      </c>
      <c r="D1848" s="31" t="s">
        <v>2161</v>
      </c>
      <c r="E1848" s="32">
        <v>1712.81</v>
      </c>
      <c r="F1848" s="32">
        <v>3</v>
      </c>
    </row>
    <row r="1849" spans="1:6" x14ac:dyDescent="0.3">
      <c r="A1849" s="31">
        <v>2500005624</v>
      </c>
      <c r="B1849" s="31" t="s">
        <v>1906</v>
      </c>
      <c r="C1849" s="31" t="s">
        <v>1996</v>
      </c>
      <c r="D1849" s="31" t="s">
        <v>2025</v>
      </c>
      <c r="E1849" s="32">
        <v>1712.7</v>
      </c>
      <c r="F1849" s="32">
        <v>2</v>
      </c>
    </row>
    <row r="1850" spans="1:6" x14ac:dyDescent="0.3">
      <c r="A1850" s="31">
        <v>2500008486</v>
      </c>
      <c r="B1850" s="31" t="s">
        <v>3254</v>
      </c>
      <c r="C1850" s="31" t="s">
        <v>1996</v>
      </c>
      <c r="D1850" s="31" t="s">
        <v>2025</v>
      </c>
      <c r="E1850" s="32">
        <v>1710</v>
      </c>
      <c r="F1850" s="32">
        <v>4</v>
      </c>
    </row>
    <row r="1851" spans="1:6" x14ac:dyDescent="0.3">
      <c r="A1851" s="31">
        <v>1000098694</v>
      </c>
      <c r="B1851" s="31" t="s">
        <v>1646</v>
      </c>
      <c r="C1851" s="31" t="s">
        <v>4</v>
      </c>
      <c r="D1851" s="31" t="s">
        <v>2090</v>
      </c>
      <c r="E1851" s="32">
        <v>1708.54</v>
      </c>
      <c r="F1851" s="32">
        <v>2</v>
      </c>
    </row>
    <row r="1852" spans="1:6" x14ac:dyDescent="0.3">
      <c r="A1852" s="31">
        <v>2500008647</v>
      </c>
      <c r="B1852" s="31" t="s">
        <v>3255</v>
      </c>
      <c r="C1852" s="31" t="s">
        <v>1996</v>
      </c>
      <c r="D1852" s="31" t="s">
        <v>2025</v>
      </c>
      <c r="E1852" s="32">
        <v>1708.5</v>
      </c>
      <c r="F1852" s="32">
        <v>7</v>
      </c>
    </row>
    <row r="1853" spans="1:6" x14ac:dyDescent="0.3">
      <c r="A1853" s="31">
        <v>1000021214</v>
      </c>
      <c r="B1853" s="31" t="s">
        <v>1360</v>
      </c>
      <c r="C1853" s="31" t="s">
        <v>4</v>
      </c>
      <c r="D1853" s="31" t="s">
        <v>2090</v>
      </c>
      <c r="E1853" s="32">
        <v>1707.74</v>
      </c>
      <c r="F1853" s="32">
        <v>32</v>
      </c>
    </row>
    <row r="1854" spans="1:6" x14ac:dyDescent="0.3">
      <c r="A1854" s="31">
        <v>1000100571</v>
      </c>
      <c r="B1854" s="31" t="s">
        <v>3256</v>
      </c>
      <c r="C1854" s="31" t="s">
        <v>4</v>
      </c>
      <c r="D1854" s="31" t="s">
        <v>2161</v>
      </c>
      <c r="E1854" s="32">
        <v>1705.4475</v>
      </c>
      <c r="F1854" s="32">
        <v>1</v>
      </c>
    </row>
    <row r="1855" spans="1:6" x14ac:dyDescent="0.3">
      <c r="A1855" s="31">
        <v>1000098644</v>
      </c>
      <c r="B1855" s="31" t="s">
        <v>1621</v>
      </c>
      <c r="C1855" s="31" t="s">
        <v>4</v>
      </c>
      <c r="D1855" s="31" t="s">
        <v>2090</v>
      </c>
      <c r="E1855" s="32">
        <v>1704.97435897435</v>
      </c>
      <c r="F1855" s="32">
        <v>40</v>
      </c>
    </row>
    <row r="1856" spans="1:6" x14ac:dyDescent="0.3">
      <c r="A1856" s="31">
        <v>2500005713</v>
      </c>
      <c r="B1856" s="31" t="s">
        <v>3257</v>
      </c>
      <c r="C1856" s="31" t="s">
        <v>1996</v>
      </c>
      <c r="D1856" s="31" t="s">
        <v>2025</v>
      </c>
      <c r="E1856" s="32">
        <v>1699.31</v>
      </c>
      <c r="F1856" s="32">
        <v>3</v>
      </c>
    </row>
    <row r="1857" spans="1:6" x14ac:dyDescent="0.3">
      <c r="A1857" s="31">
        <v>2500006131</v>
      </c>
      <c r="B1857" s="31" t="s">
        <v>1912</v>
      </c>
      <c r="C1857" s="31" t="s">
        <v>1996</v>
      </c>
      <c r="D1857" s="31" t="s">
        <v>2025</v>
      </c>
      <c r="E1857" s="32">
        <v>1696.5</v>
      </c>
      <c r="F1857" s="32">
        <v>8</v>
      </c>
    </row>
    <row r="1858" spans="1:6" x14ac:dyDescent="0.3">
      <c r="A1858" s="31">
        <v>1000098533</v>
      </c>
      <c r="B1858" s="31" t="s">
        <v>1567</v>
      </c>
      <c r="C1858" s="31" t="s">
        <v>4</v>
      </c>
      <c r="D1858" s="31" t="s">
        <v>2090</v>
      </c>
      <c r="E1858" s="32">
        <v>1696.4</v>
      </c>
      <c r="F1858" s="32">
        <v>2</v>
      </c>
    </row>
    <row r="1859" spans="1:6" x14ac:dyDescent="0.3">
      <c r="A1859" s="31">
        <v>1000098534</v>
      </c>
      <c r="B1859" s="31" t="s">
        <v>331</v>
      </c>
      <c r="C1859" s="31" t="s">
        <v>4</v>
      </c>
      <c r="D1859" s="31" t="s">
        <v>2090</v>
      </c>
      <c r="E1859" s="32">
        <v>1696.4</v>
      </c>
      <c r="F1859" s="32">
        <v>2</v>
      </c>
    </row>
    <row r="1860" spans="1:6" x14ac:dyDescent="0.3">
      <c r="A1860" s="31">
        <v>1000100160</v>
      </c>
      <c r="B1860" s="31" t="s">
        <v>3258</v>
      </c>
      <c r="C1860" s="31" t="s">
        <v>4</v>
      </c>
      <c r="D1860" s="31" t="s">
        <v>2056</v>
      </c>
      <c r="E1860" s="32">
        <v>1692.9</v>
      </c>
      <c r="F1860" s="32">
        <v>12000</v>
      </c>
    </row>
    <row r="1861" spans="1:6" x14ac:dyDescent="0.3">
      <c r="A1861" s="31">
        <v>2100001105</v>
      </c>
      <c r="B1861" s="31" t="s">
        <v>3259</v>
      </c>
      <c r="C1861" s="31" t="s">
        <v>2030</v>
      </c>
      <c r="D1861" s="31" t="s">
        <v>2628</v>
      </c>
      <c r="E1861" s="32">
        <v>1689.6</v>
      </c>
      <c r="F1861" s="32">
        <v>2</v>
      </c>
    </row>
    <row r="1862" spans="1:6" x14ac:dyDescent="0.3">
      <c r="A1862" s="31">
        <v>2500009107</v>
      </c>
      <c r="B1862" s="31" t="s">
        <v>3260</v>
      </c>
      <c r="C1862" s="31" t="s">
        <v>1996</v>
      </c>
      <c r="D1862" s="31" t="s">
        <v>2289</v>
      </c>
      <c r="E1862" s="32">
        <v>1687.5</v>
      </c>
      <c r="F1862" s="32">
        <v>1</v>
      </c>
    </row>
    <row r="1863" spans="1:6" x14ac:dyDescent="0.3">
      <c r="A1863" s="31">
        <v>2500009468</v>
      </c>
      <c r="B1863" s="31" t="s">
        <v>3261</v>
      </c>
      <c r="C1863" s="31" t="s">
        <v>1996</v>
      </c>
      <c r="D1863" s="31" t="s">
        <v>2289</v>
      </c>
      <c r="E1863" s="32">
        <v>1687.5</v>
      </c>
      <c r="F1863" s="32">
        <v>3</v>
      </c>
    </row>
    <row r="1864" spans="1:6" x14ac:dyDescent="0.3">
      <c r="A1864" s="31">
        <v>1000103197</v>
      </c>
      <c r="B1864" s="31" t="s">
        <v>1805</v>
      </c>
      <c r="C1864" s="31" t="s">
        <v>4</v>
      </c>
      <c r="D1864" s="31" t="s">
        <v>2090</v>
      </c>
      <c r="E1864" s="32">
        <v>1683.94</v>
      </c>
      <c r="F1864" s="32">
        <v>1</v>
      </c>
    </row>
    <row r="1865" spans="1:6" x14ac:dyDescent="0.3">
      <c r="A1865" s="31">
        <v>2500009202</v>
      </c>
      <c r="B1865" s="31" t="s">
        <v>3262</v>
      </c>
      <c r="C1865" s="31" t="s">
        <v>1996</v>
      </c>
      <c r="D1865" s="31" t="s">
        <v>2915</v>
      </c>
      <c r="E1865" s="32">
        <v>1683</v>
      </c>
      <c r="F1865" s="32">
        <v>17</v>
      </c>
    </row>
    <row r="1866" spans="1:6" x14ac:dyDescent="0.3">
      <c r="A1866" s="31">
        <v>1000021468</v>
      </c>
      <c r="B1866" s="31" t="s">
        <v>1488</v>
      </c>
      <c r="C1866" s="31" t="s">
        <v>4</v>
      </c>
      <c r="D1866" s="31" t="s">
        <v>2090</v>
      </c>
      <c r="E1866" s="32">
        <v>1682.4839999999999</v>
      </c>
      <c r="F1866" s="32">
        <v>19</v>
      </c>
    </row>
    <row r="1867" spans="1:6" x14ac:dyDescent="0.3">
      <c r="A1867" s="31">
        <v>1000021312</v>
      </c>
      <c r="B1867" s="31" t="s">
        <v>1444</v>
      </c>
      <c r="C1867" s="31" t="s">
        <v>4</v>
      </c>
      <c r="D1867" s="31" t="s">
        <v>2090</v>
      </c>
      <c r="E1867" s="32">
        <v>1681.64</v>
      </c>
      <c r="F1867" s="32">
        <v>1</v>
      </c>
    </row>
    <row r="1868" spans="1:6" x14ac:dyDescent="0.3">
      <c r="A1868" s="31">
        <v>1000021311</v>
      </c>
      <c r="B1868" s="31" t="s">
        <v>1443</v>
      </c>
      <c r="C1868" s="31" t="s">
        <v>4</v>
      </c>
      <c r="D1868" s="31" t="s">
        <v>2090</v>
      </c>
      <c r="E1868" s="32">
        <v>1681.64</v>
      </c>
      <c r="F1868" s="32">
        <v>1</v>
      </c>
    </row>
    <row r="1869" spans="1:6" x14ac:dyDescent="0.3">
      <c r="A1869" s="31">
        <v>1000098713</v>
      </c>
      <c r="B1869" s="31" t="s">
        <v>1660</v>
      </c>
      <c r="C1869" s="31" t="s">
        <v>4</v>
      </c>
      <c r="D1869" s="31" t="s">
        <v>2090</v>
      </c>
      <c r="E1869" s="32">
        <v>1681.5</v>
      </c>
      <c r="F1869" s="32">
        <v>2</v>
      </c>
    </row>
    <row r="1870" spans="1:6" x14ac:dyDescent="0.3">
      <c r="A1870" s="31">
        <v>1000021040</v>
      </c>
      <c r="B1870" s="31" t="s">
        <v>1211</v>
      </c>
      <c r="C1870" s="31" t="s">
        <v>4</v>
      </c>
      <c r="D1870" s="31" t="s">
        <v>2090</v>
      </c>
      <c r="E1870" s="32">
        <v>1678.79</v>
      </c>
      <c r="F1870" s="32">
        <v>13</v>
      </c>
    </row>
    <row r="1871" spans="1:6" x14ac:dyDescent="0.3">
      <c r="A1871" s="31">
        <v>1000021115</v>
      </c>
      <c r="B1871" s="31" t="s">
        <v>1275</v>
      </c>
      <c r="C1871" s="31" t="s">
        <v>4</v>
      </c>
      <c r="D1871" s="31" t="s">
        <v>2090</v>
      </c>
      <c r="E1871" s="32">
        <v>1677.3071111111101</v>
      </c>
      <c r="F1871" s="32">
        <v>8</v>
      </c>
    </row>
    <row r="1872" spans="1:6" x14ac:dyDescent="0.3">
      <c r="A1872" s="31">
        <v>1000095689</v>
      </c>
      <c r="B1872" s="31" t="s">
        <v>1502</v>
      </c>
      <c r="C1872" s="31" t="s">
        <v>4</v>
      </c>
      <c r="D1872" s="31" t="s">
        <v>2218</v>
      </c>
      <c r="E1872" s="32">
        <v>1677.03972222222</v>
      </c>
      <c r="F1872" s="32">
        <v>9</v>
      </c>
    </row>
    <row r="1873" spans="1:6" x14ac:dyDescent="0.3">
      <c r="A1873" s="31">
        <v>2200002931</v>
      </c>
      <c r="B1873" s="31" t="s">
        <v>194</v>
      </c>
      <c r="C1873" s="31" t="s">
        <v>2037</v>
      </c>
      <c r="D1873" s="31" t="s">
        <v>2038</v>
      </c>
      <c r="E1873" s="32">
        <v>1673.85</v>
      </c>
      <c r="F1873" s="32">
        <v>1</v>
      </c>
    </row>
    <row r="1874" spans="1:6" x14ac:dyDescent="0.3">
      <c r="A1874" s="31">
        <v>2200002968</v>
      </c>
      <c r="B1874" s="31" t="s">
        <v>3263</v>
      </c>
      <c r="C1874" s="31" t="s">
        <v>2037</v>
      </c>
      <c r="D1874" s="31" t="s">
        <v>2038</v>
      </c>
      <c r="E1874" s="32">
        <v>1673.85</v>
      </c>
      <c r="F1874" s="32">
        <v>1</v>
      </c>
    </row>
    <row r="1875" spans="1:6" x14ac:dyDescent="0.3">
      <c r="A1875" s="31">
        <v>2500008336</v>
      </c>
      <c r="B1875" s="31" t="s">
        <v>3264</v>
      </c>
      <c r="C1875" s="31" t="s">
        <v>1996</v>
      </c>
      <c r="D1875" s="31" t="s">
        <v>2025</v>
      </c>
      <c r="E1875" s="32">
        <v>1673.85</v>
      </c>
      <c r="F1875" s="32">
        <v>5</v>
      </c>
    </row>
    <row r="1876" spans="1:6" x14ac:dyDescent="0.3">
      <c r="A1876" s="31">
        <v>1000096437</v>
      </c>
      <c r="B1876" s="31" t="s">
        <v>3265</v>
      </c>
      <c r="C1876" s="31" t="s">
        <v>4</v>
      </c>
      <c r="D1876" s="31" t="s">
        <v>2161</v>
      </c>
      <c r="E1876" s="32">
        <v>1673.701875</v>
      </c>
      <c r="F1876" s="32">
        <v>5</v>
      </c>
    </row>
    <row r="1877" spans="1:6" x14ac:dyDescent="0.3">
      <c r="A1877" s="31">
        <v>1000098606</v>
      </c>
      <c r="B1877" s="31" t="s">
        <v>1610</v>
      </c>
      <c r="C1877" s="31" t="s">
        <v>4</v>
      </c>
      <c r="D1877" s="31" t="s">
        <v>2090</v>
      </c>
      <c r="E1877" s="32">
        <v>1672.96</v>
      </c>
      <c r="F1877" s="32">
        <v>2</v>
      </c>
    </row>
    <row r="1878" spans="1:6" x14ac:dyDescent="0.3">
      <c r="A1878" s="31">
        <v>1000099206</v>
      </c>
      <c r="B1878" s="31" t="s">
        <v>3266</v>
      </c>
      <c r="C1878" s="31" t="s">
        <v>4</v>
      </c>
      <c r="D1878" s="31" t="s">
        <v>2882</v>
      </c>
      <c r="E1878" s="32">
        <v>1669.1553508695099</v>
      </c>
      <c r="F1878" s="32">
        <v>193</v>
      </c>
    </row>
    <row r="1879" spans="1:6" x14ac:dyDescent="0.3">
      <c r="A1879" s="31">
        <v>1000100379</v>
      </c>
      <c r="B1879" s="31" t="s">
        <v>3267</v>
      </c>
      <c r="C1879" s="31" t="s">
        <v>4</v>
      </c>
      <c r="D1879" s="31" t="s">
        <v>2090</v>
      </c>
      <c r="E1879" s="32">
        <v>1668.04368981481</v>
      </c>
      <c r="F1879" s="32">
        <v>12</v>
      </c>
    </row>
    <row r="1880" spans="1:6" x14ac:dyDescent="0.3">
      <c r="A1880" s="31">
        <v>2500008871</v>
      </c>
      <c r="B1880" s="31" t="s">
        <v>3268</v>
      </c>
      <c r="C1880" s="31" t="s">
        <v>1996</v>
      </c>
      <c r="D1880" s="31" t="s">
        <v>3044</v>
      </c>
      <c r="E1880" s="32">
        <v>1661.92</v>
      </c>
      <c r="F1880" s="32">
        <v>200</v>
      </c>
    </row>
    <row r="1881" spans="1:6" x14ac:dyDescent="0.3">
      <c r="A1881" s="31">
        <v>1000102724</v>
      </c>
      <c r="B1881" s="31" t="s">
        <v>1799</v>
      </c>
      <c r="C1881" s="31" t="s">
        <v>4</v>
      </c>
      <c r="D1881" s="31" t="s">
        <v>2090</v>
      </c>
      <c r="E1881" s="32">
        <v>1661.74</v>
      </c>
      <c r="F1881" s="32">
        <v>1</v>
      </c>
    </row>
    <row r="1882" spans="1:6" x14ac:dyDescent="0.3">
      <c r="A1882" s="31">
        <v>1000096571</v>
      </c>
      <c r="B1882" s="31" t="s">
        <v>3228</v>
      </c>
      <c r="C1882" s="31" t="s">
        <v>4</v>
      </c>
      <c r="D1882" s="31" t="s">
        <v>2161</v>
      </c>
      <c r="E1882" s="32">
        <v>1660.12</v>
      </c>
      <c r="F1882" s="32">
        <v>3</v>
      </c>
    </row>
    <row r="1883" spans="1:6" x14ac:dyDescent="0.3">
      <c r="A1883" s="31">
        <v>1000095663</v>
      </c>
      <c r="B1883" s="31" t="s">
        <v>3269</v>
      </c>
      <c r="C1883" s="31" t="s">
        <v>4</v>
      </c>
      <c r="D1883" s="31" t="s">
        <v>2056</v>
      </c>
      <c r="E1883" s="32">
        <v>1658.72252847405</v>
      </c>
      <c r="F1883" s="32">
        <v>6</v>
      </c>
    </row>
    <row r="1884" spans="1:6" x14ac:dyDescent="0.3">
      <c r="A1884" s="31">
        <v>1000110808</v>
      </c>
      <c r="B1884" s="31" t="s">
        <v>3270</v>
      </c>
      <c r="C1884" s="31" t="s">
        <v>4</v>
      </c>
      <c r="D1884" s="31" t="s">
        <v>2090</v>
      </c>
      <c r="E1884" s="32">
        <v>1658.4</v>
      </c>
      <c r="F1884" s="32">
        <v>16</v>
      </c>
    </row>
    <row r="1885" spans="1:6" x14ac:dyDescent="0.3">
      <c r="A1885" s="31">
        <v>1000021156</v>
      </c>
      <c r="B1885" s="31" t="s">
        <v>1305</v>
      </c>
      <c r="C1885" s="31" t="s">
        <v>4</v>
      </c>
      <c r="D1885" s="31" t="s">
        <v>2090</v>
      </c>
      <c r="E1885" s="32">
        <v>1658.25</v>
      </c>
      <c r="F1885" s="32">
        <v>5</v>
      </c>
    </row>
    <row r="1886" spans="1:6" x14ac:dyDescent="0.3">
      <c r="A1886" s="31">
        <v>1000110689</v>
      </c>
      <c r="B1886" s="31" t="s">
        <v>3271</v>
      </c>
      <c r="C1886" s="31" t="s">
        <v>2027</v>
      </c>
      <c r="D1886" s="31" t="s">
        <v>2070</v>
      </c>
      <c r="E1886" s="32">
        <v>1655.625</v>
      </c>
      <c r="F1886" s="32">
        <v>1</v>
      </c>
    </row>
    <row r="1887" spans="1:6" x14ac:dyDescent="0.3">
      <c r="A1887" s="31">
        <v>1000093454</v>
      </c>
      <c r="B1887" s="31" t="s">
        <v>3272</v>
      </c>
      <c r="C1887" s="31" t="s">
        <v>4</v>
      </c>
      <c r="D1887" s="31" t="s">
        <v>2161</v>
      </c>
      <c r="E1887" s="32">
        <v>1653.31059275437</v>
      </c>
      <c r="F1887" s="32">
        <v>2</v>
      </c>
    </row>
    <row r="1888" spans="1:6" x14ac:dyDescent="0.3">
      <c r="A1888" s="31">
        <v>1000020831</v>
      </c>
      <c r="B1888" s="31" t="s">
        <v>1027</v>
      </c>
      <c r="C1888" s="31" t="s">
        <v>4</v>
      </c>
      <c r="D1888" s="31" t="s">
        <v>2090</v>
      </c>
      <c r="E1888" s="32">
        <v>1652.9594444444399</v>
      </c>
      <c r="F1888" s="32">
        <v>14</v>
      </c>
    </row>
    <row r="1889" spans="1:6" x14ac:dyDescent="0.3">
      <c r="A1889" s="31">
        <v>1000017015</v>
      </c>
      <c r="B1889" s="31" t="s">
        <v>3273</v>
      </c>
      <c r="C1889" s="31" t="s">
        <v>4</v>
      </c>
      <c r="D1889" s="31" t="s">
        <v>3274</v>
      </c>
      <c r="E1889" s="32">
        <v>1650</v>
      </c>
      <c r="F1889" s="32">
        <v>50</v>
      </c>
    </row>
    <row r="1890" spans="1:6" x14ac:dyDescent="0.3">
      <c r="A1890" s="31">
        <v>1000106053</v>
      </c>
      <c r="B1890" s="31" t="s">
        <v>3275</v>
      </c>
      <c r="C1890" s="31" t="s">
        <v>4</v>
      </c>
      <c r="D1890" s="31" t="s">
        <v>2161</v>
      </c>
      <c r="E1890" s="32">
        <v>1648.2</v>
      </c>
      <c r="F1890" s="32">
        <v>6</v>
      </c>
    </row>
    <row r="1891" spans="1:6" x14ac:dyDescent="0.3">
      <c r="A1891" s="31">
        <v>2200010167</v>
      </c>
      <c r="B1891" s="31" t="s">
        <v>208</v>
      </c>
      <c r="C1891" s="31" t="s">
        <v>2030</v>
      </c>
      <c r="D1891" s="31" t="s">
        <v>2067</v>
      </c>
      <c r="E1891" s="32">
        <v>1647.3</v>
      </c>
      <c r="F1891" s="32">
        <v>4</v>
      </c>
    </row>
    <row r="1892" spans="1:6" x14ac:dyDescent="0.3">
      <c r="A1892" s="31">
        <v>1000098467</v>
      </c>
      <c r="B1892" s="31" t="s">
        <v>1542</v>
      </c>
      <c r="C1892" s="31" t="s">
        <v>4</v>
      </c>
      <c r="D1892" s="31" t="s">
        <v>2090</v>
      </c>
      <c r="E1892" s="32">
        <v>1647.06323636363</v>
      </c>
      <c r="F1892" s="32">
        <v>10</v>
      </c>
    </row>
    <row r="1893" spans="1:6" x14ac:dyDescent="0.3">
      <c r="A1893" s="31">
        <v>1000021090</v>
      </c>
      <c r="B1893" s="31" t="s">
        <v>1252</v>
      </c>
      <c r="C1893" s="31" t="s">
        <v>4</v>
      </c>
      <c r="D1893" s="31" t="s">
        <v>2090</v>
      </c>
      <c r="E1893" s="32">
        <v>1644.9</v>
      </c>
      <c r="F1893" s="32">
        <v>16</v>
      </c>
    </row>
    <row r="1894" spans="1:6" x14ac:dyDescent="0.3">
      <c r="A1894" s="31">
        <v>1000092474</v>
      </c>
      <c r="B1894" s="31" t="s">
        <v>3276</v>
      </c>
      <c r="C1894" s="31" t="s">
        <v>2165</v>
      </c>
      <c r="D1894" s="31" t="s">
        <v>2070</v>
      </c>
      <c r="E1894" s="32">
        <v>1644</v>
      </c>
      <c r="F1894" s="32">
        <v>2</v>
      </c>
    </row>
    <row r="1895" spans="1:6" x14ac:dyDescent="0.3">
      <c r="A1895" s="31">
        <v>80000009733</v>
      </c>
      <c r="B1895" s="31" t="s">
        <v>3277</v>
      </c>
      <c r="C1895" s="31" t="s">
        <v>2521</v>
      </c>
      <c r="D1895" s="31" t="s">
        <v>2670</v>
      </c>
      <c r="E1895" s="32">
        <v>1641.7019094331799</v>
      </c>
      <c r="F1895" s="32">
        <v>68</v>
      </c>
    </row>
    <row r="1896" spans="1:6" x14ac:dyDescent="0.3">
      <c r="A1896" s="31">
        <v>1000098575</v>
      </c>
      <c r="B1896" s="31" t="s">
        <v>1584</v>
      </c>
      <c r="C1896" s="31" t="s">
        <v>4</v>
      </c>
      <c r="D1896" s="31" t="s">
        <v>2090</v>
      </c>
      <c r="E1896" s="32">
        <v>1635.318</v>
      </c>
      <c r="F1896" s="32">
        <v>47</v>
      </c>
    </row>
    <row r="1897" spans="1:6" x14ac:dyDescent="0.3">
      <c r="A1897" s="31">
        <v>1000102229</v>
      </c>
      <c r="B1897" s="31" t="s">
        <v>1781</v>
      </c>
      <c r="C1897" s="31" t="s">
        <v>4</v>
      </c>
      <c r="D1897" s="31" t="s">
        <v>2090</v>
      </c>
      <c r="E1897" s="32">
        <v>1634.4</v>
      </c>
      <c r="F1897" s="32">
        <v>1</v>
      </c>
    </row>
    <row r="1898" spans="1:6" x14ac:dyDescent="0.3">
      <c r="A1898" s="31">
        <v>1000010069</v>
      </c>
      <c r="B1898" s="31" t="s">
        <v>112</v>
      </c>
      <c r="C1898" s="31" t="s">
        <v>4</v>
      </c>
      <c r="D1898" s="31" t="s">
        <v>2161</v>
      </c>
      <c r="E1898" s="32">
        <v>1634.0886956521699</v>
      </c>
      <c r="F1898" s="32">
        <v>8</v>
      </c>
    </row>
    <row r="1899" spans="1:6" x14ac:dyDescent="0.3">
      <c r="A1899" s="31">
        <v>1000020714</v>
      </c>
      <c r="B1899" s="31" t="s">
        <v>923</v>
      </c>
      <c r="C1899" s="31" t="s">
        <v>4</v>
      </c>
      <c r="D1899" s="31" t="s">
        <v>2090</v>
      </c>
      <c r="E1899" s="32">
        <v>1633.17</v>
      </c>
      <c r="F1899" s="32">
        <v>11</v>
      </c>
    </row>
    <row r="1900" spans="1:6" x14ac:dyDescent="0.3">
      <c r="A1900" s="31">
        <v>1000099212</v>
      </c>
      <c r="B1900" s="31" t="s">
        <v>3278</v>
      </c>
      <c r="C1900" s="31" t="s">
        <v>4</v>
      </c>
      <c r="D1900" s="31" t="s">
        <v>2882</v>
      </c>
      <c r="E1900" s="32">
        <v>1632.65187239944</v>
      </c>
      <c r="F1900" s="32">
        <v>29</v>
      </c>
    </row>
    <row r="1901" spans="1:6" x14ac:dyDescent="0.3">
      <c r="A1901" s="31">
        <v>1000095820</v>
      </c>
      <c r="B1901" s="31" t="s">
        <v>3279</v>
      </c>
      <c r="C1901" s="31" t="s">
        <v>4</v>
      </c>
      <c r="D1901" s="31" t="s">
        <v>2056</v>
      </c>
      <c r="E1901" s="32">
        <v>1628.9151999999999</v>
      </c>
      <c r="F1901" s="32">
        <v>46</v>
      </c>
    </row>
    <row r="1902" spans="1:6" x14ac:dyDescent="0.3">
      <c r="A1902" s="31">
        <v>1000021124</v>
      </c>
      <c r="B1902" s="31" t="s">
        <v>1283</v>
      </c>
      <c r="C1902" s="31" t="s">
        <v>4</v>
      </c>
      <c r="D1902" s="31" t="s">
        <v>2090</v>
      </c>
      <c r="E1902" s="32">
        <v>1624.36</v>
      </c>
      <c r="F1902" s="32">
        <v>3</v>
      </c>
    </row>
    <row r="1903" spans="1:6" x14ac:dyDescent="0.3">
      <c r="A1903" s="31">
        <v>1000020242</v>
      </c>
      <c r="B1903" s="31" t="s">
        <v>481</v>
      </c>
      <c r="C1903" s="31" t="s">
        <v>4</v>
      </c>
      <c r="D1903" s="31" t="s">
        <v>2090</v>
      </c>
      <c r="E1903" s="32">
        <v>1623.28</v>
      </c>
      <c r="F1903" s="32">
        <v>206</v>
      </c>
    </row>
    <row r="1904" spans="1:6" x14ac:dyDescent="0.3">
      <c r="A1904" s="31">
        <v>1000020432</v>
      </c>
      <c r="B1904" s="31" t="s">
        <v>659</v>
      </c>
      <c r="C1904" s="31" t="s">
        <v>4</v>
      </c>
      <c r="D1904" s="31" t="s">
        <v>2090</v>
      </c>
      <c r="E1904" s="32">
        <v>1622.68670688579</v>
      </c>
      <c r="F1904" s="32">
        <v>160</v>
      </c>
    </row>
    <row r="1905" spans="1:6" x14ac:dyDescent="0.3">
      <c r="A1905" s="31">
        <v>1000020738</v>
      </c>
      <c r="B1905" s="31" t="s">
        <v>946</v>
      </c>
      <c r="C1905" s="31" t="s">
        <v>4</v>
      </c>
      <c r="D1905" s="31" t="s">
        <v>2090</v>
      </c>
      <c r="E1905" s="32">
        <v>1622.25</v>
      </c>
      <c r="F1905" s="32">
        <v>5</v>
      </c>
    </row>
    <row r="1906" spans="1:6" x14ac:dyDescent="0.3">
      <c r="A1906" s="31">
        <v>1000020543</v>
      </c>
      <c r="B1906" s="31" t="s">
        <v>763</v>
      </c>
      <c r="C1906" s="31" t="s">
        <v>4</v>
      </c>
      <c r="D1906" s="31" t="s">
        <v>2090</v>
      </c>
      <c r="E1906" s="32">
        <v>1622.22</v>
      </c>
      <c r="F1906" s="32">
        <v>6</v>
      </c>
    </row>
    <row r="1907" spans="1:6" x14ac:dyDescent="0.3">
      <c r="A1907" s="31">
        <v>1000010167</v>
      </c>
      <c r="B1907" s="31" t="s">
        <v>3280</v>
      </c>
      <c r="C1907" s="31" t="s">
        <v>4</v>
      </c>
      <c r="D1907" s="31" t="s">
        <v>2161</v>
      </c>
      <c r="E1907" s="32">
        <v>1621.36767914438</v>
      </c>
      <c r="F1907" s="32">
        <v>6</v>
      </c>
    </row>
    <row r="1908" spans="1:6" x14ac:dyDescent="0.3">
      <c r="A1908" s="31">
        <v>1000020531</v>
      </c>
      <c r="B1908" s="31" t="s">
        <v>752</v>
      </c>
      <c r="C1908" s="31" t="s">
        <v>4</v>
      </c>
      <c r="D1908" s="31" t="s">
        <v>2090</v>
      </c>
      <c r="E1908" s="32">
        <v>1620.5714800824101</v>
      </c>
      <c r="F1908" s="32">
        <v>10</v>
      </c>
    </row>
    <row r="1909" spans="1:6" x14ac:dyDescent="0.3">
      <c r="A1909" s="31">
        <v>2500008489</v>
      </c>
      <c r="B1909" s="31" t="s">
        <v>1939</v>
      </c>
      <c r="C1909" s="31" t="s">
        <v>1996</v>
      </c>
      <c r="D1909" s="31" t="s">
        <v>2025</v>
      </c>
      <c r="E1909" s="32">
        <v>1620</v>
      </c>
      <c r="F1909" s="32">
        <v>3</v>
      </c>
    </row>
    <row r="1910" spans="1:6" x14ac:dyDescent="0.3">
      <c r="A1910" s="31">
        <v>1000020117</v>
      </c>
      <c r="B1910" s="31" t="s">
        <v>372</v>
      </c>
      <c r="C1910" s="31" t="s">
        <v>4</v>
      </c>
      <c r="D1910" s="31" t="s">
        <v>2090</v>
      </c>
      <c r="E1910" s="32">
        <v>1618.9875</v>
      </c>
      <c r="F1910" s="32">
        <v>3</v>
      </c>
    </row>
    <row r="1911" spans="1:6" x14ac:dyDescent="0.3">
      <c r="A1911" s="31">
        <v>1000021212</v>
      </c>
      <c r="B1911" s="31" t="s">
        <v>1358</v>
      </c>
      <c r="C1911" s="31" t="s">
        <v>4</v>
      </c>
      <c r="D1911" s="31" t="s">
        <v>2090</v>
      </c>
      <c r="E1911" s="32">
        <v>1616.9559999999999</v>
      </c>
      <c r="F1911" s="32">
        <v>11</v>
      </c>
    </row>
    <row r="1912" spans="1:6" x14ac:dyDescent="0.3">
      <c r="A1912" s="31">
        <v>2100004757</v>
      </c>
      <c r="B1912" s="31" t="s">
        <v>3281</v>
      </c>
      <c r="C1912" s="31" t="s">
        <v>2030</v>
      </c>
      <c r="D1912" s="31" t="s">
        <v>2031</v>
      </c>
      <c r="E1912" s="32">
        <v>1615.0662500000001</v>
      </c>
      <c r="F1912" s="32">
        <v>7</v>
      </c>
    </row>
    <row r="1913" spans="1:6" x14ac:dyDescent="0.3">
      <c r="A1913" s="31">
        <v>1000100360</v>
      </c>
      <c r="B1913" s="31" t="s">
        <v>1701</v>
      </c>
      <c r="C1913" s="31" t="s">
        <v>4</v>
      </c>
      <c r="D1913" s="31" t="s">
        <v>2090</v>
      </c>
      <c r="E1913" s="32">
        <v>1612.4925000000001</v>
      </c>
      <c r="F1913" s="32">
        <v>34</v>
      </c>
    </row>
    <row r="1914" spans="1:6" x14ac:dyDescent="0.3">
      <c r="A1914" s="31">
        <v>1000096301</v>
      </c>
      <c r="B1914" s="31" t="s">
        <v>3282</v>
      </c>
      <c r="C1914" s="31" t="s">
        <v>4</v>
      </c>
      <c r="D1914" s="31" t="s">
        <v>2056</v>
      </c>
      <c r="E1914" s="32">
        <v>1606.5</v>
      </c>
      <c r="F1914" s="32">
        <v>4000</v>
      </c>
    </row>
    <row r="1915" spans="1:6" x14ac:dyDescent="0.3">
      <c r="A1915" s="31">
        <v>1000098434</v>
      </c>
      <c r="B1915" s="31" t="s">
        <v>1514</v>
      </c>
      <c r="C1915" s="31" t="s">
        <v>4</v>
      </c>
      <c r="D1915" s="31" t="s">
        <v>2090</v>
      </c>
      <c r="E1915" s="32">
        <v>1604.83</v>
      </c>
      <c r="F1915" s="32">
        <v>3</v>
      </c>
    </row>
    <row r="1916" spans="1:6" x14ac:dyDescent="0.3">
      <c r="A1916" s="31">
        <v>2700000006</v>
      </c>
      <c r="B1916" s="31" t="s">
        <v>3283</v>
      </c>
      <c r="C1916" s="31" t="s">
        <v>2088</v>
      </c>
      <c r="D1916" s="31" t="s">
        <v>2038</v>
      </c>
      <c r="E1916" s="32">
        <v>1604.5760918220999</v>
      </c>
      <c r="F1916" s="32">
        <v>2</v>
      </c>
    </row>
    <row r="1917" spans="1:6" x14ac:dyDescent="0.3">
      <c r="A1917" s="31">
        <v>1000021464</v>
      </c>
      <c r="B1917" s="31" t="s">
        <v>3284</v>
      </c>
      <c r="C1917" s="31" t="s">
        <v>4</v>
      </c>
      <c r="D1917" s="31" t="s">
        <v>2218</v>
      </c>
      <c r="E1917" s="32">
        <v>1604.04</v>
      </c>
      <c r="F1917" s="32">
        <v>12</v>
      </c>
    </row>
    <row r="1918" spans="1:6" x14ac:dyDescent="0.3">
      <c r="A1918" s="31">
        <v>1000020398</v>
      </c>
      <c r="B1918" s="31" t="s">
        <v>628</v>
      </c>
      <c r="C1918" s="31" t="s">
        <v>4</v>
      </c>
      <c r="D1918" s="31" t="s">
        <v>2090</v>
      </c>
      <c r="E1918" s="32">
        <v>1603.82</v>
      </c>
      <c r="F1918" s="32">
        <v>1</v>
      </c>
    </row>
    <row r="1919" spans="1:6" x14ac:dyDescent="0.3">
      <c r="A1919" s="31">
        <v>1000092530</v>
      </c>
      <c r="B1919" s="31" t="s">
        <v>3285</v>
      </c>
      <c r="C1919" s="31" t="s">
        <v>4</v>
      </c>
      <c r="D1919" s="31" t="s">
        <v>2230</v>
      </c>
      <c r="E1919" s="32">
        <v>1602.796</v>
      </c>
      <c r="F1919" s="32">
        <v>1</v>
      </c>
    </row>
    <row r="1920" spans="1:6" x14ac:dyDescent="0.3">
      <c r="A1920" s="31">
        <v>1000096398</v>
      </c>
      <c r="B1920" s="31" t="s">
        <v>3286</v>
      </c>
      <c r="C1920" s="31" t="s">
        <v>4</v>
      </c>
      <c r="D1920" s="31" t="s">
        <v>2056</v>
      </c>
      <c r="E1920" s="32">
        <v>1601.4471524666601</v>
      </c>
      <c r="F1920" s="32">
        <v>4</v>
      </c>
    </row>
    <row r="1921" spans="1:6" x14ac:dyDescent="0.3">
      <c r="A1921" s="31">
        <v>1000101621</v>
      </c>
      <c r="B1921" s="31" t="s">
        <v>3287</v>
      </c>
      <c r="C1921" s="31" t="s">
        <v>4</v>
      </c>
      <c r="D1921" s="31" t="s">
        <v>2639</v>
      </c>
      <c r="E1921" s="32">
        <v>1600.25</v>
      </c>
      <c r="F1921" s="32">
        <v>173</v>
      </c>
    </row>
    <row r="1922" spans="1:6" x14ac:dyDescent="0.3">
      <c r="A1922" s="31">
        <v>8000000006</v>
      </c>
      <c r="B1922" s="31" t="s">
        <v>3288</v>
      </c>
      <c r="C1922" s="31" t="s">
        <v>2755</v>
      </c>
      <c r="D1922" s="31" t="s">
        <v>3289</v>
      </c>
      <c r="E1922" s="32">
        <v>1600</v>
      </c>
      <c r="F1922" s="32">
        <v>2</v>
      </c>
    </row>
    <row r="1923" spans="1:6" x14ac:dyDescent="0.3">
      <c r="A1923" s="31">
        <v>2500001536</v>
      </c>
      <c r="B1923" s="31" t="s">
        <v>3290</v>
      </c>
      <c r="C1923" s="31" t="s">
        <v>1996</v>
      </c>
      <c r="D1923" s="31" t="s">
        <v>2025</v>
      </c>
      <c r="E1923" s="32">
        <v>1599.94</v>
      </c>
      <c r="F1923" s="32">
        <v>17</v>
      </c>
    </row>
    <row r="1924" spans="1:6" x14ac:dyDescent="0.3">
      <c r="A1924" s="31">
        <v>2500008758</v>
      </c>
      <c r="B1924" s="31" t="s">
        <v>3291</v>
      </c>
      <c r="C1924" s="31" t="s">
        <v>1996</v>
      </c>
      <c r="D1924" s="31" t="s">
        <v>2025</v>
      </c>
      <c r="E1924" s="32">
        <v>1588.95</v>
      </c>
      <c r="F1924" s="32">
        <v>3</v>
      </c>
    </row>
    <row r="1925" spans="1:6" x14ac:dyDescent="0.3">
      <c r="A1925" s="31">
        <v>1000020845</v>
      </c>
      <c r="B1925" s="31" t="s">
        <v>1038</v>
      </c>
      <c r="C1925" s="31" t="s">
        <v>4</v>
      </c>
      <c r="D1925" s="31" t="s">
        <v>2218</v>
      </c>
      <c r="E1925" s="32">
        <v>1586.7</v>
      </c>
      <c r="F1925" s="32">
        <v>6</v>
      </c>
    </row>
    <row r="1926" spans="1:6" x14ac:dyDescent="0.3">
      <c r="A1926" s="31">
        <v>1000098612</v>
      </c>
      <c r="B1926" s="31" t="s">
        <v>3292</v>
      </c>
      <c r="C1926" s="31" t="s">
        <v>4</v>
      </c>
      <c r="D1926" s="31" t="s">
        <v>2218</v>
      </c>
      <c r="E1926" s="32">
        <v>1586.01307692307</v>
      </c>
      <c r="F1926" s="32">
        <v>8</v>
      </c>
    </row>
    <row r="1927" spans="1:6" x14ac:dyDescent="0.3">
      <c r="A1927" s="31">
        <v>1000020218</v>
      </c>
      <c r="B1927" s="31" t="s">
        <v>458</v>
      </c>
      <c r="C1927" s="31" t="s">
        <v>4</v>
      </c>
      <c r="D1927" s="31" t="s">
        <v>2090</v>
      </c>
      <c r="E1927" s="32">
        <v>1584.26</v>
      </c>
      <c r="F1927" s="32">
        <v>18</v>
      </c>
    </row>
    <row r="1928" spans="1:6" x14ac:dyDescent="0.3">
      <c r="A1928" s="31">
        <v>1000104183</v>
      </c>
      <c r="B1928" s="31" t="s">
        <v>3293</v>
      </c>
      <c r="C1928" s="31" t="s">
        <v>4</v>
      </c>
      <c r="D1928" s="31" t="s">
        <v>2873</v>
      </c>
      <c r="E1928" s="32">
        <v>1584</v>
      </c>
      <c r="F1928" s="32">
        <v>36</v>
      </c>
    </row>
    <row r="1929" spans="1:6" x14ac:dyDescent="0.3">
      <c r="A1929" s="31">
        <v>1000100338</v>
      </c>
      <c r="B1929" s="31" t="s">
        <v>3294</v>
      </c>
      <c r="C1929" s="31" t="s">
        <v>4</v>
      </c>
      <c r="D1929" s="31" t="s">
        <v>2090</v>
      </c>
      <c r="E1929" s="32">
        <v>1584</v>
      </c>
      <c r="F1929" s="32">
        <v>25</v>
      </c>
    </row>
    <row r="1930" spans="1:6" x14ac:dyDescent="0.3">
      <c r="A1930" s="31">
        <v>1000100416</v>
      </c>
      <c r="B1930" s="31" t="s">
        <v>1730</v>
      </c>
      <c r="C1930" s="31" t="s">
        <v>4</v>
      </c>
      <c r="D1930" s="31" t="s">
        <v>2090</v>
      </c>
      <c r="E1930" s="32">
        <v>1583.1</v>
      </c>
      <c r="F1930" s="32">
        <v>3</v>
      </c>
    </row>
    <row r="1931" spans="1:6" x14ac:dyDescent="0.3">
      <c r="A1931" s="31">
        <v>1000092461</v>
      </c>
      <c r="B1931" s="31" t="s">
        <v>3295</v>
      </c>
      <c r="C1931" s="31" t="s">
        <v>2257</v>
      </c>
      <c r="D1931" s="31" t="s">
        <v>2399</v>
      </c>
      <c r="E1931" s="32">
        <v>1581.99091666666</v>
      </c>
      <c r="F1931" s="32">
        <v>3</v>
      </c>
    </row>
    <row r="1932" spans="1:6" x14ac:dyDescent="0.3">
      <c r="A1932" s="31">
        <v>2500009194</v>
      </c>
      <c r="B1932" s="31" t="s">
        <v>3296</v>
      </c>
      <c r="C1932" s="31" t="s">
        <v>1996</v>
      </c>
      <c r="D1932" s="31" t="s">
        <v>2025</v>
      </c>
      <c r="E1932" s="32">
        <v>1579.5</v>
      </c>
      <c r="F1932" s="32">
        <v>3</v>
      </c>
    </row>
    <row r="1933" spans="1:6" x14ac:dyDescent="0.3">
      <c r="A1933" s="31">
        <v>2500008972</v>
      </c>
      <c r="B1933" s="31" t="s">
        <v>1952</v>
      </c>
      <c r="C1933" s="31" t="s">
        <v>1996</v>
      </c>
      <c r="D1933" s="31" t="s">
        <v>2025</v>
      </c>
      <c r="E1933" s="32">
        <v>1579.5</v>
      </c>
      <c r="F1933" s="32">
        <v>6</v>
      </c>
    </row>
    <row r="1934" spans="1:6" x14ac:dyDescent="0.3">
      <c r="A1934" s="31">
        <v>2500008138</v>
      </c>
      <c r="B1934" s="31" t="s">
        <v>3297</v>
      </c>
      <c r="C1934" s="31" t="s">
        <v>1996</v>
      </c>
      <c r="D1934" s="31" t="s">
        <v>2025</v>
      </c>
      <c r="E1934" s="32">
        <v>1577.52</v>
      </c>
      <c r="F1934" s="32">
        <v>2</v>
      </c>
    </row>
    <row r="1935" spans="1:6" x14ac:dyDescent="0.3">
      <c r="A1935" s="31">
        <v>1000109111</v>
      </c>
      <c r="B1935" s="31" t="s">
        <v>3298</v>
      </c>
      <c r="C1935" s="31" t="s">
        <v>2205</v>
      </c>
      <c r="D1935" s="31" t="s">
        <v>2070</v>
      </c>
      <c r="E1935" s="32">
        <v>1576.875</v>
      </c>
      <c r="F1935" s="32">
        <v>1</v>
      </c>
    </row>
    <row r="1936" spans="1:6" x14ac:dyDescent="0.3">
      <c r="A1936" s="31">
        <v>1000098685</v>
      </c>
      <c r="B1936" s="31" t="s">
        <v>1638</v>
      </c>
      <c r="C1936" s="31" t="s">
        <v>4</v>
      </c>
      <c r="D1936" s="31" t="s">
        <v>2090</v>
      </c>
      <c r="E1936" s="32">
        <v>1576.8150000000001</v>
      </c>
      <c r="F1936" s="32">
        <v>1</v>
      </c>
    </row>
    <row r="1937" spans="1:6" x14ac:dyDescent="0.3">
      <c r="A1937" s="31">
        <v>2200000412</v>
      </c>
      <c r="B1937" s="31" t="s">
        <v>164</v>
      </c>
      <c r="C1937" s="31" t="s">
        <v>2037</v>
      </c>
      <c r="D1937" s="31" t="s">
        <v>2038</v>
      </c>
      <c r="E1937" s="32">
        <v>1576.8</v>
      </c>
      <c r="F1937" s="32">
        <v>1</v>
      </c>
    </row>
    <row r="1938" spans="1:6" x14ac:dyDescent="0.3">
      <c r="A1938" s="31">
        <v>1000103151</v>
      </c>
      <c r="B1938" s="31" t="s">
        <v>3299</v>
      </c>
      <c r="C1938" s="31" t="s">
        <v>4</v>
      </c>
      <c r="D1938" s="31" t="s">
        <v>2090</v>
      </c>
      <c r="E1938" s="32">
        <v>1575.9</v>
      </c>
      <c r="F1938" s="32">
        <v>26</v>
      </c>
    </row>
    <row r="1939" spans="1:6" x14ac:dyDescent="0.3">
      <c r="A1939" s="31">
        <v>1000099559</v>
      </c>
      <c r="B1939" s="31" t="s">
        <v>3300</v>
      </c>
      <c r="C1939" s="31" t="s">
        <v>4</v>
      </c>
      <c r="D1939" s="31" t="s">
        <v>3301</v>
      </c>
      <c r="E1939" s="32">
        <v>1575</v>
      </c>
      <c r="F1939" s="32">
        <v>45</v>
      </c>
    </row>
    <row r="1940" spans="1:6" x14ac:dyDescent="0.3">
      <c r="A1940" s="31">
        <v>2500008576</v>
      </c>
      <c r="B1940" s="31" t="s">
        <v>3302</v>
      </c>
      <c r="C1940" s="31" t="s">
        <v>1996</v>
      </c>
      <c r="D1940" s="31" t="s">
        <v>2117</v>
      </c>
      <c r="E1940" s="32">
        <v>1575</v>
      </c>
      <c r="F1940" s="32">
        <v>2</v>
      </c>
    </row>
    <row r="1941" spans="1:6" x14ac:dyDescent="0.3">
      <c r="A1941" s="31">
        <v>2500008374</v>
      </c>
      <c r="B1941" s="31" t="s">
        <v>3303</v>
      </c>
      <c r="C1941" s="31" t="s">
        <v>1996</v>
      </c>
      <c r="D1941" s="31" t="s">
        <v>2025</v>
      </c>
      <c r="E1941" s="32">
        <v>1575</v>
      </c>
      <c r="F1941" s="32">
        <v>1</v>
      </c>
    </row>
    <row r="1942" spans="1:6" x14ac:dyDescent="0.3">
      <c r="A1942" s="31">
        <v>1000020638</v>
      </c>
      <c r="B1942" s="31" t="s">
        <v>853</v>
      </c>
      <c r="C1942" s="31" t="s">
        <v>4</v>
      </c>
      <c r="D1942" s="31" t="s">
        <v>2090</v>
      </c>
      <c r="E1942" s="32">
        <v>1573.32</v>
      </c>
      <c r="F1942" s="32">
        <v>84</v>
      </c>
    </row>
    <row r="1943" spans="1:6" x14ac:dyDescent="0.3">
      <c r="A1943" s="31">
        <v>2200000252</v>
      </c>
      <c r="B1943" s="31" t="s">
        <v>3304</v>
      </c>
      <c r="C1943" s="31" t="s">
        <v>2037</v>
      </c>
      <c r="D1943" s="31" t="s">
        <v>2038</v>
      </c>
      <c r="E1943" s="32">
        <v>1568.99450980392</v>
      </c>
      <c r="F1943" s="32">
        <v>4</v>
      </c>
    </row>
    <row r="1944" spans="1:6" x14ac:dyDescent="0.3">
      <c r="A1944" s="31">
        <v>1000102726</v>
      </c>
      <c r="B1944" s="31" t="s">
        <v>3305</v>
      </c>
      <c r="C1944" s="31" t="s">
        <v>4</v>
      </c>
      <c r="D1944" s="31" t="s">
        <v>2090</v>
      </c>
      <c r="E1944" s="32">
        <v>1563.75</v>
      </c>
      <c r="F1944" s="32">
        <v>20</v>
      </c>
    </row>
    <row r="1945" spans="1:6" x14ac:dyDescent="0.3">
      <c r="A1945" s="31">
        <v>1000021245</v>
      </c>
      <c r="B1945" s="31" t="s">
        <v>1390</v>
      </c>
      <c r="C1945" s="31" t="s">
        <v>4</v>
      </c>
      <c r="D1945" s="31" t="s">
        <v>2090</v>
      </c>
      <c r="E1945" s="32">
        <v>1557.69</v>
      </c>
      <c r="F1945" s="32">
        <v>4</v>
      </c>
    </row>
    <row r="1946" spans="1:6" x14ac:dyDescent="0.3">
      <c r="A1946" s="31">
        <v>1000021010</v>
      </c>
      <c r="B1946" s="31" t="s">
        <v>1182</v>
      </c>
      <c r="C1946" s="31" t="s">
        <v>4</v>
      </c>
      <c r="D1946" s="31" t="s">
        <v>2090</v>
      </c>
      <c r="E1946" s="32">
        <v>1555.25714285714</v>
      </c>
      <c r="F1946" s="32">
        <v>8</v>
      </c>
    </row>
    <row r="1947" spans="1:6" x14ac:dyDescent="0.3">
      <c r="A1947" s="31">
        <v>2700000014</v>
      </c>
      <c r="B1947" s="31" t="s">
        <v>223</v>
      </c>
      <c r="C1947" s="31" t="s">
        <v>2037</v>
      </c>
      <c r="D1947" s="31" t="s">
        <v>2038</v>
      </c>
      <c r="E1947" s="32">
        <v>1552.32</v>
      </c>
      <c r="F1947" s="32">
        <v>6</v>
      </c>
    </row>
    <row r="1948" spans="1:6" x14ac:dyDescent="0.3">
      <c r="A1948" s="31">
        <v>1000101194</v>
      </c>
      <c r="B1948" s="31" t="s">
        <v>3306</v>
      </c>
      <c r="C1948" s="31" t="s">
        <v>4</v>
      </c>
      <c r="D1948" s="31" t="s">
        <v>2056</v>
      </c>
      <c r="E1948" s="32">
        <v>1542.5550000000001</v>
      </c>
      <c r="F1948" s="32">
        <v>180</v>
      </c>
    </row>
    <row r="1949" spans="1:6" x14ac:dyDescent="0.3">
      <c r="A1949" s="31">
        <v>80000009720</v>
      </c>
      <c r="B1949" s="31" t="s">
        <v>3158</v>
      </c>
      <c r="C1949" s="31" t="s">
        <v>2755</v>
      </c>
      <c r="D1949" s="31" t="s">
        <v>2670</v>
      </c>
      <c r="E1949" s="32">
        <v>1540</v>
      </c>
      <c r="F1949" s="32">
        <v>20</v>
      </c>
    </row>
    <row r="1950" spans="1:6" x14ac:dyDescent="0.3">
      <c r="A1950" s="31">
        <v>1000020700</v>
      </c>
      <c r="B1950" s="31" t="s">
        <v>910</v>
      </c>
      <c r="C1950" s="31" t="s">
        <v>4</v>
      </c>
      <c r="D1950" s="31" t="s">
        <v>2090</v>
      </c>
      <c r="E1950" s="32">
        <v>1538.00052380952</v>
      </c>
      <c r="F1950" s="32">
        <v>17</v>
      </c>
    </row>
    <row r="1951" spans="1:6" x14ac:dyDescent="0.3">
      <c r="A1951" s="31">
        <v>1000098517</v>
      </c>
      <c r="B1951" s="31" t="s">
        <v>1553</v>
      </c>
      <c r="C1951" s="31" t="s">
        <v>4</v>
      </c>
      <c r="D1951" s="31" t="s">
        <v>2090</v>
      </c>
      <c r="E1951" s="32">
        <v>1536.375</v>
      </c>
      <c r="F1951" s="32">
        <v>1</v>
      </c>
    </row>
    <row r="1952" spans="1:6" x14ac:dyDescent="0.3">
      <c r="A1952" s="31">
        <v>1000102122</v>
      </c>
      <c r="B1952" s="31" t="s">
        <v>3307</v>
      </c>
      <c r="C1952" s="31" t="s">
        <v>4</v>
      </c>
      <c r="D1952" s="31" t="s">
        <v>2056</v>
      </c>
      <c r="E1952" s="32">
        <v>1535.70488</v>
      </c>
      <c r="F1952" s="32">
        <v>302</v>
      </c>
    </row>
    <row r="1953" spans="1:6" x14ac:dyDescent="0.3">
      <c r="A1953" s="31">
        <v>1000020507</v>
      </c>
      <c r="B1953" s="31" t="s">
        <v>730</v>
      </c>
      <c r="C1953" s="31" t="s">
        <v>4</v>
      </c>
      <c r="D1953" s="31" t="s">
        <v>2090</v>
      </c>
      <c r="E1953" s="32">
        <v>1531.33615384615</v>
      </c>
      <c r="F1953" s="32">
        <v>21</v>
      </c>
    </row>
    <row r="1954" spans="1:6" x14ac:dyDescent="0.3">
      <c r="A1954" s="31">
        <v>1000102139</v>
      </c>
      <c r="B1954" s="31" t="s">
        <v>3308</v>
      </c>
      <c r="C1954" s="31" t="s">
        <v>4</v>
      </c>
      <c r="D1954" s="31" t="s">
        <v>2043</v>
      </c>
      <c r="E1954" s="32">
        <v>1527.48</v>
      </c>
      <c r="F1954" s="32">
        <v>6</v>
      </c>
    </row>
    <row r="1955" spans="1:6" x14ac:dyDescent="0.3">
      <c r="A1955" s="31">
        <v>1000103219</v>
      </c>
      <c r="B1955" s="31" t="s">
        <v>1862</v>
      </c>
      <c r="C1955" s="31" t="s">
        <v>4</v>
      </c>
      <c r="D1955" s="31" t="s">
        <v>2056</v>
      </c>
      <c r="E1955" s="32">
        <v>1517.83</v>
      </c>
      <c r="F1955" s="32">
        <v>4</v>
      </c>
    </row>
    <row r="1956" spans="1:6" x14ac:dyDescent="0.3">
      <c r="A1956" s="31">
        <v>1000020435</v>
      </c>
      <c r="B1956" s="31" t="s">
        <v>662</v>
      </c>
      <c r="C1956" s="31" t="s">
        <v>4</v>
      </c>
      <c r="D1956" s="31" t="s">
        <v>2218</v>
      </c>
      <c r="E1956" s="32">
        <v>1517.5609756097499</v>
      </c>
      <c r="F1956" s="32">
        <v>170</v>
      </c>
    </row>
    <row r="1957" spans="1:6" x14ac:dyDescent="0.3">
      <c r="A1957" s="31">
        <v>1000020796</v>
      </c>
      <c r="B1957" s="31" t="s">
        <v>1000</v>
      </c>
      <c r="C1957" s="31" t="s">
        <v>4</v>
      </c>
      <c r="D1957" s="31" t="s">
        <v>2090</v>
      </c>
      <c r="E1957" s="32">
        <v>1515.74</v>
      </c>
      <c r="F1957" s="32">
        <v>11</v>
      </c>
    </row>
    <row r="1958" spans="1:6" x14ac:dyDescent="0.3">
      <c r="A1958" s="31">
        <v>2500008601</v>
      </c>
      <c r="B1958" s="31" t="s">
        <v>1945</v>
      </c>
      <c r="C1958" s="31" t="s">
        <v>1996</v>
      </c>
      <c r="D1958" s="31" t="s">
        <v>2025</v>
      </c>
      <c r="E1958" s="32">
        <v>1515.000063</v>
      </c>
      <c r="F1958" s="32">
        <v>1</v>
      </c>
    </row>
    <row r="1959" spans="1:6" x14ac:dyDescent="0.3">
      <c r="A1959" s="31">
        <v>1000100748</v>
      </c>
      <c r="B1959" s="31" t="s">
        <v>1749</v>
      </c>
      <c r="C1959" s="31" t="s">
        <v>4</v>
      </c>
      <c r="D1959" s="31" t="s">
        <v>2090</v>
      </c>
      <c r="E1959" s="32">
        <v>1515</v>
      </c>
      <c r="F1959" s="32">
        <v>20</v>
      </c>
    </row>
    <row r="1960" spans="1:6" x14ac:dyDescent="0.3">
      <c r="A1960" s="31">
        <v>80000009731</v>
      </c>
      <c r="B1960" s="31" t="s">
        <v>3309</v>
      </c>
      <c r="C1960" s="31" t="s">
        <v>2755</v>
      </c>
      <c r="D1960" s="31" t="s">
        <v>2670</v>
      </c>
      <c r="E1960" s="32">
        <v>1513</v>
      </c>
      <c r="F1960" s="32">
        <v>89</v>
      </c>
    </row>
    <row r="1961" spans="1:6" x14ac:dyDescent="0.3">
      <c r="A1961" s="31">
        <v>1000021273</v>
      </c>
      <c r="B1961" s="31" t="s">
        <v>1412</v>
      </c>
      <c r="C1961" s="31" t="s">
        <v>4</v>
      </c>
      <c r="D1961" s="31" t="s">
        <v>2090</v>
      </c>
      <c r="E1961" s="32">
        <v>1509.25</v>
      </c>
      <c r="F1961" s="32">
        <v>27</v>
      </c>
    </row>
    <row r="1962" spans="1:6" x14ac:dyDescent="0.3">
      <c r="A1962" s="31">
        <v>1000098075</v>
      </c>
      <c r="B1962" s="31" t="s">
        <v>3310</v>
      </c>
      <c r="C1962" s="31" t="s">
        <v>4</v>
      </c>
      <c r="D1962" s="31" t="s">
        <v>2090</v>
      </c>
      <c r="E1962" s="32">
        <v>1504.04</v>
      </c>
      <c r="F1962" s="32">
        <v>4</v>
      </c>
    </row>
    <row r="1963" spans="1:6" x14ac:dyDescent="0.3">
      <c r="A1963" s="31">
        <v>1000104057</v>
      </c>
      <c r="B1963" s="31" t="s">
        <v>3311</v>
      </c>
      <c r="C1963" s="31" t="s">
        <v>4</v>
      </c>
      <c r="D1963" s="31" t="s">
        <v>2161</v>
      </c>
      <c r="E1963" s="32">
        <v>1501.2</v>
      </c>
      <c r="F1963" s="32">
        <v>9</v>
      </c>
    </row>
    <row r="1964" spans="1:6" x14ac:dyDescent="0.3">
      <c r="A1964" s="31">
        <v>1000021439</v>
      </c>
      <c r="B1964" s="31" t="s">
        <v>1483</v>
      </c>
      <c r="C1964" s="31" t="s">
        <v>4</v>
      </c>
      <c r="D1964" s="31" t="s">
        <v>2090</v>
      </c>
      <c r="E1964" s="32">
        <v>1499.82137931034</v>
      </c>
      <c r="F1964" s="32">
        <v>2</v>
      </c>
    </row>
    <row r="1965" spans="1:6" x14ac:dyDescent="0.3">
      <c r="A1965" s="31">
        <v>1000098639</v>
      </c>
      <c r="B1965" s="31" t="s">
        <v>1617</v>
      </c>
      <c r="C1965" s="31" t="s">
        <v>4</v>
      </c>
      <c r="D1965" s="31" t="s">
        <v>2090</v>
      </c>
      <c r="E1965" s="32">
        <v>1496.18</v>
      </c>
      <c r="F1965" s="32">
        <v>2</v>
      </c>
    </row>
    <row r="1966" spans="1:6" x14ac:dyDescent="0.3">
      <c r="A1966" s="31">
        <v>1000020585</v>
      </c>
      <c r="B1966" s="31" t="s">
        <v>801</v>
      </c>
      <c r="C1966" s="31" t="s">
        <v>4</v>
      </c>
      <c r="D1966" s="31" t="s">
        <v>2090</v>
      </c>
      <c r="E1966" s="32">
        <v>1490.75</v>
      </c>
      <c r="F1966" s="32">
        <v>25</v>
      </c>
    </row>
    <row r="1967" spans="1:6" x14ac:dyDescent="0.3">
      <c r="A1967" s="31">
        <v>1000095478</v>
      </c>
      <c r="B1967" s="31" t="s">
        <v>3312</v>
      </c>
      <c r="C1967" s="31" t="s">
        <v>4</v>
      </c>
      <c r="D1967" s="31" t="s">
        <v>2056</v>
      </c>
      <c r="E1967" s="32">
        <v>1489.125</v>
      </c>
      <c r="F1967" s="32">
        <v>4750</v>
      </c>
    </row>
    <row r="1968" spans="1:6" x14ac:dyDescent="0.3">
      <c r="A1968" s="31">
        <v>1000020273</v>
      </c>
      <c r="B1968" s="31" t="s">
        <v>510</v>
      </c>
      <c r="C1968" s="31" t="s">
        <v>4</v>
      </c>
      <c r="D1968" s="31" t="s">
        <v>2090</v>
      </c>
      <c r="E1968" s="32">
        <v>1487.64</v>
      </c>
      <c r="F1968" s="32">
        <v>77</v>
      </c>
    </row>
    <row r="1969" spans="1:6" x14ac:dyDescent="0.3">
      <c r="A1969" s="31">
        <v>1000015110</v>
      </c>
      <c r="B1969" s="31" t="s">
        <v>74</v>
      </c>
      <c r="C1969" s="31" t="s">
        <v>4</v>
      </c>
      <c r="D1969" s="31" t="s">
        <v>2043</v>
      </c>
      <c r="E1969" s="32">
        <v>1487.5</v>
      </c>
      <c r="F1969" s="32">
        <v>2</v>
      </c>
    </row>
    <row r="1970" spans="1:6" x14ac:dyDescent="0.3">
      <c r="A1970" s="31">
        <v>1000110551</v>
      </c>
      <c r="B1970" s="31" t="s">
        <v>3313</v>
      </c>
      <c r="C1970" s="31" t="s">
        <v>2257</v>
      </c>
      <c r="D1970" s="31" t="s">
        <v>2390</v>
      </c>
      <c r="E1970" s="32">
        <v>1487.1</v>
      </c>
      <c r="F1970" s="32">
        <v>6</v>
      </c>
    </row>
    <row r="1971" spans="1:6" x14ac:dyDescent="0.3">
      <c r="A1971" s="31">
        <v>2500008495</v>
      </c>
      <c r="B1971" s="31" t="s">
        <v>3314</v>
      </c>
      <c r="C1971" s="31" t="s">
        <v>1996</v>
      </c>
      <c r="D1971" s="31" t="s">
        <v>2025</v>
      </c>
      <c r="E1971" s="32">
        <v>1486.5533333333301</v>
      </c>
      <c r="F1971" s="32">
        <v>2</v>
      </c>
    </row>
    <row r="1972" spans="1:6" x14ac:dyDescent="0.3">
      <c r="A1972" s="31">
        <v>1000093466</v>
      </c>
      <c r="B1972" s="31" t="s">
        <v>3315</v>
      </c>
      <c r="C1972" s="31" t="s">
        <v>4</v>
      </c>
      <c r="D1972" s="31" t="s">
        <v>2161</v>
      </c>
      <c r="E1972" s="32">
        <v>1485.2909999999999</v>
      </c>
      <c r="F1972" s="32">
        <v>7</v>
      </c>
    </row>
    <row r="1973" spans="1:6" x14ac:dyDescent="0.3">
      <c r="A1973" s="31">
        <v>1000094130</v>
      </c>
      <c r="B1973" s="31" t="s">
        <v>3316</v>
      </c>
      <c r="C1973" s="31" t="s">
        <v>2109</v>
      </c>
      <c r="D1973" s="31" t="s">
        <v>2070</v>
      </c>
      <c r="E1973" s="32">
        <v>1484.165</v>
      </c>
      <c r="F1973" s="32">
        <v>1</v>
      </c>
    </row>
    <row r="1974" spans="1:6" x14ac:dyDescent="0.3">
      <c r="A1974" s="31">
        <v>1000093774</v>
      </c>
      <c r="B1974" s="31" t="s">
        <v>3317</v>
      </c>
      <c r="C1974" s="31" t="s">
        <v>2257</v>
      </c>
      <c r="D1974" s="31" t="s">
        <v>3318</v>
      </c>
      <c r="E1974" s="32">
        <v>1483.8541666666599</v>
      </c>
      <c r="F1974" s="32">
        <v>7</v>
      </c>
    </row>
    <row r="1975" spans="1:6" x14ac:dyDescent="0.3">
      <c r="A1975" s="31">
        <v>1000098711</v>
      </c>
      <c r="B1975" s="31" t="s">
        <v>1659</v>
      </c>
      <c r="C1975" s="31" t="s">
        <v>4</v>
      </c>
      <c r="D1975" s="31" t="s">
        <v>2090</v>
      </c>
      <c r="E1975" s="32">
        <v>1483.37</v>
      </c>
      <c r="F1975" s="32">
        <v>2</v>
      </c>
    </row>
    <row r="1976" spans="1:6" x14ac:dyDescent="0.3">
      <c r="A1976" s="31">
        <v>1000096342</v>
      </c>
      <c r="B1976" s="31" t="s">
        <v>2396</v>
      </c>
      <c r="C1976" s="31" t="s">
        <v>4</v>
      </c>
      <c r="D1976" s="31" t="s">
        <v>2056</v>
      </c>
      <c r="E1976" s="32">
        <v>1483.1034999999999</v>
      </c>
      <c r="F1976" s="32">
        <v>145</v>
      </c>
    </row>
    <row r="1977" spans="1:6" x14ac:dyDescent="0.3">
      <c r="A1977" s="31">
        <v>2700000173</v>
      </c>
      <c r="B1977" s="31" t="s">
        <v>277</v>
      </c>
      <c r="C1977" s="31" t="s">
        <v>2037</v>
      </c>
      <c r="D1977" s="31" t="s">
        <v>2038</v>
      </c>
      <c r="E1977" s="32">
        <v>1482.88178787878</v>
      </c>
      <c r="F1977" s="32">
        <v>1</v>
      </c>
    </row>
    <row r="1978" spans="1:6" x14ac:dyDescent="0.3">
      <c r="A1978" s="31">
        <v>1000102202</v>
      </c>
      <c r="B1978" s="31" t="s">
        <v>1765</v>
      </c>
      <c r="C1978" s="31" t="s">
        <v>4</v>
      </c>
      <c r="D1978" s="31" t="s">
        <v>2090</v>
      </c>
      <c r="E1978" s="32">
        <v>1481.5374999999999</v>
      </c>
      <c r="F1978" s="32">
        <v>20</v>
      </c>
    </row>
    <row r="1979" spans="1:6" x14ac:dyDescent="0.3">
      <c r="A1979" s="31">
        <v>1000010146</v>
      </c>
      <c r="B1979" s="31" t="s">
        <v>3319</v>
      </c>
      <c r="C1979" s="31" t="s">
        <v>4</v>
      </c>
      <c r="D1979" s="31" t="s">
        <v>2230</v>
      </c>
      <c r="E1979" s="32">
        <v>1477.9549999999999</v>
      </c>
      <c r="F1979" s="32">
        <v>2</v>
      </c>
    </row>
    <row r="1980" spans="1:6" x14ac:dyDescent="0.3">
      <c r="A1980" s="31">
        <v>1000020479</v>
      </c>
      <c r="B1980" s="31" t="s">
        <v>705</v>
      </c>
      <c r="C1980" s="31" t="s">
        <v>4</v>
      </c>
      <c r="D1980" s="31" t="s">
        <v>2090</v>
      </c>
      <c r="E1980" s="32">
        <v>1474.98133242784</v>
      </c>
      <c r="F1980" s="32">
        <v>36</v>
      </c>
    </row>
    <row r="1981" spans="1:6" x14ac:dyDescent="0.3">
      <c r="A1981" s="31">
        <v>2000020843</v>
      </c>
      <c r="B1981" s="31" t="s">
        <v>3320</v>
      </c>
      <c r="C1981" s="31" t="s">
        <v>2017</v>
      </c>
      <c r="D1981" s="31" t="s">
        <v>2063</v>
      </c>
      <c r="E1981" s="32">
        <v>1472.625</v>
      </c>
      <c r="F1981" s="32">
        <v>33</v>
      </c>
    </row>
    <row r="1982" spans="1:6" x14ac:dyDescent="0.3">
      <c r="A1982" s="31">
        <v>1000098622</v>
      </c>
      <c r="B1982" s="31" t="s">
        <v>3321</v>
      </c>
      <c r="C1982" s="31" t="s">
        <v>4</v>
      </c>
      <c r="D1982" s="31" t="s">
        <v>2056</v>
      </c>
      <c r="E1982" s="32">
        <v>1472.39</v>
      </c>
      <c r="F1982" s="32">
        <v>12</v>
      </c>
    </row>
    <row r="1983" spans="1:6" x14ac:dyDescent="0.3">
      <c r="A1983" s="31">
        <v>1000100992</v>
      </c>
      <c r="B1983" s="31" t="s">
        <v>732</v>
      </c>
      <c r="C1983" s="31" t="s">
        <v>4</v>
      </c>
      <c r="D1983" s="31" t="s">
        <v>2218</v>
      </c>
      <c r="E1983" s="32">
        <v>1470.93988095238</v>
      </c>
      <c r="F1983" s="32">
        <v>15</v>
      </c>
    </row>
    <row r="1984" spans="1:6" x14ac:dyDescent="0.3">
      <c r="A1984" s="31">
        <v>1000101150</v>
      </c>
      <c r="B1984" s="31" t="s">
        <v>3322</v>
      </c>
      <c r="C1984" s="31" t="s">
        <v>4</v>
      </c>
      <c r="D1984" s="31" t="s">
        <v>2284</v>
      </c>
      <c r="E1984" s="32">
        <v>1470.6</v>
      </c>
      <c r="F1984" s="32">
        <v>4</v>
      </c>
    </row>
    <row r="1985" spans="1:6" x14ac:dyDescent="0.3">
      <c r="A1985" s="31">
        <v>1000102200</v>
      </c>
      <c r="B1985" s="31" t="s">
        <v>1763</v>
      </c>
      <c r="C1985" s="31" t="s">
        <v>4</v>
      </c>
      <c r="D1985" s="31" t="s">
        <v>2090</v>
      </c>
      <c r="E1985" s="32">
        <v>1469.7</v>
      </c>
      <c r="F1985" s="32">
        <v>12</v>
      </c>
    </row>
    <row r="1986" spans="1:6" x14ac:dyDescent="0.3">
      <c r="A1986" s="31">
        <v>1000098521</v>
      </c>
      <c r="B1986" s="31" t="s">
        <v>1556</v>
      </c>
      <c r="C1986" s="31" t="s">
        <v>4</v>
      </c>
      <c r="D1986" s="31" t="s">
        <v>2090</v>
      </c>
      <c r="E1986" s="32">
        <v>1466.89</v>
      </c>
      <c r="F1986" s="32">
        <v>1</v>
      </c>
    </row>
    <row r="1987" spans="1:6" x14ac:dyDescent="0.3">
      <c r="A1987" s="31">
        <v>1000021290</v>
      </c>
      <c r="B1987" s="31" t="s">
        <v>1426</v>
      </c>
      <c r="C1987" s="31" t="s">
        <v>4</v>
      </c>
      <c r="D1987" s="31" t="s">
        <v>2090</v>
      </c>
      <c r="E1987" s="32">
        <v>1465.3125</v>
      </c>
      <c r="F1987" s="32">
        <v>3</v>
      </c>
    </row>
    <row r="1988" spans="1:6" x14ac:dyDescent="0.3">
      <c r="A1988" s="31">
        <v>1000001186</v>
      </c>
      <c r="B1988" s="31" t="s">
        <v>3323</v>
      </c>
      <c r="C1988" s="31" t="s">
        <v>2257</v>
      </c>
      <c r="D1988" s="31" t="s">
        <v>2070</v>
      </c>
      <c r="E1988" s="32">
        <v>1464.75</v>
      </c>
      <c r="F1988" s="32">
        <v>12</v>
      </c>
    </row>
    <row r="1989" spans="1:6" x14ac:dyDescent="0.3">
      <c r="A1989" s="31">
        <v>800000097055</v>
      </c>
      <c r="B1989" s="31" t="s">
        <v>3324</v>
      </c>
      <c r="C1989" s="31" t="s">
        <v>2521</v>
      </c>
      <c r="D1989" s="31" t="s">
        <v>3289</v>
      </c>
      <c r="E1989" s="32">
        <v>1463</v>
      </c>
      <c r="F1989" s="32">
        <v>11</v>
      </c>
    </row>
    <row r="1990" spans="1:6" x14ac:dyDescent="0.3">
      <c r="A1990" s="31">
        <v>1000021093</v>
      </c>
      <c r="B1990" s="31" t="s">
        <v>1255</v>
      </c>
      <c r="C1990" s="31" t="s">
        <v>4</v>
      </c>
      <c r="D1990" s="31" t="s">
        <v>2090</v>
      </c>
      <c r="E1990" s="32">
        <v>1462.1803869047601</v>
      </c>
      <c r="F1990" s="32">
        <v>10</v>
      </c>
    </row>
    <row r="1991" spans="1:6" x14ac:dyDescent="0.3">
      <c r="A1991" s="31">
        <v>1000099210</v>
      </c>
      <c r="B1991" s="31" t="s">
        <v>3325</v>
      </c>
      <c r="C1991" s="31" t="s">
        <v>4</v>
      </c>
      <c r="D1991" s="31" t="s">
        <v>2639</v>
      </c>
      <c r="E1991" s="32">
        <v>1460.6586493986999</v>
      </c>
      <c r="F1991" s="32">
        <v>168</v>
      </c>
    </row>
    <row r="1992" spans="1:6" x14ac:dyDescent="0.3">
      <c r="A1992" s="31">
        <v>1000020630</v>
      </c>
      <c r="B1992" s="31" t="s">
        <v>845</v>
      </c>
      <c r="C1992" s="31" t="s">
        <v>4</v>
      </c>
      <c r="D1992" s="31" t="s">
        <v>2090</v>
      </c>
      <c r="E1992" s="32">
        <v>1457.9110330578501</v>
      </c>
      <c r="F1992" s="32">
        <v>109</v>
      </c>
    </row>
    <row r="1993" spans="1:6" x14ac:dyDescent="0.3">
      <c r="A1993" s="31">
        <v>1000098540</v>
      </c>
      <c r="B1993" s="31" t="s">
        <v>1571</v>
      </c>
      <c r="C1993" s="31" t="s">
        <v>4</v>
      </c>
      <c r="D1993" s="31" t="s">
        <v>2090</v>
      </c>
      <c r="E1993" s="32">
        <v>1457.68</v>
      </c>
      <c r="F1993" s="32">
        <v>5</v>
      </c>
    </row>
    <row r="1994" spans="1:6" x14ac:dyDescent="0.3">
      <c r="A1994" s="31">
        <v>80000002259</v>
      </c>
      <c r="B1994" s="31" t="s">
        <v>3326</v>
      </c>
      <c r="C1994" s="31" t="s">
        <v>2521</v>
      </c>
      <c r="D1994" s="31" t="s">
        <v>2645</v>
      </c>
      <c r="E1994" s="32">
        <v>1456.92</v>
      </c>
      <c r="F1994" s="32">
        <v>639</v>
      </c>
    </row>
    <row r="1995" spans="1:6" x14ac:dyDescent="0.3">
      <c r="A1995" s="31">
        <v>1000020577</v>
      </c>
      <c r="B1995" s="31" t="s">
        <v>794</v>
      </c>
      <c r="C1995" s="31" t="s">
        <v>4</v>
      </c>
      <c r="D1995" s="31" t="s">
        <v>2090</v>
      </c>
      <c r="E1995" s="32">
        <v>1456.19</v>
      </c>
      <c r="F1995" s="32">
        <v>3</v>
      </c>
    </row>
    <row r="1996" spans="1:6" x14ac:dyDescent="0.3">
      <c r="A1996" s="31">
        <v>1000020223</v>
      </c>
      <c r="B1996" s="31" t="s">
        <v>463</v>
      </c>
      <c r="C1996" s="31" t="s">
        <v>4</v>
      </c>
      <c r="D1996" s="31" t="s">
        <v>2218</v>
      </c>
      <c r="E1996" s="32">
        <v>1452.58</v>
      </c>
      <c r="F1996" s="32">
        <v>252</v>
      </c>
    </row>
    <row r="1997" spans="1:6" x14ac:dyDescent="0.3">
      <c r="A1997" s="31">
        <v>1000093008</v>
      </c>
      <c r="B1997" s="31" t="s">
        <v>3327</v>
      </c>
      <c r="C1997" s="31" t="s">
        <v>4</v>
      </c>
      <c r="D1997" s="31" t="s">
        <v>2161</v>
      </c>
      <c r="E1997" s="32">
        <v>1446.72</v>
      </c>
      <c r="F1997" s="32">
        <v>8</v>
      </c>
    </row>
    <row r="1998" spans="1:6" x14ac:dyDescent="0.3">
      <c r="A1998" s="31">
        <v>1000021015</v>
      </c>
      <c r="B1998" s="31" t="s">
        <v>1187</v>
      </c>
      <c r="C1998" s="31" t="s">
        <v>4</v>
      </c>
      <c r="D1998" s="31" t="s">
        <v>2090</v>
      </c>
      <c r="E1998" s="32">
        <v>1446.6342857142799</v>
      </c>
      <c r="F1998" s="32">
        <v>4</v>
      </c>
    </row>
    <row r="1999" spans="1:6" x14ac:dyDescent="0.3">
      <c r="A1999" s="31">
        <v>1000099166</v>
      </c>
      <c r="B1999" s="31" t="s">
        <v>3328</v>
      </c>
      <c r="C1999" s="31" t="s">
        <v>4</v>
      </c>
      <c r="D1999" s="31" t="s">
        <v>2090</v>
      </c>
      <c r="E1999" s="32">
        <v>1442.9766666666601</v>
      </c>
      <c r="F1999" s="32">
        <v>2</v>
      </c>
    </row>
    <row r="2000" spans="1:6" x14ac:dyDescent="0.3">
      <c r="A2000" s="31">
        <v>2000019763</v>
      </c>
      <c r="B2000" s="31" t="s">
        <v>3329</v>
      </c>
      <c r="C2000" s="31" t="s">
        <v>2017</v>
      </c>
      <c r="D2000" s="31" t="s">
        <v>2072</v>
      </c>
      <c r="E2000" s="32">
        <v>1440</v>
      </c>
      <c r="F2000" s="32">
        <v>2</v>
      </c>
    </row>
    <row r="2001" spans="1:6" x14ac:dyDescent="0.3">
      <c r="A2001" s="31">
        <v>1000095995</v>
      </c>
      <c r="B2001" s="31" t="s">
        <v>3330</v>
      </c>
      <c r="C2001" s="31" t="s">
        <v>4</v>
      </c>
      <c r="D2001" s="31" t="s">
        <v>2161</v>
      </c>
      <c r="E2001" s="32">
        <v>1439.87803562</v>
      </c>
      <c r="F2001" s="32">
        <v>5</v>
      </c>
    </row>
    <row r="2002" spans="1:6" x14ac:dyDescent="0.3">
      <c r="A2002" s="31">
        <v>1000102199</v>
      </c>
      <c r="B2002" s="31" t="s">
        <v>1762</v>
      </c>
      <c r="C2002" s="31" t="s">
        <v>4</v>
      </c>
      <c r="D2002" s="31" t="s">
        <v>2090</v>
      </c>
      <c r="E2002" s="32">
        <v>1439.44</v>
      </c>
      <c r="F2002" s="32">
        <v>15</v>
      </c>
    </row>
    <row r="2003" spans="1:6" x14ac:dyDescent="0.3">
      <c r="A2003" s="31">
        <v>2200011188</v>
      </c>
      <c r="B2003" s="31" t="s">
        <v>3331</v>
      </c>
      <c r="C2003" s="31" t="s">
        <v>2030</v>
      </c>
      <c r="D2003" s="31" t="s">
        <v>2038</v>
      </c>
      <c r="E2003" s="32">
        <v>1437.9749999999999</v>
      </c>
      <c r="F2003" s="32">
        <v>1</v>
      </c>
    </row>
    <row r="2004" spans="1:6" x14ac:dyDescent="0.3">
      <c r="A2004" s="31">
        <v>1000095198</v>
      </c>
      <c r="B2004" s="31" t="s">
        <v>3332</v>
      </c>
      <c r="C2004" s="31" t="s">
        <v>2257</v>
      </c>
      <c r="D2004" s="31" t="s">
        <v>2399</v>
      </c>
      <c r="E2004" s="32">
        <v>1437.5892857142801</v>
      </c>
      <c r="F2004" s="32">
        <v>9</v>
      </c>
    </row>
    <row r="2005" spans="1:6" x14ac:dyDescent="0.3">
      <c r="A2005" s="31">
        <v>1000103071</v>
      </c>
      <c r="B2005" s="31" t="s">
        <v>3333</v>
      </c>
      <c r="C2005" s="31" t="s">
        <v>4</v>
      </c>
      <c r="D2005" s="31" t="s">
        <v>2090</v>
      </c>
      <c r="E2005" s="32">
        <v>1433.7483520000001</v>
      </c>
      <c r="F2005" s="32">
        <v>41</v>
      </c>
    </row>
    <row r="2006" spans="1:6" x14ac:dyDescent="0.3">
      <c r="A2006" s="31">
        <v>2200000414</v>
      </c>
      <c r="B2006" s="31" t="s">
        <v>166</v>
      </c>
      <c r="C2006" s="31" t="s">
        <v>2037</v>
      </c>
      <c r="D2006" s="31" t="s">
        <v>2038</v>
      </c>
      <c r="E2006" s="32">
        <v>1432.845</v>
      </c>
      <c r="F2006" s="32">
        <v>3</v>
      </c>
    </row>
    <row r="2007" spans="1:6" x14ac:dyDescent="0.3">
      <c r="A2007" s="31">
        <v>1000010215</v>
      </c>
      <c r="B2007" s="31" t="s">
        <v>3334</v>
      </c>
      <c r="C2007" s="31" t="s">
        <v>4</v>
      </c>
      <c r="D2007" s="31" t="s">
        <v>2161</v>
      </c>
      <c r="E2007" s="32">
        <v>1430.63</v>
      </c>
      <c r="F2007" s="32">
        <v>10</v>
      </c>
    </row>
    <row r="2008" spans="1:6" x14ac:dyDescent="0.3">
      <c r="A2008" s="31">
        <v>1000020743</v>
      </c>
      <c r="B2008" s="31" t="s">
        <v>3335</v>
      </c>
      <c r="C2008" s="31" t="s">
        <v>4</v>
      </c>
      <c r="D2008" s="31" t="s">
        <v>2218</v>
      </c>
      <c r="E2008" s="32">
        <v>1428.8625</v>
      </c>
      <c r="F2008" s="32">
        <v>3</v>
      </c>
    </row>
    <row r="2009" spans="1:6" x14ac:dyDescent="0.3">
      <c r="A2009" s="31">
        <v>1000098763</v>
      </c>
      <c r="B2009" s="31" t="s">
        <v>1689</v>
      </c>
      <c r="C2009" s="31" t="s">
        <v>4</v>
      </c>
      <c r="D2009" s="31" t="s">
        <v>2090</v>
      </c>
      <c r="E2009" s="32">
        <v>1426.2727485380101</v>
      </c>
      <c r="F2009" s="32">
        <v>61</v>
      </c>
    </row>
    <row r="2010" spans="1:6" x14ac:dyDescent="0.3">
      <c r="A2010" s="31">
        <v>1000100889</v>
      </c>
      <c r="B2010" s="31" t="s">
        <v>3336</v>
      </c>
      <c r="C2010" s="31" t="s">
        <v>4</v>
      </c>
      <c r="D2010" s="31" t="s">
        <v>2218</v>
      </c>
      <c r="E2010" s="32">
        <v>1425</v>
      </c>
      <c r="F2010" s="32">
        <v>100</v>
      </c>
    </row>
    <row r="2011" spans="1:6" x14ac:dyDescent="0.3">
      <c r="A2011" s="31">
        <v>1000094083</v>
      </c>
      <c r="B2011" s="31" t="s">
        <v>3337</v>
      </c>
      <c r="C2011" s="31" t="s">
        <v>2257</v>
      </c>
      <c r="D2011" s="31" t="s">
        <v>2070</v>
      </c>
      <c r="E2011" s="32">
        <v>1423.93</v>
      </c>
      <c r="F2011" s="32">
        <v>1</v>
      </c>
    </row>
    <row r="2012" spans="1:6" x14ac:dyDescent="0.3">
      <c r="A2012" s="31">
        <v>1000020235</v>
      </c>
      <c r="B2012" s="31" t="s">
        <v>474</v>
      </c>
      <c r="C2012" s="31" t="s">
        <v>4</v>
      </c>
      <c r="D2012" s="31" t="s">
        <v>2090</v>
      </c>
      <c r="E2012" s="32">
        <v>1422</v>
      </c>
      <c r="F2012" s="32">
        <v>200</v>
      </c>
    </row>
    <row r="2013" spans="1:6" x14ac:dyDescent="0.3">
      <c r="A2013" s="31">
        <v>2500008468</v>
      </c>
      <c r="B2013" s="31" t="s">
        <v>3338</v>
      </c>
      <c r="C2013" s="31" t="s">
        <v>1996</v>
      </c>
      <c r="D2013" s="31" t="s">
        <v>2025</v>
      </c>
      <c r="E2013" s="32">
        <v>1421.25</v>
      </c>
      <c r="F2013" s="32">
        <v>1</v>
      </c>
    </row>
    <row r="2014" spans="1:6" x14ac:dyDescent="0.3">
      <c r="A2014" s="31">
        <v>1000020619</v>
      </c>
      <c r="B2014" s="31" t="s">
        <v>835</v>
      </c>
      <c r="C2014" s="31" t="s">
        <v>4</v>
      </c>
      <c r="D2014" s="31" t="s">
        <v>2090</v>
      </c>
      <c r="E2014" s="32">
        <v>1420.87123693379</v>
      </c>
      <c r="F2014" s="32">
        <v>162</v>
      </c>
    </row>
    <row r="2015" spans="1:6" x14ac:dyDescent="0.3">
      <c r="A2015" s="31">
        <v>2500000779</v>
      </c>
      <c r="B2015" s="31" t="s">
        <v>3339</v>
      </c>
      <c r="C2015" s="31" t="s">
        <v>2165</v>
      </c>
      <c r="D2015" s="31" t="s">
        <v>2811</v>
      </c>
      <c r="E2015" s="32">
        <v>1418.5339159923101</v>
      </c>
      <c r="F2015" s="32">
        <v>2</v>
      </c>
    </row>
    <row r="2016" spans="1:6" x14ac:dyDescent="0.3">
      <c r="A2016" s="31">
        <v>1000002900</v>
      </c>
      <c r="B2016" s="31" t="s">
        <v>26</v>
      </c>
      <c r="C2016" s="31" t="s">
        <v>2257</v>
      </c>
      <c r="D2016" s="31" t="s">
        <v>3318</v>
      </c>
      <c r="E2016" s="32">
        <v>1413.7175</v>
      </c>
      <c r="F2016" s="32">
        <v>5</v>
      </c>
    </row>
    <row r="2017" spans="1:6" x14ac:dyDescent="0.3">
      <c r="A2017" s="31">
        <v>1000098841</v>
      </c>
      <c r="B2017" s="31" t="s">
        <v>3340</v>
      </c>
      <c r="C2017" s="31" t="s">
        <v>4</v>
      </c>
      <c r="D2017" s="31" t="s">
        <v>2161</v>
      </c>
      <c r="E2017" s="32">
        <v>1413.65</v>
      </c>
      <c r="F2017" s="32">
        <v>5</v>
      </c>
    </row>
    <row r="2018" spans="1:6" x14ac:dyDescent="0.3">
      <c r="A2018" s="31">
        <v>2700000131</v>
      </c>
      <c r="B2018" s="31" t="s">
        <v>262</v>
      </c>
      <c r="C2018" s="31" t="s">
        <v>2037</v>
      </c>
      <c r="D2018" s="31" t="s">
        <v>2038</v>
      </c>
      <c r="E2018" s="32">
        <v>1410.865</v>
      </c>
      <c r="F2018" s="32">
        <v>1</v>
      </c>
    </row>
    <row r="2019" spans="1:6" x14ac:dyDescent="0.3">
      <c r="A2019" s="31">
        <v>1000093473</v>
      </c>
      <c r="B2019" s="31" t="s">
        <v>3341</v>
      </c>
      <c r="C2019" s="31" t="s">
        <v>4</v>
      </c>
      <c r="D2019" s="31" t="s">
        <v>2161</v>
      </c>
      <c r="E2019" s="32">
        <v>1410.2119705882301</v>
      </c>
      <c r="F2019" s="32">
        <v>3</v>
      </c>
    </row>
    <row r="2020" spans="1:6" x14ac:dyDescent="0.3">
      <c r="A2020" s="31">
        <v>1000010172</v>
      </c>
      <c r="B2020" s="31" t="s">
        <v>3342</v>
      </c>
      <c r="C2020" s="31" t="s">
        <v>4</v>
      </c>
      <c r="D2020" s="31" t="s">
        <v>2161</v>
      </c>
      <c r="E2020" s="32">
        <v>1409.33948102678</v>
      </c>
      <c r="F2020" s="32">
        <v>10</v>
      </c>
    </row>
    <row r="2021" spans="1:6" x14ac:dyDescent="0.3">
      <c r="A2021" s="31">
        <v>1000098529</v>
      </c>
      <c r="B2021" s="31" t="s">
        <v>1563</v>
      </c>
      <c r="C2021" s="31" t="s">
        <v>4</v>
      </c>
      <c r="D2021" s="31" t="s">
        <v>2090</v>
      </c>
      <c r="E2021" s="32">
        <v>1408.54</v>
      </c>
      <c r="F2021" s="32">
        <v>2</v>
      </c>
    </row>
    <row r="2022" spans="1:6" x14ac:dyDescent="0.3">
      <c r="A2022" s="31">
        <v>1000100370</v>
      </c>
      <c r="B2022" s="31" t="s">
        <v>1709</v>
      </c>
      <c r="C2022" s="31" t="s">
        <v>4</v>
      </c>
      <c r="D2022" s="31" t="s">
        <v>2090</v>
      </c>
      <c r="E2022" s="32">
        <v>1403.7</v>
      </c>
      <c r="F2022" s="32">
        <v>14</v>
      </c>
    </row>
    <row r="2023" spans="1:6" x14ac:dyDescent="0.3">
      <c r="A2023" s="31">
        <v>1000098490</v>
      </c>
      <c r="B2023" s="31" t="s">
        <v>3343</v>
      </c>
      <c r="C2023" s="31" t="s">
        <v>4</v>
      </c>
      <c r="D2023" s="31" t="s">
        <v>2161</v>
      </c>
      <c r="E2023" s="32">
        <v>1402.8842500000001</v>
      </c>
      <c r="F2023" s="32">
        <v>5</v>
      </c>
    </row>
    <row r="2024" spans="1:6" x14ac:dyDescent="0.3">
      <c r="A2024" s="31">
        <v>1000100357</v>
      </c>
      <c r="B2024" s="31" t="s">
        <v>3344</v>
      </c>
      <c r="C2024" s="31" t="s">
        <v>4</v>
      </c>
      <c r="D2024" s="31" t="s">
        <v>2090</v>
      </c>
      <c r="E2024" s="32">
        <v>1402.7260000000001</v>
      </c>
      <c r="F2024" s="32">
        <v>8</v>
      </c>
    </row>
    <row r="2025" spans="1:6" x14ac:dyDescent="0.3">
      <c r="A2025" s="31">
        <v>1000020539</v>
      </c>
      <c r="B2025" s="31" t="s">
        <v>760</v>
      </c>
      <c r="C2025" s="31" t="s">
        <v>4</v>
      </c>
      <c r="D2025" s="31" t="s">
        <v>2090</v>
      </c>
      <c r="E2025" s="32">
        <v>1400.46</v>
      </c>
      <c r="F2025" s="32">
        <v>3</v>
      </c>
    </row>
    <row r="2026" spans="1:6" x14ac:dyDescent="0.3">
      <c r="A2026" s="31">
        <v>1000098393</v>
      </c>
      <c r="B2026" s="31" t="s">
        <v>2359</v>
      </c>
      <c r="C2026" s="31" t="s">
        <v>2844</v>
      </c>
      <c r="D2026" s="31" t="s">
        <v>2161</v>
      </c>
      <c r="E2026" s="32">
        <v>1400.1321440285201</v>
      </c>
      <c r="F2026" s="32">
        <v>1</v>
      </c>
    </row>
    <row r="2027" spans="1:6" x14ac:dyDescent="0.3">
      <c r="A2027" s="31">
        <v>1000091497</v>
      </c>
      <c r="B2027" s="31" t="s">
        <v>3178</v>
      </c>
      <c r="C2027" s="31" t="s">
        <v>2109</v>
      </c>
      <c r="D2027" s="31" t="s">
        <v>2399</v>
      </c>
      <c r="E2027" s="32">
        <v>1395.5305911564999</v>
      </c>
      <c r="F2027" s="32">
        <v>5</v>
      </c>
    </row>
    <row r="2028" spans="1:6" x14ac:dyDescent="0.3">
      <c r="A2028" s="31">
        <v>1000098516</v>
      </c>
      <c r="B2028" s="31" t="s">
        <v>1552</v>
      </c>
      <c r="C2028" s="31" t="s">
        <v>4</v>
      </c>
      <c r="D2028" s="31" t="s">
        <v>2090</v>
      </c>
      <c r="E2028" s="32">
        <v>1393.6866666666599</v>
      </c>
      <c r="F2028" s="32">
        <v>1</v>
      </c>
    </row>
    <row r="2029" spans="1:6" x14ac:dyDescent="0.3">
      <c r="A2029" s="31">
        <v>1000020441</v>
      </c>
      <c r="B2029" s="31" t="s">
        <v>668</v>
      </c>
      <c r="C2029" s="31" t="s">
        <v>4</v>
      </c>
      <c r="D2029" s="31" t="s">
        <v>2090</v>
      </c>
      <c r="E2029" s="32">
        <v>1393.35</v>
      </c>
      <c r="F2029" s="32">
        <v>105</v>
      </c>
    </row>
    <row r="2030" spans="1:6" x14ac:dyDescent="0.3">
      <c r="A2030" s="31">
        <v>1000094204</v>
      </c>
      <c r="B2030" s="31" t="s">
        <v>3345</v>
      </c>
      <c r="C2030" s="31" t="s">
        <v>4</v>
      </c>
      <c r="D2030" s="31" t="s">
        <v>2056</v>
      </c>
      <c r="E2030" s="32">
        <v>1391.5507979092199</v>
      </c>
      <c r="F2030" s="32">
        <v>15000</v>
      </c>
    </row>
    <row r="2031" spans="1:6" x14ac:dyDescent="0.3">
      <c r="A2031" s="31">
        <v>1000010074</v>
      </c>
      <c r="B2031" s="31" t="s">
        <v>3346</v>
      </c>
      <c r="C2031" s="31" t="s">
        <v>4</v>
      </c>
      <c r="D2031" s="31" t="s">
        <v>2230</v>
      </c>
      <c r="E2031" s="32">
        <v>1386.27767368543</v>
      </c>
      <c r="F2031" s="32">
        <v>4</v>
      </c>
    </row>
    <row r="2032" spans="1:6" x14ac:dyDescent="0.3">
      <c r="A2032" s="31">
        <v>1000020564</v>
      </c>
      <c r="B2032" s="31" t="s">
        <v>781</v>
      </c>
      <c r="C2032" s="31" t="s">
        <v>4</v>
      </c>
      <c r="D2032" s="31" t="s">
        <v>2090</v>
      </c>
      <c r="E2032" s="32">
        <v>1386</v>
      </c>
      <c r="F2032" s="32">
        <v>25</v>
      </c>
    </row>
    <row r="2033" spans="1:6" x14ac:dyDescent="0.3">
      <c r="A2033" s="31">
        <v>1000020699</v>
      </c>
      <c r="B2033" s="31" t="s">
        <v>909</v>
      </c>
      <c r="C2033" s="31" t="s">
        <v>4</v>
      </c>
      <c r="D2033" s="31" t="s">
        <v>2090</v>
      </c>
      <c r="E2033" s="32">
        <v>1383.9</v>
      </c>
      <c r="F2033" s="32">
        <v>15</v>
      </c>
    </row>
    <row r="2034" spans="1:6" x14ac:dyDescent="0.3">
      <c r="A2034" s="31">
        <v>1000106062</v>
      </c>
      <c r="B2034" s="31" t="s">
        <v>3347</v>
      </c>
      <c r="C2034" s="31" t="s">
        <v>4</v>
      </c>
      <c r="D2034" s="31" t="s">
        <v>2161</v>
      </c>
      <c r="E2034" s="32">
        <v>1380.87</v>
      </c>
      <c r="F2034" s="32">
        <v>5</v>
      </c>
    </row>
    <row r="2035" spans="1:6" x14ac:dyDescent="0.3">
      <c r="A2035" s="31">
        <v>1000017031</v>
      </c>
      <c r="B2035" s="31" t="s">
        <v>3348</v>
      </c>
      <c r="C2035" s="31" t="s">
        <v>4</v>
      </c>
      <c r="D2035" s="31" t="s">
        <v>3274</v>
      </c>
      <c r="E2035" s="32">
        <v>1380</v>
      </c>
      <c r="F2035" s="32">
        <v>50</v>
      </c>
    </row>
    <row r="2036" spans="1:6" x14ac:dyDescent="0.3">
      <c r="A2036" s="31">
        <v>1000097118</v>
      </c>
      <c r="B2036" s="31" t="s">
        <v>3349</v>
      </c>
      <c r="C2036" s="31" t="s">
        <v>4</v>
      </c>
      <c r="D2036" s="31" t="s">
        <v>2161</v>
      </c>
      <c r="E2036" s="32">
        <v>1378.82453333333</v>
      </c>
      <c r="F2036" s="32">
        <v>3</v>
      </c>
    </row>
    <row r="2037" spans="1:6" x14ac:dyDescent="0.3">
      <c r="A2037" s="31">
        <v>1000021073</v>
      </c>
      <c r="B2037" s="31" t="s">
        <v>1235</v>
      </c>
      <c r="C2037" s="31" t="s">
        <v>4</v>
      </c>
      <c r="D2037" s="31" t="s">
        <v>2090</v>
      </c>
      <c r="E2037" s="32">
        <v>1377.72</v>
      </c>
      <c r="F2037" s="32">
        <v>2</v>
      </c>
    </row>
    <row r="2038" spans="1:6" x14ac:dyDescent="0.3">
      <c r="A2038" s="31">
        <v>1000103150</v>
      </c>
      <c r="B2038" s="31" t="s">
        <v>3350</v>
      </c>
      <c r="C2038" s="31" t="s">
        <v>4</v>
      </c>
      <c r="D2038" s="31" t="s">
        <v>2090</v>
      </c>
      <c r="E2038" s="32">
        <v>1375.76181818181</v>
      </c>
      <c r="F2038" s="32">
        <v>3</v>
      </c>
    </row>
    <row r="2039" spans="1:6" x14ac:dyDescent="0.3">
      <c r="A2039" s="31">
        <v>2200002965</v>
      </c>
      <c r="B2039" s="31" t="s">
        <v>3351</v>
      </c>
      <c r="C2039" s="31" t="s">
        <v>2037</v>
      </c>
      <c r="D2039" s="31" t="s">
        <v>2038</v>
      </c>
      <c r="E2039" s="32">
        <v>1373.74</v>
      </c>
      <c r="F2039" s="32">
        <v>1</v>
      </c>
    </row>
    <row r="2040" spans="1:6" x14ac:dyDescent="0.3">
      <c r="A2040" s="31">
        <v>2200002966</v>
      </c>
      <c r="B2040" s="31" t="s">
        <v>3352</v>
      </c>
      <c r="C2040" s="31" t="s">
        <v>2037</v>
      </c>
      <c r="D2040" s="31" t="s">
        <v>2038</v>
      </c>
      <c r="E2040" s="32">
        <v>1373.74</v>
      </c>
      <c r="F2040" s="32">
        <v>1</v>
      </c>
    </row>
    <row r="2041" spans="1:6" x14ac:dyDescent="0.3">
      <c r="A2041" s="31">
        <v>1000109988</v>
      </c>
      <c r="B2041" s="31" t="s">
        <v>3353</v>
      </c>
      <c r="C2041" s="31" t="s">
        <v>4</v>
      </c>
      <c r="D2041" s="31" t="s">
        <v>2043</v>
      </c>
      <c r="E2041" s="32">
        <v>1371.95</v>
      </c>
      <c r="F2041" s="32">
        <v>5</v>
      </c>
    </row>
    <row r="2042" spans="1:6" x14ac:dyDescent="0.3">
      <c r="A2042" s="31">
        <v>1000110030</v>
      </c>
      <c r="B2042" s="31" t="s">
        <v>3354</v>
      </c>
      <c r="C2042" s="31" t="s">
        <v>2257</v>
      </c>
      <c r="D2042" s="31" t="s">
        <v>2845</v>
      </c>
      <c r="E2042" s="32">
        <v>1371.9</v>
      </c>
      <c r="F2042" s="32">
        <v>1</v>
      </c>
    </row>
    <row r="2043" spans="1:6" x14ac:dyDescent="0.3">
      <c r="A2043" s="31">
        <v>1000020126</v>
      </c>
      <c r="B2043" s="31" t="s">
        <v>381</v>
      </c>
      <c r="C2043" s="31" t="s">
        <v>4</v>
      </c>
      <c r="D2043" s="31" t="s">
        <v>2090</v>
      </c>
      <c r="E2043" s="32">
        <v>1369.28</v>
      </c>
      <c r="F2043" s="32">
        <v>2</v>
      </c>
    </row>
    <row r="2044" spans="1:6" x14ac:dyDescent="0.3">
      <c r="A2044" s="31">
        <v>1000020976</v>
      </c>
      <c r="B2044" s="31" t="s">
        <v>1150</v>
      </c>
      <c r="C2044" s="31" t="s">
        <v>4</v>
      </c>
      <c r="D2044" s="31" t="s">
        <v>2090</v>
      </c>
      <c r="E2044" s="32">
        <v>1367.44</v>
      </c>
      <c r="F2044" s="32">
        <v>4</v>
      </c>
    </row>
    <row r="2045" spans="1:6" x14ac:dyDescent="0.3">
      <c r="A2045" s="31">
        <v>1000107102</v>
      </c>
      <c r="B2045" s="31" t="s">
        <v>3355</v>
      </c>
      <c r="C2045" s="31" t="s">
        <v>4</v>
      </c>
      <c r="D2045" s="31" t="s">
        <v>2043</v>
      </c>
      <c r="E2045" s="32">
        <v>1366.21934102676</v>
      </c>
      <c r="F2045" s="32">
        <v>20</v>
      </c>
    </row>
    <row r="2046" spans="1:6" x14ac:dyDescent="0.3">
      <c r="A2046" s="31">
        <v>1000017189</v>
      </c>
      <c r="B2046" s="31" t="s">
        <v>3356</v>
      </c>
      <c r="C2046" s="31" t="s">
        <v>4</v>
      </c>
      <c r="D2046" s="31" t="s">
        <v>2056</v>
      </c>
      <c r="E2046" s="32">
        <v>1362.1768231481601</v>
      </c>
      <c r="F2046" s="32">
        <v>1301</v>
      </c>
    </row>
    <row r="2047" spans="1:6" x14ac:dyDescent="0.3">
      <c r="A2047" s="31">
        <v>1000098695</v>
      </c>
      <c r="B2047" s="31" t="s">
        <v>1647</v>
      </c>
      <c r="C2047" s="31" t="s">
        <v>4</v>
      </c>
      <c r="D2047" s="31" t="s">
        <v>2090</v>
      </c>
      <c r="E2047" s="32">
        <v>1361.8</v>
      </c>
      <c r="F2047" s="32">
        <v>5</v>
      </c>
    </row>
    <row r="2048" spans="1:6" x14ac:dyDescent="0.3">
      <c r="A2048" s="31">
        <v>1000020663</v>
      </c>
      <c r="B2048" s="31" t="s">
        <v>876</v>
      </c>
      <c r="C2048" s="31" t="s">
        <v>4</v>
      </c>
      <c r="D2048" s="31" t="s">
        <v>2090</v>
      </c>
      <c r="E2048" s="32">
        <v>1360.9443752577299</v>
      </c>
      <c r="F2048" s="32">
        <v>37</v>
      </c>
    </row>
    <row r="2049" spans="1:6" x14ac:dyDescent="0.3">
      <c r="A2049" s="31">
        <v>1000093999</v>
      </c>
      <c r="B2049" s="31" t="s">
        <v>3357</v>
      </c>
      <c r="C2049" s="31" t="s">
        <v>4</v>
      </c>
      <c r="D2049" s="31" t="s">
        <v>2090</v>
      </c>
      <c r="E2049" s="32">
        <v>1359.0844740740699</v>
      </c>
      <c r="F2049" s="32">
        <v>3</v>
      </c>
    </row>
    <row r="2050" spans="1:6" x14ac:dyDescent="0.3">
      <c r="A2050" s="31">
        <v>1000098705</v>
      </c>
      <c r="B2050" s="31" t="s">
        <v>1654</v>
      </c>
      <c r="C2050" s="31" t="s">
        <v>4</v>
      </c>
      <c r="D2050" s="31" t="s">
        <v>2090</v>
      </c>
      <c r="E2050" s="32">
        <v>1358.99107142857</v>
      </c>
      <c r="F2050" s="32">
        <v>10</v>
      </c>
    </row>
    <row r="2051" spans="1:6" x14ac:dyDescent="0.3">
      <c r="A2051" s="31">
        <v>1000100288</v>
      </c>
      <c r="B2051" s="31" t="s">
        <v>3358</v>
      </c>
      <c r="C2051" s="31" t="s">
        <v>4</v>
      </c>
      <c r="D2051" s="31" t="s">
        <v>3359</v>
      </c>
      <c r="E2051" s="32">
        <v>1358</v>
      </c>
      <c r="F2051" s="32">
        <v>194</v>
      </c>
    </row>
    <row r="2052" spans="1:6" x14ac:dyDescent="0.3">
      <c r="A2052" s="31">
        <v>1000021470</v>
      </c>
      <c r="B2052" s="31" t="s">
        <v>1490</v>
      </c>
      <c r="C2052" s="31" t="s">
        <v>4</v>
      </c>
      <c r="D2052" s="31" t="s">
        <v>2090</v>
      </c>
      <c r="E2052" s="32">
        <v>1355.55</v>
      </c>
      <c r="F2052" s="32">
        <v>1</v>
      </c>
    </row>
    <row r="2053" spans="1:6" x14ac:dyDescent="0.3">
      <c r="A2053" s="31">
        <v>1000020510</v>
      </c>
      <c r="B2053" s="31" t="s">
        <v>733</v>
      </c>
      <c r="C2053" s="31" t="s">
        <v>4</v>
      </c>
      <c r="D2053" s="31" t="s">
        <v>2090</v>
      </c>
      <c r="E2053" s="32">
        <v>1352.18823529411</v>
      </c>
      <c r="F2053" s="32">
        <v>10</v>
      </c>
    </row>
    <row r="2054" spans="1:6" x14ac:dyDescent="0.3">
      <c r="A2054" s="31">
        <v>1000020230</v>
      </c>
      <c r="B2054" s="31" t="s">
        <v>470</v>
      </c>
      <c r="C2054" s="31" t="s">
        <v>4</v>
      </c>
      <c r="D2054" s="31" t="s">
        <v>2090</v>
      </c>
      <c r="E2054" s="32">
        <v>1352</v>
      </c>
      <c r="F2054" s="32">
        <v>200</v>
      </c>
    </row>
    <row r="2055" spans="1:6" x14ac:dyDescent="0.3">
      <c r="A2055" s="31">
        <v>1000099987</v>
      </c>
      <c r="B2055" s="31" t="s">
        <v>3360</v>
      </c>
      <c r="C2055" s="31" t="s">
        <v>4</v>
      </c>
      <c r="D2055" s="31" t="s">
        <v>2161</v>
      </c>
      <c r="E2055" s="32">
        <v>1350.576</v>
      </c>
      <c r="F2055" s="32">
        <v>4</v>
      </c>
    </row>
    <row r="2056" spans="1:6" x14ac:dyDescent="0.3">
      <c r="A2056" s="31">
        <v>80000009788</v>
      </c>
      <c r="B2056" s="31" t="s">
        <v>3361</v>
      </c>
      <c r="C2056" s="31" t="s">
        <v>2755</v>
      </c>
      <c r="D2056" s="31" t="s">
        <v>2670</v>
      </c>
      <c r="E2056" s="32">
        <v>1350</v>
      </c>
      <c r="F2056" s="32">
        <v>2250</v>
      </c>
    </row>
    <row r="2057" spans="1:6" x14ac:dyDescent="0.3">
      <c r="A2057" s="31">
        <v>2500008130</v>
      </c>
      <c r="B2057" s="31" t="s">
        <v>3362</v>
      </c>
      <c r="C2057" s="31" t="s">
        <v>1996</v>
      </c>
      <c r="D2057" s="31" t="s">
        <v>2025</v>
      </c>
      <c r="E2057" s="32">
        <v>1348.86666666666</v>
      </c>
      <c r="F2057" s="32">
        <v>2</v>
      </c>
    </row>
    <row r="2058" spans="1:6" x14ac:dyDescent="0.3">
      <c r="A2058" s="31">
        <v>2700000260</v>
      </c>
      <c r="B2058" s="31" t="s">
        <v>304</v>
      </c>
      <c r="C2058" s="31" t="s">
        <v>2037</v>
      </c>
      <c r="D2058" s="31" t="s">
        <v>2038</v>
      </c>
      <c r="E2058" s="32">
        <v>1347.03</v>
      </c>
      <c r="F2058" s="32">
        <v>1</v>
      </c>
    </row>
    <row r="2059" spans="1:6" x14ac:dyDescent="0.3">
      <c r="A2059" s="31">
        <v>1000100309</v>
      </c>
      <c r="B2059" s="31" t="s">
        <v>1697</v>
      </c>
      <c r="C2059" s="31" t="s">
        <v>4</v>
      </c>
      <c r="D2059" s="31" t="s">
        <v>2218</v>
      </c>
      <c r="E2059" s="32">
        <v>1342.18</v>
      </c>
      <c r="F2059" s="32">
        <v>4</v>
      </c>
    </row>
    <row r="2060" spans="1:6" x14ac:dyDescent="0.3">
      <c r="A2060" s="31">
        <v>1000103746</v>
      </c>
      <c r="B2060" s="31" t="s">
        <v>1884</v>
      </c>
      <c r="C2060" s="31" t="s">
        <v>4</v>
      </c>
      <c r="D2060" s="31" t="s">
        <v>2056</v>
      </c>
      <c r="E2060" s="32">
        <v>1340.7</v>
      </c>
      <c r="F2060" s="32">
        <v>100</v>
      </c>
    </row>
    <row r="2061" spans="1:6" x14ac:dyDescent="0.3">
      <c r="A2061" s="31">
        <v>1000020683</v>
      </c>
      <c r="B2061" s="31" t="s">
        <v>896</v>
      </c>
      <c r="C2061" s="31" t="s">
        <v>4</v>
      </c>
      <c r="D2061" s="31" t="s">
        <v>2090</v>
      </c>
      <c r="E2061" s="32">
        <v>1338.26905714285</v>
      </c>
      <c r="F2061" s="32">
        <v>22</v>
      </c>
    </row>
    <row r="2062" spans="1:6" x14ac:dyDescent="0.3">
      <c r="A2062" s="31">
        <v>1000020329</v>
      </c>
      <c r="B2062" s="31" t="s">
        <v>562</v>
      </c>
      <c r="C2062" s="31" t="s">
        <v>4</v>
      </c>
      <c r="D2062" s="31" t="s">
        <v>2090</v>
      </c>
      <c r="E2062" s="32">
        <v>1336.2</v>
      </c>
      <c r="F2062" s="32">
        <v>4</v>
      </c>
    </row>
    <row r="2063" spans="1:6" x14ac:dyDescent="0.3">
      <c r="A2063" s="31">
        <v>1000020402</v>
      </c>
      <c r="B2063" s="31" t="s">
        <v>632</v>
      </c>
      <c r="C2063" s="31" t="s">
        <v>4</v>
      </c>
      <c r="D2063" s="31" t="s">
        <v>2090</v>
      </c>
      <c r="E2063" s="32">
        <v>1334.9569803921499</v>
      </c>
      <c r="F2063" s="32">
        <v>253</v>
      </c>
    </row>
    <row r="2064" spans="1:6" x14ac:dyDescent="0.3">
      <c r="A2064" s="31">
        <v>1000107210</v>
      </c>
      <c r="B2064" s="31" t="s">
        <v>131</v>
      </c>
      <c r="C2064" s="31" t="s">
        <v>4</v>
      </c>
      <c r="D2064" s="31" t="s">
        <v>2161</v>
      </c>
      <c r="E2064" s="32">
        <v>1334.4</v>
      </c>
      <c r="F2064" s="32">
        <v>5</v>
      </c>
    </row>
    <row r="2065" spans="1:6" x14ac:dyDescent="0.3">
      <c r="A2065" s="31">
        <v>1000098377</v>
      </c>
      <c r="B2065" s="31" t="s">
        <v>3363</v>
      </c>
      <c r="C2065" s="31" t="s">
        <v>4</v>
      </c>
      <c r="D2065" s="31" t="s">
        <v>2161</v>
      </c>
      <c r="E2065" s="32">
        <v>1334.36</v>
      </c>
      <c r="F2065" s="32">
        <v>5</v>
      </c>
    </row>
    <row r="2066" spans="1:6" x14ac:dyDescent="0.3">
      <c r="A2066" s="31">
        <v>1000103522</v>
      </c>
      <c r="B2066" s="31" t="s">
        <v>1824</v>
      </c>
      <c r="C2066" s="31" t="s">
        <v>4</v>
      </c>
      <c r="D2066" s="31" t="s">
        <v>2090</v>
      </c>
      <c r="E2066" s="32">
        <v>1333.5</v>
      </c>
      <c r="F2066" s="32">
        <v>10</v>
      </c>
    </row>
    <row r="2067" spans="1:6" x14ac:dyDescent="0.3">
      <c r="A2067" s="31">
        <v>1000100376</v>
      </c>
      <c r="B2067" s="31" t="s">
        <v>3364</v>
      </c>
      <c r="C2067" s="31" t="s">
        <v>4</v>
      </c>
      <c r="D2067" s="31" t="s">
        <v>2090</v>
      </c>
      <c r="E2067" s="32">
        <v>1332.9749999999999</v>
      </c>
      <c r="F2067" s="32">
        <v>1</v>
      </c>
    </row>
    <row r="2068" spans="1:6" x14ac:dyDescent="0.3">
      <c r="A2068" s="31">
        <v>1000098326</v>
      </c>
      <c r="B2068" s="31" t="s">
        <v>3365</v>
      </c>
      <c r="C2068" s="31" t="s">
        <v>4</v>
      </c>
      <c r="D2068" s="31" t="s">
        <v>2090</v>
      </c>
      <c r="E2068" s="32">
        <v>1331.7657399444399</v>
      </c>
      <c r="F2068" s="32">
        <v>2</v>
      </c>
    </row>
    <row r="2069" spans="1:6" x14ac:dyDescent="0.3">
      <c r="A2069" s="31">
        <v>2500009112</v>
      </c>
      <c r="B2069" s="31" t="s">
        <v>3366</v>
      </c>
      <c r="C2069" s="31" t="s">
        <v>1996</v>
      </c>
      <c r="D2069" s="31" t="s">
        <v>2289</v>
      </c>
      <c r="E2069" s="32">
        <v>1331.25</v>
      </c>
      <c r="F2069" s="32">
        <v>5</v>
      </c>
    </row>
    <row r="2070" spans="1:6" x14ac:dyDescent="0.3">
      <c r="A2070" s="31">
        <v>2500009522</v>
      </c>
      <c r="B2070" s="31" t="s">
        <v>3367</v>
      </c>
      <c r="C2070" s="31" t="s">
        <v>1996</v>
      </c>
      <c r="D2070" s="31" t="s">
        <v>2289</v>
      </c>
      <c r="E2070" s="32">
        <v>1327.5</v>
      </c>
      <c r="F2070" s="32">
        <v>2</v>
      </c>
    </row>
    <row r="2071" spans="1:6" x14ac:dyDescent="0.3">
      <c r="A2071" s="31">
        <v>1000092786</v>
      </c>
      <c r="B2071" s="31" t="s">
        <v>3368</v>
      </c>
      <c r="C2071" s="31" t="s">
        <v>2027</v>
      </c>
      <c r="D2071" s="31" t="s">
        <v>2399</v>
      </c>
      <c r="E2071" s="32">
        <v>1327.5</v>
      </c>
      <c r="F2071" s="32">
        <v>9</v>
      </c>
    </row>
    <row r="2072" spans="1:6" x14ac:dyDescent="0.3">
      <c r="A2072" s="31">
        <v>1000092637</v>
      </c>
      <c r="B2072" s="31" t="s">
        <v>3369</v>
      </c>
      <c r="C2072" s="31" t="s">
        <v>2257</v>
      </c>
      <c r="D2072" s="31" t="s">
        <v>2070</v>
      </c>
      <c r="E2072" s="32">
        <v>1325.21076923076</v>
      </c>
      <c r="F2072" s="32">
        <v>1</v>
      </c>
    </row>
    <row r="2073" spans="1:6" x14ac:dyDescent="0.3">
      <c r="A2073" s="31">
        <v>1000098581</v>
      </c>
      <c r="B2073" s="31" t="s">
        <v>1590</v>
      </c>
      <c r="C2073" s="31" t="s">
        <v>4</v>
      </c>
      <c r="D2073" s="31" t="s">
        <v>2090</v>
      </c>
      <c r="E2073" s="32">
        <v>1324.0491428571399</v>
      </c>
      <c r="F2073" s="32">
        <v>72</v>
      </c>
    </row>
    <row r="2074" spans="1:6" x14ac:dyDescent="0.3">
      <c r="A2074" s="31">
        <v>1000021308</v>
      </c>
      <c r="B2074" s="31" t="s">
        <v>1441</v>
      </c>
      <c r="C2074" s="31" t="s">
        <v>4</v>
      </c>
      <c r="D2074" s="31" t="s">
        <v>2090</v>
      </c>
      <c r="E2074" s="32">
        <v>1323.46</v>
      </c>
      <c r="F2074" s="32">
        <v>6</v>
      </c>
    </row>
    <row r="2075" spans="1:6" x14ac:dyDescent="0.3">
      <c r="A2075" s="31">
        <v>1000103820</v>
      </c>
      <c r="B2075" s="31" t="s">
        <v>3370</v>
      </c>
      <c r="C2075" s="31" t="s">
        <v>2257</v>
      </c>
      <c r="D2075" s="31" t="s">
        <v>2845</v>
      </c>
      <c r="E2075" s="32">
        <v>1320.9</v>
      </c>
      <c r="F2075" s="32">
        <v>1</v>
      </c>
    </row>
    <row r="2076" spans="1:6" x14ac:dyDescent="0.3">
      <c r="A2076" s="31">
        <v>2700000160</v>
      </c>
      <c r="B2076" s="31" t="s">
        <v>271</v>
      </c>
      <c r="C2076" s="31" t="s">
        <v>2037</v>
      </c>
      <c r="D2076" s="31" t="s">
        <v>2038</v>
      </c>
      <c r="E2076" s="32">
        <v>1320.4366666666599</v>
      </c>
      <c r="F2076" s="32">
        <v>2</v>
      </c>
    </row>
    <row r="2077" spans="1:6" x14ac:dyDescent="0.3">
      <c r="A2077" s="31">
        <v>80000009752</v>
      </c>
      <c r="B2077" s="31" t="s">
        <v>3371</v>
      </c>
      <c r="C2077" s="31" t="s">
        <v>2755</v>
      </c>
      <c r="D2077" s="31" t="s">
        <v>2670</v>
      </c>
      <c r="E2077" s="32">
        <v>1320</v>
      </c>
      <c r="F2077" s="32">
        <v>20</v>
      </c>
    </row>
    <row r="2078" spans="1:6" x14ac:dyDescent="0.3">
      <c r="A2078" s="31">
        <v>1000021121</v>
      </c>
      <c r="B2078" s="31" t="s">
        <v>1280</v>
      </c>
      <c r="C2078" s="31" t="s">
        <v>4</v>
      </c>
      <c r="D2078" s="31" t="s">
        <v>2090</v>
      </c>
      <c r="E2078" s="32">
        <v>1318.1375</v>
      </c>
      <c r="F2078" s="32">
        <v>5</v>
      </c>
    </row>
    <row r="2079" spans="1:6" x14ac:dyDescent="0.3">
      <c r="A2079" s="31">
        <v>1000021112</v>
      </c>
      <c r="B2079" s="31" t="s">
        <v>1273</v>
      </c>
      <c r="C2079" s="31" t="s">
        <v>4</v>
      </c>
      <c r="D2079" s="31" t="s">
        <v>2090</v>
      </c>
      <c r="E2079" s="32">
        <v>1317.1875</v>
      </c>
      <c r="F2079" s="32">
        <v>5</v>
      </c>
    </row>
    <row r="2080" spans="1:6" x14ac:dyDescent="0.3">
      <c r="A2080" s="31">
        <v>1000102915</v>
      </c>
      <c r="B2080" s="31" t="s">
        <v>1800</v>
      </c>
      <c r="C2080" s="31" t="s">
        <v>4</v>
      </c>
      <c r="D2080" s="31" t="s">
        <v>2090</v>
      </c>
      <c r="E2080" s="32">
        <v>1317</v>
      </c>
      <c r="F2080" s="32">
        <v>10</v>
      </c>
    </row>
    <row r="2081" spans="1:6" x14ac:dyDescent="0.3">
      <c r="A2081" s="31">
        <v>1000020485</v>
      </c>
      <c r="B2081" s="31" t="s">
        <v>711</v>
      </c>
      <c r="C2081" s="31" t="s">
        <v>4</v>
      </c>
      <c r="D2081" s="31" t="s">
        <v>2090</v>
      </c>
      <c r="E2081" s="32">
        <v>1316.33640860079</v>
      </c>
      <c r="F2081" s="32">
        <v>40</v>
      </c>
    </row>
    <row r="2082" spans="1:6" x14ac:dyDescent="0.3">
      <c r="A2082" s="31">
        <v>1000021215</v>
      </c>
      <c r="B2082" s="31" t="s">
        <v>1361</v>
      </c>
      <c r="C2082" s="31" t="s">
        <v>4</v>
      </c>
      <c r="D2082" s="31" t="s">
        <v>2090</v>
      </c>
      <c r="E2082" s="32">
        <v>1315.8085714285701</v>
      </c>
      <c r="F2082" s="32">
        <v>8</v>
      </c>
    </row>
    <row r="2083" spans="1:6" x14ac:dyDescent="0.3">
      <c r="A2083" s="31">
        <v>2500008444</v>
      </c>
      <c r="B2083" s="31" t="s">
        <v>3372</v>
      </c>
      <c r="C2083" s="31" t="s">
        <v>1996</v>
      </c>
      <c r="D2083" s="31" t="s">
        <v>2025</v>
      </c>
      <c r="E2083" s="32">
        <v>1313.22454545454</v>
      </c>
      <c r="F2083" s="32">
        <v>7</v>
      </c>
    </row>
    <row r="2084" spans="1:6" x14ac:dyDescent="0.3">
      <c r="A2084" s="31">
        <v>1000021289</v>
      </c>
      <c r="B2084" s="31" t="s">
        <v>1425</v>
      </c>
      <c r="C2084" s="31" t="s">
        <v>4</v>
      </c>
      <c r="D2084" s="31" t="s">
        <v>2090</v>
      </c>
      <c r="E2084" s="32">
        <v>1312.78</v>
      </c>
      <c r="F2084" s="32">
        <v>14</v>
      </c>
    </row>
    <row r="2085" spans="1:6" x14ac:dyDescent="0.3">
      <c r="A2085" s="31">
        <v>1000103072</v>
      </c>
      <c r="B2085" s="31" t="s">
        <v>3373</v>
      </c>
      <c r="C2085" s="31" t="s">
        <v>4</v>
      </c>
      <c r="D2085" s="31" t="s">
        <v>2090</v>
      </c>
      <c r="E2085" s="32">
        <v>1312.06</v>
      </c>
      <c r="F2085" s="32">
        <v>3</v>
      </c>
    </row>
    <row r="2086" spans="1:6" x14ac:dyDescent="0.3">
      <c r="A2086" s="31">
        <v>1000020459</v>
      </c>
      <c r="B2086" s="31" t="s">
        <v>685</v>
      </c>
      <c r="C2086" s="31" t="s">
        <v>4</v>
      </c>
      <c r="D2086" s="31" t="s">
        <v>2090</v>
      </c>
      <c r="E2086" s="32">
        <v>1311.25</v>
      </c>
      <c r="F2086" s="32">
        <v>65</v>
      </c>
    </row>
    <row r="2087" spans="1:6" x14ac:dyDescent="0.3">
      <c r="A2087" s="31">
        <v>1000020805</v>
      </c>
      <c r="B2087" s="31" t="s">
        <v>1009</v>
      </c>
      <c r="C2087" s="31" t="s">
        <v>4</v>
      </c>
      <c r="D2087" s="31" t="s">
        <v>2090</v>
      </c>
      <c r="E2087" s="32">
        <v>1310.25</v>
      </c>
      <c r="F2087" s="32">
        <v>5</v>
      </c>
    </row>
    <row r="2088" spans="1:6" x14ac:dyDescent="0.3">
      <c r="A2088" s="31">
        <v>1000103215</v>
      </c>
      <c r="B2088" s="31" t="s">
        <v>1822</v>
      </c>
      <c r="C2088" s="31" t="s">
        <v>4</v>
      </c>
      <c r="D2088" s="31" t="s">
        <v>2090</v>
      </c>
      <c r="E2088" s="32">
        <v>1309.8800000000001</v>
      </c>
      <c r="F2088" s="32">
        <v>5</v>
      </c>
    </row>
    <row r="2089" spans="1:6" x14ac:dyDescent="0.3">
      <c r="A2089" s="31">
        <v>2200000298</v>
      </c>
      <c r="B2089" s="31" t="s">
        <v>3374</v>
      </c>
      <c r="C2089" s="31" t="s">
        <v>2037</v>
      </c>
      <c r="D2089" s="31" t="s">
        <v>2038</v>
      </c>
      <c r="E2089" s="32">
        <v>1309.3800000000001</v>
      </c>
      <c r="F2089" s="32">
        <v>1</v>
      </c>
    </row>
    <row r="2090" spans="1:6" x14ac:dyDescent="0.3">
      <c r="A2090" s="31">
        <v>1000103736</v>
      </c>
      <c r="B2090" s="31" t="s">
        <v>1876</v>
      </c>
      <c r="C2090" s="31" t="s">
        <v>4</v>
      </c>
      <c r="D2090" s="31" t="s">
        <v>2056</v>
      </c>
      <c r="E2090" s="32">
        <v>1306.98</v>
      </c>
      <c r="F2090" s="32">
        <v>200</v>
      </c>
    </row>
    <row r="2091" spans="1:6" x14ac:dyDescent="0.3">
      <c r="A2091" s="31">
        <v>1000020417</v>
      </c>
      <c r="B2091" s="31" t="s">
        <v>646</v>
      </c>
      <c r="C2091" s="31" t="s">
        <v>4</v>
      </c>
      <c r="D2091" s="31" t="s">
        <v>2218</v>
      </c>
      <c r="E2091" s="32">
        <v>1303.5188653259199</v>
      </c>
      <c r="F2091" s="32">
        <v>207</v>
      </c>
    </row>
    <row r="2092" spans="1:6" x14ac:dyDescent="0.3">
      <c r="A2092" s="31">
        <v>1000091848</v>
      </c>
      <c r="B2092" s="31" t="s">
        <v>3375</v>
      </c>
      <c r="C2092" s="31" t="s">
        <v>2109</v>
      </c>
      <c r="D2092" s="31" t="s">
        <v>2070</v>
      </c>
      <c r="E2092" s="32">
        <v>1303.01718824299</v>
      </c>
      <c r="F2092" s="32">
        <v>1</v>
      </c>
    </row>
    <row r="2093" spans="1:6" x14ac:dyDescent="0.3">
      <c r="A2093" s="31">
        <v>1000020974</v>
      </c>
      <c r="B2093" s="31" t="s">
        <v>1148</v>
      </c>
      <c r="C2093" s="31" t="s">
        <v>4</v>
      </c>
      <c r="D2093" s="31" t="s">
        <v>2090</v>
      </c>
      <c r="E2093" s="32">
        <v>1301.52</v>
      </c>
      <c r="F2093" s="32">
        <v>8</v>
      </c>
    </row>
    <row r="2094" spans="1:6" x14ac:dyDescent="0.3">
      <c r="A2094" s="31">
        <v>1000017018</v>
      </c>
      <c r="B2094" s="31" t="s">
        <v>3376</v>
      </c>
      <c r="C2094" s="31" t="s">
        <v>4</v>
      </c>
      <c r="D2094" s="31" t="s">
        <v>3274</v>
      </c>
      <c r="E2094" s="32">
        <v>1300</v>
      </c>
      <c r="F2094" s="32">
        <v>50</v>
      </c>
    </row>
    <row r="2095" spans="1:6" x14ac:dyDescent="0.3">
      <c r="A2095" s="31">
        <v>8000000301522</v>
      </c>
      <c r="B2095" s="31" t="s">
        <v>3377</v>
      </c>
      <c r="C2095" s="31" t="s">
        <v>2521</v>
      </c>
      <c r="D2095" s="31" t="s">
        <v>3129</v>
      </c>
      <c r="E2095" s="32">
        <v>1300</v>
      </c>
      <c r="F2095" s="32">
        <v>10</v>
      </c>
    </row>
    <row r="2096" spans="1:6" x14ac:dyDescent="0.3">
      <c r="A2096" s="31">
        <v>70000001782</v>
      </c>
      <c r="B2096" s="31" t="s">
        <v>3378</v>
      </c>
      <c r="C2096" s="31" t="s">
        <v>2165</v>
      </c>
      <c r="D2096" s="31" t="s">
        <v>3274</v>
      </c>
      <c r="E2096" s="32">
        <v>1300</v>
      </c>
      <c r="F2096" s="32">
        <v>12</v>
      </c>
    </row>
    <row r="2097" spans="1:6" x14ac:dyDescent="0.3">
      <c r="A2097" s="31">
        <v>1000095919</v>
      </c>
      <c r="B2097" s="31" t="s">
        <v>3379</v>
      </c>
      <c r="C2097" s="31" t="s">
        <v>4</v>
      </c>
      <c r="D2097" s="31" t="s">
        <v>2056</v>
      </c>
      <c r="E2097" s="32">
        <v>1299.7464</v>
      </c>
      <c r="F2097" s="32">
        <v>118</v>
      </c>
    </row>
    <row r="2098" spans="1:6" x14ac:dyDescent="0.3">
      <c r="A2098" s="31">
        <v>1000101895</v>
      </c>
      <c r="B2098" s="31" t="s">
        <v>3380</v>
      </c>
      <c r="C2098" s="31" t="s">
        <v>4</v>
      </c>
      <c r="D2098" s="31" t="s">
        <v>2056</v>
      </c>
      <c r="E2098" s="32">
        <v>1299.0604293333299</v>
      </c>
      <c r="F2098" s="32">
        <v>1</v>
      </c>
    </row>
    <row r="2099" spans="1:6" x14ac:dyDescent="0.3">
      <c r="A2099" s="31">
        <v>2500009081</v>
      </c>
      <c r="B2099" s="31" t="s">
        <v>3381</v>
      </c>
      <c r="C2099" s="31" t="s">
        <v>1996</v>
      </c>
      <c r="D2099" s="31" t="s">
        <v>2289</v>
      </c>
      <c r="E2099" s="32">
        <v>1297.5</v>
      </c>
      <c r="F2099" s="32">
        <v>1</v>
      </c>
    </row>
    <row r="2100" spans="1:6" x14ac:dyDescent="0.3">
      <c r="A2100" s="31">
        <v>1000105457</v>
      </c>
      <c r="B2100" s="31" t="s">
        <v>3382</v>
      </c>
      <c r="C2100" s="31" t="s">
        <v>4</v>
      </c>
      <c r="D2100" s="31" t="s">
        <v>2161</v>
      </c>
      <c r="E2100" s="32">
        <v>1297.3599999999999</v>
      </c>
      <c r="F2100" s="32">
        <v>7</v>
      </c>
    </row>
    <row r="2101" spans="1:6" x14ac:dyDescent="0.3">
      <c r="A2101" s="31">
        <v>1000094021</v>
      </c>
      <c r="B2101" s="31" t="s">
        <v>3383</v>
      </c>
      <c r="C2101" s="31" t="s">
        <v>4</v>
      </c>
      <c r="D2101" s="31" t="s">
        <v>2090</v>
      </c>
      <c r="E2101" s="32">
        <v>1296.9501234567899</v>
      </c>
      <c r="F2101" s="32">
        <v>4</v>
      </c>
    </row>
    <row r="2102" spans="1:6" x14ac:dyDescent="0.3">
      <c r="A2102" s="31">
        <v>1000099209</v>
      </c>
      <c r="B2102" s="31" t="s">
        <v>3384</v>
      </c>
      <c r="C2102" s="31" t="s">
        <v>4</v>
      </c>
      <c r="D2102" s="31" t="s">
        <v>2639</v>
      </c>
      <c r="E2102" s="32">
        <v>1296.75</v>
      </c>
      <c r="F2102" s="32">
        <v>273</v>
      </c>
    </row>
    <row r="2103" spans="1:6" x14ac:dyDescent="0.3">
      <c r="A2103" s="31">
        <v>80000009869</v>
      </c>
      <c r="B2103" s="31" t="s">
        <v>3385</v>
      </c>
      <c r="C2103" s="31" t="s">
        <v>2521</v>
      </c>
      <c r="D2103" s="31" t="s">
        <v>3289</v>
      </c>
      <c r="E2103" s="32">
        <v>1296</v>
      </c>
      <c r="F2103" s="32">
        <v>48</v>
      </c>
    </row>
    <row r="2104" spans="1:6" x14ac:dyDescent="0.3">
      <c r="A2104" s="31">
        <v>1000103524</v>
      </c>
      <c r="B2104" s="31" t="s">
        <v>1826</v>
      </c>
      <c r="C2104" s="31" t="s">
        <v>4</v>
      </c>
      <c r="D2104" s="31" t="s">
        <v>2090</v>
      </c>
      <c r="E2104" s="32">
        <v>1293.94</v>
      </c>
      <c r="F2104" s="32">
        <v>5</v>
      </c>
    </row>
    <row r="2105" spans="1:6" x14ac:dyDescent="0.3">
      <c r="A2105" s="31">
        <v>1000021231</v>
      </c>
      <c r="B2105" s="31" t="s">
        <v>1376</v>
      </c>
      <c r="C2105" s="31" t="s">
        <v>4</v>
      </c>
      <c r="D2105" s="31" t="s">
        <v>2090</v>
      </c>
      <c r="E2105" s="32">
        <v>1293.4848</v>
      </c>
      <c r="F2105" s="32">
        <v>16</v>
      </c>
    </row>
    <row r="2106" spans="1:6" x14ac:dyDescent="0.3">
      <c r="A2106" s="31">
        <v>1000021480</v>
      </c>
      <c r="B2106" s="31" t="s">
        <v>1494</v>
      </c>
      <c r="C2106" s="31" t="s">
        <v>4</v>
      </c>
      <c r="D2106" s="31" t="s">
        <v>2090</v>
      </c>
      <c r="E2106" s="32">
        <v>1293.3722</v>
      </c>
      <c r="F2106" s="32">
        <v>4</v>
      </c>
    </row>
    <row r="2107" spans="1:6" x14ac:dyDescent="0.3">
      <c r="A2107" s="31">
        <v>1000096901</v>
      </c>
      <c r="B2107" s="31" t="s">
        <v>3386</v>
      </c>
      <c r="C2107" s="31" t="s">
        <v>4</v>
      </c>
      <c r="D2107" s="31" t="s">
        <v>2161</v>
      </c>
      <c r="E2107" s="32">
        <v>1286</v>
      </c>
      <c r="F2107" s="32">
        <v>5</v>
      </c>
    </row>
    <row r="2108" spans="1:6" x14ac:dyDescent="0.3">
      <c r="A2108" s="31">
        <v>1000096766</v>
      </c>
      <c r="B2108" s="31" t="s">
        <v>3387</v>
      </c>
      <c r="C2108" s="31" t="s">
        <v>2205</v>
      </c>
      <c r="D2108" s="31" t="s">
        <v>2056</v>
      </c>
      <c r="E2108" s="32">
        <v>1285.2</v>
      </c>
      <c r="F2108" s="32">
        <v>250</v>
      </c>
    </row>
    <row r="2109" spans="1:6" x14ac:dyDescent="0.3">
      <c r="A2109" s="31">
        <v>80000009708</v>
      </c>
      <c r="B2109" s="31" t="s">
        <v>3388</v>
      </c>
      <c r="C2109" s="31" t="s">
        <v>2521</v>
      </c>
      <c r="D2109" s="31" t="s">
        <v>2670</v>
      </c>
      <c r="E2109" s="32">
        <v>1285.2</v>
      </c>
      <c r="F2109" s="32">
        <v>189</v>
      </c>
    </row>
    <row r="2110" spans="1:6" x14ac:dyDescent="0.3">
      <c r="A2110" s="31">
        <v>1000102888</v>
      </c>
      <c r="B2110" s="31" t="s">
        <v>3389</v>
      </c>
      <c r="C2110" s="31" t="s">
        <v>4</v>
      </c>
      <c r="D2110" s="31" t="s">
        <v>2090</v>
      </c>
      <c r="E2110" s="32">
        <v>1283.51</v>
      </c>
      <c r="F2110" s="32">
        <v>3</v>
      </c>
    </row>
    <row r="2111" spans="1:6" x14ac:dyDescent="0.3">
      <c r="A2111" s="31">
        <v>2500008204</v>
      </c>
      <c r="B2111" s="31" t="s">
        <v>3390</v>
      </c>
      <c r="C2111" s="31" t="s">
        <v>1996</v>
      </c>
      <c r="D2111" s="31" t="s">
        <v>2643</v>
      </c>
      <c r="E2111" s="32">
        <v>1282.5</v>
      </c>
      <c r="F2111" s="32">
        <v>2</v>
      </c>
    </row>
    <row r="2112" spans="1:6" x14ac:dyDescent="0.3">
      <c r="A2112" s="31">
        <v>1000103749</v>
      </c>
      <c r="B2112" s="31" t="s">
        <v>3391</v>
      </c>
      <c r="C2112" s="31" t="s">
        <v>4</v>
      </c>
      <c r="D2112" s="31" t="s">
        <v>2056</v>
      </c>
      <c r="E2112" s="32">
        <v>1281.21525</v>
      </c>
      <c r="F2112" s="32">
        <v>9</v>
      </c>
    </row>
    <row r="2113" spans="1:6" x14ac:dyDescent="0.3">
      <c r="A2113" s="31">
        <v>1000097935</v>
      </c>
      <c r="B2113" s="31" t="s">
        <v>3392</v>
      </c>
      <c r="C2113" s="31" t="s">
        <v>4</v>
      </c>
      <c r="D2113" s="31" t="s">
        <v>2218</v>
      </c>
      <c r="E2113" s="32">
        <v>1281.1494742063401</v>
      </c>
      <c r="F2113" s="32">
        <v>61</v>
      </c>
    </row>
    <row r="2114" spans="1:6" x14ac:dyDescent="0.3">
      <c r="A2114" s="31">
        <v>1000110865</v>
      </c>
      <c r="B2114" s="31" t="s">
        <v>3393</v>
      </c>
      <c r="C2114" s="31" t="s">
        <v>4</v>
      </c>
      <c r="D2114" s="31" t="s">
        <v>2043</v>
      </c>
      <c r="E2114" s="32">
        <v>1277.3399999999999</v>
      </c>
      <c r="F2114" s="32">
        <v>6</v>
      </c>
    </row>
    <row r="2115" spans="1:6" x14ac:dyDescent="0.3">
      <c r="A2115" s="31">
        <v>1000103744</v>
      </c>
      <c r="B2115" s="31" t="s">
        <v>1883</v>
      </c>
      <c r="C2115" s="31" t="s">
        <v>4</v>
      </c>
      <c r="D2115" s="31" t="s">
        <v>2056</v>
      </c>
      <c r="E2115" s="32">
        <v>1275.6776299999999</v>
      </c>
      <c r="F2115" s="32">
        <v>100</v>
      </c>
    </row>
    <row r="2116" spans="1:6" x14ac:dyDescent="0.3">
      <c r="A2116" s="31">
        <v>2500009489</v>
      </c>
      <c r="B2116" s="31" t="s">
        <v>3394</v>
      </c>
      <c r="C2116" s="31" t="s">
        <v>1996</v>
      </c>
      <c r="D2116" s="31" t="s">
        <v>2289</v>
      </c>
      <c r="E2116" s="32">
        <v>1275</v>
      </c>
      <c r="F2116" s="32">
        <v>10</v>
      </c>
    </row>
    <row r="2117" spans="1:6" x14ac:dyDescent="0.3">
      <c r="A2117" s="31">
        <v>1000106074</v>
      </c>
      <c r="B2117" s="31" t="s">
        <v>3395</v>
      </c>
      <c r="C2117" s="31" t="s">
        <v>4</v>
      </c>
      <c r="D2117" s="31" t="s">
        <v>2161</v>
      </c>
      <c r="E2117" s="32">
        <v>1274.0999999999999</v>
      </c>
      <c r="F2117" s="32">
        <v>2</v>
      </c>
    </row>
    <row r="2118" spans="1:6" x14ac:dyDescent="0.3">
      <c r="A2118" s="31">
        <v>1000020065</v>
      </c>
      <c r="B2118" s="31" t="s">
        <v>3396</v>
      </c>
      <c r="C2118" s="31" t="s">
        <v>4</v>
      </c>
      <c r="D2118" s="31" t="s">
        <v>2090</v>
      </c>
      <c r="E2118" s="32">
        <v>1268.31</v>
      </c>
      <c r="F2118" s="32">
        <v>4</v>
      </c>
    </row>
    <row r="2119" spans="1:6" x14ac:dyDescent="0.3">
      <c r="A2119" s="31">
        <v>2500009057</v>
      </c>
      <c r="B2119" s="31" t="s">
        <v>3397</v>
      </c>
      <c r="C2119" s="31" t="s">
        <v>1996</v>
      </c>
      <c r="D2119" s="31" t="s">
        <v>2289</v>
      </c>
      <c r="E2119" s="32">
        <v>1267.5</v>
      </c>
      <c r="F2119" s="32">
        <v>7</v>
      </c>
    </row>
    <row r="2120" spans="1:6" x14ac:dyDescent="0.3">
      <c r="A2120" s="31">
        <v>1000020434</v>
      </c>
      <c r="B2120" s="31" t="s">
        <v>661</v>
      </c>
      <c r="C2120" s="31" t="s">
        <v>4</v>
      </c>
      <c r="D2120" s="31" t="s">
        <v>2218</v>
      </c>
      <c r="E2120" s="32">
        <v>1264.0677934395501</v>
      </c>
      <c r="F2120" s="32">
        <v>138</v>
      </c>
    </row>
    <row r="2121" spans="1:6" x14ac:dyDescent="0.3">
      <c r="A2121" s="31">
        <v>1000021276</v>
      </c>
      <c r="B2121" s="31" t="s">
        <v>1415</v>
      </c>
      <c r="C2121" s="31" t="s">
        <v>4</v>
      </c>
      <c r="D2121" s="31" t="s">
        <v>2090</v>
      </c>
      <c r="E2121" s="32">
        <v>1260.1099999999999</v>
      </c>
      <c r="F2121" s="32">
        <v>5</v>
      </c>
    </row>
    <row r="2122" spans="1:6" x14ac:dyDescent="0.3">
      <c r="A2122" s="31">
        <v>2500009317</v>
      </c>
      <c r="B2122" s="31" t="s">
        <v>3398</v>
      </c>
      <c r="C2122" s="31" t="s">
        <v>1996</v>
      </c>
      <c r="D2122" s="31" t="s">
        <v>2915</v>
      </c>
      <c r="E2122" s="32">
        <v>1260</v>
      </c>
      <c r="F2122" s="32">
        <v>10</v>
      </c>
    </row>
    <row r="2123" spans="1:6" x14ac:dyDescent="0.3">
      <c r="A2123" s="31">
        <v>2500008233</v>
      </c>
      <c r="B2123" s="31" t="s">
        <v>3399</v>
      </c>
      <c r="C2123" s="31" t="s">
        <v>1996</v>
      </c>
      <c r="D2123" s="31" t="s">
        <v>2025</v>
      </c>
      <c r="E2123" s="32">
        <v>1259.3783333333299</v>
      </c>
      <c r="F2123" s="32">
        <v>3</v>
      </c>
    </row>
    <row r="2124" spans="1:6" x14ac:dyDescent="0.3">
      <c r="A2124" s="31">
        <v>1000103210</v>
      </c>
      <c r="B2124" s="31" t="s">
        <v>1817</v>
      </c>
      <c r="C2124" s="31" t="s">
        <v>4</v>
      </c>
      <c r="D2124" s="31" t="s">
        <v>2090</v>
      </c>
      <c r="E2124" s="32">
        <v>1258.665</v>
      </c>
      <c r="F2124" s="32">
        <v>2</v>
      </c>
    </row>
    <row r="2125" spans="1:6" x14ac:dyDescent="0.3">
      <c r="A2125" s="31">
        <v>1000098444</v>
      </c>
      <c r="B2125" s="31" t="s">
        <v>1524</v>
      </c>
      <c r="C2125" s="31" t="s">
        <v>4</v>
      </c>
      <c r="D2125" s="31" t="s">
        <v>2090</v>
      </c>
      <c r="E2125" s="32">
        <v>1253.7735</v>
      </c>
      <c r="F2125" s="32">
        <v>15</v>
      </c>
    </row>
    <row r="2126" spans="1:6" x14ac:dyDescent="0.3">
      <c r="A2126" s="31">
        <v>2500008065</v>
      </c>
      <c r="B2126" s="31" t="s">
        <v>3400</v>
      </c>
      <c r="C2126" s="31" t="s">
        <v>1996</v>
      </c>
      <c r="D2126" s="31" t="s">
        <v>2025</v>
      </c>
      <c r="E2126" s="32">
        <v>1252.634</v>
      </c>
      <c r="F2126" s="32">
        <v>2</v>
      </c>
    </row>
    <row r="2127" spans="1:6" x14ac:dyDescent="0.3">
      <c r="A2127" s="31">
        <v>1000021302</v>
      </c>
      <c r="B2127" s="31" t="s">
        <v>1437</v>
      </c>
      <c r="C2127" s="31" t="s">
        <v>4</v>
      </c>
      <c r="D2127" s="31" t="s">
        <v>2090</v>
      </c>
      <c r="E2127" s="32">
        <v>1252.3499999999999</v>
      </c>
      <c r="F2127" s="32">
        <v>9</v>
      </c>
    </row>
    <row r="2128" spans="1:6" x14ac:dyDescent="0.3">
      <c r="A2128" s="31">
        <v>1000097131</v>
      </c>
      <c r="B2128" s="31" t="s">
        <v>3401</v>
      </c>
      <c r="C2128" s="31" t="s">
        <v>4</v>
      </c>
      <c r="D2128" s="31" t="s">
        <v>2161</v>
      </c>
      <c r="E2128" s="32">
        <v>1250.5351766666599</v>
      </c>
      <c r="F2128" s="32">
        <v>5</v>
      </c>
    </row>
    <row r="2129" spans="1:6" x14ac:dyDescent="0.3">
      <c r="A2129" s="31">
        <v>1000017017</v>
      </c>
      <c r="B2129" s="31" t="s">
        <v>3402</v>
      </c>
      <c r="C2129" s="31" t="s">
        <v>4</v>
      </c>
      <c r="D2129" s="31" t="s">
        <v>3274</v>
      </c>
      <c r="E2129" s="32">
        <v>1250</v>
      </c>
      <c r="F2129" s="32">
        <v>50</v>
      </c>
    </row>
    <row r="2130" spans="1:6" x14ac:dyDescent="0.3">
      <c r="A2130" s="31">
        <v>1000021457</v>
      </c>
      <c r="B2130" s="31" t="s">
        <v>1485</v>
      </c>
      <c r="C2130" s="31" t="s">
        <v>4</v>
      </c>
      <c r="D2130" s="31" t="s">
        <v>2090</v>
      </c>
      <c r="E2130" s="32">
        <v>1247.4894857142799</v>
      </c>
      <c r="F2130" s="32">
        <v>10</v>
      </c>
    </row>
    <row r="2131" spans="1:6" x14ac:dyDescent="0.3">
      <c r="A2131" s="31">
        <v>1000021499</v>
      </c>
      <c r="B2131" s="31" t="s">
        <v>1498</v>
      </c>
      <c r="C2131" s="31" t="s">
        <v>4</v>
      </c>
      <c r="D2131" s="31" t="s">
        <v>2090</v>
      </c>
      <c r="E2131" s="32">
        <v>1246.99</v>
      </c>
      <c r="F2131" s="32">
        <v>1</v>
      </c>
    </row>
    <row r="2132" spans="1:6" x14ac:dyDescent="0.3">
      <c r="A2132" s="31">
        <v>2500008242</v>
      </c>
      <c r="B2132" s="31" t="s">
        <v>3403</v>
      </c>
      <c r="C2132" s="31" t="s">
        <v>1996</v>
      </c>
      <c r="D2132" s="31" t="s">
        <v>2811</v>
      </c>
      <c r="E2132" s="32">
        <v>1244.5648571428501</v>
      </c>
      <c r="F2132" s="32">
        <v>7</v>
      </c>
    </row>
    <row r="2133" spans="1:6" x14ac:dyDescent="0.3">
      <c r="A2133" s="31">
        <v>1000021287</v>
      </c>
      <c r="B2133" s="31" t="s">
        <v>1423</v>
      </c>
      <c r="C2133" s="31" t="s">
        <v>4</v>
      </c>
      <c r="D2133" s="31" t="s">
        <v>2090</v>
      </c>
      <c r="E2133" s="32">
        <v>1243.44</v>
      </c>
      <c r="F2133" s="32">
        <v>3</v>
      </c>
    </row>
    <row r="2134" spans="1:6" x14ac:dyDescent="0.3">
      <c r="A2134" s="31">
        <v>1000095493</v>
      </c>
      <c r="B2134" s="31" t="s">
        <v>3404</v>
      </c>
      <c r="C2134" s="31" t="s">
        <v>4</v>
      </c>
      <c r="D2134" s="31" t="s">
        <v>2090</v>
      </c>
      <c r="E2134" s="32">
        <v>1243.3499999999999</v>
      </c>
      <c r="F2134" s="32">
        <v>54</v>
      </c>
    </row>
    <row r="2135" spans="1:6" x14ac:dyDescent="0.3">
      <c r="A2135" s="31">
        <v>1000098531</v>
      </c>
      <c r="B2135" s="31" t="s">
        <v>1565</v>
      </c>
      <c r="C2135" s="31" t="s">
        <v>4</v>
      </c>
      <c r="D2135" s="31" t="s">
        <v>2090</v>
      </c>
      <c r="E2135" s="32">
        <v>1242</v>
      </c>
      <c r="F2135" s="32">
        <v>10</v>
      </c>
    </row>
    <row r="2136" spans="1:6" x14ac:dyDescent="0.3">
      <c r="A2136" s="31">
        <v>2200011166</v>
      </c>
      <c r="B2136" s="31" t="s">
        <v>3405</v>
      </c>
      <c r="C2136" s="31" t="s">
        <v>2037</v>
      </c>
      <c r="D2136" s="31" t="s">
        <v>2038</v>
      </c>
      <c r="E2136" s="32">
        <v>1240.432</v>
      </c>
      <c r="F2136" s="32">
        <v>1</v>
      </c>
    </row>
    <row r="2137" spans="1:6" x14ac:dyDescent="0.3">
      <c r="A2137" s="31">
        <v>8000000005</v>
      </c>
      <c r="B2137" s="31" t="s">
        <v>3406</v>
      </c>
      <c r="C2137" s="31" t="s">
        <v>2755</v>
      </c>
      <c r="D2137" s="31" t="s">
        <v>3289</v>
      </c>
      <c r="E2137" s="32">
        <v>1240</v>
      </c>
      <c r="F2137" s="32">
        <v>2</v>
      </c>
    </row>
    <row r="2138" spans="1:6" x14ac:dyDescent="0.3">
      <c r="A2138" s="31">
        <v>1000103008</v>
      </c>
      <c r="B2138" s="31" t="s">
        <v>3407</v>
      </c>
      <c r="C2138" s="31" t="s">
        <v>4</v>
      </c>
      <c r="D2138" s="31" t="s">
        <v>2090</v>
      </c>
      <c r="E2138" s="32">
        <v>1239.8236363636299</v>
      </c>
      <c r="F2138" s="32">
        <v>10</v>
      </c>
    </row>
    <row r="2139" spans="1:6" x14ac:dyDescent="0.3">
      <c r="A2139" s="31">
        <v>1000100688</v>
      </c>
      <c r="B2139" s="31" t="s">
        <v>3408</v>
      </c>
      <c r="C2139" s="31" t="s">
        <v>4</v>
      </c>
      <c r="D2139" s="31" t="s">
        <v>2161</v>
      </c>
      <c r="E2139" s="32">
        <v>1239.2439999999999</v>
      </c>
      <c r="F2139" s="32">
        <v>1</v>
      </c>
    </row>
    <row r="2140" spans="1:6" x14ac:dyDescent="0.3">
      <c r="A2140" s="31">
        <v>1000021279</v>
      </c>
      <c r="B2140" s="31" t="s">
        <v>1416</v>
      </c>
      <c r="C2140" s="31" t="s">
        <v>4</v>
      </c>
      <c r="D2140" s="31" t="s">
        <v>2090</v>
      </c>
      <c r="E2140" s="32">
        <v>1238.32</v>
      </c>
      <c r="F2140" s="32">
        <v>4</v>
      </c>
    </row>
    <row r="2141" spans="1:6" x14ac:dyDescent="0.3">
      <c r="A2141" s="31">
        <v>1000100345</v>
      </c>
      <c r="B2141" s="31" t="s">
        <v>3409</v>
      </c>
      <c r="C2141" s="31" t="s">
        <v>4</v>
      </c>
      <c r="D2141" s="31" t="s">
        <v>2090</v>
      </c>
      <c r="E2141" s="32">
        <v>1236.5828571428499</v>
      </c>
      <c r="F2141" s="32">
        <v>8</v>
      </c>
    </row>
    <row r="2142" spans="1:6" x14ac:dyDescent="0.3">
      <c r="A2142" s="31">
        <v>1000020776</v>
      </c>
      <c r="B2142" s="31" t="s">
        <v>980</v>
      </c>
      <c r="C2142" s="31" t="s">
        <v>4</v>
      </c>
      <c r="D2142" s="31" t="s">
        <v>2090</v>
      </c>
      <c r="E2142" s="32">
        <v>1231.08</v>
      </c>
      <c r="F2142" s="32">
        <v>53</v>
      </c>
    </row>
    <row r="2143" spans="1:6" x14ac:dyDescent="0.3">
      <c r="A2143" s="31">
        <v>1000102409</v>
      </c>
      <c r="B2143" s="31" t="s">
        <v>3410</v>
      </c>
      <c r="C2143" s="31" t="s">
        <v>4</v>
      </c>
      <c r="D2143" s="31" t="s">
        <v>2090</v>
      </c>
      <c r="E2143" s="32">
        <v>1230.0861507936499</v>
      </c>
      <c r="F2143" s="32">
        <v>31</v>
      </c>
    </row>
    <row r="2144" spans="1:6" x14ac:dyDescent="0.3">
      <c r="A2144" s="31">
        <v>1000108736</v>
      </c>
      <c r="B2144" s="31" t="s">
        <v>3411</v>
      </c>
      <c r="C2144" s="31" t="s">
        <v>4</v>
      </c>
      <c r="D2144" s="31" t="s">
        <v>2056</v>
      </c>
      <c r="E2144" s="32">
        <v>1229.9649999999999</v>
      </c>
      <c r="F2144" s="32">
        <v>33</v>
      </c>
    </row>
    <row r="2145" spans="1:6" x14ac:dyDescent="0.3">
      <c r="A2145" s="31">
        <v>1000020297</v>
      </c>
      <c r="B2145" s="31" t="s">
        <v>533</v>
      </c>
      <c r="C2145" s="31" t="s">
        <v>4</v>
      </c>
      <c r="D2145" s="31" t="s">
        <v>2090</v>
      </c>
      <c r="E2145" s="32">
        <v>1228.1941161899999</v>
      </c>
      <c r="F2145" s="32">
        <v>14</v>
      </c>
    </row>
    <row r="2146" spans="1:6" x14ac:dyDescent="0.3">
      <c r="A2146" s="31">
        <v>1000020735</v>
      </c>
      <c r="B2146" s="31" t="s">
        <v>943</v>
      </c>
      <c r="C2146" s="31" t="s">
        <v>4</v>
      </c>
      <c r="D2146" s="31" t="s">
        <v>2090</v>
      </c>
      <c r="E2146" s="32">
        <v>1225.5</v>
      </c>
      <c r="F2146" s="32">
        <v>5</v>
      </c>
    </row>
    <row r="2147" spans="1:6" x14ac:dyDescent="0.3">
      <c r="A2147" s="31">
        <v>1000098118</v>
      </c>
      <c r="B2147" s="31" t="s">
        <v>3412</v>
      </c>
      <c r="C2147" s="31" t="s">
        <v>4</v>
      </c>
      <c r="D2147" s="31" t="s">
        <v>2090</v>
      </c>
      <c r="E2147" s="32">
        <v>1225.3900000000001</v>
      </c>
      <c r="F2147" s="32">
        <v>1</v>
      </c>
    </row>
    <row r="2148" spans="1:6" x14ac:dyDescent="0.3">
      <c r="A2148" s="31">
        <v>1000021107</v>
      </c>
      <c r="B2148" s="31" t="s">
        <v>1268</v>
      </c>
      <c r="C2148" s="31" t="s">
        <v>4</v>
      </c>
      <c r="D2148" s="31" t="s">
        <v>2090</v>
      </c>
      <c r="E2148" s="32">
        <v>1224.24</v>
      </c>
      <c r="F2148" s="32">
        <v>6</v>
      </c>
    </row>
    <row r="2149" spans="1:6" x14ac:dyDescent="0.3">
      <c r="A2149" s="31">
        <v>1000108788</v>
      </c>
      <c r="B2149" s="31" t="s">
        <v>3413</v>
      </c>
      <c r="C2149" s="31" t="s">
        <v>2109</v>
      </c>
      <c r="D2149" s="31" t="s">
        <v>2409</v>
      </c>
      <c r="E2149" s="32">
        <v>1222.6199999999999</v>
      </c>
      <c r="F2149" s="32">
        <v>2</v>
      </c>
    </row>
    <row r="2150" spans="1:6" x14ac:dyDescent="0.3">
      <c r="A2150" s="31">
        <v>2500009198</v>
      </c>
      <c r="B2150" s="31" t="s">
        <v>3414</v>
      </c>
      <c r="C2150" s="31" t="s">
        <v>1996</v>
      </c>
      <c r="D2150" s="31" t="s">
        <v>2025</v>
      </c>
      <c r="E2150" s="32">
        <v>1222.2</v>
      </c>
      <c r="F2150" s="32">
        <v>2</v>
      </c>
    </row>
    <row r="2151" spans="1:6" x14ac:dyDescent="0.3">
      <c r="A2151" s="31">
        <v>1000096103</v>
      </c>
      <c r="B2151" s="31" t="s">
        <v>3415</v>
      </c>
      <c r="C2151" s="31" t="s">
        <v>4</v>
      </c>
      <c r="D2151" s="31" t="s">
        <v>3416</v>
      </c>
      <c r="E2151" s="32">
        <v>1220</v>
      </c>
      <c r="F2151" s="32">
        <v>2</v>
      </c>
    </row>
    <row r="2152" spans="1:6" x14ac:dyDescent="0.3">
      <c r="A2152" s="31">
        <v>80000009763</v>
      </c>
      <c r="B2152" s="31" t="s">
        <v>3120</v>
      </c>
      <c r="C2152" s="31" t="s">
        <v>2755</v>
      </c>
      <c r="D2152" s="31" t="s">
        <v>2670</v>
      </c>
      <c r="E2152" s="32">
        <v>1220</v>
      </c>
      <c r="F2152" s="32">
        <v>61</v>
      </c>
    </row>
    <row r="2153" spans="1:6" x14ac:dyDescent="0.3">
      <c r="A2153" s="31">
        <v>2500009072</v>
      </c>
      <c r="B2153" s="31" t="s">
        <v>3417</v>
      </c>
      <c r="C2153" s="31" t="s">
        <v>1996</v>
      </c>
      <c r="D2153" s="31" t="s">
        <v>2289</v>
      </c>
      <c r="E2153" s="32">
        <v>1218.75</v>
      </c>
      <c r="F2153" s="32">
        <v>1</v>
      </c>
    </row>
    <row r="2154" spans="1:6" x14ac:dyDescent="0.3">
      <c r="A2154" s="31">
        <v>1000020627</v>
      </c>
      <c r="B2154" s="31" t="s">
        <v>842</v>
      </c>
      <c r="C2154" s="31" t="s">
        <v>4</v>
      </c>
      <c r="D2154" s="31" t="s">
        <v>2218</v>
      </c>
      <c r="E2154" s="32">
        <v>1216.8021249999999</v>
      </c>
      <c r="F2154" s="32">
        <v>104</v>
      </c>
    </row>
    <row r="2155" spans="1:6" x14ac:dyDescent="0.3">
      <c r="A2155" s="31">
        <v>1000096423</v>
      </c>
      <c r="B2155" s="31" t="s">
        <v>3418</v>
      </c>
      <c r="C2155" s="31" t="s">
        <v>4</v>
      </c>
      <c r="D2155" s="31" t="s">
        <v>2056</v>
      </c>
      <c r="E2155" s="32">
        <v>1215.5100676345501</v>
      </c>
      <c r="F2155" s="32">
        <v>1151</v>
      </c>
    </row>
    <row r="2156" spans="1:6" x14ac:dyDescent="0.3">
      <c r="A2156" s="31">
        <v>2500009500</v>
      </c>
      <c r="B2156" s="31" t="s">
        <v>3419</v>
      </c>
      <c r="C2156" s="31" t="s">
        <v>1996</v>
      </c>
      <c r="D2156" s="31" t="s">
        <v>2289</v>
      </c>
      <c r="E2156" s="32">
        <v>1215</v>
      </c>
      <c r="F2156" s="32">
        <v>2</v>
      </c>
    </row>
    <row r="2157" spans="1:6" x14ac:dyDescent="0.3">
      <c r="A2157" s="31">
        <v>1000100358</v>
      </c>
      <c r="B2157" s="31" t="s">
        <v>1699</v>
      </c>
      <c r="C2157" s="31" t="s">
        <v>4</v>
      </c>
      <c r="D2157" s="31" t="s">
        <v>2090</v>
      </c>
      <c r="E2157" s="32">
        <v>1213.53</v>
      </c>
      <c r="F2157" s="32">
        <v>29</v>
      </c>
    </row>
    <row r="2158" spans="1:6" x14ac:dyDescent="0.3">
      <c r="A2158" s="31">
        <v>1000020824</v>
      </c>
      <c r="B2158" s="31" t="s">
        <v>1022</v>
      </c>
      <c r="C2158" s="31" t="s">
        <v>4</v>
      </c>
      <c r="D2158" s="31" t="s">
        <v>2090</v>
      </c>
      <c r="E2158" s="32">
        <v>1209.3399999999999</v>
      </c>
      <c r="F2158" s="32">
        <v>2</v>
      </c>
    </row>
    <row r="2159" spans="1:6" x14ac:dyDescent="0.3">
      <c r="A2159" s="31">
        <v>1000020484</v>
      </c>
      <c r="B2159" s="31" t="s">
        <v>710</v>
      </c>
      <c r="C2159" s="31" t="s">
        <v>4</v>
      </c>
      <c r="D2159" s="31" t="s">
        <v>2090</v>
      </c>
      <c r="E2159" s="32">
        <v>1208.79</v>
      </c>
      <c r="F2159" s="32">
        <v>37</v>
      </c>
    </row>
    <row r="2160" spans="1:6" x14ac:dyDescent="0.3">
      <c r="A2160" s="31">
        <v>1000103198</v>
      </c>
      <c r="B2160" s="31" t="s">
        <v>1806</v>
      </c>
      <c r="C2160" s="31" t="s">
        <v>4</v>
      </c>
      <c r="D2160" s="31" t="s">
        <v>2090</v>
      </c>
      <c r="E2160" s="32">
        <v>1205.67</v>
      </c>
      <c r="F2160" s="32">
        <v>86</v>
      </c>
    </row>
    <row r="2161" spans="1:6" x14ac:dyDescent="0.3">
      <c r="A2161" s="31">
        <v>1000110874</v>
      </c>
      <c r="B2161" s="31" t="s">
        <v>3420</v>
      </c>
      <c r="C2161" s="31" t="s">
        <v>4</v>
      </c>
      <c r="D2161" s="31" t="s">
        <v>2043</v>
      </c>
      <c r="E2161" s="32">
        <v>1204</v>
      </c>
      <c r="F2161" s="32">
        <v>20</v>
      </c>
    </row>
    <row r="2162" spans="1:6" x14ac:dyDescent="0.3">
      <c r="A2162" s="31">
        <v>1000111091</v>
      </c>
      <c r="B2162" s="31" t="s">
        <v>3421</v>
      </c>
      <c r="C2162" s="31" t="s">
        <v>4</v>
      </c>
      <c r="D2162" s="31" t="s">
        <v>2090</v>
      </c>
      <c r="E2162" s="32">
        <v>1203.1500000000001</v>
      </c>
      <c r="F2162" s="32">
        <v>4</v>
      </c>
    </row>
    <row r="2163" spans="1:6" x14ac:dyDescent="0.3">
      <c r="A2163" s="31">
        <v>1000010214</v>
      </c>
      <c r="B2163" s="31" t="s">
        <v>3422</v>
      </c>
      <c r="C2163" s="31" t="s">
        <v>4</v>
      </c>
      <c r="D2163" s="31" t="s">
        <v>2161</v>
      </c>
      <c r="E2163" s="32">
        <v>1201.48</v>
      </c>
      <c r="F2163" s="32">
        <v>1</v>
      </c>
    </row>
    <row r="2164" spans="1:6" x14ac:dyDescent="0.3">
      <c r="A2164" s="31">
        <v>1000097923</v>
      </c>
      <c r="B2164" s="31" t="s">
        <v>3423</v>
      </c>
      <c r="C2164" s="31" t="s">
        <v>2205</v>
      </c>
      <c r="D2164" s="31" t="s">
        <v>2399</v>
      </c>
      <c r="E2164" s="32">
        <v>1200.4666666666601</v>
      </c>
      <c r="F2164" s="32">
        <v>3</v>
      </c>
    </row>
    <row r="2165" spans="1:6" x14ac:dyDescent="0.3">
      <c r="A2165" s="31">
        <v>1000020562</v>
      </c>
      <c r="B2165" s="31" t="s">
        <v>779</v>
      </c>
      <c r="C2165" s="31" t="s">
        <v>4</v>
      </c>
      <c r="D2165" s="31" t="s">
        <v>2090</v>
      </c>
      <c r="E2165" s="32">
        <v>1200.25</v>
      </c>
      <c r="F2165" s="32">
        <v>25</v>
      </c>
    </row>
    <row r="2166" spans="1:6" x14ac:dyDescent="0.3">
      <c r="A2166" s="31">
        <v>2500009732</v>
      </c>
      <c r="B2166" s="31" t="s">
        <v>3424</v>
      </c>
      <c r="C2166" s="31" t="s">
        <v>1996</v>
      </c>
      <c r="D2166" s="31" t="s">
        <v>3425</v>
      </c>
      <c r="E2166" s="32">
        <v>1200</v>
      </c>
      <c r="F2166" s="32">
        <v>1</v>
      </c>
    </row>
    <row r="2167" spans="1:6" x14ac:dyDescent="0.3">
      <c r="A2167" s="31">
        <v>1000098696</v>
      </c>
      <c r="B2167" s="31" t="s">
        <v>1648</v>
      </c>
      <c r="C2167" s="31" t="s">
        <v>4</v>
      </c>
      <c r="D2167" s="31" t="s">
        <v>2090</v>
      </c>
      <c r="E2167" s="32">
        <v>1199.7650000000001</v>
      </c>
      <c r="F2167" s="32">
        <v>17</v>
      </c>
    </row>
    <row r="2168" spans="1:6" x14ac:dyDescent="0.3">
      <c r="A2168" s="31">
        <v>1000098714</v>
      </c>
      <c r="B2168" s="31" t="s">
        <v>1661</v>
      </c>
      <c r="C2168" s="31" t="s">
        <v>4</v>
      </c>
      <c r="D2168" s="31" t="s">
        <v>2090</v>
      </c>
      <c r="E2168" s="32">
        <v>1198.8187499999999</v>
      </c>
      <c r="F2168" s="32">
        <v>1</v>
      </c>
    </row>
    <row r="2169" spans="1:6" x14ac:dyDescent="0.3">
      <c r="A2169" s="31">
        <v>2500005889</v>
      </c>
      <c r="B2169" s="31" t="s">
        <v>3426</v>
      </c>
      <c r="C2169" s="31" t="s">
        <v>1996</v>
      </c>
      <c r="D2169" s="31" t="s">
        <v>2025</v>
      </c>
      <c r="E2169" s="32">
        <v>1198.1300000000001</v>
      </c>
      <c r="F2169" s="32">
        <v>10</v>
      </c>
    </row>
    <row r="2170" spans="1:6" x14ac:dyDescent="0.3">
      <c r="A2170" s="31">
        <v>1000020732</v>
      </c>
      <c r="B2170" s="31" t="s">
        <v>940</v>
      </c>
      <c r="C2170" s="31" t="s">
        <v>4</v>
      </c>
      <c r="D2170" s="31" t="s">
        <v>2090</v>
      </c>
      <c r="E2170" s="32">
        <v>1195.8040000000001</v>
      </c>
      <c r="F2170" s="32">
        <v>4</v>
      </c>
    </row>
    <row r="2171" spans="1:6" x14ac:dyDescent="0.3">
      <c r="A2171" s="31">
        <v>2700000259</v>
      </c>
      <c r="B2171" s="31" t="s">
        <v>3427</v>
      </c>
      <c r="C2171" s="31" t="s">
        <v>2037</v>
      </c>
      <c r="D2171" s="31" t="s">
        <v>2038</v>
      </c>
      <c r="E2171" s="32">
        <v>1195.04</v>
      </c>
      <c r="F2171" s="32">
        <v>1</v>
      </c>
    </row>
    <row r="2172" spans="1:6" x14ac:dyDescent="0.3">
      <c r="A2172" s="31">
        <v>1000020405</v>
      </c>
      <c r="B2172" s="31" t="s">
        <v>635</v>
      </c>
      <c r="C2172" s="31" t="s">
        <v>4</v>
      </c>
      <c r="D2172" s="31" t="s">
        <v>2218</v>
      </c>
      <c r="E2172" s="32">
        <v>1192.2435064935</v>
      </c>
      <c r="F2172" s="32">
        <v>195</v>
      </c>
    </row>
    <row r="2173" spans="1:6" x14ac:dyDescent="0.3">
      <c r="A2173" s="31">
        <v>1000102725</v>
      </c>
      <c r="B2173" s="31" t="s">
        <v>3428</v>
      </c>
      <c r="C2173" s="31" t="s">
        <v>4</v>
      </c>
      <c r="D2173" s="31" t="s">
        <v>2090</v>
      </c>
      <c r="E2173" s="32">
        <v>1189.69</v>
      </c>
      <c r="F2173" s="32">
        <v>3</v>
      </c>
    </row>
    <row r="2174" spans="1:6" x14ac:dyDescent="0.3">
      <c r="A2174" s="31">
        <v>1000100242</v>
      </c>
      <c r="B2174" s="31" t="s">
        <v>3429</v>
      </c>
      <c r="C2174" s="31" t="s">
        <v>4</v>
      </c>
      <c r="D2174" s="31" t="s">
        <v>2090</v>
      </c>
      <c r="E2174" s="32">
        <v>1188.3</v>
      </c>
      <c r="F2174" s="32">
        <v>2</v>
      </c>
    </row>
    <row r="2175" spans="1:6" x14ac:dyDescent="0.3">
      <c r="A2175" s="31">
        <v>1000020815</v>
      </c>
      <c r="B2175" s="31" t="s">
        <v>1017</v>
      </c>
      <c r="C2175" s="31" t="s">
        <v>4</v>
      </c>
      <c r="D2175" s="31" t="s">
        <v>2090</v>
      </c>
      <c r="E2175" s="32">
        <v>1185.2964796296201</v>
      </c>
      <c r="F2175" s="32">
        <v>2</v>
      </c>
    </row>
    <row r="2176" spans="1:6" x14ac:dyDescent="0.3">
      <c r="A2176" s="31">
        <v>2500008598</v>
      </c>
      <c r="B2176" s="31" t="s">
        <v>1942</v>
      </c>
      <c r="C2176" s="31" t="s">
        <v>1996</v>
      </c>
      <c r="D2176" s="31" t="s">
        <v>2025</v>
      </c>
      <c r="E2176" s="32">
        <v>1185</v>
      </c>
      <c r="F2176" s="32">
        <v>2</v>
      </c>
    </row>
    <row r="2177" spans="1:6" x14ac:dyDescent="0.3">
      <c r="A2177" s="31">
        <v>1000098470</v>
      </c>
      <c r="B2177" s="31" t="s">
        <v>1544</v>
      </c>
      <c r="C2177" s="31" t="s">
        <v>4</v>
      </c>
      <c r="D2177" s="31" t="s">
        <v>2090</v>
      </c>
      <c r="E2177" s="32">
        <v>1184.94</v>
      </c>
      <c r="F2177" s="32">
        <v>2</v>
      </c>
    </row>
    <row r="2178" spans="1:6" x14ac:dyDescent="0.3">
      <c r="A2178" s="31">
        <v>1000020991</v>
      </c>
      <c r="B2178" s="31" t="s">
        <v>1165</v>
      </c>
      <c r="C2178" s="31" t="s">
        <v>4</v>
      </c>
      <c r="D2178" s="31" t="s">
        <v>2090</v>
      </c>
      <c r="E2178" s="32">
        <v>1184.9187662337599</v>
      </c>
      <c r="F2178" s="32">
        <v>13</v>
      </c>
    </row>
    <row r="2179" spans="1:6" x14ac:dyDescent="0.3">
      <c r="A2179" s="31">
        <v>1000020296</v>
      </c>
      <c r="B2179" s="31" t="s">
        <v>532</v>
      </c>
      <c r="C2179" s="31" t="s">
        <v>4</v>
      </c>
      <c r="D2179" s="31" t="s">
        <v>2090</v>
      </c>
      <c r="E2179" s="32">
        <v>1184.8050000000001</v>
      </c>
      <c r="F2179" s="32">
        <v>15</v>
      </c>
    </row>
    <row r="2180" spans="1:6" x14ac:dyDescent="0.3">
      <c r="A2180" s="31">
        <v>1000106271</v>
      </c>
      <c r="B2180" s="31" t="s">
        <v>106</v>
      </c>
      <c r="C2180" s="31" t="s">
        <v>4</v>
      </c>
      <c r="D2180" s="31" t="s">
        <v>2882</v>
      </c>
      <c r="E2180" s="32">
        <v>1184</v>
      </c>
      <c r="F2180" s="32">
        <v>16</v>
      </c>
    </row>
    <row r="2181" spans="1:6" x14ac:dyDescent="0.3">
      <c r="A2181" s="31">
        <v>1000020040</v>
      </c>
      <c r="B2181" s="31" t="s">
        <v>3430</v>
      </c>
      <c r="C2181" s="31" t="s">
        <v>4</v>
      </c>
      <c r="D2181" s="31" t="s">
        <v>2090</v>
      </c>
      <c r="E2181" s="32">
        <v>1182.75</v>
      </c>
      <c r="F2181" s="32">
        <v>5</v>
      </c>
    </row>
    <row r="2182" spans="1:6" x14ac:dyDescent="0.3">
      <c r="A2182" s="31">
        <v>1000098778</v>
      </c>
      <c r="B2182" s="31" t="s">
        <v>3431</v>
      </c>
      <c r="C2182" s="31" t="s">
        <v>4</v>
      </c>
      <c r="D2182" s="31" t="s">
        <v>2161</v>
      </c>
      <c r="E2182" s="32">
        <v>1182.4000000000001</v>
      </c>
      <c r="F2182" s="32">
        <v>4</v>
      </c>
    </row>
    <row r="2183" spans="1:6" x14ac:dyDescent="0.3">
      <c r="A2183" s="31">
        <v>1000021110</v>
      </c>
      <c r="B2183" s="31" t="s">
        <v>1271</v>
      </c>
      <c r="C2183" s="31" t="s">
        <v>4</v>
      </c>
      <c r="D2183" s="31" t="s">
        <v>2090</v>
      </c>
      <c r="E2183" s="32">
        <v>1181.9978181818101</v>
      </c>
      <c r="F2183" s="32">
        <v>6</v>
      </c>
    </row>
    <row r="2184" spans="1:6" x14ac:dyDescent="0.3">
      <c r="A2184" s="31">
        <v>1000020497</v>
      </c>
      <c r="B2184" s="31" t="s">
        <v>722</v>
      </c>
      <c r="C2184" s="31" t="s">
        <v>4</v>
      </c>
      <c r="D2184" s="31" t="s">
        <v>2090</v>
      </c>
      <c r="E2184" s="32">
        <v>1180.0352355555499</v>
      </c>
      <c r="F2184" s="32">
        <v>24</v>
      </c>
    </row>
    <row r="2185" spans="1:6" x14ac:dyDescent="0.3">
      <c r="A2185" s="31">
        <v>1000098450</v>
      </c>
      <c r="B2185" s="31" t="s">
        <v>1528</v>
      </c>
      <c r="C2185" s="31" t="s">
        <v>4</v>
      </c>
      <c r="D2185" s="31" t="s">
        <v>2090</v>
      </c>
      <c r="E2185" s="32">
        <v>1179.0999999999999</v>
      </c>
      <c r="F2185" s="32">
        <v>3</v>
      </c>
    </row>
    <row r="2186" spans="1:6" x14ac:dyDescent="0.3">
      <c r="A2186" s="31">
        <v>2200000384</v>
      </c>
      <c r="B2186" s="31" t="s">
        <v>154</v>
      </c>
      <c r="C2186" s="31" t="s">
        <v>2037</v>
      </c>
      <c r="D2186" s="31" t="s">
        <v>2038</v>
      </c>
      <c r="E2186" s="32">
        <v>1178.71</v>
      </c>
      <c r="F2186" s="32">
        <v>1</v>
      </c>
    </row>
    <row r="2187" spans="1:6" x14ac:dyDescent="0.3">
      <c r="A2187" s="31">
        <v>2200000384</v>
      </c>
      <c r="B2187" s="31" t="s">
        <v>154</v>
      </c>
      <c r="C2187" s="31" t="s">
        <v>2088</v>
      </c>
      <c r="D2187" s="31" t="s">
        <v>2038</v>
      </c>
      <c r="E2187" s="32">
        <v>1178.71</v>
      </c>
      <c r="F2187" s="32">
        <v>1</v>
      </c>
    </row>
    <row r="2188" spans="1:6" x14ac:dyDescent="0.3">
      <c r="A2188" s="31">
        <v>1000020661</v>
      </c>
      <c r="B2188" s="31" t="s">
        <v>874</v>
      </c>
      <c r="C2188" s="31" t="s">
        <v>4</v>
      </c>
      <c r="D2188" s="31" t="s">
        <v>2090</v>
      </c>
      <c r="E2188" s="32">
        <v>1175.0893658483999</v>
      </c>
      <c r="F2188" s="32">
        <v>22</v>
      </c>
    </row>
    <row r="2189" spans="1:6" x14ac:dyDescent="0.3">
      <c r="A2189" s="31">
        <v>1000095011</v>
      </c>
      <c r="B2189" s="31" t="s">
        <v>3432</v>
      </c>
      <c r="C2189" s="31" t="s">
        <v>4</v>
      </c>
      <c r="D2189" s="31" t="s">
        <v>2090</v>
      </c>
      <c r="E2189" s="32">
        <v>1175.0429999999999</v>
      </c>
      <c r="F2189" s="32">
        <v>3</v>
      </c>
    </row>
    <row r="2190" spans="1:6" x14ac:dyDescent="0.3">
      <c r="A2190" s="31">
        <v>1000021326</v>
      </c>
      <c r="B2190" s="31" t="s">
        <v>1458</v>
      </c>
      <c r="C2190" s="31" t="s">
        <v>4</v>
      </c>
      <c r="D2190" s="31" t="s">
        <v>2090</v>
      </c>
      <c r="E2190" s="32">
        <v>1175.04</v>
      </c>
      <c r="F2190" s="32">
        <v>2</v>
      </c>
    </row>
    <row r="2191" spans="1:6" x14ac:dyDescent="0.3">
      <c r="A2191" s="31">
        <v>1000100359</v>
      </c>
      <c r="B2191" s="31" t="s">
        <v>1700</v>
      </c>
      <c r="C2191" s="31" t="s">
        <v>4</v>
      </c>
      <c r="D2191" s="31" t="s">
        <v>2090</v>
      </c>
      <c r="E2191" s="32">
        <v>1174.5267857142801</v>
      </c>
      <c r="F2191" s="32">
        <v>26</v>
      </c>
    </row>
    <row r="2192" spans="1:6" x14ac:dyDescent="0.3">
      <c r="A2192" s="31">
        <v>2500008286</v>
      </c>
      <c r="B2192" s="31" t="s">
        <v>3433</v>
      </c>
      <c r="C2192" s="31" t="s">
        <v>1996</v>
      </c>
      <c r="D2192" s="31" t="s">
        <v>2025</v>
      </c>
      <c r="E2192" s="32">
        <v>1170</v>
      </c>
      <c r="F2192" s="32">
        <v>6</v>
      </c>
    </row>
    <row r="2193" spans="1:6" x14ac:dyDescent="0.3">
      <c r="A2193" s="31">
        <v>1000021322</v>
      </c>
      <c r="B2193" s="31" t="s">
        <v>1454</v>
      </c>
      <c r="C2193" s="31" t="s">
        <v>4</v>
      </c>
      <c r="D2193" s="31" t="s">
        <v>2090</v>
      </c>
      <c r="E2193" s="32">
        <v>1167.72</v>
      </c>
      <c r="F2193" s="32">
        <v>2</v>
      </c>
    </row>
    <row r="2194" spans="1:6" x14ac:dyDescent="0.3">
      <c r="A2194" s="31">
        <v>1000095544</v>
      </c>
      <c r="B2194" s="31" t="s">
        <v>3434</v>
      </c>
      <c r="C2194" s="31" t="s">
        <v>2109</v>
      </c>
      <c r="D2194" s="31" t="s">
        <v>2374</v>
      </c>
      <c r="E2194" s="32">
        <v>1167.3399999999999</v>
      </c>
      <c r="F2194" s="32">
        <v>4</v>
      </c>
    </row>
    <row r="2195" spans="1:6" x14ac:dyDescent="0.3">
      <c r="A2195" s="31">
        <v>1000100330</v>
      </c>
      <c r="B2195" s="31" t="s">
        <v>3435</v>
      </c>
      <c r="C2195" s="31" t="s">
        <v>4</v>
      </c>
      <c r="D2195" s="31" t="s">
        <v>2090</v>
      </c>
      <c r="E2195" s="32">
        <v>1166.2459090909001</v>
      </c>
      <c r="F2195" s="32">
        <v>19</v>
      </c>
    </row>
    <row r="2196" spans="1:6" x14ac:dyDescent="0.3">
      <c r="A2196" s="31">
        <v>1000098439</v>
      </c>
      <c r="B2196" s="31" t="s">
        <v>1519</v>
      </c>
      <c r="C2196" s="31" t="s">
        <v>4</v>
      </c>
      <c r="D2196" s="31" t="s">
        <v>2090</v>
      </c>
      <c r="E2196" s="32">
        <v>1165.73</v>
      </c>
      <c r="F2196" s="32">
        <v>5</v>
      </c>
    </row>
    <row r="2197" spans="1:6" x14ac:dyDescent="0.3">
      <c r="A2197" s="31">
        <v>1000100336</v>
      </c>
      <c r="B2197" s="31" t="s">
        <v>3436</v>
      </c>
      <c r="C2197" s="31" t="s">
        <v>4</v>
      </c>
      <c r="D2197" s="31" t="s">
        <v>2090</v>
      </c>
      <c r="E2197" s="32">
        <v>1165.67</v>
      </c>
      <c r="F2197" s="32">
        <v>30</v>
      </c>
    </row>
    <row r="2198" spans="1:6" x14ac:dyDescent="0.3">
      <c r="A2198" s="31">
        <v>1000097099</v>
      </c>
      <c r="B2198" s="31" t="s">
        <v>1848</v>
      </c>
      <c r="C2198" s="31" t="s">
        <v>4</v>
      </c>
      <c r="D2198" s="31" t="s">
        <v>2056</v>
      </c>
      <c r="E2198" s="32">
        <v>1165.02</v>
      </c>
      <c r="F2198" s="32">
        <v>150</v>
      </c>
    </row>
    <row r="2199" spans="1:6" x14ac:dyDescent="0.3">
      <c r="A2199" s="31">
        <v>1000102227</v>
      </c>
      <c r="B2199" s="31" t="s">
        <v>1779</v>
      </c>
      <c r="C2199" s="31" t="s">
        <v>4</v>
      </c>
      <c r="D2199" s="31" t="s">
        <v>2090</v>
      </c>
      <c r="E2199" s="32">
        <v>1163.3625</v>
      </c>
      <c r="F2199" s="32">
        <v>3</v>
      </c>
    </row>
    <row r="2200" spans="1:6" x14ac:dyDescent="0.3">
      <c r="A2200" s="31">
        <v>1000107114</v>
      </c>
      <c r="B2200" s="31" t="s">
        <v>3437</v>
      </c>
      <c r="C2200" s="31" t="s">
        <v>2027</v>
      </c>
      <c r="D2200" s="31" t="s">
        <v>2035</v>
      </c>
      <c r="E2200" s="32">
        <v>1162.5</v>
      </c>
      <c r="F2200" s="32">
        <v>1</v>
      </c>
    </row>
    <row r="2201" spans="1:6" x14ac:dyDescent="0.3">
      <c r="A2201" s="31">
        <v>1000020744</v>
      </c>
      <c r="B2201" s="31" t="s">
        <v>951</v>
      </c>
      <c r="C2201" s="31" t="s">
        <v>4</v>
      </c>
      <c r="D2201" s="31" t="s">
        <v>2090</v>
      </c>
      <c r="E2201" s="32">
        <v>1161.944</v>
      </c>
      <c r="F2201" s="32">
        <v>4</v>
      </c>
    </row>
    <row r="2202" spans="1:6" x14ac:dyDescent="0.3">
      <c r="A2202" s="31">
        <v>1000102321</v>
      </c>
      <c r="B2202" s="31" t="s">
        <v>1792</v>
      </c>
      <c r="C2202" s="31" t="s">
        <v>4</v>
      </c>
      <c r="D2202" s="31" t="s">
        <v>2090</v>
      </c>
      <c r="E2202" s="32">
        <v>1161.9000000000001</v>
      </c>
      <c r="F2202" s="32">
        <v>3</v>
      </c>
    </row>
    <row r="2203" spans="1:6" x14ac:dyDescent="0.3">
      <c r="A2203" s="31">
        <v>1000102644</v>
      </c>
      <c r="B2203" s="31" t="s">
        <v>3438</v>
      </c>
      <c r="C2203" s="31" t="s">
        <v>4</v>
      </c>
      <c r="D2203" s="31" t="s">
        <v>2090</v>
      </c>
      <c r="E2203" s="32">
        <v>1161.75</v>
      </c>
      <c r="F2203" s="32">
        <v>20</v>
      </c>
    </row>
    <row r="2204" spans="1:6" x14ac:dyDescent="0.3">
      <c r="A2204" s="31">
        <v>1000100322</v>
      </c>
      <c r="B2204" s="31" t="s">
        <v>335</v>
      </c>
      <c r="C2204" s="31" t="s">
        <v>4</v>
      </c>
      <c r="D2204" s="31" t="s">
        <v>2090</v>
      </c>
      <c r="E2204" s="32">
        <v>1161.5999999999999</v>
      </c>
      <c r="F2204" s="32">
        <v>8</v>
      </c>
    </row>
    <row r="2205" spans="1:6" x14ac:dyDescent="0.3">
      <c r="A2205" s="31">
        <v>1000098458</v>
      </c>
      <c r="B2205" s="31" t="s">
        <v>329</v>
      </c>
      <c r="C2205" s="31" t="s">
        <v>4</v>
      </c>
      <c r="D2205" s="31" t="s">
        <v>2090</v>
      </c>
      <c r="E2205" s="32">
        <v>1160.752</v>
      </c>
      <c r="F2205" s="32">
        <v>4</v>
      </c>
    </row>
    <row r="2206" spans="1:6" x14ac:dyDescent="0.3">
      <c r="A2206" s="31">
        <v>1000020574</v>
      </c>
      <c r="B2206" s="31" t="s">
        <v>791</v>
      </c>
      <c r="C2206" s="31" t="s">
        <v>4</v>
      </c>
      <c r="D2206" s="31" t="s">
        <v>2090</v>
      </c>
      <c r="E2206" s="32">
        <v>1158.33</v>
      </c>
      <c r="F2206" s="32">
        <v>3</v>
      </c>
    </row>
    <row r="2207" spans="1:6" x14ac:dyDescent="0.3">
      <c r="A2207" s="31">
        <v>1000021161</v>
      </c>
      <c r="B2207" s="31" t="s">
        <v>1309</v>
      </c>
      <c r="C2207" s="31" t="s">
        <v>4</v>
      </c>
      <c r="D2207" s="31" t="s">
        <v>2090</v>
      </c>
      <c r="E2207" s="32">
        <v>1155.96</v>
      </c>
      <c r="F2207" s="32">
        <v>2</v>
      </c>
    </row>
    <row r="2208" spans="1:6" x14ac:dyDescent="0.3">
      <c r="A2208" s="31">
        <v>1000020847</v>
      </c>
      <c r="B2208" s="31" t="s">
        <v>1039</v>
      </c>
      <c r="C2208" s="31" t="s">
        <v>4</v>
      </c>
      <c r="D2208" s="31" t="s">
        <v>2090</v>
      </c>
      <c r="E2208" s="32">
        <v>1155.40501647058</v>
      </c>
      <c r="F2208" s="32">
        <v>5</v>
      </c>
    </row>
    <row r="2209" spans="1:6" x14ac:dyDescent="0.3">
      <c r="A2209" s="31">
        <v>1000020320</v>
      </c>
      <c r="B2209" s="31" t="s">
        <v>554</v>
      </c>
      <c r="C2209" s="31" t="s">
        <v>4</v>
      </c>
      <c r="D2209" s="31" t="s">
        <v>2090</v>
      </c>
      <c r="E2209" s="32">
        <v>1155.0999999999999</v>
      </c>
      <c r="F2209" s="32">
        <v>6</v>
      </c>
    </row>
    <row r="2210" spans="1:6" x14ac:dyDescent="0.3">
      <c r="A2210" s="31">
        <v>2200001071</v>
      </c>
      <c r="B2210" s="31" t="s">
        <v>3439</v>
      </c>
      <c r="C2210" s="31" t="s">
        <v>2037</v>
      </c>
      <c r="D2210" s="31" t="s">
        <v>2038</v>
      </c>
      <c r="E2210" s="32">
        <v>1154.06</v>
      </c>
      <c r="F2210" s="32">
        <v>1</v>
      </c>
    </row>
    <row r="2211" spans="1:6" x14ac:dyDescent="0.3">
      <c r="A2211" s="31">
        <v>2200002930</v>
      </c>
      <c r="B2211" s="31" t="s">
        <v>193</v>
      </c>
      <c r="C2211" s="31" t="s">
        <v>2037</v>
      </c>
      <c r="D2211" s="31" t="s">
        <v>2038</v>
      </c>
      <c r="E2211" s="32">
        <v>1154.06</v>
      </c>
      <c r="F2211" s="32">
        <v>1</v>
      </c>
    </row>
    <row r="2212" spans="1:6" x14ac:dyDescent="0.3">
      <c r="A2212" s="31">
        <v>2500009298</v>
      </c>
      <c r="B2212" s="31" t="s">
        <v>3440</v>
      </c>
      <c r="C2212" s="31" t="s">
        <v>1996</v>
      </c>
      <c r="D2212" s="31" t="s">
        <v>2025</v>
      </c>
      <c r="E2212" s="32">
        <v>1147.5</v>
      </c>
      <c r="F2212" s="32">
        <v>2</v>
      </c>
    </row>
    <row r="2213" spans="1:6" x14ac:dyDescent="0.3">
      <c r="A2213" s="31">
        <v>2500009147</v>
      </c>
      <c r="B2213" s="31" t="s">
        <v>3441</v>
      </c>
      <c r="C2213" s="31" t="s">
        <v>1996</v>
      </c>
      <c r="D2213" s="31" t="s">
        <v>2025</v>
      </c>
      <c r="E2213" s="32">
        <v>1147.5</v>
      </c>
      <c r="F2213" s="32">
        <v>2</v>
      </c>
    </row>
    <row r="2214" spans="1:6" x14ac:dyDescent="0.3">
      <c r="A2214" s="31">
        <v>2100007148</v>
      </c>
      <c r="B2214" s="31" t="s">
        <v>3442</v>
      </c>
      <c r="C2214" s="31" t="s">
        <v>2030</v>
      </c>
      <c r="D2214" s="31" t="s">
        <v>2031</v>
      </c>
      <c r="E2214" s="32">
        <v>1147.5</v>
      </c>
      <c r="F2214" s="32">
        <v>2</v>
      </c>
    </row>
    <row r="2215" spans="1:6" x14ac:dyDescent="0.3">
      <c r="A2215" s="31">
        <v>2500009201</v>
      </c>
      <c r="B2215" s="31" t="s">
        <v>3443</v>
      </c>
      <c r="C2215" s="31" t="s">
        <v>1996</v>
      </c>
      <c r="D2215" s="31" t="s">
        <v>2915</v>
      </c>
      <c r="E2215" s="32">
        <v>1144</v>
      </c>
      <c r="F2215" s="32">
        <v>11</v>
      </c>
    </row>
    <row r="2216" spans="1:6" x14ac:dyDescent="0.3">
      <c r="A2216" s="31">
        <v>1000017014</v>
      </c>
      <c r="B2216" s="31" t="s">
        <v>3444</v>
      </c>
      <c r="C2216" s="31" t="s">
        <v>4</v>
      </c>
      <c r="D2216" s="31" t="s">
        <v>3274</v>
      </c>
      <c r="E2216" s="32">
        <v>1140</v>
      </c>
      <c r="F2216" s="32">
        <v>50</v>
      </c>
    </row>
    <row r="2217" spans="1:6" x14ac:dyDescent="0.3">
      <c r="A2217" s="31">
        <v>2300000196</v>
      </c>
      <c r="B2217" s="31" t="s">
        <v>3445</v>
      </c>
      <c r="C2217" s="31" t="s">
        <v>2020</v>
      </c>
      <c r="D2217" s="31" t="s">
        <v>2023</v>
      </c>
      <c r="E2217" s="32">
        <v>1140</v>
      </c>
      <c r="F2217" s="32">
        <v>200</v>
      </c>
    </row>
    <row r="2218" spans="1:6" x14ac:dyDescent="0.3">
      <c r="A2218" s="31">
        <v>2700000060</v>
      </c>
      <c r="B2218" s="31" t="s">
        <v>241</v>
      </c>
      <c r="C2218" s="31" t="s">
        <v>2037</v>
      </c>
      <c r="D2218" s="31" t="s">
        <v>2038</v>
      </c>
      <c r="E2218" s="32">
        <v>1136.9917202797201</v>
      </c>
      <c r="F2218" s="32">
        <v>10</v>
      </c>
    </row>
    <row r="2219" spans="1:6" x14ac:dyDescent="0.3">
      <c r="A2219" s="31">
        <v>1000098447</v>
      </c>
      <c r="B2219" s="31" t="s">
        <v>1526</v>
      </c>
      <c r="C2219" s="31" t="s">
        <v>4</v>
      </c>
      <c r="D2219" s="31" t="s">
        <v>2090</v>
      </c>
      <c r="E2219" s="32">
        <v>1136.405</v>
      </c>
      <c r="F2219" s="32">
        <v>1</v>
      </c>
    </row>
    <row r="2220" spans="1:6" x14ac:dyDescent="0.3">
      <c r="A2220" s="31">
        <v>1000098610</v>
      </c>
      <c r="B2220" s="31" t="s">
        <v>1613</v>
      </c>
      <c r="C2220" s="31" t="s">
        <v>4</v>
      </c>
      <c r="D2220" s="31" t="s">
        <v>2090</v>
      </c>
      <c r="E2220" s="32">
        <v>1135.95</v>
      </c>
      <c r="F2220" s="32">
        <v>30</v>
      </c>
    </row>
    <row r="2221" spans="1:6" x14ac:dyDescent="0.3">
      <c r="A2221" s="31">
        <v>1000021458</v>
      </c>
      <c r="B2221" s="31" t="s">
        <v>1486</v>
      </c>
      <c r="C2221" s="31" t="s">
        <v>4</v>
      </c>
      <c r="D2221" s="31" t="s">
        <v>2090</v>
      </c>
      <c r="E2221" s="32">
        <v>1135.77</v>
      </c>
      <c r="F2221" s="32">
        <v>7</v>
      </c>
    </row>
    <row r="2222" spans="1:6" x14ac:dyDescent="0.3">
      <c r="A2222" s="31">
        <v>2500008202</v>
      </c>
      <c r="B2222" s="31" t="s">
        <v>1920</v>
      </c>
      <c r="C2222" s="31" t="s">
        <v>1996</v>
      </c>
      <c r="D2222" s="31" t="s">
        <v>2025</v>
      </c>
      <c r="E2222" s="32">
        <v>1134.5999999999999</v>
      </c>
      <c r="F2222" s="32">
        <v>5</v>
      </c>
    </row>
    <row r="2223" spans="1:6" x14ac:dyDescent="0.3">
      <c r="A2223" s="31">
        <v>1000093392</v>
      </c>
      <c r="B2223" s="31" t="s">
        <v>3446</v>
      </c>
      <c r="C2223" s="31" t="s">
        <v>4</v>
      </c>
      <c r="D2223" s="31" t="s">
        <v>2090</v>
      </c>
      <c r="E2223" s="32">
        <v>1133.33</v>
      </c>
      <c r="F2223" s="32">
        <v>3</v>
      </c>
    </row>
    <row r="2224" spans="1:6" x14ac:dyDescent="0.3">
      <c r="A2224" s="31">
        <v>1000010105</v>
      </c>
      <c r="B2224" s="31" t="s">
        <v>3265</v>
      </c>
      <c r="C2224" s="31" t="s">
        <v>4</v>
      </c>
      <c r="D2224" s="31" t="s">
        <v>2161</v>
      </c>
      <c r="E2224" s="32">
        <v>1132.08</v>
      </c>
      <c r="F2224" s="32">
        <v>11</v>
      </c>
    </row>
    <row r="2225" spans="1:6" x14ac:dyDescent="0.3">
      <c r="A2225" s="31">
        <v>1000002900</v>
      </c>
      <c r="B2225" s="31" t="s">
        <v>26</v>
      </c>
      <c r="C2225" s="31" t="s">
        <v>2027</v>
      </c>
      <c r="D2225" s="31" t="s">
        <v>3318</v>
      </c>
      <c r="E2225" s="32">
        <v>1130.9739999999999</v>
      </c>
      <c r="F2225" s="32">
        <v>4</v>
      </c>
    </row>
    <row r="2226" spans="1:6" x14ac:dyDescent="0.3">
      <c r="A2226" s="31">
        <v>1000096203</v>
      </c>
      <c r="B2226" s="31" t="s">
        <v>3447</v>
      </c>
      <c r="C2226" s="31" t="s">
        <v>4</v>
      </c>
      <c r="D2226" s="31" t="s">
        <v>2056</v>
      </c>
      <c r="E2226" s="32">
        <v>1128.5999999999999</v>
      </c>
      <c r="F2226" s="32">
        <v>9000</v>
      </c>
    </row>
    <row r="2227" spans="1:6" x14ac:dyDescent="0.3">
      <c r="A2227" s="31">
        <v>1000095817</v>
      </c>
      <c r="B2227" s="31" t="s">
        <v>3448</v>
      </c>
      <c r="C2227" s="31" t="s">
        <v>4</v>
      </c>
      <c r="D2227" s="31" t="s">
        <v>2056</v>
      </c>
      <c r="E2227" s="32">
        <v>1125.7808</v>
      </c>
      <c r="F2227" s="32">
        <v>66</v>
      </c>
    </row>
    <row r="2228" spans="1:6" x14ac:dyDescent="0.3">
      <c r="A2228" s="31">
        <v>2500009494</v>
      </c>
      <c r="B2228" s="31" t="s">
        <v>3449</v>
      </c>
      <c r="C2228" s="31" t="s">
        <v>1996</v>
      </c>
      <c r="D2228" s="31" t="s">
        <v>2289</v>
      </c>
      <c r="E2228" s="32">
        <v>1125</v>
      </c>
      <c r="F2228" s="32">
        <v>50</v>
      </c>
    </row>
    <row r="2229" spans="1:6" x14ac:dyDescent="0.3">
      <c r="A2229" s="31">
        <v>1000020731</v>
      </c>
      <c r="B2229" s="31" t="s">
        <v>939</v>
      </c>
      <c r="C2229" s="31" t="s">
        <v>4</v>
      </c>
      <c r="D2229" s="31" t="s">
        <v>2090</v>
      </c>
      <c r="E2229" s="32">
        <v>1123.44</v>
      </c>
      <c r="F2229" s="32">
        <v>4</v>
      </c>
    </row>
    <row r="2230" spans="1:6" x14ac:dyDescent="0.3">
      <c r="A2230" s="31">
        <v>1000098638</v>
      </c>
      <c r="B2230" s="31" t="s">
        <v>1616</v>
      </c>
      <c r="C2230" s="31" t="s">
        <v>4</v>
      </c>
      <c r="D2230" s="31" t="s">
        <v>2090</v>
      </c>
      <c r="E2230" s="32">
        <v>1123.07</v>
      </c>
      <c r="F2230" s="32">
        <v>2</v>
      </c>
    </row>
    <row r="2231" spans="1:6" x14ac:dyDescent="0.3">
      <c r="A2231" s="31">
        <v>1000020123</v>
      </c>
      <c r="B2231" s="31" t="s">
        <v>378</v>
      </c>
      <c r="C2231" s="31" t="s">
        <v>4</v>
      </c>
      <c r="D2231" s="31" t="s">
        <v>2090</v>
      </c>
      <c r="E2231" s="32">
        <v>1123.02</v>
      </c>
      <c r="F2231" s="32">
        <v>2</v>
      </c>
    </row>
    <row r="2232" spans="1:6" x14ac:dyDescent="0.3">
      <c r="A2232" s="31">
        <v>2500008350</v>
      </c>
      <c r="B2232" s="31" t="s">
        <v>3450</v>
      </c>
      <c r="C2232" s="31" t="s">
        <v>1996</v>
      </c>
      <c r="D2232" s="31" t="s">
        <v>2025</v>
      </c>
      <c r="E2232" s="32">
        <v>1122.527</v>
      </c>
      <c r="F2232" s="32">
        <v>4</v>
      </c>
    </row>
    <row r="2233" spans="1:6" x14ac:dyDescent="0.3">
      <c r="A2233" s="31">
        <v>2500006057</v>
      </c>
      <c r="B2233" s="31" t="s">
        <v>1911</v>
      </c>
      <c r="C2233" s="31" t="s">
        <v>1996</v>
      </c>
      <c r="D2233" s="31" t="s">
        <v>2025</v>
      </c>
      <c r="E2233" s="32">
        <v>1122.2262500024799</v>
      </c>
      <c r="F2233" s="32">
        <v>3</v>
      </c>
    </row>
    <row r="2234" spans="1:6" x14ac:dyDescent="0.3">
      <c r="A2234" s="31">
        <v>1000021011</v>
      </c>
      <c r="B2234" s="31" t="s">
        <v>1183</v>
      </c>
      <c r="C2234" s="31" t="s">
        <v>4</v>
      </c>
      <c r="D2234" s="31" t="s">
        <v>2090</v>
      </c>
      <c r="E2234" s="32">
        <v>1121.8187499999999</v>
      </c>
      <c r="F2234" s="32">
        <v>5</v>
      </c>
    </row>
    <row r="2235" spans="1:6" x14ac:dyDescent="0.3">
      <c r="A2235" s="31">
        <v>1000020702</v>
      </c>
      <c r="B2235" s="31" t="s">
        <v>912</v>
      </c>
      <c r="C2235" s="31" t="s">
        <v>4</v>
      </c>
      <c r="D2235" s="31" t="s">
        <v>2090</v>
      </c>
      <c r="E2235" s="32">
        <v>1118.53666666666</v>
      </c>
      <c r="F2235" s="32">
        <v>8</v>
      </c>
    </row>
    <row r="2236" spans="1:6" x14ac:dyDescent="0.3">
      <c r="A2236" s="31">
        <v>1000101619</v>
      </c>
      <c r="B2236" s="31" t="s">
        <v>3451</v>
      </c>
      <c r="C2236" s="31" t="s">
        <v>4</v>
      </c>
      <c r="D2236" s="31" t="s">
        <v>2639</v>
      </c>
      <c r="E2236" s="32">
        <v>1116.8699999999999</v>
      </c>
      <c r="F2236" s="32">
        <v>177</v>
      </c>
    </row>
    <row r="2237" spans="1:6" x14ac:dyDescent="0.3">
      <c r="A2237" s="31">
        <v>1000096397</v>
      </c>
      <c r="B2237" s="31" t="s">
        <v>3452</v>
      </c>
      <c r="C2237" s="31" t="s">
        <v>4</v>
      </c>
      <c r="D2237" s="31" t="s">
        <v>2056</v>
      </c>
      <c r="E2237" s="32">
        <v>1115.17848148148</v>
      </c>
      <c r="F2237" s="32">
        <v>1</v>
      </c>
    </row>
    <row r="2238" spans="1:6" x14ac:dyDescent="0.3">
      <c r="A2238" s="31">
        <v>2500008407</v>
      </c>
      <c r="B2238" s="31" t="s">
        <v>3453</v>
      </c>
      <c r="C2238" s="31" t="s">
        <v>1996</v>
      </c>
      <c r="D2238" s="31" t="s">
        <v>2025</v>
      </c>
      <c r="E2238" s="32">
        <v>1113.75</v>
      </c>
      <c r="F2238" s="32">
        <v>1</v>
      </c>
    </row>
    <row r="2239" spans="1:6" x14ac:dyDescent="0.3">
      <c r="A2239" s="31">
        <v>1000096393</v>
      </c>
      <c r="B2239" s="31" t="s">
        <v>3454</v>
      </c>
      <c r="C2239" s="31" t="s">
        <v>4</v>
      </c>
      <c r="D2239" s="31" t="s">
        <v>2056</v>
      </c>
      <c r="E2239" s="32">
        <v>1113.7</v>
      </c>
      <c r="F2239" s="32">
        <v>140</v>
      </c>
    </row>
    <row r="2240" spans="1:6" x14ac:dyDescent="0.3">
      <c r="A2240" s="31">
        <v>2500008465</v>
      </c>
      <c r="B2240" s="31" t="s">
        <v>3455</v>
      </c>
      <c r="C2240" s="31" t="s">
        <v>1996</v>
      </c>
      <c r="D2240" s="31" t="s">
        <v>2025</v>
      </c>
      <c r="E2240" s="32">
        <v>1111.5</v>
      </c>
      <c r="F2240" s="32">
        <v>3</v>
      </c>
    </row>
    <row r="2241" spans="1:6" x14ac:dyDescent="0.3">
      <c r="A2241" s="31">
        <v>1000021155</v>
      </c>
      <c r="B2241" s="31" t="s">
        <v>1304</v>
      </c>
      <c r="C2241" s="31" t="s">
        <v>4</v>
      </c>
      <c r="D2241" s="31" t="s">
        <v>2090</v>
      </c>
      <c r="E2241" s="32">
        <v>1110.5999999999999</v>
      </c>
      <c r="F2241" s="32">
        <v>3</v>
      </c>
    </row>
    <row r="2242" spans="1:6" x14ac:dyDescent="0.3">
      <c r="A2242" s="31">
        <v>1000098598</v>
      </c>
      <c r="B2242" s="31" t="s">
        <v>1603</v>
      </c>
      <c r="C2242" s="31" t="s">
        <v>4</v>
      </c>
      <c r="D2242" s="31" t="s">
        <v>2090</v>
      </c>
      <c r="E2242" s="32">
        <v>1110.52</v>
      </c>
      <c r="F2242" s="32">
        <v>1</v>
      </c>
    </row>
    <row r="2243" spans="1:6" x14ac:dyDescent="0.3">
      <c r="A2243" s="31">
        <v>2500009530</v>
      </c>
      <c r="B2243" s="31" t="s">
        <v>3456</v>
      </c>
      <c r="C2243" s="31" t="s">
        <v>1996</v>
      </c>
      <c r="D2243" s="31" t="s">
        <v>2025</v>
      </c>
      <c r="E2243" s="32">
        <v>1110</v>
      </c>
      <c r="F2243" s="32">
        <v>8</v>
      </c>
    </row>
    <row r="2244" spans="1:6" x14ac:dyDescent="0.3">
      <c r="A2244" s="31">
        <v>2500009419</v>
      </c>
      <c r="B2244" s="31" t="s">
        <v>3457</v>
      </c>
      <c r="C2244" s="31" t="s">
        <v>1996</v>
      </c>
      <c r="D2244" s="31" t="s">
        <v>2289</v>
      </c>
      <c r="E2244" s="32">
        <v>1110</v>
      </c>
      <c r="F2244" s="32">
        <v>8</v>
      </c>
    </row>
    <row r="2245" spans="1:6" x14ac:dyDescent="0.3">
      <c r="A2245" s="31">
        <v>1000021240</v>
      </c>
      <c r="B2245" s="31" t="s">
        <v>1385</v>
      </c>
      <c r="C2245" s="31" t="s">
        <v>4</v>
      </c>
      <c r="D2245" s="31" t="s">
        <v>2090</v>
      </c>
      <c r="E2245" s="32">
        <v>1106.7750000000001</v>
      </c>
      <c r="F2245" s="32">
        <v>3</v>
      </c>
    </row>
    <row r="2246" spans="1:6" x14ac:dyDescent="0.3">
      <c r="A2246" s="31">
        <v>2500008359</v>
      </c>
      <c r="B2246" s="31" t="s">
        <v>1932</v>
      </c>
      <c r="C2246" s="31" t="s">
        <v>1996</v>
      </c>
      <c r="D2246" s="31" t="s">
        <v>2025</v>
      </c>
      <c r="E2246" s="32">
        <v>1105.5</v>
      </c>
      <c r="F2246" s="32">
        <v>2</v>
      </c>
    </row>
    <row r="2247" spans="1:6" x14ac:dyDescent="0.3">
      <c r="A2247" s="31">
        <v>1000102351</v>
      </c>
      <c r="B2247" s="31" t="s">
        <v>1794</v>
      </c>
      <c r="C2247" s="31" t="s">
        <v>4</v>
      </c>
      <c r="D2247" s="31" t="s">
        <v>2090</v>
      </c>
      <c r="E2247" s="32">
        <v>1104.56</v>
      </c>
      <c r="F2247" s="32">
        <v>5</v>
      </c>
    </row>
    <row r="2248" spans="1:6" x14ac:dyDescent="0.3">
      <c r="A2248" s="31">
        <v>80000009729</v>
      </c>
      <c r="B2248" s="31" t="s">
        <v>3458</v>
      </c>
      <c r="C2248" s="31" t="s">
        <v>2521</v>
      </c>
      <c r="D2248" s="31" t="s">
        <v>2670</v>
      </c>
      <c r="E2248" s="32">
        <v>1103.68571428571</v>
      </c>
      <c r="F2248" s="32">
        <v>70</v>
      </c>
    </row>
    <row r="2249" spans="1:6" x14ac:dyDescent="0.3">
      <c r="A2249" s="31">
        <v>1000017003</v>
      </c>
      <c r="B2249" s="31" t="s">
        <v>3459</v>
      </c>
      <c r="C2249" s="31" t="s">
        <v>4</v>
      </c>
      <c r="D2249" s="31" t="s">
        <v>3274</v>
      </c>
      <c r="E2249" s="32">
        <v>1100</v>
      </c>
      <c r="F2249" s="32">
        <v>50</v>
      </c>
    </row>
    <row r="2250" spans="1:6" x14ac:dyDescent="0.3">
      <c r="A2250" s="31">
        <v>80000009868</v>
      </c>
      <c r="B2250" s="31" t="s">
        <v>3460</v>
      </c>
      <c r="C2250" s="31" t="s">
        <v>2521</v>
      </c>
      <c r="D2250" s="31" t="s">
        <v>3289</v>
      </c>
      <c r="E2250" s="32">
        <v>1100</v>
      </c>
      <c r="F2250" s="32">
        <v>50</v>
      </c>
    </row>
    <row r="2251" spans="1:6" x14ac:dyDescent="0.3">
      <c r="A2251" s="31">
        <v>1000020682</v>
      </c>
      <c r="B2251" s="31" t="s">
        <v>895</v>
      </c>
      <c r="C2251" s="31" t="s">
        <v>4</v>
      </c>
      <c r="D2251" s="31" t="s">
        <v>2090</v>
      </c>
      <c r="E2251" s="32">
        <v>1098.6278395061699</v>
      </c>
      <c r="F2251" s="32">
        <v>20</v>
      </c>
    </row>
    <row r="2252" spans="1:6" x14ac:dyDescent="0.3">
      <c r="A2252" s="31">
        <v>1000104098</v>
      </c>
      <c r="B2252" s="31" t="s">
        <v>3461</v>
      </c>
      <c r="C2252" s="31" t="s">
        <v>4</v>
      </c>
      <c r="D2252" s="31" t="s">
        <v>2056</v>
      </c>
      <c r="E2252" s="32">
        <v>1096.4287411764701</v>
      </c>
      <c r="F2252" s="32">
        <v>18</v>
      </c>
    </row>
    <row r="2253" spans="1:6" x14ac:dyDescent="0.3">
      <c r="A2253" s="31">
        <v>1000020026</v>
      </c>
      <c r="B2253" s="31" t="s">
        <v>3462</v>
      </c>
      <c r="C2253" s="31" t="s">
        <v>4</v>
      </c>
      <c r="D2253" s="31" t="s">
        <v>2090</v>
      </c>
      <c r="E2253" s="32">
        <v>1095.328125</v>
      </c>
      <c r="F2253" s="32">
        <v>8</v>
      </c>
    </row>
    <row r="2254" spans="1:6" x14ac:dyDescent="0.3">
      <c r="A2254" s="31">
        <v>2500009230</v>
      </c>
      <c r="B2254" s="31" t="s">
        <v>3463</v>
      </c>
      <c r="C2254" s="31" t="s">
        <v>1996</v>
      </c>
      <c r="D2254" s="31" t="s">
        <v>2434</v>
      </c>
      <c r="E2254" s="32">
        <v>1095.2760000000001</v>
      </c>
      <c r="F2254" s="32">
        <v>1</v>
      </c>
    </row>
    <row r="2255" spans="1:6" x14ac:dyDescent="0.3">
      <c r="A2255" s="31">
        <v>1000020454</v>
      </c>
      <c r="B2255" s="31" t="s">
        <v>680</v>
      </c>
      <c r="C2255" s="31" t="s">
        <v>4</v>
      </c>
      <c r="D2255" s="31" t="s">
        <v>2090</v>
      </c>
      <c r="E2255" s="32">
        <v>1094.2611804180401</v>
      </c>
      <c r="F2255" s="32">
        <v>68</v>
      </c>
    </row>
    <row r="2256" spans="1:6" x14ac:dyDescent="0.3">
      <c r="A2256" s="31">
        <v>1000020538</v>
      </c>
      <c r="B2256" s="31" t="s">
        <v>759</v>
      </c>
      <c r="C2256" s="31" t="s">
        <v>4</v>
      </c>
      <c r="D2256" s="31" t="s">
        <v>2090</v>
      </c>
      <c r="E2256" s="32">
        <v>1094.2</v>
      </c>
      <c r="F2256" s="32">
        <v>5</v>
      </c>
    </row>
    <row r="2257" spans="1:6" x14ac:dyDescent="0.3">
      <c r="A2257" s="31">
        <v>1000098515</v>
      </c>
      <c r="B2257" s="31" t="s">
        <v>1551</v>
      </c>
      <c r="C2257" s="31" t="s">
        <v>4</v>
      </c>
      <c r="D2257" s="31" t="s">
        <v>2090</v>
      </c>
      <c r="E2257" s="32">
        <v>1093.8599999999999</v>
      </c>
      <c r="F2257" s="32">
        <v>1</v>
      </c>
    </row>
    <row r="2258" spans="1:6" x14ac:dyDescent="0.3">
      <c r="A2258" s="31">
        <v>1000021469</v>
      </c>
      <c r="B2258" s="31" t="s">
        <v>1489</v>
      </c>
      <c r="C2258" s="31" t="s">
        <v>4</v>
      </c>
      <c r="D2258" s="31" t="s">
        <v>2090</v>
      </c>
      <c r="E2258" s="32">
        <v>1093.28</v>
      </c>
      <c r="F2258" s="32">
        <v>14</v>
      </c>
    </row>
    <row r="2259" spans="1:6" x14ac:dyDescent="0.3">
      <c r="A2259" s="31">
        <v>1000098914</v>
      </c>
      <c r="B2259" s="31" t="s">
        <v>3464</v>
      </c>
      <c r="C2259" s="31" t="s">
        <v>4</v>
      </c>
      <c r="D2259" s="31" t="s">
        <v>2161</v>
      </c>
      <c r="E2259" s="32">
        <v>1091.72</v>
      </c>
      <c r="F2259" s="32">
        <v>5</v>
      </c>
    </row>
    <row r="2260" spans="1:6" x14ac:dyDescent="0.3">
      <c r="A2260" s="31">
        <v>1000094417</v>
      </c>
      <c r="B2260" s="31" t="s">
        <v>3465</v>
      </c>
      <c r="C2260" s="31" t="s">
        <v>2205</v>
      </c>
      <c r="D2260" s="31" t="s">
        <v>3318</v>
      </c>
      <c r="E2260" s="32">
        <v>1091.3043880550399</v>
      </c>
      <c r="F2260" s="32">
        <v>1</v>
      </c>
    </row>
    <row r="2261" spans="1:6" x14ac:dyDescent="0.3">
      <c r="A2261" s="31">
        <v>1000015150</v>
      </c>
      <c r="B2261" s="31" t="s">
        <v>3466</v>
      </c>
      <c r="C2261" s="31" t="s">
        <v>4</v>
      </c>
      <c r="D2261" s="31" t="s">
        <v>2043</v>
      </c>
      <c r="E2261" s="32">
        <v>1088.1300000000001</v>
      </c>
      <c r="F2261" s="32">
        <v>1</v>
      </c>
    </row>
    <row r="2262" spans="1:6" x14ac:dyDescent="0.3">
      <c r="A2262" s="31">
        <v>1000102089</v>
      </c>
      <c r="B2262" s="31" t="s">
        <v>1758</v>
      </c>
      <c r="C2262" s="31" t="s">
        <v>4</v>
      </c>
      <c r="D2262" s="31" t="s">
        <v>2090</v>
      </c>
      <c r="E2262" s="32">
        <v>1087.5</v>
      </c>
      <c r="F2262" s="32">
        <v>200</v>
      </c>
    </row>
    <row r="2263" spans="1:6" x14ac:dyDescent="0.3">
      <c r="A2263" s="31">
        <v>2700000286</v>
      </c>
      <c r="B2263" s="31" t="s">
        <v>314</v>
      </c>
      <c r="C2263" s="31" t="s">
        <v>2037</v>
      </c>
      <c r="D2263" s="31" t="s">
        <v>2038</v>
      </c>
      <c r="E2263" s="32">
        <v>1087.3</v>
      </c>
      <c r="F2263" s="32">
        <v>1</v>
      </c>
    </row>
    <row r="2264" spans="1:6" x14ac:dyDescent="0.3">
      <c r="A2264" s="31">
        <v>2500008757</v>
      </c>
      <c r="B2264" s="31" t="s">
        <v>3467</v>
      </c>
      <c r="C2264" s="31" t="s">
        <v>1996</v>
      </c>
      <c r="D2264" s="31" t="s">
        <v>2025</v>
      </c>
      <c r="E2264" s="32">
        <v>1086.75</v>
      </c>
      <c r="F2264" s="32">
        <v>2</v>
      </c>
    </row>
    <row r="2265" spans="1:6" x14ac:dyDescent="0.3">
      <c r="A2265" s="31">
        <v>1000020442</v>
      </c>
      <c r="B2265" s="31" t="s">
        <v>669</v>
      </c>
      <c r="C2265" s="31" t="s">
        <v>4</v>
      </c>
      <c r="D2265" s="31" t="s">
        <v>2090</v>
      </c>
      <c r="E2265" s="32">
        <v>1085.5486623890499</v>
      </c>
      <c r="F2265" s="32">
        <v>88</v>
      </c>
    </row>
    <row r="2266" spans="1:6" x14ac:dyDescent="0.3">
      <c r="A2266" s="31">
        <v>1000020470</v>
      </c>
      <c r="B2266" s="31" t="s">
        <v>696</v>
      </c>
      <c r="C2266" s="31" t="s">
        <v>4</v>
      </c>
      <c r="D2266" s="31" t="s">
        <v>2090</v>
      </c>
      <c r="E2266" s="32">
        <v>1085.25842712537</v>
      </c>
      <c r="F2266" s="32">
        <v>27</v>
      </c>
    </row>
    <row r="2267" spans="1:6" x14ac:dyDescent="0.3">
      <c r="A2267" s="31">
        <v>1000106591</v>
      </c>
      <c r="B2267" s="31" t="s">
        <v>128</v>
      </c>
      <c r="C2267" s="31" t="s">
        <v>4</v>
      </c>
      <c r="D2267" s="31" t="s">
        <v>2161</v>
      </c>
      <c r="E2267" s="32">
        <v>1085.1079999999999</v>
      </c>
      <c r="F2267" s="32">
        <v>2</v>
      </c>
    </row>
    <row r="2268" spans="1:6" x14ac:dyDescent="0.3">
      <c r="A2268" s="31">
        <v>1000010072</v>
      </c>
      <c r="B2268" s="31" t="s">
        <v>3468</v>
      </c>
      <c r="C2268" s="31" t="s">
        <v>4</v>
      </c>
      <c r="D2268" s="31" t="s">
        <v>2161</v>
      </c>
      <c r="E2268" s="32">
        <v>1085.04</v>
      </c>
      <c r="F2268" s="32">
        <v>3</v>
      </c>
    </row>
    <row r="2269" spans="1:6" x14ac:dyDescent="0.3">
      <c r="A2269" s="31">
        <v>1000105285</v>
      </c>
      <c r="B2269" s="31" t="s">
        <v>3469</v>
      </c>
      <c r="C2269" s="31" t="s">
        <v>4</v>
      </c>
      <c r="D2269" s="31" t="s">
        <v>2090</v>
      </c>
      <c r="E2269" s="32">
        <v>1084.5</v>
      </c>
      <c r="F2269" s="32">
        <v>30</v>
      </c>
    </row>
    <row r="2270" spans="1:6" x14ac:dyDescent="0.3">
      <c r="A2270" s="31">
        <v>1000021080</v>
      </c>
      <c r="B2270" s="31" t="s">
        <v>1242</v>
      </c>
      <c r="C2270" s="31" t="s">
        <v>4</v>
      </c>
      <c r="D2270" s="31" t="s">
        <v>2090</v>
      </c>
      <c r="E2270" s="32">
        <v>1082.96</v>
      </c>
      <c r="F2270" s="32">
        <v>1</v>
      </c>
    </row>
    <row r="2271" spans="1:6" x14ac:dyDescent="0.3">
      <c r="A2271" s="31">
        <v>1000093086</v>
      </c>
      <c r="B2271" s="31" t="s">
        <v>3470</v>
      </c>
      <c r="C2271" s="31" t="s">
        <v>4</v>
      </c>
      <c r="D2271" s="31" t="s">
        <v>2043</v>
      </c>
      <c r="E2271" s="32">
        <v>1081.14986812244</v>
      </c>
      <c r="F2271" s="32">
        <v>2</v>
      </c>
    </row>
    <row r="2272" spans="1:6" x14ac:dyDescent="0.3">
      <c r="A2272" s="31">
        <v>1000095153</v>
      </c>
      <c r="B2272" s="31" t="s">
        <v>3471</v>
      </c>
      <c r="C2272" s="31" t="s">
        <v>4</v>
      </c>
      <c r="D2272" s="31" t="s">
        <v>2090</v>
      </c>
      <c r="E2272" s="32">
        <v>1080.22</v>
      </c>
      <c r="F2272" s="32">
        <v>2</v>
      </c>
    </row>
    <row r="2273" spans="1:6" x14ac:dyDescent="0.3">
      <c r="A2273" s="31">
        <v>1000104575</v>
      </c>
      <c r="B2273" s="31" t="s">
        <v>3472</v>
      </c>
      <c r="C2273" s="31" t="s">
        <v>2027</v>
      </c>
      <c r="D2273" s="31" t="s">
        <v>2399</v>
      </c>
      <c r="E2273" s="32">
        <v>1079.568</v>
      </c>
      <c r="F2273" s="32">
        <v>2</v>
      </c>
    </row>
    <row r="2274" spans="1:6" x14ac:dyDescent="0.3">
      <c r="A2274" s="31">
        <v>1000093593</v>
      </c>
      <c r="B2274" s="31" t="s">
        <v>3473</v>
      </c>
      <c r="C2274" s="31" t="s">
        <v>4</v>
      </c>
      <c r="D2274" s="31" t="s">
        <v>2056</v>
      </c>
      <c r="E2274" s="32">
        <v>1079.0608988613701</v>
      </c>
      <c r="F2274" s="32">
        <v>1587</v>
      </c>
    </row>
    <row r="2275" spans="1:6" x14ac:dyDescent="0.3">
      <c r="A2275" s="31">
        <v>2500009358</v>
      </c>
      <c r="B2275" s="31" t="s">
        <v>3474</v>
      </c>
      <c r="C2275" s="31" t="s">
        <v>1996</v>
      </c>
      <c r="D2275" s="31" t="s">
        <v>2025</v>
      </c>
      <c r="E2275" s="32">
        <v>1078.65333333333</v>
      </c>
      <c r="F2275" s="32">
        <v>2</v>
      </c>
    </row>
    <row r="2276" spans="1:6" x14ac:dyDescent="0.3">
      <c r="A2276" s="31">
        <v>1000102237</v>
      </c>
      <c r="B2276" s="31" t="s">
        <v>1789</v>
      </c>
      <c r="C2276" s="31" t="s">
        <v>4</v>
      </c>
      <c r="D2276" s="31" t="s">
        <v>2090</v>
      </c>
      <c r="E2276" s="32">
        <v>1077.5999999999999</v>
      </c>
      <c r="F2276" s="32">
        <v>2</v>
      </c>
    </row>
    <row r="2277" spans="1:6" x14ac:dyDescent="0.3">
      <c r="A2277" s="31">
        <v>1000020017</v>
      </c>
      <c r="B2277" s="31" t="s">
        <v>3475</v>
      </c>
      <c r="C2277" s="31" t="s">
        <v>4</v>
      </c>
      <c r="D2277" s="31" t="s">
        <v>2090</v>
      </c>
      <c r="E2277" s="32">
        <v>1076.7</v>
      </c>
      <c r="F2277" s="32">
        <v>2</v>
      </c>
    </row>
    <row r="2278" spans="1:6" x14ac:dyDescent="0.3">
      <c r="A2278" s="31">
        <v>2200000284</v>
      </c>
      <c r="B2278" s="31" t="s">
        <v>3476</v>
      </c>
      <c r="C2278" s="31" t="s">
        <v>2037</v>
      </c>
      <c r="D2278" s="31" t="s">
        <v>2038</v>
      </c>
      <c r="E2278" s="32">
        <v>1076.3036999999999</v>
      </c>
      <c r="F2278" s="32">
        <v>1</v>
      </c>
    </row>
    <row r="2279" spans="1:6" x14ac:dyDescent="0.3">
      <c r="A2279" s="31">
        <v>1000021251</v>
      </c>
      <c r="B2279" s="31" t="s">
        <v>1396</v>
      </c>
      <c r="C2279" s="31" t="s">
        <v>4</v>
      </c>
      <c r="D2279" s="31" t="s">
        <v>2090</v>
      </c>
      <c r="E2279" s="32">
        <v>1075.3599999999999</v>
      </c>
      <c r="F2279" s="32">
        <v>2</v>
      </c>
    </row>
    <row r="2280" spans="1:6" x14ac:dyDescent="0.3">
      <c r="A2280" s="31">
        <v>1000020119</v>
      </c>
      <c r="B2280" s="31" t="s">
        <v>374</v>
      </c>
      <c r="C2280" s="31" t="s">
        <v>4</v>
      </c>
      <c r="D2280" s="31" t="s">
        <v>2090</v>
      </c>
      <c r="E2280" s="32">
        <v>1073.31</v>
      </c>
      <c r="F2280" s="32">
        <v>3</v>
      </c>
    </row>
    <row r="2281" spans="1:6" x14ac:dyDescent="0.3">
      <c r="A2281" s="31">
        <v>1000020670</v>
      </c>
      <c r="B2281" s="31" t="s">
        <v>883</v>
      </c>
      <c r="C2281" s="31" t="s">
        <v>4</v>
      </c>
      <c r="D2281" s="31" t="s">
        <v>2090</v>
      </c>
      <c r="E2281" s="32">
        <v>1072.9000000000001</v>
      </c>
      <c r="F2281" s="32">
        <v>10</v>
      </c>
    </row>
    <row r="2282" spans="1:6" x14ac:dyDescent="0.3">
      <c r="A2282" s="31">
        <v>1000021041</v>
      </c>
      <c r="B2282" s="31" t="s">
        <v>1212</v>
      </c>
      <c r="C2282" s="31" t="s">
        <v>4</v>
      </c>
      <c r="D2282" s="31" t="s">
        <v>2090</v>
      </c>
      <c r="E2282" s="32">
        <v>1071.9449999999999</v>
      </c>
      <c r="F2282" s="32">
        <v>3</v>
      </c>
    </row>
    <row r="2283" spans="1:6" x14ac:dyDescent="0.3">
      <c r="A2283" s="31">
        <v>80000002252</v>
      </c>
      <c r="B2283" s="31" t="s">
        <v>3204</v>
      </c>
      <c r="C2283" s="31" t="s">
        <v>2755</v>
      </c>
      <c r="D2283" s="31" t="s">
        <v>2645</v>
      </c>
      <c r="E2283" s="32">
        <v>1071</v>
      </c>
      <c r="F2283" s="32">
        <v>700</v>
      </c>
    </row>
    <row r="2284" spans="1:6" x14ac:dyDescent="0.3">
      <c r="A2284" s="31">
        <v>1000020187</v>
      </c>
      <c r="B2284" s="31" t="s">
        <v>429</v>
      </c>
      <c r="C2284" s="31" t="s">
        <v>4</v>
      </c>
      <c r="D2284" s="31" t="s">
        <v>2090</v>
      </c>
      <c r="E2284" s="32">
        <v>1069.3599999999999</v>
      </c>
      <c r="F2284" s="32">
        <v>4</v>
      </c>
    </row>
    <row r="2285" spans="1:6" x14ac:dyDescent="0.3">
      <c r="A2285" s="31">
        <v>1000106069</v>
      </c>
      <c r="B2285" s="31" t="s">
        <v>3477</v>
      </c>
      <c r="C2285" s="31" t="s">
        <v>4</v>
      </c>
      <c r="D2285" s="31" t="s">
        <v>2161</v>
      </c>
      <c r="E2285" s="32">
        <v>1068.5999999999999</v>
      </c>
      <c r="F2285" s="32">
        <v>2</v>
      </c>
    </row>
    <row r="2286" spans="1:6" x14ac:dyDescent="0.3">
      <c r="A2286" s="31">
        <v>1000021136</v>
      </c>
      <c r="B2286" s="31" t="s">
        <v>1288</v>
      </c>
      <c r="C2286" s="31" t="s">
        <v>4</v>
      </c>
      <c r="D2286" s="31" t="s">
        <v>2090</v>
      </c>
      <c r="E2286" s="32">
        <v>1068.24</v>
      </c>
      <c r="F2286" s="32">
        <v>2</v>
      </c>
    </row>
    <row r="2287" spans="1:6" x14ac:dyDescent="0.3">
      <c r="A2287" s="31">
        <v>1000100430</v>
      </c>
      <c r="B2287" s="31" t="s">
        <v>1741</v>
      </c>
      <c r="C2287" s="31" t="s">
        <v>4</v>
      </c>
      <c r="D2287" s="31" t="s">
        <v>2090</v>
      </c>
      <c r="E2287" s="32">
        <v>1066.194</v>
      </c>
      <c r="F2287" s="32">
        <v>2</v>
      </c>
    </row>
    <row r="2288" spans="1:6" x14ac:dyDescent="0.3">
      <c r="A2288" s="31">
        <v>1000021185</v>
      </c>
      <c r="B2288" s="31" t="s">
        <v>1332</v>
      </c>
      <c r="C2288" s="31" t="s">
        <v>4</v>
      </c>
      <c r="D2288" s="31" t="s">
        <v>2090</v>
      </c>
      <c r="E2288" s="32">
        <v>1065.1154179612699</v>
      </c>
      <c r="F2288" s="32">
        <v>25</v>
      </c>
    </row>
    <row r="2289" spans="1:6" x14ac:dyDescent="0.3">
      <c r="A2289" s="31">
        <v>2500009475</v>
      </c>
      <c r="B2289" s="31" t="s">
        <v>3478</v>
      </c>
      <c r="C2289" s="31" t="s">
        <v>1996</v>
      </c>
      <c r="D2289" s="31" t="s">
        <v>2289</v>
      </c>
      <c r="E2289" s="32">
        <v>1065</v>
      </c>
      <c r="F2289" s="32">
        <v>4</v>
      </c>
    </row>
    <row r="2290" spans="1:6" x14ac:dyDescent="0.3">
      <c r="A2290" s="31">
        <v>1000099034</v>
      </c>
      <c r="B2290" s="31" t="s">
        <v>3479</v>
      </c>
      <c r="C2290" s="31" t="s">
        <v>4</v>
      </c>
      <c r="D2290" s="31" t="s">
        <v>2056</v>
      </c>
      <c r="E2290" s="32">
        <v>1064.01999201955</v>
      </c>
      <c r="F2290" s="32">
        <v>160</v>
      </c>
    </row>
    <row r="2291" spans="1:6" x14ac:dyDescent="0.3">
      <c r="A2291" s="31">
        <v>1000101617</v>
      </c>
      <c r="B2291" s="31" t="s">
        <v>3480</v>
      </c>
      <c r="C2291" s="31" t="s">
        <v>2844</v>
      </c>
      <c r="D2291" s="31" t="s">
        <v>2639</v>
      </c>
      <c r="E2291" s="32">
        <v>1064</v>
      </c>
      <c r="F2291" s="32">
        <v>304</v>
      </c>
    </row>
    <row r="2292" spans="1:6" x14ac:dyDescent="0.3">
      <c r="A2292" s="31">
        <v>1000102586</v>
      </c>
      <c r="B2292" s="31" t="s">
        <v>3481</v>
      </c>
      <c r="C2292" s="31" t="s">
        <v>4</v>
      </c>
      <c r="D2292" s="31" t="s">
        <v>2056</v>
      </c>
      <c r="E2292" s="32">
        <v>1063.92</v>
      </c>
      <c r="F2292" s="32">
        <v>2</v>
      </c>
    </row>
    <row r="2293" spans="1:6" x14ac:dyDescent="0.3">
      <c r="A2293" s="31">
        <v>1000098722</v>
      </c>
      <c r="B2293" s="31" t="s">
        <v>1666</v>
      </c>
      <c r="C2293" s="31" t="s">
        <v>4</v>
      </c>
      <c r="D2293" s="31" t="s">
        <v>2090</v>
      </c>
      <c r="E2293" s="32">
        <v>1060.89857142857</v>
      </c>
      <c r="F2293" s="32">
        <v>3</v>
      </c>
    </row>
    <row r="2294" spans="1:6" x14ac:dyDescent="0.3">
      <c r="A2294" s="31">
        <v>1000101102</v>
      </c>
      <c r="B2294" s="31" t="s">
        <v>3482</v>
      </c>
      <c r="C2294" s="31" t="s">
        <v>4</v>
      </c>
      <c r="D2294" s="31" t="s">
        <v>2284</v>
      </c>
      <c r="E2294" s="32">
        <v>1059.56</v>
      </c>
      <c r="F2294" s="32">
        <v>1</v>
      </c>
    </row>
    <row r="2295" spans="1:6" x14ac:dyDescent="0.3">
      <c r="A2295" s="31">
        <v>1000098442</v>
      </c>
      <c r="B2295" s="31" t="s">
        <v>1522</v>
      </c>
      <c r="C2295" s="31" t="s">
        <v>4</v>
      </c>
      <c r="D2295" s="31" t="s">
        <v>2090</v>
      </c>
      <c r="E2295" s="32">
        <v>1057.9691421856601</v>
      </c>
      <c r="F2295" s="32">
        <v>33</v>
      </c>
    </row>
    <row r="2296" spans="1:6" x14ac:dyDescent="0.3">
      <c r="A2296" s="31">
        <v>1000020335</v>
      </c>
      <c r="B2296" s="31" t="s">
        <v>567</v>
      </c>
      <c r="C2296" s="31" t="s">
        <v>4</v>
      </c>
      <c r="D2296" s="31" t="s">
        <v>2090</v>
      </c>
      <c r="E2296" s="32">
        <v>1056</v>
      </c>
      <c r="F2296" s="32">
        <v>200</v>
      </c>
    </row>
    <row r="2297" spans="1:6" x14ac:dyDescent="0.3">
      <c r="A2297" s="31">
        <v>2500008405</v>
      </c>
      <c r="B2297" s="31" t="s">
        <v>3483</v>
      </c>
      <c r="C2297" s="31" t="s">
        <v>1996</v>
      </c>
      <c r="D2297" s="31" t="s">
        <v>2025</v>
      </c>
      <c r="E2297" s="32">
        <v>1056</v>
      </c>
      <c r="F2297" s="32">
        <v>5</v>
      </c>
    </row>
    <row r="2298" spans="1:6" x14ac:dyDescent="0.3">
      <c r="A2298" s="31">
        <v>1000100435</v>
      </c>
      <c r="B2298" s="31" t="s">
        <v>1746</v>
      </c>
      <c r="C2298" s="31" t="s">
        <v>4</v>
      </c>
      <c r="D2298" s="31" t="s">
        <v>2090</v>
      </c>
      <c r="E2298" s="32">
        <v>1055.0250000000001</v>
      </c>
      <c r="F2298" s="32">
        <v>6</v>
      </c>
    </row>
    <row r="2299" spans="1:6" x14ac:dyDescent="0.3">
      <c r="A2299" s="31">
        <v>1000020618</v>
      </c>
      <c r="B2299" s="31" t="s">
        <v>834</v>
      </c>
      <c r="C2299" s="31" t="s">
        <v>4</v>
      </c>
      <c r="D2299" s="31" t="s">
        <v>2090</v>
      </c>
      <c r="E2299" s="32">
        <v>1053.1639393939299</v>
      </c>
      <c r="F2299" s="32">
        <v>124</v>
      </c>
    </row>
    <row r="2300" spans="1:6" x14ac:dyDescent="0.3">
      <c r="A2300" s="31">
        <v>2500009325</v>
      </c>
      <c r="B2300" s="31" t="s">
        <v>3484</v>
      </c>
      <c r="C2300" s="31" t="s">
        <v>1996</v>
      </c>
      <c r="D2300" s="31" t="s">
        <v>2289</v>
      </c>
      <c r="E2300" s="32">
        <v>1050</v>
      </c>
      <c r="F2300" s="32">
        <v>5</v>
      </c>
    </row>
    <row r="2301" spans="1:6" x14ac:dyDescent="0.3">
      <c r="A2301" s="31">
        <v>1000017032</v>
      </c>
      <c r="B2301" s="31" t="s">
        <v>3485</v>
      </c>
      <c r="C2301" s="31" t="s">
        <v>2205</v>
      </c>
      <c r="D2301" s="31" t="s">
        <v>3274</v>
      </c>
      <c r="E2301" s="32">
        <v>1050</v>
      </c>
      <c r="F2301" s="32">
        <v>30</v>
      </c>
    </row>
    <row r="2302" spans="1:6" x14ac:dyDescent="0.3">
      <c r="A2302" s="31">
        <v>1000095013</v>
      </c>
      <c r="B2302" s="31" t="s">
        <v>3486</v>
      </c>
      <c r="C2302" s="31" t="s">
        <v>4</v>
      </c>
      <c r="D2302" s="31" t="s">
        <v>2056</v>
      </c>
      <c r="E2302" s="32">
        <v>1048.05</v>
      </c>
      <c r="F2302" s="32">
        <v>8500</v>
      </c>
    </row>
    <row r="2303" spans="1:6" x14ac:dyDescent="0.3">
      <c r="A2303" s="31">
        <v>1000020527</v>
      </c>
      <c r="B2303" s="31" t="s">
        <v>748</v>
      </c>
      <c r="C2303" s="31" t="s">
        <v>4</v>
      </c>
      <c r="D2303" s="31" t="s">
        <v>2090</v>
      </c>
      <c r="E2303" s="32">
        <v>1047.5999999999999</v>
      </c>
      <c r="F2303" s="32">
        <v>10</v>
      </c>
    </row>
    <row r="2304" spans="1:6" x14ac:dyDescent="0.3">
      <c r="A2304" s="31">
        <v>80000002453</v>
      </c>
      <c r="B2304" s="31" t="s">
        <v>3487</v>
      </c>
      <c r="C2304" s="31" t="s">
        <v>2755</v>
      </c>
      <c r="D2304" s="31" t="s">
        <v>2670</v>
      </c>
      <c r="E2304" s="32">
        <v>1047.01276595744</v>
      </c>
      <c r="F2304" s="32">
        <v>384</v>
      </c>
    </row>
    <row r="2305" spans="1:6" x14ac:dyDescent="0.3">
      <c r="A2305" s="31">
        <v>1000107072</v>
      </c>
      <c r="B2305" s="31" t="s">
        <v>3488</v>
      </c>
      <c r="C2305" s="31" t="s">
        <v>4</v>
      </c>
      <c r="D2305" s="31" t="s">
        <v>2056</v>
      </c>
      <c r="E2305" s="32">
        <v>1045.704</v>
      </c>
      <c r="F2305" s="32">
        <v>51</v>
      </c>
    </row>
    <row r="2306" spans="1:6" x14ac:dyDescent="0.3">
      <c r="A2306" s="31">
        <v>1000100317</v>
      </c>
      <c r="B2306" s="31" t="s">
        <v>3489</v>
      </c>
      <c r="C2306" s="31" t="s">
        <v>4</v>
      </c>
      <c r="D2306" s="31" t="s">
        <v>2090</v>
      </c>
      <c r="E2306" s="32">
        <v>1040.4295999999999</v>
      </c>
      <c r="F2306" s="32">
        <v>1</v>
      </c>
    </row>
    <row r="2307" spans="1:6" x14ac:dyDescent="0.3">
      <c r="A2307" s="31">
        <v>80000009731</v>
      </c>
      <c r="B2307" s="31" t="s">
        <v>3490</v>
      </c>
      <c r="C2307" s="31" t="s">
        <v>2521</v>
      </c>
      <c r="D2307" s="31" t="s">
        <v>2670</v>
      </c>
      <c r="E2307" s="32">
        <v>1037</v>
      </c>
      <c r="F2307" s="32">
        <v>61</v>
      </c>
    </row>
    <row r="2308" spans="1:6" x14ac:dyDescent="0.3">
      <c r="A2308" s="31">
        <v>1000020334</v>
      </c>
      <c r="B2308" s="31" t="s">
        <v>566</v>
      </c>
      <c r="C2308" s="31" t="s">
        <v>4</v>
      </c>
      <c r="D2308" s="31" t="s">
        <v>2090</v>
      </c>
      <c r="E2308" s="32">
        <v>1036.72</v>
      </c>
      <c r="F2308" s="32">
        <v>2</v>
      </c>
    </row>
    <row r="2309" spans="1:6" x14ac:dyDescent="0.3">
      <c r="A2309" s="31">
        <v>1000096789</v>
      </c>
      <c r="B2309" s="31" t="s">
        <v>3491</v>
      </c>
      <c r="C2309" s="31" t="s">
        <v>4</v>
      </c>
      <c r="D2309" s="31" t="s">
        <v>2090</v>
      </c>
      <c r="E2309" s="32">
        <v>1035.53</v>
      </c>
      <c r="F2309" s="32">
        <v>22</v>
      </c>
    </row>
    <row r="2310" spans="1:6" x14ac:dyDescent="0.3">
      <c r="A2310" s="31">
        <v>2500009146</v>
      </c>
      <c r="B2310" s="31" t="s">
        <v>1978</v>
      </c>
      <c r="C2310" s="31" t="s">
        <v>1996</v>
      </c>
      <c r="D2310" s="31" t="s">
        <v>2025</v>
      </c>
      <c r="E2310" s="32">
        <v>1035</v>
      </c>
      <c r="F2310" s="32">
        <v>1</v>
      </c>
    </row>
    <row r="2311" spans="1:6" x14ac:dyDescent="0.3">
      <c r="A2311" s="31">
        <v>1000020244</v>
      </c>
      <c r="B2311" s="31" t="s">
        <v>483</v>
      </c>
      <c r="C2311" s="31" t="s">
        <v>4</v>
      </c>
      <c r="D2311" s="31" t="s">
        <v>2090</v>
      </c>
      <c r="E2311" s="32">
        <v>1034.00241386877</v>
      </c>
      <c r="F2311" s="32">
        <v>145</v>
      </c>
    </row>
    <row r="2312" spans="1:6" x14ac:dyDescent="0.3">
      <c r="A2312" s="31">
        <v>1000098708</v>
      </c>
      <c r="B2312" s="31" t="s">
        <v>1656</v>
      </c>
      <c r="C2312" s="31" t="s">
        <v>4</v>
      </c>
      <c r="D2312" s="31" t="s">
        <v>2090</v>
      </c>
      <c r="E2312" s="32">
        <v>1032.96</v>
      </c>
      <c r="F2312" s="32">
        <v>2</v>
      </c>
    </row>
    <row r="2313" spans="1:6" x14ac:dyDescent="0.3">
      <c r="A2313" s="31">
        <v>1000093141</v>
      </c>
      <c r="B2313" s="31" t="s">
        <v>3492</v>
      </c>
      <c r="C2313" s="31" t="s">
        <v>4</v>
      </c>
      <c r="D2313" s="31" t="s">
        <v>2161</v>
      </c>
      <c r="E2313" s="32">
        <v>1031.79244444444</v>
      </c>
      <c r="F2313" s="32">
        <v>1</v>
      </c>
    </row>
    <row r="2314" spans="1:6" x14ac:dyDescent="0.3">
      <c r="A2314" s="31">
        <v>1000021154</v>
      </c>
      <c r="B2314" s="31" t="s">
        <v>1303</v>
      </c>
      <c r="C2314" s="31" t="s">
        <v>4</v>
      </c>
      <c r="D2314" s="31" t="s">
        <v>2090</v>
      </c>
      <c r="E2314" s="32">
        <v>1030.52</v>
      </c>
      <c r="F2314" s="32">
        <v>4</v>
      </c>
    </row>
    <row r="2315" spans="1:6" x14ac:dyDescent="0.3">
      <c r="A2315" s="31">
        <v>2200011067</v>
      </c>
      <c r="B2315" s="31" t="s">
        <v>3493</v>
      </c>
      <c r="C2315" s="31" t="s">
        <v>2037</v>
      </c>
      <c r="D2315" s="31" t="s">
        <v>2038</v>
      </c>
      <c r="E2315" s="32">
        <v>1028.72</v>
      </c>
      <c r="F2315" s="32">
        <v>1</v>
      </c>
    </row>
    <row r="2316" spans="1:6" x14ac:dyDescent="0.3">
      <c r="A2316" s="31">
        <v>2500009650</v>
      </c>
      <c r="B2316" s="31" t="s">
        <v>3494</v>
      </c>
      <c r="C2316" s="31" t="s">
        <v>1996</v>
      </c>
      <c r="D2316" s="31" t="s">
        <v>2025</v>
      </c>
      <c r="E2316" s="32">
        <v>1027.5</v>
      </c>
      <c r="F2316" s="32">
        <v>2</v>
      </c>
    </row>
    <row r="2317" spans="1:6" x14ac:dyDescent="0.3">
      <c r="A2317" s="31">
        <v>1000020964</v>
      </c>
      <c r="B2317" s="31" t="s">
        <v>1140</v>
      </c>
      <c r="C2317" s="31" t="s">
        <v>4</v>
      </c>
      <c r="D2317" s="31" t="s">
        <v>2090</v>
      </c>
      <c r="E2317" s="32">
        <v>1024.6099999999999</v>
      </c>
      <c r="F2317" s="32">
        <v>3</v>
      </c>
    </row>
    <row r="2318" spans="1:6" x14ac:dyDescent="0.3">
      <c r="A2318" s="31">
        <v>1000110799</v>
      </c>
      <c r="B2318" s="31" t="s">
        <v>3495</v>
      </c>
      <c r="C2318" s="31" t="s">
        <v>4</v>
      </c>
      <c r="D2318" s="31" t="s">
        <v>2090</v>
      </c>
      <c r="E2318" s="32">
        <v>1022.85</v>
      </c>
      <c r="F2318" s="32">
        <v>2</v>
      </c>
    </row>
    <row r="2319" spans="1:6" x14ac:dyDescent="0.3">
      <c r="A2319" s="31">
        <v>1000108814</v>
      </c>
      <c r="B2319" s="31" t="s">
        <v>3496</v>
      </c>
      <c r="C2319" s="31" t="s">
        <v>4</v>
      </c>
      <c r="D2319" s="31" t="s">
        <v>2056</v>
      </c>
      <c r="E2319" s="32">
        <v>1020.84</v>
      </c>
      <c r="F2319" s="32">
        <v>80</v>
      </c>
    </row>
    <row r="2320" spans="1:6" x14ac:dyDescent="0.3">
      <c r="A2320" s="31">
        <v>1000102974</v>
      </c>
      <c r="B2320" s="31" t="s">
        <v>3497</v>
      </c>
      <c r="C2320" s="31" t="s">
        <v>4</v>
      </c>
      <c r="D2320" s="31" t="s">
        <v>2090</v>
      </c>
      <c r="E2320" s="32">
        <v>1020.21214285714</v>
      </c>
      <c r="F2320" s="32">
        <v>13</v>
      </c>
    </row>
    <row r="2321" spans="1:6" x14ac:dyDescent="0.3">
      <c r="A2321" s="31">
        <v>1000098637</v>
      </c>
      <c r="B2321" s="31" t="s">
        <v>1615</v>
      </c>
      <c r="C2321" s="31" t="s">
        <v>4</v>
      </c>
      <c r="D2321" s="31" t="s">
        <v>2090</v>
      </c>
      <c r="E2321" s="32">
        <v>1018.73</v>
      </c>
      <c r="F2321" s="32">
        <v>1</v>
      </c>
    </row>
    <row r="2322" spans="1:6" x14ac:dyDescent="0.3">
      <c r="A2322" s="31">
        <v>1000021106</v>
      </c>
      <c r="B2322" s="31" t="s">
        <v>1267</v>
      </c>
      <c r="C2322" s="31" t="s">
        <v>4</v>
      </c>
      <c r="D2322" s="31" t="s">
        <v>2090</v>
      </c>
      <c r="E2322" s="32">
        <v>1018.542</v>
      </c>
      <c r="F2322" s="32">
        <v>7</v>
      </c>
    </row>
    <row r="2323" spans="1:6" x14ac:dyDescent="0.3">
      <c r="A2323" s="31">
        <v>2700000254</v>
      </c>
      <c r="B2323" s="31" t="s">
        <v>301</v>
      </c>
      <c r="C2323" s="31" t="s">
        <v>2037</v>
      </c>
      <c r="D2323" s="31" t="s">
        <v>2038</v>
      </c>
      <c r="E2323" s="32">
        <v>1018.05</v>
      </c>
      <c r="F2323" s="32">
        <v>1</v>
      </c>
    </row>
    <row r="2324" spans="1:6" x14ac:dyDescent="0.3">
      <c r="A2324" s="31">
        <v>1000021189</v>
      </c>
      <c r="B2324" s="31" t="s">
        <v>1336</v>
      </c>
      <c r="C2324" s="31" t="s">
        <v>4</v>
      </c>
      <c r="D2324" s="31" t="s">
        <v>2090</v>
      </c>
      <c r="E2324" s="32">
        <v>1017.42</v>
      </c>
      <c r="F2324" s="32">
        <v>2</v>
      </c>
    </row>
    <row r="2325" spans="1:6" x14ac:dyDescent="0.3">
      <c r="A2325" s="31">
        <v>1000020437</v>
      </c>
      <c r="B2325" s="31" t="s">
        <v>664</v>
      </c>
      <c r="C2325" s="31" t="s">
        <v>4</v>
      </c>
      <c r="D2325" s="31" t="s">
        <v>2090</v>
      </c>
      <c r="E2325" s="32">
        <v>1014.09142857142</v>
      </c>
      <c r="F2325" s="32">
        <v>89</v>
      </c>
    </row>
    <row r="2326" spans="1:6" x14ac:dyDescent="0.3">
      <c r="A2326" s="31">
        <v>1000094465</v>
      </c>
      <c r="B2326" s="31" t="s">
        <v>3498</v>
      </c>
      <c r="C2326" s="31" t="s">
        <v>4</v>
      </c>
      <c r="D2326" s="31" t="s">
        <v>2161</v>
      </c>
      <c r="E2326" s="32">
        <v>1012.5</v>
      </c>
      <c r="F2326" s="32">
        <v>5</v>
      </c>
    </row>
    <row r="2327" spans="1:6" x14ac:dyDescent="0.3">
      <c r="A2327" s="31">
        <v>1000096855</v>
      </c>
      <c r="B2327" s="31" t="s">
        <v>3499</v>
      </c>
      <c r="C2327" s="31" t="s">
        <v>4</v>
      </c>
      <c r="D2327" s="31" t="s">
        <v>2090</v>
      </c>
      <c r="E2327" s="32">
        <v>1011.3</v>
      </c>
      <c r="F2327" s="32">
        <v>1</v>
      </c>
    </row>
    <row r="2328" spans="1:6" x14ac:dyDescent="0.3">
      <c r="A2328" s="31">
        <v>1000103733</v>
      </c>
      <c r="B2328" s="31" t="s">
        <v>1873</v>
      </c>
      <c r="C2328" s="31" t="s">
        <v>4</v>
      </c>
      <c r="D2328" s="31" t="s">
        <v>2056</v>
      </c>
      <c r="E2328" s="32">
        <v>1011.06</v>
      </c>
      <c r="F2328" s="32">
        <v>200</v>
      </c>
    </row>
    <row r="2329" spans="1:6" x14ac:dyDescent="0.3">
      <c r="A2329" s="31">
        <v>1000100241</v>
      </c>
      <c r="B2329" s="31" t="s">
        <v>3500</v>
      </c>
      <c r="C2329" s="31" t="s">
        <v>4</v>
      </c>
      <c r="D2329" s="31" t="s">
        <v>2090</v>
      </c>
      <c r="E2329" s="32">
        <v>1010.93684210526</v>
      </c>
      <c r="F2329" s="32">
        <v>15</v>
      </c>
    </row>
    <row r="2330" spans="1:6" x14ac:dyDescent="0.3">
      <c r="A2330" s="31">
        <v>1000021061</v>
      </c>
      <c r="B2330" s="31" t="s">
        <v>1226</v>
      </c>
      <c r="C2330" s="31" t="s">
        <v>4</v>
      </c>
      <c r="D2330" s="31" t="s">
        <v>2090</v>
      </c>
      <c r="E2330" s="32">
        <v>1010.73</v>
      </c>
      <c r="F2330" s="32">
        <v>1</v>
      </c>
    </row>
    <row r="2331" spans="1:6" x14ac:dyDescent="0.3">
      <c r="A2331" s="31">
        <v>1000098771</v>
      </c>
      <c r="B2331" s="31" t="s">
        <v>1691</v>
      </c>
      <c r="C2331" s="31" t="s">
        <v>4</v>
      </c>
      <c r="D2331" s="31" t="s">
        <v>2090</v>
      </c>
      <c r="E2331" s="32">
        <v>1010.562</v>
      </c>
      <c r="F2331" s="32">
        <v>3</v>
      </c>
    </row>
    <row r="2332" spans="1:6" x14ac:dyDescent="0.3">
      <c r="A2332" s="31">
        <v>1000021323</v>
      </c>
      <c r="B2332" s="31" t="s">
        <v>1455</v>
      </c>
      <c r="C2332" s="31" t="s">
        <v>4</v>
      </c>
      <c r="D2332" s="31" t="s">
        <v>2090</v>
      </c>
      <c r="E2332" s="32">
        <v>1009.46</v>
      </c>
      <c r="F2332" s="32">
        <v>2</v>
      </c>
    </row>
    <row r="2333" spans="1:6" x14ac:dyDescent="0.3">
      <c r="A2333" s="31">
        <v>1000096242</v>
      </c>
      <c r="B2333" s="31" t="s">
        <v>3501</v>
      </c>
      <c r="C2333" s="31" t="s">
        <v>4</v>
      </c>
      <c r="D2333" s="31" t="s">
        <v>2090</v>
      </c>
      <c r="E2333" s="32">
        <v>1008.71166666666</v>
      </c>
      <c r="F2333" s="32">
        <v>2</v>
      </c>
    </row>
    <row r="2334" spans="1:6" x14ac:dyDescent="0.3">
      <c r="A2334" s="31">
        <v>1000102090</v>
      </c>
      <c r="B2334" s="31" t="s">
        <v>1759</v>
      </c>
      <c r="C2334" s="31" t="s">
        <v>4</v>
      </c>
      <c r="D2334" s="31" t="s">
        <v>2090</v>
      </c>
      <c r="E2334" s="32">
        <v>1006.88</v>
      </c>
      <c r="F2334" s="32">
        <v>10</v>
      </c>
    </row>
    <row r="2335" spans="1:6" x14ac:dyDescent="0.3">
      <c r="A2335" s="31">
        <v>1000021006</v>
      </c>
      <c r="B2335" s="31" t="s">
        <v>1178</v>
      </c>
      <c r="C2335" s="31" t="s">
        <v>4</v>
      </c>
      <c r="D2335" s="31" t="s">
        <v>2090</v>
      </c>
      <c r="E2335" s="32">
        <v>1006.124</v>
      </c>
      <c r="F2335" s="32">
        <v>2</v>
      </c>
    </row>
    <row r="2336" spans="1:6" x14ac:dyDescent="0.3">
      <c r="A2336" s="31">
        <v>1000106066</v>
      </c>
      <c r="B2336" s="31" t="s">
        <v>3502</v>
      </c>
      <c r="C2336" s="31" t="s">
        <v>4</v>
      </c>
      <c r="D2336" s="31" t="s">
        <v>2161</v>
      </c>
      <c r="E2336" s="32">
        <v>1005.768</v>
      </c>
      <c r="F2336" s="32">
        <v>4</v>
      </c>
    </row>
    <row r="2337" spans="1:6" x14ac:dyDescent="0.3">
      <c r="A2337" s="31">
        <v>2500009103</v>
      </c>
      <c r="B2337" s="31" t="s">
        <v>3503</v>
      </c>
      <c r="C2337" s="31" t="s">
        <v>1996</v>
      </c>
      <c r="D2337" s="31" t="s">
        <v>2289</v>
      </c>
      <c r="E2337" s="32">
        <v>1005</v>
      </c>
      <c r="F2337" s="32">
        <v>2</v>
      </c>
    </row>
    <row r="2338" spans="1:6" x14ac:dyDescent="0.3">
      <c r="A2338" s="31">
        <v>2200000297</v>
      </c>
      <c r="B2338" s="31" t="s">
        <v>3504</v>
      </c>
      <c r="C2338" s="31" t="s">
        <v>2037</v>
      </c>
      <c r="D2338" s="31" t="s">
        <v>2038</v>
      </c>
      <c r="E2338" s="32">
        <v>1003.955</v>
      </c>
      <c r="F2338" s="32">
        <v>1</v>
      </c>
    </row>
    <row r="2339" spans="1:6" x14ac:dyDescent="0.3">
      <c r="A2339" s="31">
        <v>1000106051</v>
      </c>
      <c r="B2339" s="31" t="s">
        <v>3505</v>
      </c>
      <c r="C2339" s="31" t="s">
        <v>4</v>
      </c>
      <c r="D2339" s="31" t="s">
        <v>2161</v>
      </c>
      <c r="E2339" s="32">
        <v>1002.84</v>
      </c>
      <c r="F2339" s="32">
        <v>4</v>
      </c>
    </row>
    <row r="2340" spans="1:6" x14ac:dyDescent="0.3">
      <c r="A2340" s="31">
        <v>1000104228</v>
      </c>
      <c r="B2340" s="31" t="s">
        <v>3506</v>
      </c>
      <c r="C2340" s="31" t="s">
        <v>4</v>
      </c>
      <c r="D2340" s="31" t="s">
        <v>2161</v>
      </c>
      <c r="E2340" s="32">
        <v>1002.84</v>
      </c>
      <c r="F2340" s="32">
        <v>2</v>
      </c>
    </row>
    <row r="2341" spans="1:6" x14ac:dyDescent="0.3">
      <c r="A2341" s="31">
        <v>1000103741</v>
      </c>
      <c r="B2341" s="31" t="s">
        <v>3507</v>
      </c>
      <c r="C2341" s="31" t="s">
        <v>4</v>
      </c>
      <c r="D2341" s="31" t="s">
        <v>2056</v>
      </c>
      <c r="E2341" s="32">
        <v>1002.84</v>
      </c>
      <c r="F2341" s="32">
        <v>50</v>
      </c>
    </row>
    <row r="2342" spans="1:6" x14ac:dyDescent="0.3">
      <c r="A2342" s="31">
        <v>1000020185</v>
      </c>
      <c r="B2342" s="31" t="s">
        <v>326</v>
      </c>
      <c r="C2342" s="31" t="s">
        <v>4</v>
      </c>
      <c r="D2342" s="31" t="s">
        <v>2090</v>
      </c>
      <c r="E2342" s="32">
        <v>1001.16</v>
      </c>
      <c r="F2342" s="32">
        <v>18</v>
      </c>
    </row>
    <row r="2343" spans="1:6" x14ac:dyDescent="0.3">
      <c r="A2343" s="31">
        <v>2200000295</v>
      </c>
      <c r="B2343" s="31" t="s">
        <v>3508</v>
      </c>
      <c r="C2343" s="31" t="s">
        <v>2037</v>
      </c>
      <c r="D2343" s="31" t="s">
        <v>2038</v>
      </c>
      <c r="E2343" s="32">
        <v>1000.45</v>
      </c>
      <c r="F2343" s="32">
        <v>1</v>
      </c>
    </row>
    <row r="2344" spans="1:6" x14ac:dyDescent="0.3">
      <c r="A2344" s="31">
        <v>80000002251</v>
      </c>
      <c r="B2344" s="31" t="s">
        <v>3509</v>
      </c>
      <c r="C2344" s="31" t="s">
        <v>2755</v>
      </c>
      <c r="D2344" s="31" t="s">
        <v>2645</v>
      </c>
      <c r="E2344" s="32">
        <v>1000.4</v>
      </c>
      <c r="F2344" s="32">
        <v>488</v>
      </c>
    </row>
    <row r="2345" spans="1:6" x14ac:dyDescent="0.3">
      <c r="A2345" s="31">
        <v>1000100337</v>
      </c>
      <c r="B2345" s="31" t="s">
        <v>3510</v>
      </c>
      <c r="C2345" s="31" t="s">
        <v>4</v>
      </c>
      <c r="D2345" s="31" t="s">
        <v>2090</v>
      </c>
      <c r="E2345" s="32">
        <v>999.2</v>
      </c>
      <c r="F2345" s="32">
        <v>25</v>
      </c>
    </row>
    <row r="2346" spans="1:6" x14ac:dyDescent="0.3">
      <c r="A2346" s="31">
        <v>1000020199</v>
      </c>
      <c r="B2346" s="31" t="s">
        <v>440</v>
      </c>
      <c r="C2346" s="31" t="s">
        <v>4</v>
      </c>
      <c r="D2346" s="31" t="s">
        <v>2090</v>
      </c>
      <c r="E2346" s="32">
        <v>998.4</v>
      </c>
      <c r="F2346" s="32">
        <v>4</v>
      </c>
    </row>
    <row r="2347" spans="1:6" x14ac:dyDescent="0.3">
      <c r="A2347" s="31">
        <v>1000111092</v>
      </c>
      <c r="B2347" s="31" t="s">
        <v>3511</v>
      </c>
      <c r="C2347" s="31" t="s">
        <v>4</v>
      </c>
      <c r="D2347" s="31" t="s">
        <v>2090</v>
      </c>
      <c r="E2347" s="32">
        <v>997.8</v>
      </c>
      <c r="F2347" s="32">
        <v>4</v>
      </c>
    </row>
    <row r="2348" spans="1:6" x14ac:dyDescent="0.3">
      <c r="A2348" s="31">
        <v>1000102727</v>
      </c>
      <c r="B2348" s="31" t="s">
        <v>3512</v>
      </c>
      <c r="C2348" s="31" t="s">
        <v>4</v>
      </c>
      <c r="D2348" s="31" t="s">
        <v>2090</v>
      </c>
      <c r="E2348" s="32">
        <v>997.5</v>
      </c>
      <c r="F2348" s="32">
        <v>20</v>
      </c>
    </row>
    <row r="2349" spans="1:6" x14ac:dyDescent="0.3">
      <c r="A2349" s="31">
        <v>1000100363</v>
      </c>
      <c r="B2349" s="31" t="s">
        <v>1703</v>
      </c>
      <c r="C2349" s="31" t="s">
        <v>4</v>
      </c>
      <c r="D2349" s="31" t="s">
        <v>2218</v>
      </c>
      <c r="E2349" s="32">
        <v>996.905555555555</v>
      </c>
      <c r="F2349" s="32">
        <v>15</v>
      </c>
    </row>
    <row r="2350" spans="1:6" x14ac:dyDescent="0.3">
      <c r="A2350" s="31">
        <v>2200011783</v>
      </c>
      <c r="B2350" s="31" t="s">
        <v>3513</v>
      </c>
      <c r="C2350" s="31" t="s">
        <v>2037</v>
      </c>
      <c r="D2350" s="31" t="s">
        <v>2038</v>
      </c>
      <c r="E2350" s="32">
        <v>994.36</v>
      </c>
      <c r="F2350" s="32">
        <v>3</v>
      </c>
    </row>
    <row r="2351" spans="1:6" x14ac:dyDescent="0.3">
      <c r="A2351" s="31">
        <v>1000098971</v>
      </c>
      <c r="B2351" s="31" t="s">
        <v>3514</v>
      </c>
      <c r="C2351" s="31" t="s">
        <v>4</v>
      </c>
      <c r="D2351" s="31" t="s">
        <v>2161</v>
      </c>
      <c r="E2351" s="32">
        <v>992</v>
      </c>
      <c r="F2351" s="32">
        <v>5</v>
      </c>
    </row>
    <row r="2352" spans="1:6" x14ac:dyDescent="0.3">
      <c r="A2352" s="31">
        <v>1000108474</v>
      </c>
      <c r="B2352" s="31" t="s">
        <v>3515</v>
      </c>
      <c r="C2352" s="31" t="s">
        <v>4</v>
      </c>
      <c r="D2352" s="31" t="s">
        <v>3516</v>
      </c>
      <c r="E2352" s="32">
        <v>990</v>
      </c>
      <c r="F2352" s="32">
        <v>2</v>
      </c>
    </row>
    <row r="2353" spans="1:6" x14ac:dyDescent="0.3">
      <c r="A2353" s="31">
        <v>1000098707</v>
      </c>
      <c r="B2353" s="31" t="s">
        <v>1655</v>
      </c>
      <c r="C2353" s="31" t="s">
        <v>4</v>
      </c>
      <c r="D2353" s="31" t="s">
        <v>2090</v>
      </c>
      <c r="E2353" s="32">
        <v>988.46333333333303</v>
      </c>
      <c r="F2353" s="32">
        <v>1</v>
      </c>
    </row>
    <row r="2354" spans="1:6" x14ac:dyDescent="0.3">
      <c r="A2354" s="31">
        <v>1000017160</v>
      </c>
      <c r="B2354" s="31" t="s">
        <v>3517</v>
      </c>
      <c r="C2354" s="31" t="s">
        <v>4</v>
      </c>
      <c r="D2354" s="31" t="s">
        <v>2855</v>
      </c>
      <c r="E2354" s="32">
        <v>988</v>
      </c>
      <c r="F2354" s="32">
        <v>44</v>
      </c>
    </row>
    <row r="2355" spans="1:6" x14ac:dyDescent="0.3">
      <c r="A2355" s="31">
        <v>1000098673</v>
      </c>
      <c r="B2355" s="31" t="s">
        <v>1633</v>
      </c>
      <c r="C2355" s="31" t="s">
        <v>4</v>
      </c>
      <c r="D2355" s="31" t="s">
        <v>2090</v>
      </c>
      <c r="E2355" s="32">
        <v>985.77</v>
      </c>
      <c r="F2355" s="32">
        <v>10</v>
      </c>
    </row>
    <row r="2356" spans="1:6" x14ac:dyDescent="0.3">
      <c r="A2356" s="31">
        <v>1000101869</v>
      </c>
      <c r="B2356" s="31" t="s">
        <v>1755</v>
      </c>
      <c r="C2356" s="31" t="s">
        <v>4</v>
      </c>
      <c r="D2356" s="31" t="s">
        <v>2090</v>
      </c>
      <c r="E2356" s="32">
        <v>985.03636684303297</v>
      </c>
      <c r="F2356" s="32">
        <v>26</v>
      </c>
    </row>
    <row r="2357" spans="1:6" x14ac:dyDescent="0.3">
      <c r="A2357" s="31">
        <v>1000099207</v>
      </c>
      <c r="B2357" s="31" t="s">
        <v>3518</v>
      </c>
      <c r="C2357" s="31" t="s">
        <v>4</v>
      </c>
      <c r="D2357" s="31" t="s">
        <v>2882</v>
      </c>
      <c r="E2357" s="32">
        <v>985</v>
      </c>
      <c r="F2357" s="32">
        <v>100</v>
      </c>
    </row>
    <row r="2358" spans="1:6" x14ac:dyDescent="0.3">
      <c r="A2358" s="31">
        <v>1000021111</v>
      </c>
      <c r="B2358" s="31" t="s">
        <v>1272</v>
      </c>
      <c r="C2358" s="31" t="s">
        <v>4</v>
      </c>
      <c r="D2358" s="31" t="s">
        <v>2090</v>
      </c>
      <c r="E2358" s="32">
        <v>984.19</v>
      </c>
      <c r="F2358" s="32">
        <v>5</v>
      </c>
    </row>
    <row r="2359" spans="1:6" x14ac:dyDescent="0.3">
      <c r="A2359" s="31">
        <v>1000095833</v>
      </c>
      <c r="B2359" s="31" t="s">
        <v>3519</v>
      </c>
      <c r="C2359" s="31" t="s">
        <v>4</v>
      </c>
      <c r="D2359" s="31" t="s">
        <v>2056</v>
      </c>
      <c r="E2359" s="32">
        <v>983.03647058823503</v>
      </c>
      <c r="F2359" s="32">
        <v>9</v>
      </c>
    </row>
    <row r="2360" spans="1:6" x14ac:dyDescent="0.3">
      <c r="A2360" s="31">
        <v>1000095267</v>
      </c>
      <c r="B2360" s="31" t="s">
        <v>1500</v>
      </c>
      <c r="C2360" s="31" t="s">
        <v>4</v>
      </c>
      <c r="D2360" s="31" t="s">
        <v>2090</v>
      </c>
      <c r="E2360" s="32">
        <v>982.92</v>
      </c>
      <c r="F2360" s="32">
        <v>2</v>
      </c>
    </row>
    <row r="2361" spans="1:6" x14ac:dyDescent="0.3">
      <c r="A2361" s="31">
        <v>2500008507</v>
      </c>
      <c r="B2361" s="31" t="s">
        <v>3520</v>
      </c>
      <c r="C2361" s="31" t="s">
        <v>1996</v>
      </c>
      <c r="D2361" s="31" t="s">
        <v>2025</v>
      </c>
      <c r="E2361" s="32">
        <v>980.78</v>
      </c>
      <c r="F2361" s="32">
        <v>6</v>
      </c>
    </row>
    <row r="2362" spans="1:6" x14ac:dyDescent="0.3">
      <c r="A2362" s="31">
        <v>1000021074</v>
      </c>
      <c r="B2362" s="31" t="s">
        <v>1236</v>
      </c>
      <c r="C2362" s="31" t="s">
        <v>4</v>
      </c>
      <c r="D2362" s="31" t="s">
        <v>2090</v>
      </c>
      <c r="E2362" s="32">
        <v>979.77</v>
      </c>
      <c r="F2362" s="32">
        <v>3</v>
      </c>
    </row>
    <row r="2363" spans="1:6" x14ac:dyDescent="0.3">
      <c r="A2363" s="31">
        <v>1000021241</v>
      </c>
      <c r="B2363" s="31" t="s">
        <v>1386</v>
      </c>
      <c r="C2363" s="31" t="s">
        <v>2205</v>
      </c>
      <c r="D2363" s="31" t="s">
        <v>2090</v>
      </c>
      <c r="E2363" s="32">
        <v>979.02</v>
      </c>
      <c r="F2363" s="32">
        <v>3</v>
      </c>
    </row>
    <row r="2364" spans="1:6" x14ac:dyDescent="0.3">
      <c r="A2364" s="31">
        <v>1000100428</v>
      </c>
      <c r="B2364" s="31" t="s">
        <v>1739</v>
      </c>
      <c r="C2364" s="31" t="s">
        <v>4</v>
      </c>
      <c r="D2364" s="31" t="s">
        <v>2090</v>
      </c>
      <c r="E2364" s="32">
        <v>978.6</v>
      </c>
      <c r="F2364" s="32">
        <v>2</v>
      </c>
    </row>
    <row r="2365" spans="1:6" x14ac:dyDescent="0.3">
      <c r="A2365" s="31">
        <v>1000097884</v>
      </c>
      <c r="B2365" s="31" t="s">
        <v>3521</v>
      </c>
      <c r="C2365" s="31" t="s">
        <v>4</v>
      </c>
      <c r="D2365" s="31" t="s">
        <v>2056</v>
      </c>
      <c r="E2365" s="32">
        <v>977.55</v>
      </c>
      <c r="F2365" s="32">
        <v>1</v>
      </c>
    </row>
    <row r="2366" spans="1:6" x14ac:dyDescent="0.3">
      <c r="A2366" s="31">
        <v>1000020932</v>
      </c>
      <c r="B2366" s="31" t="s">
        <v>1111</v>
      </c>
      <c r="C2366" s="31" t="s">
        <v>4</v>
      </c>
      <c r="D2366" s="31" t="s">
        <v>2090</v>
      </c>
      <c r="E2366" s="32">
        <v>977.04600000000005</v>
      </c>
      <c r="F2366" s="32">
        <v>6</v>
      </c>
    </row>
    <row r="2367" spans="1:6" x14ac:dyDescent="0.3">
      <c r="A2367" s="31">
        <v>1000020621</v>
      </c>
      <c r="B2367" s="31" t="s">
        <v>837</v>
      </c>
      <c r="C2367" s="31" t="s">
        <v>4</v>
      </c>
      <c r="D2367" s="31" t="s">
        <v>2090</v>
      </c>
      <c r="E2367" s="32">
        <v>975.92</v>
      </c>
      <c r="F2367" s="32">
        <v>88</v>
      </c>
    </row>
    <row r="2368" spans="1:6" x14ac:dyDescent="0.3">
      <c r="A2368" s="31">
        <v>80000009704</v>
      </c>
      <c r="B2368" s="31" t="s">
        <v>3522</v>
      </c>
      <c r="C2368" s="31" t="s">
        <v>2755</v>
      </c>
      <c r="D2368" s="31" t="s">
        <v>2670</v>
      </c>
      <c r="E2368" s="32">
        <v>974.02962962962897</v>
      </c>
      <c r="F2368" s="32">
        <v>2200</v>
      </c>
    </row>
    <row r="2369" spans="1:6" x14ac:dyDescent="0.3">
      <c r="A2369" s="31">
        <v>1000098645</v>
      </c>
      <c r="B2369" s="31" t="s">
        <v>1622</v>
      </c>
      <c r="C2369" s="31" t="s">
        <v>4</v>
      </c>
      <c r="D2369" s="31" t="s">
        <v>2090</v>
      </c>
      <c r="E2369" s="32">
        <v>972.28</v>
      </c>
      <c r="F2369" s="32">
        <v>5</v>
      </c>
    </row>
    <row r="2370" spans="1:6" x14ac:dyDescent="0.3">
      <c r="A2370" s="31">
        <v>2700000282</v>
      </c>
      <c r="B2370" s="31" t="s">
        <v>312</v>
      </c>
      <c r="C2370" s="31" t="s">
        <v>2037</v>
      </c>
      <c r="D2370" s="31" t="s">
        <v>2038</v>
      </c>
      <c r="E2370" s="32">
        <v>969.57</v>
      </c>
      <c r="F2370" s="32">
        <v>1</v>
      </c>
    </row>
    <row r="2371" spans="1:6" x14ac:dyDescent="0.3">
      <c r="A2371" s="31">
        <v>1000092873</v>
      </c>
      <c r="B2371" s="31" t="s">
        <v>3523</v>
      </c>
      <c r="C2371" s="31" t="s">
        <v>4</v>
      </c>
      <c r="D2371" s="31" t="s">
        <v>2161</v>
      </c>
      <c r="E2371" s="32">
        <v>968.67</v>
      </c>
      <c r="F2371" s="32">
        <v>5</v>
      </c>
    </row>
    <row r="2372" spans="1:6" x14ac:dyDescent="0.3">
      <c r="A2372" s="31">
        <v>1000111009</v>
      </c>
      <c r="B2372" s="31" t="s">
        <v>3524</v>
      </c>
      <c r="C2372" s="31" t="s">
        <v>4</v>
      </c>
      <c r="D2372" s="31" t="s">
        <v>2090</v>
      </c>
      <c r="E2372" s="32">
        <v>967.65</v>
      </c>
      <c r="F2372" s="32">
        <v>1</v>
      </c>
    </row>
    <row r="2373" spans="1:6" x14ac:dyDescent="0.3">
      <c r="A2373" s="31">
        <v>2500009199</v>
      </c>
      <c r="B2373" s="31" t="s">
        <v>3525</v>
      </c>
      <c r="C2373" s="31" t="s">
        <v>1996</v>
      </c>
      <c r="D2373" s="31" t="s">
        <v>2915</v>
      </c>
      <c r="E2373" s="32">
        <v>966.9</v>
      </c>
      <c r="F2373" s="32">
        <v>11</v>
      </c>
    </row>
    <row r="2374" spans="1:6" x14ac:dyDescent="0.3">
      <c r="A2374" s="31">
        <v>1000098758</v>
      </c>
      <c r="B2374" s="31" t="s">
        <v>1688</v>
      </c>
      <c r="C2374" s="31" t="s">
        <v>4</v>
      </c>
      <c r="D2374" s="31" t="s">
        <v>2090</v>
      </c>
      <c r="E2374" s="32">
        <v>966.51056249999999</v>
      </c>
      <c r="F2374" s="32">
        <v>14</v>
      </c>
    </row>
    <row r="2375" spans="1:6" x14ac:dyDescent="0.3">
      <c r="A2375" s="31">
        <v>1000010067</v>
      </c>
      <c r="B2375" s="31" t="s">
        <v>3526</v>
      </c>
      <c r="C2375" s="31" t="s">
        <v>4</v>
      </c>
      <c r="D2375" s="31" t="s">
        <v>2161</v>
      </c>
      <c r="E2375" s="32">
        <v>966.36268749999999</v>
      </c>
      <c r="F2375" s="32">
        <v>21</v>
      </c>
    </row>
    <row r="2376" spans="1:6" x14ac:dyDescent="0.3">
      <c r="A2376" s="31">
        <v>2700000046</v>
      </c>
      <c r="B2376" s="31" t="s">
        <v>3527</v>
      </c>
      <c r="C2376" s="31" t="s">
        <v>2088</v>
      </c>
      <c r="D2376" s="31" t="s">
        <v>2038</v>
      </c>
      <c r="E2376" s="32">
        <v>966.07582222222197</v>
      </c>
      <c r="F2376" s="32">
        <v>1</v>
      </c>
    </row>
    <row r="2377" spans="1:6" x14ac:dyDescent="0.3">
      <c r="A2377" s="31">
        <v>1000093787</v>
      </c>
      <c r="B2377" s="31" t="s">
        <v>3528</v>
      </c>
      <c r="C2377" s="31" t="s">
        <v>4</v>
      </c>
      <c r="D2377" s="31" t="s">
        <v>2218</v>
      </c>
      <c r="E2377" s="32">
        <v>965.53471741365502</v>
      </c>
      <c r="F2377" s="32">
        <v>281</v>
      </c>
    </row>
    <row r="2378" spans="1:6" x14ac:dyDescent="0.3">
      <c r="A2378" s="31">
        <v>1000020028</v>
      </c>
      <c r="B2378" s="31" t="s">
        <v>3529</v>
      </c>
      <c r="C2378" s="31" t="s">
        <v>4</v>
      </c>
      <c r="D2378" s="31" t="s">
        <v>2090</v>
      </c>
      <c r="E2378" s="32">
        <v>963.82322994652395</v>
      </c>
      <c r="F2378" s="32">
        <v>32</v>
      </c>
    </row>
    <row r="2379" spans="1:6" x14ac:dyDescent="0.3">
      <c r="A2379" s="31">
        <v>2500009051</v>
      </c>
      <c r="B2379" s="31" t="s">
        <v>1965</v>
      </c>
      <c r="C2379" s="31" t="s">
        <v>1996</v>
      </c>
      <c r="D2379" s="31" t="s">
        <v>2289</v>
      </c>
      <c r="E2379" s="32">
        <v>963.75</v>
      </c>
      <c r="F2379" s="32">
        <v>1</v>
      </c>
    </row>
    <row r="2380" spans="1:6" x14ac:dyDescent="0.3">
      <c r="A2380" s="31">
        <v>2500008069</v>
      </c>
      <c r="B2380" s="31" t="s">
        <v>3530</v>
      </c>
      <c r="C2380" s="31" t="s">
        <v>1996</v>
      </c>
      <c r="D2380" s="31" t="s">
        <v>2025</v>
      </c>
      <c r="E2380" s="32">
        <v>963.57142857142799</v>
      </c>
      <c r="F2380" s="32">
        <v>1</v>
      </c>
    </row>
    <row r="2381" spans="1:6" x14ac:dyDescent="0.3">
      <c r="A2381" s="31">
        <v>80000002251</v>
      </c>
      <c r="B2381" s="31" t="s">
        <v>3509</v>
      </c>
      <c r="C2381" s="31" t="s">
        <v>2521</v>
      </c>
      <c r="D2381" s="31" t="s">
        <v>2645</v>
      </c>
      <c r="E2381" s="32">
        <v>961.45</v>
      </c>
      <c r="F2381" s="32">
        <v>469</v>
      </c>
    </row>
    <row r="2382" spans="1:6" x14ac:dyDescent="0.3">
      <c r="A2382" s="31">
        <v>1000020410</v>
      </c>
      <c r="B2382" s="31" t="s">
        <v>640</v>
      </c>
      <c r="C2382" s="31" t="s">
        <v>4</v>
      </c>
      <c r="D2382" s="31" t="s">
        <v>2090</v>
      </c>
      <c r="E2382" s="32">
        <v>961.11342326486294</v>
      </c>
      <c r="F2382" s="32">
        <v>170</v>
      </c>
    </row>
    <row r="2383" spans="1:6" x14ac:dyDescent="0.3">
      <c r="A2383" s="31">
        <v>2500005900</v>
      </c>
      <c r="B2383" s="31" t="s">
        <v>3531</v>
      </c>
      <c r="C2383" s="31" t="s">
        <v>1996</v>
      </c>
      <c r="D2383" s="31" t="s">
        <v>2025</v>
      </c>
      <c r="E2383" s="32">
        <v>961.05633802816897</v>
      </c>
      <c r="F2383" s="32">
        <v>4</v>
      </c>
    </row>
    <row r="2384" spans="1:6" x14ac:dyDescent="0.3">
      <c r="A2384" s="31">
        <v>1000020922</v>
      </c>
      <c r="B2384" s="31" t="s">
        <v>1102</v>
      </c>
      <c r="C2384" s="31" t="s">
        <v>4</v>
      </c>
      <c r="D2384" s="31" t="s">
        <v>2090</v>
      </c>
      <c r="E2384" s="32">
        <v>960.4</v>
      </c>
      <c r="F2384" s="32">
        <v>4</v>
      </c>
    </row>
    <row r="2385" spans="1:6" x14ac:dyDescent="0.3">
      <c r="A2385" s="31">
        <v>2500008725</v>
      </c>
      <c r="B2385" s="31" t="s">
        <v>3532</v>
      </c>
      <c r="C2385" s="31" t="s">
        <v>1996</v>
      </c>
      <c r="D2385" s="31" t="s">
        <v>2025</v>
      </c>
      <c r="E2385" s="32">
        <v>960</v>
      </c>
      <c r="F2385" s="32">
        <v>2</v>
      </c>
    </row>
    <row r="2386" spans="1:6" x14ac:dyDescent="0.3">
      <c r="A2386" s="31">
        <v>2500009667</v>
      </c>
      <c r="B2386" s="31" t="s">
        <v>3533</v>
      </c>
      <c r="C2386" s="31" t="s">
        <v>1996</v>
      </c>
      <c r="D2386" s="31" t="s">
        <v>2025</v>
      </c>
      <c r="E2386" s="32">
        <v>960</v>
      </c>
      <c r="F2386" s="32">
        <v>4</v>
      </c>
    </row>
    <row r="2387" spans="1:6" x14ac:dyDescent="0.3">
      <c r="A2387" s="31">
        <v>1000015067</v>
      </c>
      <c r="B2387" s="31" t="s">
        <v>60</v>
      </c>
      <c r="C2387" s="31" t="s">
        <v>4</v>
      </c>
      <c r="D2387" s="31" t="s">
        <v>2043</v>
      </c>
      <c r="E2387" s="32">
        <v>959.4</v>
      </c>
      <c r="F2387" s="32">
        <v>9</v>
      </c>
    </row>
    <row r="2388" spans="1:6" x14ac:dyDescent="0.3">
      <c r="A2388" s="31">
        <v>1000020813</v>
      </c>
      <c r="B2388" s="31" t="s">
        <v>1015</v>
      </c>
      <c r="C2388" s="31" t="s">
        <v>4</v>
      </c>
      <c r="D2388" s="31" t="s">
        <v>2090</v>
      </c>
      <c r="E2388" s="32">
        <v>958.56</v>
      </c>
      <c r="F2388" s="32">
        <v>4</v>
      </c>
    </row>
    <row r="2389" spans="1:6" x14ac:dyDescent="0.3">
      <c r="A2389" s="31">
        <v>1000021102</v>
      </c>
      <c r="B2389" s="31" t="s">
        <v>1263</v>
      </c>
      <c r="C2389" s="31" t="s">
        <v>4</v>
      </c>
      <c r="D2389" s="31" t="s">
        <v>2090</v>
      </c>
      <c r="E2389" s="32">
        <v>957.5625</v>
      </c>
      <c r="F2389" s="32">
        <v>5</v>
      </c>
    </row>
    <row r="2390" spans="1:6" x14ac:dyDescent="0.3">
      <c r="A2390" s="31">
        <v>1000020324</v>
      </c>
      <c r="B2390" s="31" t="s">
        <v>558</v>
      </c>
      <c r="C2390" s="31" t="s">
        <v>4</v>
      </c>
      <c r="D2390" s="31" t="s">
        <v>2090</v>
      </c>
      <c r="E2390" s="32">
        <v>957.16</v>
      </c>
      <c r="F2390" s="32">
        <v>4</v>
      </c>
    </row>
    <row r="2391" spans="1:6" x14ac:dyDescent="0.3">
      <c r="A2391" s="31">
        <v>1000100327</v>
      </c>
      <c r="B2391" s="31" t="s">
        <v>3534</v>
      </c>
      <c r="C2391" s="31" t="s">
        <v>4</v>
      </c>
      <c r="D2391" s="31" t="s">
        <v>2090</v>
      </c>
      <c r="E2391" s="32">
        <v>957</v>
      </c>
      <c r="F2391" s="32">
        <v>110</v>
      </c>
    </row>
    <row r="2392" spans="1:6" x14ac:dyDescent="0.3">
      <c r="A2392" s="31">
        <v>1000098546</v>
      </c>
      <c r="B2392" s="31" t="s">
        <v>1577</v>
      </c>
      <c r="C2392" s="31" t="s">
        <v>4</v>
      </c>
      <c r="D2392" s="31" t="s">
        <v>2090</v>
      </c>
      <c r="E2392" s="32">
        <v>955.51</v>
      </c>
      <c r="F2392" s="32">
        <v>3</v>
      </c>
    </row>
    <row r="2393" spans="1:6" x14ac:dyDescent="0.3">
      <c r="A2393" s="31">
        <v>1000010229</v>
      </c>
      <c r="B2393" s="31" t="s">
        <v>3535</v>
      </c>
      <c r="C2393" s="31" t="s">
        <v>4</v>
      </c>
      <c r="D2393" s="31" t="s">
        <v>2161</v>
      </c>
      <c r="E2393" s="32">
        <v>955.12800000000004</v>
      </c>
      <c r="F2393" s="32">
        <v>3</v>
      </c>
    </row>
    <row r="2394" spans="1:6" x14ac:dyDescent="0.3">
      <c r="A2394" s="31">
        <v>1000020910</v>
      </c>
      <c r="B2394" s="31" t="s">
        <v>1090</v>
      </c>
      <c r="C2394" s="31" t="s">
        <v>4</v>
      </c>
      <c r="D2394" s="31" t="s">
        <v>2090</v>
      </c>
      <c r="E2394" s="32">
        <v>954.84</v>
      </c>
      <c r="F2394" s="32">
        <v>2</v>
      </c>
    </row>
    <row r="2395" spans="1:6" x14ac:dyDescent="0.3">
      <c r="A2395" s="31">
        <v>1000099333</v>
      </c>
      <c r="B2395" s="31" t="s">
        <v>3536</v>
      </c>
      <c r="C2395" s="31" t="s">
        <v>4</v>
      </c>
      <c r="D2395" s="31" t="s">
        <v>2161</v>
      </c>
      <c r="E2395" s="32">
        <v>952.88</v>
      </c>
      <c r="F2395" s="32">
        <v>3</v>
      </c>
    </row>
    <row r="2396" spans="1:6" x14ac:dyDescent="0.3">
      <c r="A2396" s="31">
        <v>1000020016</v>
      </c>
      <c r="B2396" s="31" t="s">
        <v>3537</v>
      </c>
      <c r="C2396" s="31" t="s">
        <v>4</v>
      </c>
      <c r="D2396" s="31" t="s">
        <v>2090</v>
      </c>
      <c r="E2396" s="32">
        <v>952.875</v>
      </c>
      <c r="F2396" s="32">
        <v>3</v>
      </c>
    </row>
    <row r="2397" spans="1:6" x14ac:dyDescent="0.3">
      <c r="A2397" s="31">
        <v>1000020623</v>
      </c>
      <c r="B2397" s="31" t="s">
        <v>838</v>
      </c>
      <c r="C2397" s="31" t="s">
        <v>4</v>
      </c>
      <c r="D2397" s="31" t="s">
        <v>2090</v>
      </c>
      <c r="E2397" s="32">
        <v>952.54</v>
      </c>
      <c r="F2397" s="32">
        <v>97</v>
      </c>
    </row>
    <row r="2398" spans="1:6" x14ac:dyDescent="0.3">
      <c r="A2398" s="31">
        <v>1000097433</v>
      </c>
      <c r="B2398" s="31" t="s">
        <v>3538</v>
      </c>
      <c r="C2398" s="31" t="s">
        <v>4</v>
      </c>
      <c r="D2398" s="31" t="s">
        <v>2090</v>
      </c>
      <c r="E2398" s="32">
        <v>951.98</v>
      </c>
      <c r="F2398" s="32">
        <v>2</v>
      </c>
    </row>
    <row r="2399" spans="1:6" x14ac:dyDescent="0.3">
      <c r="A2399" s="31">
        <v>1000020966</v>
      </c>
      <c r="B2399" s="31" t="s">
        <v>1142</v>
      </c>
      <c r="C2399" s="31" t="s">
        <v>4</v>
      </c>
      <c r="D2399" s="31" t="s">
        <v>2090</v>
      </c>
      <c r="E2399" s="32">
        <v>951.04</v>
      </c>
      <c r="F2399" s="32">
        <v>2</v>
      </c>
    </row>
    <row r="2400" spans="1:6" x14ac:dyDescent="0.3">
      <c r="A2400" s="31">
        <v>1000020468</v>
      </c>
      <c r="B2400" s="31" t="s">
        <v>694</v>
      </c>
      <c r="C2400" s="31" t="s">
        <v>4</v>
      </c>
      <c r="D2400" s="31" t="s">
        <v>2090</v>
      </c>
      <c r="E2400" s="32">
        <v>947.75</v>
      </c>
      <c r="F2400" s="32">
        <v>25</v>
      </c>
    </row>
    <row r="2401" spans="1:6" x14ac:dyDescent="0.3">
      <c r="A2401" s="31">
        <v>2500009114</v>
      </c>
      <c r="B2401" s="31" t="s">
        <v>1971</v>
      </c>
      <c r="C2401" s="31" t="s">
        <v>1996</v>
      </c>
      <c r="D2401" s="31" t="s">
        <v>2289</v>
      </c>
      <c r="E2401" s="32">
        <v>945</v>
      </c>
      <c r="F2401" s="32">
        <v>9</v>
      </c>
    </row>
    <row r="2402" spans="1:6" x14ac:dyDescent="0.3">
      <c r="A2402" s="31">
        <v>1000102281</v>
      </c>
      <c r="B2402" s="31" t="s">
        <v>3539</v>
      </c>
      <c r="C2402" s="31" t="s">
        <v>4</v>
      </c>
      <c r="D2402" s="31" t="s">
        <v>2090</v>
      </c>
      <c r="E2402" s="32">
        <v>942.75</v>
      </c>
      <c r="F2402" s="32">
        <v>10</v>
      </c>
    </row>
    <row r="2403" spans="1:6" x14ac:dyDescent="0.3">
      <c r="A2403" s="31">
        <v>1000021200</v>
      </c>
      <c r="B2403" s="31" t="s">
        <v>1346</v>
      </c>
      <c r="C2403" s="31" t="s">
        <v>4</v>
      </c>
      <c r="D2403" s="31" t="s">
        <v>2090</v>
      </c>
      <c r="E2403" s="32">
        <v>941.49</v>
      </c>
      <c r="F2403" s="32">
        <v>9</v>
      </c>
    </row>
    <row r="2404" spans="1:6" x14ac:dyDescent="0.3">
      <c r="A2404" s="31">
        <v>1000010110</v>
      </c>
      <c r="B2404" s="31" t="s">
        <v>3540</v>
      </c>
      <c r="C2404" s="31" t="s">
        <v>4</v>
      </c>
      <c r="D2404" s="31" t="s">
        <v>2161</v>
      </c>
      <c r="E2404" s="32">
        <v>941</v>
      </c>
      <c r="F2404" s="32">
        <v>10</v>
      </c>
    </row>
    <row r="2405" spans="1:6" x14ac:dyDescent="0.3">
      <c r="A2405" s="31">
        <v>1000102785</v>
      </c>
      <c r="B2405" s="31" t="s">
        <v>1859</v>
      </c>
      <c r="C2405" s="31" t="s">
        <v>4</v>
      </c>
      <c r="D2405" s="31" t="s">
        <v>2056</v>
      </c>
      <c r="E2405" s="32">
        <v>939.918562224482</v>
      </c>
      <c r="F2405" s="32">
        <v>173</v>
      </c>
    </row>
    <row r="2406" spans="1:6" x14ac:dyDescent="0.3">
      <c r="A2406" s="31">
        <v>1000021295</v>
      </c>
      <c r="B2406" s="31" t="s">
        <v>1430</v>
      </c>
      <c r="C2406" s="31" t="s">
        <v>4</v>
      </c>
      <c r="D2406" s="31" t="s">
        <v>2090</v>
      </c>
      <c r="E2406" s="32">
        <v>939.84</v>
      </c>
      <c r="F2406" s="32">
        <v>2</v>
      </c>
    </row>
    <row r="2407" spans="1:6" x14ac:dyDescent="0.3">
      <c r="A2407" s="31">
        <v>2500008662</v>
      </c>
      <c r="B2407" s="31" t="s">
        <v>3541</v>
      </c>
      <c r="C2407" s="31" t="s">
        <v>1996</v>
      </c>
      <c r="D2407" s="31" t="s">
        <v>2025</v>
      </c>
      <c r="E2407" s="32">
        <v>938.08333333333303</v>
      </c>
      <c r="F2407" s="32">
        <v>4</v>
      </c>
    </row>
    <row r="2408" spans="1:6" x14ac:dyDescent="0.3">
      <c r="A2408" s="31">
        <v>1000111118</v>
      </c>
      <c r="B2408" s="31" t="s">
        <v>3542</v>
      </c>
      <c r="C2408" s="31" t="s">
        <v>4</v>
      </c>
      <c r="D2408" s="31" t="s">
        <v>2090</v>
      </c>
      <c r="E2408" s="32">
        <v>937.875</v>
      </c>
      <c r="F2408" s="32">
        <v>2</v>
      </c>
    </row>
    <row r="2409" spans="1:6" x14ac:dyDescent="0.3">
      <c r="A2409" s="31">
        <v>2000010692</v>
      </c>
      <c r="B2409" s="31" t="s">
        <v>3543</v>
      </c>
      <c r="C2409" s="31" t="s">
        <v>2017</v>
      </c>
      <c r="D2409" s="31" t="s">
        <v>2063</v>
      </c>
      <c r="E2409" s="32">
        <v>937.5</v>
      </c>
      <c r="F2409" s="32">
        <v>1</v>
      </c>
    </row>
    <row r="2410" spans="1:6" x14ac:dyDescent="0.3">
      <c r="A2410" s="31">
        <v>2500009341</v>
      </c>
      <c r="B2410" s="31" t="s">
        <v>3544</v>
      </c>
      <c r="C2410" s="31" t="s">
        <v>1996</v>
      </c>
      <c r="D2410" s="31" t="s">
        <v>2289</v>
      </c>
      <c r="E2410" s="32">
        <v>937.5</v>
      </c>
      <c r="F2410" s="32">
        <v>5</v>
      </c>
    </row>
    <row r="2411" spans="1:6" x14ac:dyDescent="0.3">
      <c r="A2411" s="31">
        <v>1000103070</v>
      </c>
      <c r="B2411" s="31" t="s">
        <v>3545</v>
      </c>
      <c r="C2411" s="31" t="s">
        <v>4</v>
      </c>
      <c r="D2411" s="31" t="s">
        <v>2090</v>
      </c>
      <c r="E2411" s="32">
        <v>937.10810909090901</v>
      </c>
      <c r="F2411" s="32">
        <v>32</v>
      </c>
    </row>
    <row r="2412" spans="1:6" x14ac:dyDescent="0.3">
      <c r="A2412" s="31">
        <v>1000020162</v>
      </c>
      <c r="B2412" s="31" t="s">
        <v>409</v>
      </c>
      <c r="C2412" s="31" t="s">
        <v>4</v>
      </c>
      <c r="D2412" s="31" t="s">
        <v>2090</v>
      </c>
      <c r="E2412" s="32">
        <v>936.54</v>
      </c>
      <c r="F2412" s="32">
        <v>2</v>
      </c>
    </row>
    <row r="2413" spans="1:6" x14ac:dyDescent="0.3">
      <c r="A2413" s="31">
        <v>1000020798</v>
      </c>
      <c r="B2413" s="31" t="s">
        <v>1002</v>
      </c>
      <c r="C2413" s="31" t="s">
        <v>4</v>
      </c>
      <c r="D2413" s="31" t="s">
        <v>2090</v>
      </c>
      <c r="E2413" s="32">
        <v>936.48570429570395</v>
      </c>
      <c r="F2413" s="32">
        <v>7</v>
      </c>
    </row>
    <row r="2414" spans="1:6" x14ac:dyDescent="0.3">
      <c r="A2414" s="31">
        <v>1000002210</v>
      </c>
      <c r="B2414" s="31" t="s">
        <v>10</v>
      </c>
      <c r="C2414" s="31" t="s">
        <v>2109</v>
      </c>
      <c r="D2414" s="31" t="s">
        <v>2070</v>
      </c>
      <c r="E2414" s="32">
        <v>933.75</v>
      </c>
      <c r="F2414" s="32">
        <v>1</v>
      </c>
    </row>
    <row r="2415" spans="1:6" x14ac:dyDescent="0.3">
      <c r="A2415" s="31">
        <v>1000020263</v>
      </c>
      <c r="B2415" s="31" t="s">
        <v>502</v>
      </c>
      <c r="C2415" s="31" t="s">
        <v>4</v>
      </c>
      <c r="D2415" s="31" t="s">
        <v>2090</v>
      </c>
      <c r="E2415" s="32">
        <v>932.46</v>
      </c>
      <c r="F2415" s="32">
        <v>55</v>
      </c>
    </row>
    <row r="2416" spans="1:6" x14ac:dyDescent="0.3">
      <c r="A2416" s="31">
        <v>1000097934</v>
      </c>
      <c r="B2416" s="31" t="s">
        <v>1512</v>
      </c>
      <c r="C2416" s="31" t="s">
        <v>4</v>
      </c>
      <c r="D2416" s="31" t="s">
        <v>2090</v>
      </c>
      <c r="E2416" s="32">
        <v>930.71</v>
      </c>
      <c r="F2416" s="32">
        <v>10</v>
      </c>
    </row>
    <row r="2417" spans="1:6" x14ac:dyDescent="0.3">
      <c r="A2417" s="31">
        <v>1000110104</v>
      </c>
      <c r="B2417" s="31" t="s">
        <v>3546</v>
      </c>
      <c r="C2417" s="31" t="s">
        <v>2257</v>
      </c>
      <c r="D2417" s="31" t="s">
        <v>2070</v>
      </c>
      <c r="E2417" s="32">
        <v>928.95</v>
      </c>
      <c r="F2417" s="32">
        <v>4</v>
      </c>
    </row>
    <row r="2418" spans="1:6" x14ac:dyDescent="0.3">
      <c r="A2418" s="31">
        <v>1000092611</v>
      </c>
      <c r="B2418" s="31" t="s">
        <v>3547</v>
      </c>
      <c r="C2418" s="31" t="s">
        <v>4</v>
      </c>
      <c r="D2418" s="31" t="s">
        <v>2090</v>
      </c>
      <c r="E2418" s="32">
        <v>927.11</v>
      </c>
      <c r="F2418" s="32">
        <v>2</v>
      </c>
    </row>
    <row r="2419" spans="1:6" x14ac:dyDescent="0.3">
      <c r="A2419" s="31">
        <v>1000021060</v>
      </c>
      <c r="B2419" s="31" t="s">
        <v>1225</v>
      </c>
      <c r="C2419" s="31" t="s">
        <v>4</v>
      </c>
      <c r="D2419" s="31" t="s">
        <v>2090</v>
      </c>
      <c r="E2419" s="32">
        <v>926.99</v>
      </c>
      <c r="F2419" s="32">
        <v>1</v>
      </c>
    </row>
    <row r="2420" spans="1:6" x14ac:dyDescent="0.3">
      <c r="A2420" s="31">
        <v>1000094032</v>
      </c>
      <c r="B2420" s="31" t="s">
        <v>3548</v>
      </c>
      <c r="C2420" s="31" t="s">
        <v>4</v>
      </c>
      <c r="D2420" s="31" t="s">
        <v>2090</v>
      </c>
      <c r="E2420" s="32">
        <v>926.58</v>
      </c>
      <c r="F2420" s="32">
        <v>2</v>
      </c>
    </row>
    <row r="2421" spans="1:6" x14ac:dyDescent="0.3">
      <c r="A2421" s="31">
        <v>1000102234</v>
      </c>
      <c r="B2421" s="31" t="s">
        <v>1786</v>
      </c>
      <c r="C2421" s="31" t="s">
        <v>4</v>
      </c>
      <c r="D2421" s="31" t="s">
        <v>2090</v>
      </c>
      <c r="E2421" s="32">
        <v>924.96</v>
      </c>
      <c r="F2421" s="32">
        <v>5</v>
      </c>
    </row>
    <row r="2422" spans="1:6" x14ac:dyDescent="0.3">
      <c r="A2422" s="31">
        <v>1000021285</v>
      </c>
      <c r="B2422" s="31" t="s">
        <v>1421</v>
      </c>
      <c r="C2422" s="31" t="s">
        <v>4</v>
      </c>
      <c r="D2422" s="31" t="s">
        <v>2090</v>
      </c>
      <c r="E2422" s="32">
        <v>923.62</v>
      </c>
      <c r="F2422" s="32">
        <v>10</v>
      </c>
    </row>
    <row r="2423" spans="1:6" x14ac:dyDescent="0.3">
      <c r="A2423" s="31">
        <v>1000020560</v>
      </c>
      <c r="B2423" s="31" t="s">
        <v>777</v>
      </c>
      <c r="C2423" s="31" t="s">
        <v>4</v>
      </c>
      <c r="D2423" s="31" t="s">
        <v>2090</v>
      </c>
      <c r="E2423" s="32">
        <v>923</v>
      </c>
      <c r="F2423" s="32">
        <v>25</v>
      </c>
    </row>
    <row r="2424" spans="1:6" x14ac:dyDescent="0.3">
      <c r="A2424" s="31">
        <v>1000093783</v>
      </c>
      <c r="B2424" s="31" t="s">
        <v>3549</v>
      </c>
      <c r="C2424" s="31" t="s">
        <v>4</v>
      </c>
      <c r="D2424" s="31" t="s">
        <v>2090</v>
      </c>
      <c r="E2424" s="32">
        <v>922.88666666666597</v>
      </c>
      <c r="F2424" s="32">
        <v>8</v>
      </c>
    </row>
    <row r="2425" spans="1:6" x14ac:dyDescent="0.3">
      <c r="A2425" s="31">
        <v>1000020971</v>
      </c>
      <c r="B2425" s="31" t="s">
        <v>1145</v>
      </c>
      <c r="C2425" s="31" t="s">
        <v>4</v>
      </c>
      <c r="D2425" s="31" t="s">
        <v>2090</v>
      </c>
      <c r="E2425" s="32">
        <v>922.8</v>
      </c>
      <c r="F2425" s="32">
        <v>1</v>
      </c>
    </row>
    <row r="2426" spans="1:6" x14ac:dyDescent="0.3">
      <c r="A2426" s="31">
        <v>1000103681</v>
      </c>
      <c r="B2426" s="31" t="s">
        <v>3550</v>
      </c>
      <c r="C2426" s="31" t="s">
        <v>4</v>
      </c>
      <c r="D2426" s="31" t="s">
        <v>2090</v>
      </c>
      <c r="E2426" s="32">
        <v>922.5</v>
      </c>
      <c r="F2426" s="32">
        <v>10</v>
      </c>
    </row>
    <row r="2427" spans="1:6" x14ac:dyDescent="0.3">
      <c r="A2427" s="31">
        <v>2500009501</v>
      </c>
      <c r="B2427" s="31" t="s">
        <v>3551</v>
      </c>
      <c r="C2427" s="31" t="s">
        <v>1996</v>
      </c>
      <c r="D2427" s="31" t="s">
        <v>2289</v>
      </c>
      <c r="E2427" s="32">
        <v>922.5</v>
      </c>
      <c r="F2427" s="32">
        <v>2</v>
      </c>
    </row>
    <row r="2428" spans="1:6" x14ac:dyDescent="0.3">
      <c r="A2428" s="31">
        <v>1000021020</v>
      </c>
      <c r="B2428" s="31" t="s">
        <v>1192</v>
      </c>
      <c r="C2428" s="31" t="s">
        <v>4</v>
      </c>
      <c r="D2428" s="31" t="s">
        <v>2090</v>
      </c>
      <c r="E2428" s="32">
        <v>922.16750000000002</v>
      </c>
      <c r="F2428" s="32">
        <v>3</v>
      </c>
    </row>
    <row r="2429" spans="1:6" x14ac:dyDescent="0.3">
      <c r="A2429" s="31">
        <v>1000021078</v>
      </c>
      <c r="B2429" s="31" t="s">
        <v>1240</v>
      </c>
      <c r="C2429" s="31" t="s">
        <v>4</v>
      </c>
      <c r="D2429" s="31" t="s">
        <v>2090</v>
      </c>
      <c r="E2429" s="32">
        <v>920.76</v>
      </c>
      <c r="F2429" s="32">
        <v>1</v>
      </c>
    </row>
    <row r="2430" spans="1:6" x14ac:dyDescent="0.3">
      <c r="A2430" s="31">
        <v>2500009291</v>
      </c>
      <c r="B2430" s="31" t="s">
        <v>1989</v>
      </c>
      <c r="C2430" s="31" t="s">
        <v>1996</v>
      </c>
      <c r="D2430" s="31" t="s">
        <v>2117</v>
      </c>
      <c r="E2430" s="32">
        <v>918.75</v>
      </c>
      <c r="F2430" s="32">
        <v>1</v>
      </c>
    </row>
    <row r="2431" spans="1:6" x14ac:dyDescent="0.3">
      <c r="A2431" s="31">
        <v>2500009337</v>
      </c>
      <c r="B2431" s="31" t="s">
        <v>3484</v>
      </c>
      <c r="C2431" s="31" t="s">
        <v>1996</v>
      </c>
      <c r="D2431" s="31" t="s">
        <v>2289</v>
      </c>
      <c r="E2431" s="32">
        <v>918.75</v>
      </c>
      <c r="F2431" s="32">
        <v>5</v>
      </c>
    </row>
    <row r="2432" spans="1:6" x14ac:dyDescent="0.3">
      <c r="A2432" s="31">
        <v>1000109987</v>
      </c>
      <c r="B2432" s="31" t="s">
        <v>3552</v>
      </c>
      <c r="C2432" s="31" t="s">
        <v>4</v>
      </c>
      <c r="D2432" s="31" t="s">
        <v>2043</v>
      </c>
      <c r="E2432" s="32">
        <v>913.9</v>
      </c>
      <c r="F2432" s="32">
        <v>2</v>
      </c>
    </row>
    <row r="2433" spans="1:6" x14ac:dyDescent="0.3">
      <c r="A2433" s="31">
        <v>1000020279</v>
      </c>
      <c r="B2433" s="31" t="s">
        <v>515</v>
      </c>
      <c r="C2433" s="31" t="s">
        <v>4</v>
      </c>
      <c r="D2433" s="31" t="s">
        <v>2090</v>
      </c>
      <c r="E2433" s="32">
        <v>913.78</v>
      </c>
      <c r="F2433" s="32">
        <v>27</v>
      </c>
    </row>
    <row r="2434" spans="1:6" x14ac:dyDescent="0.3">
      <c r="A2434" s="31">
        <v>1000105436</v>
      </c>
      <c r="B2434" s="31" t="s">
        <v>3553</v>
      </c>
      <c r="C2434" s="31" t="s">
        <v>2257</v>
      </c>
      <c r="D2434" s="31" t="s">
        <v>2399</v>
      </c>
      <c r="E2434" s="32">
        <v>913.23</v>
      </c>
      <c r="F2434" s="32">
        <v>3</v>
      </c>
    </row>
    <row r="2435" spans="1:6" x14ac:dyDescent="0.3">
      <c r="A2435" s="31">
        <v>800000054321</v>
      </c>
      <c r="B2435" s="31" t="s">
        <v>3554</v>
      </c>
      <c r="C2435" s="31" t="s">
        <v>2521</v>
      </c>
      <c r="D2435" s="31" t="s">
        <v>3289</v>
      </c>
      <c r="E2435" s="32">
        <v>912</v>
      </c>
      <c r="F2435" s="32">
        <v>8</v>
      </c>
    </row>
    <row r="2436" spans="1:6" x14ac:dyDescent="0.3">
      <c r="A2436" s="31">
        <v>800000013971</v>
      </c>
      <c r="B2436" s="31" t="s">
        <v>3555</v>
      </c>
      <c r="C2436" s="31" t="s">
        <v>2521</v>
      </c>
      <c r="D2436" s="31" t="s">
        <v>3289</v>
      </c>
      <c r="E2436" s="32">
        <v>912</v>
      </c>
      <c r="F2436" s="32">
        <v>8</v>
      </c>
    </row>
    <row r="2437" spans="1:6" x14ac:dyDescent="0.3">
      <c r="A2437" s="31">
        <v>80000003034</v>
      </c>
      <c r="B2437" s="31" t="s">
        <v>3214</v>
      </c>
      <c r="C2437" s="31" t="s">
        <v>2521</v>
      </c>
      <c r="D2437" s="31" t="s">
        <v>2670</v>
      </c>
      <c r="E2437" s="32">
        <v>910</v>
      </c>
      <c r="F2437" s="32">
        <v>7</v>
      </c>
    </row>
    <row r="2438" spans="1:6" x14ac:dyDescent="0.3">
      <c r="A2438" s="31">
        <v>1000020445</v>
      </c>
      <c r="B2438" s="31" t="s">
        <v>672</v>
      </c>
      <c r="C2438" s="31" t="s">
        <v>4</v>
      </c>
      <c r="D2438" s="31" t="s">
        <v>2090</v>
      </c>
      <c r="E2438" s="32">
        <v>909.99044444444405</v>
      </c>
      <c r="F2438" s="32">
        <v>41</v>
      </c>
    </row>
    <row r="2439" spans="1:6" x14ac:dyDescent="0.3">
      <c r="A2439" s="31">
        <v>1000010226</v>
      </c>
      <c r="B2439" s="31" t="s">
        <v>3556</v>
      </c>
      <c r="C2439" s="31" t="s">
        <v>4</v>
      </c>
      <c r="D2439" s="31" t="s">
        <v>2161</v>
      </c>
      <c r="E2439" s="32">
        <v>908.244611111111</v>
      </c>
      <c r="F2439" s="32">
        <v>5</v>
      </c>
    </row>
    <row r="2440" spans="1:6" x14ac:dyDescent="0.3">
      <c r="A2440" s="31">
        <v>1000099336</v>
      </c>
      <c r="B2440" s="31" t="s">
        <v>3557</v>
      </c>
      <c r="C2440" s="31" t="s">
        <v>4</v>
      </c>
      <c r="D2440" s="31" t="s">
        <v>2090</v>
      </c>
      <c r="E2440" s="32">
        <v>907.42499999999995</v>
      </c>
      <c r="F2440" s="32">
        <v>1</v>
      </c>
    </row>
    <row r="2441" spans="1:6" x14ac:dyDescent="0.3">
      <c r="A2441" s="31">
        <v>1000098724</v>
      </c>
      <c r="B2441" s="31" t="s">
        <v>1667</v>
      </c>
      <c r="C2441" s="31" t="s">
        <v>4</v>
      </c>
      <c r="D2441" s="31" t="s">
        <v>2218</v>
      </c>
      <c r="E2441" s="32">
        <v>907.14312500000005</v>
      </c>
      <c r="F2441" s="32">
        <v>1</v>
      </c>
    </row>
    <row r="2442" spans="1:6" x14ac:dyDescent="0.3">
      <c r="A2442" s="31">
        <v>1000020248</v>
      </c>
      <c r="B2442" s="31" t="s">
        <v>487</v>
      </c>
      <c r="C2442" s="31" t="s">
        <v>4</v>
      </c>
      <c r="D2442" s="31" t="s">
        <v>2090</v>
      </c>
      <c r="E2442" s="32">
        <v>905</v>
      </c>
      <c r="F2442" s="32">
        <v>100</v>
      </c>
    </row>
    <row r="2443" spans="1:6" x14ac:dyDescent="0.3">
      <c r="A2443" s="31">
        <v>1000021317</v>
      </c>
      <c r="B2443" s="31" t="s">
        <v>1449</v>
      </c>
      <c r="C2443" s="31" t="s">
        <v>4</v>
      </c>
      <c r="D2443" s="31" t="s">
        <v>2090</v>
      </c>
      <c r="E2443" s="32">
        <v>904.88</v>
      </c>
      <c r="F2443" s="32">
        <v>2</v>
      </c>
    </row>
    <row r="2444" spans="1:6" x14ac:dyDescent="0.3">
      <c r="A2444" s="31">
        <v>1000010088</v>
      </c>
      <c r="B2444" s="31" t="s">
        <v>3558</v>
      </c>
      <c r="C2444" s="31" t="s">
        <v>4</v>
      </c>
      <c r="D2444" s="31" t="s">
        <v>2161</v>
      </c>
      <c r="E2444" s="32">
        <v>904.2</v>
      </c>
      <c r="F2444" s="32">
        <v>5</v>
      </c>
    </row>
    <row r="2445" spans="1:6" x14ac:dyDescent="0.3">
      <c r="A2445" s="31">
        <v>1000100896</v>
      </c>
      <c r="B2445" s="31" t="s">
        <v>3559</v>
      </c>
      <c r="C2445" s="31" t="s">
        <v>4</v>
      </c>
      <c r="D2445" s="31" t="s">
        <v>2161</v>
      </c>
      <c r="E2445" s="32">
        <v>904.2</v>
      </c>
      <c r="F2445" s="32">
        <v>4</v>
      </c>
    </row>
    <row r="2446" spans="1:6" x14ac:dyDescent="0.3">
      <c r="A2446" s="31">
        <v>1000098688</v>
      </c>
      <c r="B2446" s="31" t="s">
        <v>1641</v>
      </c>
      <c r="C2446" s="31" t="s">
        <v>4</v>
      </c>
      <c r="D2446" s="31" t="s">
        <v>2090</v>
      </c>
      <c r="E2446" s="32">
        <v>903</v>
      </c>
      <c r="F2446" s="32">
        <v>5</v>
      </c>
    </row>
    <row r="2447" spans="1:6" x14ac:dyDescent="0.3">
      <c r="A2447" s="31">
        <v>1000020418</v>
      </c>
      <c r="B2447" s="31" t="s">
        <v>647</v>
      </c>
      <c r="C2447" s="31" t="s">
        <v>4</v>
      </c>
      <c r="D2447" s="31" t="s">
        <v>2090</v>
      </c>
      <c r="E2447" s="32">
        <v>901.34</v>
      </c>
      <c r="F2447" s="32">
        <v>115</v>
      </c>
    </row>
    <row r="2448" spans="1:6" x14ac:dyDescent="0.3">
      <c r="A2448" s="31">
        <v>1000098076</v>
      </c>
      <c r="B2448" s="31" t="s">
        <v>3560</v>
      </c>
      <c r="C2448" s="31" t="s">
        <v>4</v>
      </c>
      <c r="D2448" s="31" t="s">
        <v>2090</v>
      </c>
      <c r="E2448" s="32">
        <v>900.67666666666605</v>
      </c>
      <c r="F2448" s="32">
        <v>3</v>
      </c>
    </row>
    <row r="2449" spans="1:6" x14ac:dyDescent="0.3">
      <c r="A2449" s="31">
        <v>1000021208</v>
      </c>
      <c r="B2449" s="31" t="s">
        <v>1354</v>
      </c>
      <c r="C2449" s="31" t="s">
        <v>4</v>
      </c>
      <c r="D2449" s="31" t="s">
        <v>2090</v>
      </c>
      <c r="E2449" s="32">
        <v>900.62</v>
      </c>
      <c r="F2449" s="32">
        <v>7</v>
      </c>
    </row>
    <row r="2450" spans="1:6" x14ac:dyDescent="0.3">
      <c r="A2450" s="31">
        <v>1000020628</v>
      </c>
      <c r="B2450" s="31" t="s">
        <v>843</v>
      </c>
      <c r="C2450" s="31" t="s">
        <v>4</v>
      </c>
      <c r="D2450" s="31" t="s">
        <v>2090</v>
      </c>
      <c r="E2450" s="32">
        <v>899.81423437499996</v>
      </c>
      <c r="F2450" s="32">
        <v>63</v>
      </c>
    </row>
    <row r="2451" spans="1:6" x14ac:dyDescent="0.3">
      <c r="A2451" s="31">
        <v>1000101742</v>
      </c>
      <c r="B2451" s="31" t="s">
        <v>3561</v>
      </c>
      <c r="C2451" s="31" t="s">
        <v>2027</v>
      </c>
      <c r="D2451" s="31" t="s">
        <v>3562</v>
      </c>
      <c r="E2451" s="32">
        <v>897.75</v>
      </c>
      <c r="F2451" s="32">
        <v>21</v>
      </c>
    </row>
    <row r="2452" spans="1:6" x14ac:dyDescent="0.3">
      <c r="A2452" s="31">
        <v>1000010213</v>
      </c>
      <c r="B2452" s="31" t="s">
        <v>3563</v>
      </c>
      <c r="C2452" s="31" t="s">
        <v>4</v>
      </c>
      <c r="D2452" s="31" t="s">
        <v>2161</v>
      </c>
      <c r="E2452" s="32">
        <v>897.39666666666596</v>
      </c>
      <c r="F2452" s="32">
        <v>1</v>
      </c>
    </row>
    <row r="2453" spans="1:6" x14ac:dyDescent="0.3">
      <c r="A2453" s="31">
        <v>1000010091</v>
      </c>
      <c r="B2453" s="31" t="s">
        <v>113</v>
      </c>
      <c r="C2453" s="31" t="s">
        <v>4</v>
      </c>
      <c r="D2453" s="31" t="s">
        <v>2161</v>
      </c>
      <c r="E2453" s="32">
        <v>892.75073609467404</v>
      </c>
      <c r="F2453" s="32">
        <v>3</v>
      </c>
    </row>
    <row r="2454" spans="1:6" x14ac:dyDescent="0.3">
      <c r="A2454" s="31">
        <v>1000101101</v>
      </c>
      <c r="B2454" s="31" t="s">
        <v>3564</v>
      </c>
      <c r="C2454" s="31" t="s">
        <v>4</v>
      </c>
      <c r="D2454" s="31" t="s">
        <v>2284</v>
      </c>
      <c r="E2454" s="32">
        <v>891.19</v>
      </c>
      <c r="F2454" s="32">
        <v>1</v>
      </c>
    </row>
    <row r="2455" spans="1:6" x14ac:dyDescent="0.3">
      <c r="A2455" s="31">
        <v>2500008874</v>
      </c>
      <c r="B2455" s="31" t="s">
        <v>3565</v>
      </c>
      <c r="C2455" s="31" t="s">
        <v>1996</v>
      </c>
      <c r="D2455" s="31" t="s">
        <v>3044</v>
      </c>
      <c r="E2455" s="32">
        <v>890.63</v>
      </c>
      <c r="F2455" s="32">
        <v>50</v>
      </c>
    </row>
    <row r="2456" spans="1:6" x14ac:dyDescent="0.3">
      <c r="A2456" s="31">
        <v>1000021064</v>
      </c>
      <c r="B2456" s="31" t="s">
        <v>1229</v>
      </c>
      <c r="C2456" s="31" t="s">
        <v>4</v>
      </c>
      <c r="D2456" s="31" t="s">
        <v>2090</v>
      </c>
      <c r="E2456" s="32">
        <v>889.5</v>
      </c>
      <c r="F2456" s="32">
        <v>5</v>
      </c>
    </row>
    <row r="2457" spans="1:6" x14ac:dyDescent="0.3">
      <c r="A2457" s="31">
        <v>1000020988</v>
      </c>
      <c r="B2457" s="31" t="s">
        <v>1162</v>
      </c>
      <c r="C2457" s="31" t="s">
        <v>4</v>
      </c>
      <c r="D2457" s="31" t="s">
        <v>2090</v>
      </c>
      <c r="E2457" s="32">
        <v>889.28</v>
      </c>
      <c r="F2457" s="32">
        <v>4</v>
      </c>
    </row>
    <row r="2458" spans="1:6" x14ac:dyDescent="0.3">
      <c r="A2458" s="31">
        <v>1000096246</v>
      </c>
      <c r="B2458" s="31" t="s">
        <v>3566</v>
      </c>
      <c r="C2458" s="31" t="s">
        <v>4</v>
      </c>
      <c r="D2458" s="31" t="s">
        <v>2090</v>
      </c>
      <c r="E2458" s="32">
        <v>888.36444444444396</v>
      </c>
      <c r="F2458" s="32">
        <v>2</v>
      </c>
    </row>
    <row r="2459" spans="1:6" x14ac:dyDescent="0.3">
      <c r="A2459" s="31">
        <v>1000098776</v>
      </c>
      <c r="B2459" s="31" t="s">
        <v>3567</v>
      </c>
      <c r="C2459" s="31" t="s">
        <v>4</v>
      </c>
      <c r="D2459" s="31" t="s">
        <v>2161</v>
      </c>
      <c r="E2459" s="32">
        <v>886.95</v>
      </c>
      <c r="F2459" s="32">
        <v>3</v>
      </c>
    </row>
    <row r="2460" spans="1:6" x14ac:dyDescent="0.3">
      <c r="A2460" s="31">
        <v>1000102701</v>
      </c>
      <c r="B2460" s="31" t="s">
        <v>3568</v>
      </c>
      <c r="C2460" s="31" t="s">
        <v>4</v>
      </c>
      <c r="D2460" s="31" t="s">
        <v>2090</v>
      </c>
      <c r="E2460" s="32">
        <v>885.15</v>
      </c>
      <c r="F2460" s="32">
        <v>38</v>
      </c>
    </row>
    <row r="2461" spans="1:6" x14ac:dyDescent="0.3">
      <c r="A2461" s="31">
        <v>2500009066</v>
      </c>
      <c r="B2461" s="31" t="s">
        <v>3569</v>
      </c>
      <c r="C2461" s="31" t="s">
        <v>1996</v>
      </c>
      <c r="D2461" s="31" t="s">
        <v>2289</v>
      </c>
      <c r="E2461" s="32">
        <v>885</v>
      </c>
      <c r="F2461" s="32">
        <v>4</v>
      </c>
    </row>
    <row r="2462" spans="1:6" x14ac:dyDescent="0.3">
      <c r="A2462" s="31">
        <v>2300010096</v>
      </c>
      <c r="B2462" s="31" t="s">
        <v>3570</v>
      </c>
      <c r="C2462" s="31" t="s">
        <v>2030</v>
      </c>
      <c r="D2462" s="31" t="s">
        <v>2031</v>
      </c>
      <c r="E2462" s="32">
        <v>884.50559999999996</v>
      </c>
      <c r="F2462" s="32">
        <v>1</v>
      </c>
    </row>
    <row r="2463" spans="1:6" x14ac:dyDescent="0.3">
      <c r="A2463" s="31">
        <v>1000093674</v>
      </c>
      <c r="B2463" s="31" t="s">
        <v>3571</v>
      </c>
      <c r="C2463" s="31" t="s">
        <v>4</v>
      </c>
      <c r="D2463" s="31" t="s">
        <v>2056</v>
      </c>
      <c r="E2463" s="32">
        <v>881.5</v>
      </c>
      <c r="F2463" s="32">
        <v>10</v>
      </c>
    </row>
    <row r="2464" spans="1:6" x14ac:dyDescent="0.3">
      <c r="A2464" s="31">
        <v>2500009292</v>
      </c>
      <c r="B2464" s="31" t="s">
        <v>3572</v>
      </c>
      <c r="C2464" s="31" t="s">
        <v>1996</v>
      </c>
      <c r="D2464" s="31" t="s">
        <v>2117</v>
      </c>
      <c r="E2464" s="32">
        <v>881.25</v>
      </c>
      <c r="F2464" s="32">
        <v>1</v>
      </c>
    </row>
    <row r="2465" spans="1:6" x14ac:dyDescent="0.3">
      <c r="A2465" s="31">
        <v>1000020431</v>
      </c>
      <c r="B2465" s="31" t="s">
        <v>658</v>
      </c>
      <c r="C2465" s="31" t="s">
        <v>4</v>
      </c>
      <c r="D2465" s="31" t="s">
        <v>2090</v>
      </c>
      <c r="E2465" s="32">
        <v>881.15923076923002</v>
      </c>
      <c r="F2465" s="32">
        <v>110</v>
      </c>
    </row>
    <row r="2466" spans="1:6" x14ac:dyDescent="0.3">
      <c r="A2466" s="31">
        <v>1000020907</v>
      </c>
      <c r="B2466" s="31" t="s">
        <v>1088</v>
      </c>
      <c r="C2466" s="31" t="s">
        <v>4</v>
      </c>
      <c r="D2466" s="31" t="s">
        <v>2090</v>
      </c>
      <c r="E2466" s="32">
        <v>880.56</v>
      </c>
      <c r="F2466" s="32">
        <v>1</v>
      </c>
    </row>
    <row r="2467" spans="1:6" x14ac:dyDescent="0.3">
      <c r="A2467" s="31">
        <v>1000103201</v>
      </c>
      <c r="B2467" s="31" t="s">
        <v>1808</v>
      </c>
      <c r="C2467" s="31" t="s">
        <v>4</v>
      </c>
      <c r="D2467" s="31" t="s">
        <v>2090</v>
      </c>
      <c r="E2467" s="32">
        <v>880.01</v>
      </c>
      <c r="F2467" s="32">
        <v>3</v>
      </c>
    </row>
    <row r="2468" spans="1:6" x14ac:dyDescent="0.3">
      <c r="A2468" s="31">
        <v>1000098435</v>
      </c>
      <c r="B2468" s="31" t="s">
        <v>1515</v>
      </c>
      <c r="C2468" s="31" t="s">
        <v>4</v>
      </c>
      <c r="D2468" s="31" t="s">
        <v>2090</v>
      </c>
      <c r="E2468" s="32">
        <v>878.98800000000006</v>
      </c>
      <c r="F2468" s="32">
        <v>3</v>
      </c>
    </row>
    <row r="2469" spans="1:6" x14ac:dyDescent="0.3">
      <c r="A2469" s="31">
        <v>1000021152</v>
      </c>
      <c r="B2469" s="31" t="s">
        <v>1301</v>
      </c>
      <c r="C2469" s="31" t="s">
        <v>4</v>
      </c>
      <c r="D2469" s="31" t="s">
        <v>2090</v>
      </c>
      <c r="E2469" s="32">
        <v>878.44</v>
      </c>
      <c r="F2469" s="32">
        <v>4</v>
      </c>
    </row>
    <row r="2470" spans="1:6" x14ac:dyDescent="0.3">
      <c r="A2470" s="31">
        <v>2500008396</v>
      </c>
      <c r="B2470" s="31" t="s">
        <v>3573</v>
      </c>
      <c r="C2470" s="31" t="s">
        <v>1996</v>
      </c>
      <c r="D2470" s="31" t="s">
        <v>2025</v>
      </c>
      <c r="E2470" s="32">
        <v>877.5</v>
      </c>
      <c r="F2470" s="32">
        <v>2</v>
      </c>
    </row>
    <row r="2471" spans="1:6" x14ac:dyDescent="0.3">
      <c r="A2471" s="31">
        <v>2500009195</v>
      </c>
      <c r="B2471" s="31" t="s">
        <v>3574</v>
      </c>
      <c r="C2471" s="31" t="s">
        <v>1996</v>
      </c>
      <c r="D2471" s="31" t="s">
        <v>2025</v>
      </c>
      <c r="E2471" s="32">
        <v>877.5</v>
      </c>
      <c r="F2471" s="32">
        <v>2</v>
      </c>
    </row>
    <row r="2472" spans="1:6" x14ac:dyDescent="0.3">
      <c r="A2472" s="31">
        <v>1000093328</v>
      </c>
      <c r="B2472" s="31" t="s">
        <v>3575</v>
      </c>
      <c r="C2472" s="31" t="s">
        <v>4</v>
      </c>
      <c r="D2472" s="31" t="s">
        <v>2161</v>
      </c>
      <c r="E2472" s="32">
        <v>870.75</v>
      </c>
      <c r="F2472" s="32">
        <v>1</v>
      </c>
    </row>
    <row r="2473" spans="1:6" x14ac:dyDescent="0.3">
      <c r="A2473" s="31">
        <v>1000021256</v>
      </c>
      <c r="B2473" s="31" t="s">
        <v>1401</v>
      </c>
      <c r="C2473" s="31" t="s">
        <v>4</v>
      </c>
      <c r="D2473" s="31" t="s">
        <v>2218</v>
      </c>
      <c r="E2473" s="32">
        <v>869.4375</v>
      </c>
      <c r="F2473" s="32">
        <v>1</v>
      </c>
    </row>
    <row r="2474" spans="1:6" x14ac:dyDescent="0.3">
      <c r="A2474" s="31">
        <v>1000098594</v>
      </c>
      <c r="B2474" s="31" t="s">
        <v>1600</v>
      </c>
      <c r="C2474" s="31" t="s">
        <v>4</v>
      </c>
      <c r="D2474" s="31" t="s">
        <v>2090</v>
      </c>
      <c r="E2474" s="32">
        <v>869.21</v>
      </c>
      <c r="F2474" s="32">
        <v>2</v>
      </c>
    </row>
    <row r="2475" spans="1:6" x14ac:dyDescent="0.3">
      <c r="A2475" s="31">
        <v>2200000396</v>
      </c>
      <c r="B2475" s="31" t="s">
        <v>157</v>
      </c>
      <c r="C2475" s="31" t="s">
        <v>2037</v>
      </c>
      <c r="D2475" s="31" t="s">
        <v>2038</v>
      </c>
      <c r="E2475" s="32">
        <v>866.59</v>
      </c>
      <c r="F2475" s="32">
        <v>2</v>
      </c>
    </row>
    <row r="2476" spans="1:6" x14ac:dyDescent="0.3">
      <c r="A2476" s="31">
        <v>1000101620</v>
      </c>
      <c r="B2476" s="31" t="s">
        <v>3576</v>
      </c>
      <c r="C2476" s="31" t="s">
        <v>2844</v>
      </c>
      <c r="D2476" s="31" t="s">
        <v>2639</v>
      </c>
      <c r="E2476" s="32">
        <v>866.55</v>
      </c>
      <c r="F2476" s="32">
        <v>109</v>
      </c>
    </row>
    <row r="2477" spans="1:6" x14ac:dyDescent="0.3">
      <c r="A2477" s="31">
        <v>1000103735</v>
      </c>
      <c r="B2477" s="31" t="s">
        <v>1875</v>
      </c>
      <c r="C2477" s="31" t="s">
        <v>4</v>
      </c>
      <c r="D2477" s="31" t="s">
        <v>2056</v>
      </c>
      <c r="E2477" s="32">
        <v>865.56600000000003</v>
      </c>
      <c r="F2477" s="32">
        <v>180</v>
      </c>
    </row>
    <row r="2478" spans="1:6" x14ac:dyDescent="0.3">
      <c r="A2478" s="31">
        <v>2200002051</v>
      </c>
      <c r="B2478" s="31" t="s">
        <v>3577</v>
      </c>
      <c r="C2478" s="31" t="s">
        <v>2030</v>
      </c>
      <c r="D2478" s="31" t="s">
        <v>2859</v>
      </c>
      <c r="E2478" s="32">
        <v>863.77499999999998</v>
      </c>
      <c r="F2478" s="32">
        <v>2</v>
      </c>
    </row>
    <row r="2479" spans="1:6" x14ac:dyDescent="0.3">
      <c r="A2479" s="31">
        <v>1000095394</v>
      </c>
      <c r="B2479" s="31" t="s">
        <v>3578</v>
      </c>
      <c r="C2479" s="31" t="s">
        <v>4</v>
      </c>
      <c r="D2479" s="31" t="s">
        <v>2090</v>
      </c>
      <c r="E2479" s="32">
        <v>863.71</v>
      </c>
      <c r="F2479" s="32">
        <v>3</v>
      </c>
    </row>
    <row r="2480" spans="1:6" x14ac:dyDescent="0.3">
      <c r="A2480" s="31">
        <v>1000098849</v>
      </c>
      <c r="B2480" s="31" t="s">
        <v>3579</v>
      </c>
      <c r="C2480" s="31" t="s">
        <v>4</v>
      </c>
      <c r="D2480" s="31" t="s">
        <v>2161</v>
      </c>
      <c r="E2480" s="32">
        <v>863.46974999999998</v>
      </c>
      <c r="F2480" s="32">
        <v>3</v>
      </c>
    </row>
    <row r="2481" spans="1:6" x14ac:dyDescent="0.3">
      <c r="A2481" s="31">
        <v>1000021366</v>
      </c>
      <c r="B2481" s="31" t="s">
        <v>1461</v>
      </c>
      <c r="C2481" s="31" t="s">
        <v>4</v>
      </c>
      <c r="D2481" s="31" t="s">
        <v>2090</v>
      </c>
      <c r="E2481" s="32">
        <v>863.18</v>
      </c>
      <c r="F2481" s="32">
        <v>2</v>
      </c>
    </row>
    <row r="2482" spans="1:6" x14ac:dyDescent="0.3">
      <c r="A2482" s="31">
        <v>1000100651</v>
      </c>
      <c r="B2482" s="31" t="s">
        <v>3580</v>
      </c>
      <c r="C2482" s="31" t="s">
        <v>4</v>
      </c>
      <c r="D2482" s="31" t="s">
        <v>2056</v>
      </c>
      <c r="E2482" s="32">
        <v>863.1</v>
      </c>
      <c r="F2482" s="32">
        <v>1750</v>
      </c>
    </row>
    <row r="2483" spans="1:6" x14ac:dyDescent="0.3">
      <c r="A2483" s="31">
        <v>1000020116</v>
      </c>
      <c r="B2483" s="31" t="s">
        <v>371</v>
      </c>
      <c r="C2483" s="31" t="s">
        <v>4</v>
      </c>
      <c r="D2483" s="31" t="s">
        <v>2090</v>
      </c>
      <c r="E2483" s="32">
        <v>862.54</v>
      </c>
      <c r="F2483" s="32">
        <v>2</v>
      </c>
    </row>
    <row r="2484" spans="1:6" x14ac:dyDescent="0.3">
      <c r="A2484" s="31">
        <v>1000093598</v>
      </c>
      <c r="B2484" s="31" t="s">
        <v>3581</v>
      </c>
      <c r="C2484" s="31" t="s">
        <v>4</v>
      </c>
      <c r="D2484" s="31" t="s">
        <v>2056</v>
      </c>
      <c r="E2484" s="32">
        <v>861.631197744166</v>
      </c>
      <c r="F2484" s="32">
        <v>28</v>
      </c>
    </row>
    <row r="2485" spans="1:6" x14ac:dyDescent="0.3">
      <c r="A2485" s="31">
        <v>1000020200</v>
      </c>
      <c r="B2485" s="31" t="s">
        <v>441</v>
      </c>
      <c r="C2485" s="31" t="s">
        <v>4</v>
      </c>
      <c r="D2485" s="31" t="s">
        <v>2090</v>
      </c>
      <c r="E2485" s="32">
        <v>861.48</v>
      </c>
      <c r="F2485" s="32">
        <v>3</v>
      </c>
    </row>
    <row r="2486" spans="1:6" x14ac:dyDescent="0.3">
      <c r="A2486" s="31">
        <v>1000098573</v>
      </c>
      <c r="B2486" s="31" t="s">
        <v>1582</v>
      </c>
      <c r="C2486" s="31" t="s">
        <v>4</v>
      </c>
      <c r="D2486" s="31" t="s">
        <v>2090</v>
      </c>
      <c r="E2486" s="32">
        <v>861.22</v>
      </c>
      <c r="F2486" s="32">
        <v>61</v>
      </c>
    </row>
    <row r="2487" spans="1:6" x14ac:dyDescent="0.3">
      <c r="A2487" s="31">
        <v>2500008256</v>
      </c>
      <c r="B2487" s="31" t="s">
        <v>3582</v>
      </c>
      <c r="C2487" s="31" t="s">
        <v>1996</v>
      </c>
      <c r="D2487" s="31" t="s">
        <v>2025</v>
      </c>
      <c r="E2487" s="32">
        <v>860.625</v>
      </c>
      <c r="F2487" s="32">
        <v>1</v>
      </c>
    </row>
    <row r="2488" spans="1:6" x14ac:dyDescent="0.3">
      <c r="A2488" s="31">
        <v>1000021225</v>
      </c>
      <c r="B2488" s="31" t="s">
        <v>1371</v>
      </c>
      <c r="C2488" s="31" t="s">
        <v>4</v>
      </c>
      <c r="D2488" s="31" t="s">
        <v>2090</v>
      </c>
      <c r="E2488" s="32">
        <v>860.4</v>
      </c>
      <c r="F2488" s="32">
        <v>3</v>
      </c>
    </row>
    <row r="2489" spans="1:6" x14ac:dyDescent="0.3">
      <c r="A2489" s="31">
        <v>2500008690</v>
      </c>
      <c r="B2489" s="31" t="s">
        <v>3583</v>
      </c>
      <c r="C2489" s="31" t="s">
        <v>1996</v>
      </c>
      <c r="D2489" s="31" t="s">
        <v>2025</v>
      </c>
      <c r="E2489" s="32">
        <v>858.09749999999997</v>
      </c>
      <c r="F2489" s="32">
        <v>3</v>
      </c>
    </row>
    <row r="2490" spans="1:6" x14ac:dyDescent="0.3">
      <c r="A2490" s="31">
        <v>1000020703</v>
      </c>
      <c r="B2490" s="31" t="s">
        <v>913</v>
      </c>
      <c r="C2490" s="31" t="s">
        <v>4</v>
      </c>
      <c r="D2490" s="31" t="s">
        <v>2090</v>
      </c>
      <c r="E2490" s="32">
        <v>857.10141414141401</v>
      </c>
      <c r="F2490" s="32">
        <v>8</v>
      </c>
    </row>
    <row r="2491" spans="1:6" x14ac:dyDescent="0.3">
      <c r="A2491" s="31">
        <v>80000009722</v>
      </c>
      <c r="B2491" s="31" t="s">
        <v>3584</v>
      </c>
      <c r="C2491" s="31" t="s">
        <v>2521</v>
      </c>
      <c r="D2491" s="31" t="s">
        <v>2670</v>
      </c>
      <c r="E2491" s="32">
        <v>856.88940688940602</v>
      </c>
      <c r="F2491" s="32">
        <v>1700</v>
      </c>
    </row>
    <row r="2492" spans="1:6" x14ac:dyDescent="0.3">
      <c r="A2492" s="31">
        <v>1000103600</v>
      </c>
      <c r="B2492" s="31" t="s">
        <v>3585</v>
      </c>
      <c r="C2492" s="31" t="s">
        <v>4</v>
      </c>
      <c r="D2492" s="31" t="s">
        <v>2056</v>
      </c>
      <c r="E2492" s="32">
        <v>856.14700000000005</v>
      </c>
      <c r="F2492" s="32">
        <v>1015</v>
      </c>
    </row>
    <row r="2493" spans="1:6" x14ac:dyDescent="0.3">
      <c r="A2493" s="31">
        <v>1000102700</v>
      </c>
      <c r="B2493" s="31" t="s">
        <v>3586</v>
      </c>
      <c r="C2493" s="31" t="s">
        <v>4</v>
      </c>
      <c r="D2493" s="31" t="s">
        <v>2090</v>
      </c>
      <c r="E2493" s="32">
        <v>855.11</v>
      </c>
      <c r="F2493" s="32">
        <v>44</v>
      </c>
    </row>
    <row r="2494" spans="1:6" x14ac:dyDescent="0.3">
      <c r="A2494" s="31">
        <v>2500009474</v>
      </c>
      <c r="B2494" s="31" t="s">
        <v>3587</v>
      </c>
      <c r="C2494" s="31" t="s">
        <v>1996</v>
      </c>
      <c r="D2494" s="31" t="s">
        <v>2289</v>
      </c>
      <c r="E2494" s="32">
        <v>855</v>
      </c>
      <c r="F2494" s="32">
        <v>4</v>
      </c>
    </row>
    <row r="2495" spans="1:6" x14ac:dyDescent="0.3">
      <c r="A2495" s="31">
        <v>1000093673</v>
      </c>
      <c r="B2495" s="31" t="s">
        <v>3588</v>
      </c>
      <c r="C2495" s="31" t="s">
        <v>4</v>
      </c>
      <c r="D2495" s="31" t="s">
        <v>2056</v>
      </c>
      <c r="E2495" s="32">
        <v>854.49599999999998</v>
      </c>
      <c r="F2495" s="32">
        <v>12</v>
      </c>
    </row>
    <row r="2496" spans="1:6" x14ac:dyDescent="0.3">
      <c r="A2496" s="31">
        <v>1000003007</v>
      </c>
      <c r="B2496" s="31" t="s">
        <v>27</v>
      </c>
      <c r="C2496" s="31" t="s">
        <v>2257</v>
      </c>
      <c r="D2496" s="31" t="s">
        <v>2070</v>
      </c>
      <c r="E2496" s="32">
        <v>854.435331576002</v>
      </c>
      <c r="F2496" s="32">
        <v>5</v>
      </c>
    </row>
    <row r="2497" spans="1:6" x14ac:dyDescent="0.3">
      <c r="A2497" s="31">
        <v>1000111010</v>
      </c>
      <c r="B2497" s="31" t="s">
        <v>3589</v>
      </c>
      <c r="C2497" s="31" t="s">
        <v>4</v>
      </c>
      <c r="D2497" s="31" t="s">
        <v>2090</v>
      </c>
      <c r="E2497" s="32">
        <v>854.02499999999998</v>
      </c>
      <c r="F2497" s="32">
        <v>2</v>
      </c>
    </row>
    <row r="2498" spans="1:6" x14ac:dyDescent="0.3">
      <c r="A2498" s="31">
        <v>1000103217</v>
      </c>
      <c r="B2498" s="31" t="s">
        <v>3590</v>
      </c>
      <c r="C2498" s="31" t="s">
        <v>4</v>
      </c>
      <c r="D2498" s="31" t="s">
        <v>2090</v>
      </c>
      <c r="E2498" s="32">
        <v>852.64</v>
      </c>
      <c r="F2498" s="32">
        <v>1</v>
      </c>
    </row>
    <row r="2499" spans="1:6" x14ac:dyDescent="0.3">
      <c r="A2499" s="31">
        <v>1000020983</v>
      </c>
      <c r="B2499" s="31" t="s">
        <v>1157</v>
      </c>
      <c r="C2499" s="31" t="s">
        <v>4</v>
      </c>
      <c r="D2499" s="31" t="s">
        <v>2090</v>
      </c>
      <c r="E2499" s="32">
        <v>851.83</v>
      </c>
      <c r="F2499" s="32">
        <v>13</v>
      </c>
    </row>
    <row r="2500" spans="1:6" x14ac:dyDescent="0.3">
      <c r="A2500" s="31">
        <v>1000093532</v>
      </c>
      <c r="B2500" s="31" t="s">
        <v>3591</v>
      </c>
      <c r="C2500" s="31" t="s">
        <v>4</v>
      </c>
      <c r="D2500" s="31" t="s">
        <v>2161</v>
      </c>
      <c r="E2500" s="32">
        <v>851.73919999999998</v>
      </c>
      <c r="F2500" s="32">
        <v>4</v>
      </c>
    </row>
    <row r="2501" spans="1:6" x14ac:dyDescent="0.3">
      <c r="A2501" s="31">
        <v>2200002961</v>
      </c>
      <c r="B2501" s="31" t="s">
        <v>3592</v>
      </c>
      <c r="C2501" s="31" t="s">
        <v>2037</v>
      </c>
      <c r="D2501" s="31" t="s">
        <v>2038</v>
      </c>
      <c r="E2501" s="32">
        <v>850.85</v>
      </c>
      <c r="F2501" s="32">
        <v>1</v>
      </c>
    </row>
    <row r="2502" spans="1:6" x14ac:dyDescent="0.3">
      <c r="A2502" s="31">
        <v>2200011682</v>
      </c>
      <c r="B2502" s="31" t="s">
        <v>3593</v>
      </c>
      <c r="C2502" s="31" t="s">
        <v>2088</v>
      </c>
      <c r="D2502" s="31" t="s">
        <v>2038</v>
      </c>
      <c r="E2502" s="32">
        <v>850.85</v>
      </c>
      <c r="F2502" s="32">
        <v>1</v>
      </c>
    </row>
    <row r="2503" spans="1:6" x14ac:dyDescent="0.3">
      <c r="A2503" s="31">
        <v>1000020600</v>
      </c>
      <c r="B2503" s="31" t="s">
        <v>816</v>
      </c>
      <c r="C2503" s="31" t="s">
        <v>4</v>
      </c>
      <c r="D2503" s="31" t="s">
        <v>2090</v>
      </c>
      <c r="E2503" s="32">
        <v>850.5</v>
      </c>
      <c r="F2503" s="32">
        <v>34</v>
      </c>
    </row>
    <row r="2504" spans="1:6" x14ac:dyDescent="0.3">
      <c r="A2504" s="31">
        <v>1000094196</v>
      </c>
      <c r="B2504" s="31" t="s">
        <v>3594</v>
      </c>
      <c r="C2504" s="31" t="s">
        <v>4</v>
      </c>
      <c r="D2504" s="31" t="s">
        <v>2056</v>
      </c>
      <c r="E2504" s="32">
        <v>849.25116610177395</v>
      </c>
      <c r="F2504" s="32">
        <v>5184</v>
      </c>
    </row>
    <row r="2505" spans="1:6" x14ac:dyDescent="0.3">
      <c r="A2505" s="31">
        <v>1000102272</v>
      </c>
      <c r="B2505" s="31" t="s">
        <v>3595</v>
      </c>
      <c r="C2505" s="31" t="s">
        <v>4</v>
      </c>
      <c r="D2505" s="31" t="s">
        <v>2090</v>
      </c>
      <c r="E2505" s="32">
        <v>848.25</v>
      </c>
      <c r="F2505" s="32">
        <v>20</v>
      </c>
    </row>
    <row r="2506" spans="1:6" x14ac:dyDescent="0.3">
      <c r="A2506" s="31">
        <v>2500009024</v>
      </c>
      <c r="B2506" s="31" t="s">
        <v>1960</v>
      </c>
      <c r="C2506" s="31" t="s">
        <v>1996</v>
      </c>
      <c r="D2506" s="31" t="s">
        <v>2025</v>
      </c>
      <c r="E2506" s="32">
        <v>847.125</v>
      </c>
      <c r="F2506" s="32">
        <v>1</v>
      </c>
    </row>
    <row r="2507" spans="1:6" x14ac:dyDescent="0.3">
      <c r="A2507" s="31">
        <v>1000095440</v>
      </c>
      <c r="B2507" s="31" t="s">
        <v>3596</v>
      </c>
      <c r="C2507" s="31" t="s">
        <v>4</v>
      </c>
      <c r="D2507" s="31" t="s">
        <v>2090</v>
      </c>
      <c r="E2507" s="32">
        <v>845.82074074074001</v>
      </c>
      <c r="F2507" s="32">
        <v>23</v>
      </c>
    </row>
    <row r="2508" spans="1:6" x14ac:dyDescent="0.3">
      <c r="A2508" s="31">
        <v>1000020614</v>
      </c>
      <c r="B2508" s="31" t="s">
        <v>830</v>
      </c>
      <c r="C2508" s="31" t="s">
        <v>4</v>
      </c>
      <c r="D2508" s="31" t="s">
        <v>2090</v>
      </c>
      <c r="E2508" s="32">
        <v>845</v>
      </c>
      <c r="F2508" s="32">
        <v>100</v>
      </c>
    </row>
    <row r="2509" spans="1:6" x14ac:dyDescent="0.3">
      <c r="A2509" s="31">
        <v>1000010252</v>
      </c>
      <c r="B2509" s="31" t="s">
        <v>3597</v>
      </c>
      <c r="C2509" s="31" t="s">
        <v>4</v>
      </c>
      <c r="D2509" s="31" t="s">
        <v>2161</v>
      </c>
      <c r="E2509" s="32">
        <v>844.15</v>
      </c>
      <c r="F2509" s="32">
        <v>5</v>
      </c>
    </row>
    <row r="2510" spans="1:6" x14ac:dyDescent="0.3">
      <c r="A2510" s="31">
        <v>1000020038</v>
      </c>
      <c r="B2510" s="31" t="s">
        <v>3598</v>
      </c>
      <c r="C2510" s="31" t="s">
        <v>4</v>
      </c>
      <c r="D2510" s="31" t="s">
        <v>2090</v>
      </c>
      <c r="E2510" s="32">
        <v>843.17647058823502</v>
      </c>
      <c r="F2510" s="32">
        <v>15</v>
      </c>
    </row>
    <row r="2511" spans="1:6" x14ac:dyDescent="0.3">
      <c r="A2511" s="31">
        <v>1000021234</v>
      </c>
      <c r="B2511" s="31" t="s">
        <v>1379</v>
      </c>
      <c r="C2511" s="31" t="s">
        <v>4</v>
      </c>
      <c r="D2511" s="31" t="s">
        <v>2090</v>
      </c>
      <c r="E2511" s="32">
        <v>841.95</v>
      </c>
      <c r="F2511" s="32">
        <v>3</v>
      </c>
    </row>
    <row r="2512" spans="1:6" x14ac:dyDescent="0.3">
      <c r="A2512" s="31">
        <v>1000021145</v>
      </c>
      <c r="B2512" s="31" t="s">
        <v>1296</v>
      </c>
      <c r="C2512" s="31" t="s">
        <v>4</v>
      </c>
      <c r="D2512" s="31" t="s">
        <v>2090</v>
      </c>
      <c r="E2512" s="32">
        <v>840.82500000000005</v>
      </c>
      <c r="F2512" s="32">
        <v>1</v>
      </c>
    </row>
    <row r="2513" spans="1:6" x14ac:dyDescent="0.3">
      <c r="A2513" s="31">
        <v>80000009750</v>
      </c>
      <c r="B2513" s="31" t="s">
        <v>3599</v>
      </c>
      <c r="C2513" s="31" t="s">
        <v>2755</v>
      </c>
      <c r="D2513" s="31" t="s">
        <v>2670</v>
      </c>
      <c r="E2513" s="32">
        <v>840</v>
      </c>
      <c r="F2513" s="32">
        <v>20</v>
      </c>
    </row>
    <row r="2514" spans="1:6" x14ac:dyDescent="0.3">
      <c r="A2514" s="31">
        <v>2500005935</v>
      </c>
      <c r="B2514" s="31" t="s">
        <v>1910</v>
      </c>
      <c r="C2514" s="31" t="s">
        <v>1996</v>
      </c>
      <c r="D2514" s="31" t="s">
        <v>2025</v>
      </c>
      <c r="E2514" s="32">
        <v>837</v>
      </c>
      <c r="F2514" s="32">
        <v>5</v>
      </c>
    </row>
    <row r="2515" spans="1:6" x14ac:dyDescent="0.3">
      <c r="A2515" s="31">
        <v>1000020182</v>
      </c>
      <c r="B2515" s="31" t="s">
        <v>425</v>
      </c>
      <c r="C2515" s="31" t="s">
        <v>4</v>
      </c>
      <c r="D2515" s="31" t="s">
        <v>2090</v>
      </c>
      <c r="E2515" s="32">
        <v>835.41</v>
      </c>
      <c r="F2515" s="32">
        <v>3</v>
      </c>
    </row>
    <row r="2516" spans="1:6" x14ac:dyDescent="0.3">
      <c r="A2516" s="31">
        <v>1000020940</v>
      </c>
      <c r="B2516" s="31" t="s">
        <v>1119</v>
      </c>
      <c r="C2516" s="31" t="s">
        <v>4</v>
      </c>
      <c r="D2516" s="31" t="s">
        <v>2090</v>
      </c>
      <c r="E2516" s="32">
        <v>834.66</v>
      </c>
      <c r="F2516" s="32">
        <v>2</v>
      </c>
    </row>
    <row r="2517" spans="1:6" x14ac:dyDescent="0.3">
      <c r="A2517" s="31">
        <v>2700000278</v>
      </c>
      <c r="B2517" s="31" t="s">
        <v>3600</v>
      </c>
      <c r="C2517" s="31" t="s">
        <v>2037</v>
      </c>
      <c r="D2517" s="31" t="s">
        <v>2038</v>
      </c>
      <c r="E2517" s="32">
        <v>834.54</v>
      </c>
      <c r="F2517" s="32">
        <v>1</v>
      </c>
    </row>
    <row r="2518" spans="1:6" x14ac:dyDescent="0.3">
      <c r="A2518" s="31">
        <v>1000103075</v>
      </c>
      <c r="B2518" s="31" t="s">
        <v>3601</v>
      </c>
      <c r="C2518" s="31" t="s">
        <v>4</v>
      </c>
      <c r="D2518" s="31" t="s">
        <v>2090</v>
      </c>
      <c r="E2518" s="32">
        <v>833.63499999999999</v>
      </c>
      <c r="F2518" s="32">
        <v>12</v>
      </c>
    </row>
    <row r="2519" spans="1:6" x14ac:dyDescent="0.3">
      <c r="A2519" s="31">
        <v>1000020859</v>
      </c>
      <c r="B2519" s="31" t="s">
        <v>1048</v>
      </c>
      <c r="C2519" s="31" t="s">
        <v>4</v>
      </c>
      <c r="D2519" s="31" t="s">
        <v>2090</v>
      </c>
      <c r="E2519" s="32">
        <v>833.02333333333297</v>
      </c>
      <c r="F2519" s="32">
        <v>2</v>
      </c>
    </row>
    <row r="2520" spans="1:6" x14ac:dyDescent="0.3">
      <c r="A2520" s="31">
        <v>1000101738</v>
      </c>
      <c r="B2520" s="31" t="s">
        <v>3602</v>
      </c>
      <c r="C2520" s="31" t="s">
        <v>2027</v>
      </c>
      <c r="D2520" s="31" t="s">
        <v>3562</v>
      </c>
      <c r="E2520" s="32">
        <v>831.25</v>
      </c>
      <c r="F2520" s="32">
        <v>5</v>
      </c>
    </row>
    <row r="2521" spans="1:6" x14ac:dyDescent="0.3">
      <c r="A2521" s="31">
        <v>2500009239</v>
      </c>
      <c r="B2521" s="31" t="s">
        <v>1988</v>
      </c>
      <c r="C2521" s="31" t="s">
        <v>1996</v>
      </c>
      <c r="D2521" s="31" t="s">
        <v>3603</v>
      </c>
      <c r="E2521" s="32">
        <v>830.45</v>
      </c>
      <c r="F2521" s="32">
        <v>1</v>
      </c>
    </row>
    <row r="2522" spans="1:6" x14ac:dyDescent="0.3">
      <c r="A2522" s="31">
        <v>1000021210</v>
      </c>
      <c r="B2522" s="31" t="s">
        <v>1356</v>
      </c>
      <c r="C2522" s="31" t="s">
        <v>4</v>
      </c>
      <c r="D2522" s="31" t="s">
        <v>2218</v>
      </c>
      <c r="E2522" s="32">
        <v>830.43719999999996</v>
      </c>
      <c r="F2522" s="32">
        <v>6</v>
      </c>
    </row>
    <row r="2523" spans="1:6" x14ac:dyDescent="0.3">
      <c r="A2523" s="31">
        <v>1000021116</v>
      </c>
      <c r="B2523" s="31" t="s">
        <v>1276</v>
      </c>
      <c r="C2523" s="31" t="s">
        <v>4</v>
      </c>
      <c r="D2523" s="31" t="s">
        <v>2090</v>
      </c>
      <c r="E2523" s="32">
        <v>830.16</v>
      </c>
      <c r="F2523" s="32">
        <v>4</v>
      </c>
    </row>
    <row r="2524" spans="1:6" x14ac:dyDescent="0.3">
      <c r="A2524" s="31">
        <v>1000093811</v>
      </c>
      <c r="B2524" s="31" t="s">
        <v>3604</v>
      </c>
      <c r="C2524" s="31" t="s">
        <v>4</v>
      </c>
      <c r="D2524" s="31" t="s">
        <v>2161</v>
      </c>
      <c r="E2524" s="32">
        <v>829.4</v>
      </c>
      <c r="F2524" s="32">
        <v>3</v>
      </c>
    </row>
    <row r="2525" spans="1:6" x14ac:dyDescent="0.3">
      <c r="A2525" s="31">
        <v>1000020582</v>
      </c>
      <c r="B2525" s="31" t="s">
        <v>798</v>
      </c>
      <c r="C2525" s="31" t="s">
        <v>4</v>
      </c>
      <c r="D2525" s="31" t="s">
        <v>2090</v>
      </c>
      <c r="E2525" s="32">
        <v>829</v>
      </c>
      <c r="F2525" s="32">
        <v>25</v>
      </c>
    </row>
    <row r="2526" spans="1:6" x14ac:dyDescent="0.3">
      <c r="A2526" s="31">
        <v>2500008888</v>
      </c>
      <c r="B2526" s="31" t="s">
        <v>3605</v>
      </c>
      <c r="C2526" s="31" t="s">
        <v>1996</v>
      </c>
      <c r="D2526" s="31" t="s">
        <v>2025</v>
      </c>
      <c r="E2526" s="32">
        <v>828.75</v>
      </c>
      <c r="F2526" s="32">
        <v>1</v>
      </c>
    </row>
    <row r="2527" spans="1:6" x14ac:dyDescent="0.3">
      <c r="A2527" s="31">
        <v>1000098702</v>
      </c>
      <c r="B2527" s="31" t="s">
        <v>1652</v>
      </c>
      <c r="C2527" s="31" t="s">
        <v>4</v>
      </c>
      <c r="D2527" s="31" t="s">
        <v>2090</v>
      </c>
      <c r="E2527" s="32">
        <v>828.30086309523801</v>
      </c>
      <c r="F2527" s="32">
        <v>10</v>
      </c>
    </row>
    <row r="2528" spans="1:6" x14ac:dyDescent="0.3">
      <c r="A2528" s="31">
        <v>1000020144</v>
      </c>
      <c r="B2528" s="31" t="s">
        <v>397</v>
      </c>
      <c r="C2528" s="31" t="s">
        <v>4</v>
      </c>
      <c r="D2528" s="31" t="s">
        <v>2090</v>
      </c>
      <c r="E2528" s="32">
        <v>828.3</v>
      </c>
      <c r="F2528" s="32">
        <v>10</v>
      </c>
    </row>
    <row r="2529" spans="1:6" x14ac:dyDescent="0.3">
      <c r="A2529" s="31">
        <v>1000096209</v>
      </c>
      <c r="B2529" s="31" t="s">
        <v>3606</v>
      </c>
      <c r="C2529" s="31" t="s">
        <v>4</v>
      </c>
      <c r="D2529" s="31" t="s">
        <v>2090</v>
      </c>
      <c r="E2529" s="32">
        <v>826.82</v>
      </c>
      <c r="F2529" s="32">
        <v>2</v>
      </c>
    </row>
    <row r="2530" spans="1:6" x14ac:dyDescent="0.3">
      <c r="A2530" s="31">
        <v>1000020970</v>
      </c>
      <c r="B2530" s="31" t="s">
        <v>1144</v>
      </c>
      <c r="C2530" s="31" t="s">
        <v>4</v>
      </c>
      <c r="D2530" s="31" t="s">
        <v>2090</v>
      </c>
      <c r="E2530" s="32">
        <v>826.14</v>
      </c>
      <c r="F2530" s="32">
        <v>1</v>
      </c>
    </row>
    <row r="2531" spans="1:6" x14ac:dyDescent="0.3">
      <c r="A2531" s="31">
        <v>2200002962</v>
      </c>
      <c r="B2531" s="31" t="s">
        <v>3607</v>
      </c>
      <c r="C2531" s="31" t="s">
        <v>2037</v>
      </c>
      <c r="D2531" s="31" t="s">
        <v>2038</v>
      </c>
      <c r="E2531" s="32">
        <v>826.1</v>
      </c>
      <c r="F2531" s="32">
        <v>1</v>
      </c>
    </row>
    <row r="2532" spans="1:6" x14ac:dyDescent="0.3">
      <c r="A2532" s="31">
        <v>1000017011</v>
      </c>
      <c r="B2532" s="31" t="s">
        <v>3608</v>
      </c>
      <c r="C2532" s="31" t="s">
        <v>4</v>
      </c>
      <c r="D2532" s="31" t="s">
        <v>3274</v>
      </c>
      <c r="E2532" s="32">
        <v>825</v>
      </c>
      <c r="F2532" s="32">
        <v>50</v>
      </c>
    </row>
    <row r="2533" spans="1:6" x14ac:dyDescent="0.3">
      <c r="A2533" s="31">
        <v>2500009069</v>
      </c>
      <c r="B2533" s="31" t="s">
        <v>3609</v>
      </c>
      <c r="C2533" s="31" t="s">
        <v>1996</v>
      </c>
      <c r="D2533" s="31" t="s">
        <v>2289</v>
      </c>
      <c r="E2533" s="32">
        <v>825</v>
      </c>
      <c r="F2533" s="32">
        <v>4</v>
      </c>
    </row>
    <row r="2534" spans="1:6" x14ac:dyDescent="0.3">
      <c r="A2534" s="31">
        <v>2500008216</v>
      </c>
      <c r="B2534" s="31" t="s">
        <v>3610</v>
      </c>
      <c r="C2534" s="31" t="s">
        <v>1996</v>
      </c>
      <c r="D2534" s="31" t="s">
        <v>2025</v>
      </c>
      <c r="E2534" s="32">
        <v>824.86</v>
      </c>
      <c r="F2534" s="32">
        <v>7</v>
      </c>
    </row>
    <row r="2535" spans="1:6" x14ac:dyDescent="0.3">
      <c r="A2535" s="31">
        <v>1000103203</v>
      </c>
      <c r="B2535" s="31" t="s">
        <v>1810</v>
      </c>
      <c r="C2535" s="31" t="s">
        <v>4</v>
      </c>
      <c r="D2535" s="31" t="s">
        <v>2090</v>
      </c>
      <c r="E2535" s="32">
        <v>824.39202830188594</v>
      </c>
      <c r="F2535" s="32">
        <v>29</v>
      </c>
    </row>
    <row r="2536" spans="1:6" x14ac:dyDescent="0.3">
      <c r="A2536" s="31">
        <v>1000010223</v>
      </c>
      <c r="B2536" s="31" t="s">
        <v>3611</v>
      </c>
      <c r="C2536" s="31" t="s">
        <v>4</v>
      </c>
      <c r="D2536" s="31" t="s">
        <v>2161</v>
      </c>
      <c r="E2536" s="32">
        <v>824.38714285714195</v>
      </c>
      <c r="F2536" s="32">
        <v>3</v>
      </c>
    </row>
    <row r="2537" spans="1:6" x14ac:dyDescent="0.3">
      <c r="A2537" s="31">
        <v>2200010167</v>
      </c>
      <c r="B2537" s="31" t="s">
        <v>208</v>
      </c>
      <c r="C2537" s="31" t="s">
        <v>2037</v>
      </c>
      <c r="D2537" s="31" t="s">
        <v>2067</v>
      </c>
      <c r="E2537" s="32">
        <v>823.65</v>
      </c>
      <c r="F2537" s="32">
        <v>2</v>
      </c>
    </row>
    <row r="2538" spans="1:6" x14ac:dyDescent="0.3">
      <c r="A2538" s="31">
        <v>80000009787</v>
      </c>
      <c r="B2538" s="31" t="s">
        <v>3612</v>
      </c>
      <c r="C2538" s="31" t="s">
        <v>2521</v>
      </c>
      <c r="D2538" s="31" t="s">
        <v>2670</v>
      </c>
      <c r="E2538" s="32">
        <v>822.61098901098899</v>
      </c>
      <c r="F2538" s="32">
        <v>3140</v>
      </c>
    </row>
    <row r="2539" spans="1:6" x14ac:dyDescent="0.3">
      <c r="A2539" s="31">
        <v>1000020777</v>
      </c>
      <c r="B2539" s="31" t="s">
        <v>981</v>
      </c>
      <c r="C2539" s="31" t="s">
        <v>4</v>
      </c>
      <c r="D2539" s="31" t="s">
        <v>2090</v>
      </c>
      <c r="E2539" s="32">
        <v>822.27096774193501</v>
      </c>
      <c r="F2539" s="32">
        <v>30</v>
      </c>
    </row>
    <row r="2540" spans="1:6" x14ac:dyDescent="0.3">
      <c r="A2540" s="31">
        <v>2500008646</v>
      </c>
      <c r="B2540" s="31" t="s">
        <v>3613</v>
      </c>
      <c r="C2540" s="31" t="s">
        <v>1996</v>
      </c>
      <c r="D2540" s="31" t="s">
        <v>2025</v>
      </c>
      <c r="E2540" s="32">
        <v>822</v>
      </c>
      <c r="F2540" s="32">
        <v>5</v>
      </c>
    </row>
    <row r="2541" spans="1:6" x14ac:dyDescent="0.3">
      <c r="A2541" s="31">
        <v>1000098738</v>
      </c>
      <c r="B2541" s="31" t="s">
        <v>1678</v>
      </c>
      <c r="C2541" s="31" t="s">
        <v>4</v>
      </c>
      <c r="D2541" s="31" t="s">
        <v>2090</v>
      </c>
      <c r="E2541" s="32">
        <v>820.97</v>
      </c>
      <c r="F2541" s="32">
        <v>20</v>
      </c>
    </row>
    <row r="2542" spans="1:6" x14ac:dyDescent="0.3">
      <c r="A2542" s="31">
        <v>1000020237</v>
      </c>
      <c r="B2542" s="31" t="s">
        <v>476</v>
      </c>
      <c r="C2542" s="31" t="s">
        <v>4</v>
      </c>
      <c r="D2542" s="31" t="s">
        <v>2090</v>
      </c>
      <c r="E2542" s="32">
        <v>819</v>
      </c>
      <c r="F2542" s="32">
        <v>130</v>
      </c>
    </row>
    <row r="2543" spans="1:6" x14ac:dyDescent="0.3">
      <c r="A2543" s="31">
        <v>1000020113</v>
      </c>
      <c r="B2543" s="31" t="s">
        <v>369</v>
      </c>
      <c r="C2543" s="31" t="s">
        <v>4</v>
      </c>
      <c r="D2543" s="31" t="s">
        <v>2090</v>
      </c>
      <c r="E2543" s="32">
        <v>818.61</v>
      </c>
      <c r="F2543" s="32">
        <v>3</v>
      </c>
    </row>
    <row r="2544" spans="1:6" x14ac:dyDescent="0.3">
      <c r="A2544" s="31">
        <v>1000091844</v>
      </c>
      <c r="B2544" s="31" t="s">
        <v>3614</v>
      </c>
      <c r="C2544" s="31" t="s">
        <v>2109</v>
      </c>
      <c r="D2544" s="31" t="s">
        <v>2070</v>
      </c>
      <c r="E2544" s="32">
        <v>816</v>
      </c>
      <c r="F2544" s="32">
        <v>1</v>
      </c>
    </row>
    <row r="2545" spans="1:6" x14ac:dyDescent="0.3">
      <c r="A2545" s="31">
        <v>1000109365</v>
      </c>
      <c r="B2545" s="31" t="s">
        <v>3615</v>
      </c>
      <c r="C2545" s="31" t="s">
        <v>4</v>
      </c>
      <c r="D2545" s="31" t="s">
        <v>2043</v>
      </c>
      <c r="E2545" s="32">
        <v>814.96</v>
      </c>
      <c r="F2545" s="32">
        <v>8</v>
      </c>
    </row>
    <row r="2546" spans="1:6" x14ac:dyDescent="0.3">
      <c r="A2546" s="31">
        <v>1000021008</v>
      </c>
      <c r="B2546" s="31" t="s">
        <v>1180</v>
      </c>
      <c r="C2546" s="31" t="s">
        <v>4</v>
      </c>
      <c r="D2546" s="31" t="s">
        <v>2090</v>
      </c>
      <c r="E2546" s="32">
        <v>813.54</v>
      </c>
      <c r="F2546" s="32">
        <v>2</v>
      </c>
    </row>
    <row r="2547" spans="1:6" x14ac:dyDescent="0.3">
      <c r="A2547" s="31">
        <v>1000095245</v>
      </c>
      <c r="B2547" s="31" t="s">
        <v>3616</v>
      </c>
      <c r="C2547" s="31" t="s">
        <v>4</v>
      </c>
      <c r="D2547" s="31" t="s">
        <v>2090</v>
      </c>
      <c r="E2547" s="32">
        <v>812.57749999999999</v>
      </c>
      <c r="F2547" s="32">
        <v>2</v>
      </c>
    </row>
    <row r="2548" spans="1:6" x14ac:dyDescent="0.3">
      <c r="A2548" s="31">
        <v>1000109552</v>
      </c>
      <c r="B2548" s="31" t="s">
        <v>3617</v>
      </c>
      <c r="C2548" s="31" t="s">
        <v>4</v>
      </c>
      <c r="D2548" s="31" t="s">
        <v>2043</v>
      </c>
      <c r="E2548" s="32">
        <v>812.4</v>
      </c>
      <c r="F2548" s="32">
        <v>10</v>
      </c>
    </row>
    <row r="2549" spans="1:6" x14ac:dyDescent="0.3">
      <c r="A2549" s="31">
        <v>2200002147</v>
      </c>
      <c r="B2549" s="31" t="s">
        <v>3618</v>
      </c>
      <c r="C2549" s="31" t="s">
        <v>2088</v>
      </c>
      <c r="D2549" s="31" t="s">
        <v>2067</v>
      </c>
      <c r="E2549" s="32">
        <v>810.65</v>
      </c>
      <c r="F2549" s="32">
        <v>1</v>
      </c>
    </row>
    <row r="2550" spans="1:6" x14ac:dyDescent="0.3">
      <c r="A2550" s="31">
        <v>1000095195</v>
      </c>
      <c r="B2550" s="31" t="s">
        <v>3619</v>
      </c>
      <c r="C2550" s="31" t="s">
        <v>4</v>
      </c>
      <c r="D2550" s="31" t="s">
        <v>2090</v>
      </c>
      <c r="E2550" s="32">
        <v>809.78</v>
      </c>
      <c r="F2550" s="32">
        <v>3</v>
      </c>
    </row>
    <row r="2551" spans="1:6" x14ac:dyDescent="0.3">
      <c r="A2551" s="31">
        <v>80000009998</v>
      </c>
      <c r="B2551" s="31" t="s">
        <v>3620</v>
      </c>
      <c r="C2551" s="31" t="s">
        <v>2521</v>
      </c>
      <c r="D2551" s="31" t="s">
        <v>3289</v>
      </c>
      <c r="E2551" s="32">
        <v>807.5</v>
      </c>
      <c r="F2551" s="32">
        <v>5</v>
      </c>
    </row>
    <row r="2552" spans="1:6" x14ac:dyDescent="0.3">
      <c r="A2552" s="31">
        <v>1000020316</v>
      </c>
      <c r="B2552" s="31" t="s">
        <v>551</v>
      </c>
      <c r="C2552" s="31" t="s">
        <v>4</v>
      </c>
      <c r="D2552" s="31" t="s">
        <v>2090</v>
      </c>
      <c r="E2552" s="32">
        <v>807.3</v>
      </c>
      <c r="F2552" s="32">
        <v>5</v>
      </c>
    </row>
    <row r="2553" spans="1:6" x14ac:dyDescent="0.3">
      <c r="A2553" s="31">
        <v>2500008166</v>
      </c>
      <c r="B2553" s="31" t="s">
        <v>3621</v>
      </c>
      <c r="C2553" s="31" t="s">
        <v>1996</v>
      </c>
      <c r="D2553" s="31" t="s">
        <v>2025</v>
      </c>
      <c r="E2553" s="32">
        <v>807.15499999999997</v>
      </c>
      <c r="F2553" s="32">
        <v>6</v>
      </c>
    </row>
    <row r="2554" spans="1:6" x14ac:dyDescent="0.3">
      <c r="A2554" s="31">
        <v>1000098550</v>
      </c>
      <c r="B2554" s="31" t="s">
        <v>3622</v>
      </c>
      <c r="C2554" s="31" t="s">
        <v>4</v>
      </c>
      <c r="D2554" s="31" t="s">
        <v>2090</v>
      </c>
      <c r="E2554" s="32">
        <v>806.25</v>
      </c>
      <c r="F2554" s="32">
        <v>25</v>
      </c>
    </row>
    <row r="2555" spans="1:6" x14ac:dyDescent="0.3">
      <c r="A2555" s="31">
        <v>80000005081</v>
      </c>
      <c r="B2555" s="31" t="s">
        <v>3623</v>
      </c>
      <c r="C2555" s="31" t="s">
        <v>2521</v>
      </c>
      <c r="D2555" s="31" t="s">
        <v>3624</v>
      </c>
      <c r="E2555" s="32">
        <v>806</v>
      </c>
      <c r="F2555" s="32">
        <v>31</v>
      </c>
    </row>
    <row r="2556" spans="1:6" x14ac:dyDescent="0.3">
      <c r="A2556" s="31">
        <v>1000109891</v>
      </c>
      <c r="B2556" s="31" t="s">
        <v>3625</v>
      </c>
      <c r="C2556" s="31" t="s">
        <v>4</v>
      </c>
      <c r="D2556" s="31" t="s">
        <v>2056</v>
      </c>
      <c r="E2556" s="32">
        <v>805.2</v>
      </c>
      <c r="F2556" s="32">
        <v>20</v>
      </c>
    </row>
    <row r="2557" spans="1:6" x14ac:dyDescent="0.3">
      <c r="A2557" s="31">
        <v>1000095217</v>
      </c>
      <c r="B2557" s="31" t="s">
        <v>3626</v>
      </c>
      <c r="C2557" s="31" t="s">
        <v>4</v>
      </c>
      <c r="D2557" s="31" t="s">
        <v>2218</v>
      </c>
      <c r="E2557" s="32">
        <v>800</v>
      </c>
      <c r="F2557" s="32">
        <v>20</v>
      </c>
    </row>
    <row r="2558" spans="1:6" x14ac:dyDescent="0.3">
      <c r="A2558" s="31">
        <v>1000100727</v>
      </c>
      <c r="B2558" s="31" t="s">
        <v>3627</v>
      </c>
      <c r="C2558" s="31" t="s">
        <v>4</v>
      </c>
      <c r="D2558" s="31" t="s">
        <v>2161</v>
      </c>
      <c r="E2558" s="32">
        <v>799.66800000000001</v>
      </c>
      <c r="F2558" s="32">
        <v>2</v>
      </c>
    </row>
    <row r="2559" spans="1:6" x14ac:dyDescent="0.3">
      <c r="A2559" s="31">
        <v>1000021144</v>
      </c>
      <c r="B2559" s="31" t="s">
        <v>1295</v>
      </c>
      <c r="C2559" s="31" t="s">
        <v>4</v>
      </c>
      <c r="D2559" s="31" t="s">
        <v>2090</v>
      </c>
      <c r="E2559" s="32">
        <v>798.65</v>
      </c>
      <c r="F2559" s="32">
        <v>1</v>
      </c>
    </row>
    <row r="2560" spans="1:6" x14ac:dyDescent="0.3">
      <c r="A2560" s="31">
        <v>80000009750</v>
      </c>
      <c r="B2560" s="31" t="s">
        <v>3599</v>
      </c>
      <c r="C2560" s="31" t="s">
        <v>2521</v>
      </c>
      <c r="D2560" s="31" t="s">
        <v>2670</v>
      </c>
      <c r="E2560" s="32">
        <v>797.49542945520398</v>
      </c>
      <c r="F2560" s="32">
        <v>19</v>
      </c>
    </row>
    <row r="2561" spans="1:6" x14ac:dyDescent="0.3">
      <c r="A2561" s="31">
        <v>1000104008</v>
      </c>
      <c r="B2561" s="31" t="s">
        <v>105</v>
      </c>
      <c r="C2561" s="31" t="s">
        <v>4</v>
      </c>
      <c r="D2561" s="31" t="s">
        <v>2043</v>
      </c>
      <c r="E2561" s="32">
        <v>797.19900096458503</v>
      </c>
      <c r="F2561" s="32">
        <v>13</v>
      </c>
    </row>
    <row r="2562" spans="1:6" x14ac:dyDescent="0.3">
      <c r="A2562" s="31">
        <v>1000103149</v>
      </c>
      <c r="B2562" s="31" t="s">
        <v>3628</v>
      </c>
      <c r="C2562" s="31" t="s">
        <v>4</v>
      </c>
      <c r="D2562" s="31" t="s">
        <v>2090</v>
      </c>
      <c r="E2562" s="32">
        <v>796.35</v>
      </c>
      <c r="F2562" s="32">
        <v>1</v>
      </c>
    </row>
    <row r="2563" spans="1:6" x14ac:dyDescent="0.3">
      <c r="A2563" s="31">
        <v>1000109985</v>
      </c>
      <c r="B2563" s="31" t="s">
        <v>3629</v>
      </c>
      <c r="C2563" s="31" t="s">
        <v>4</v>
      </c>
      <c r="D2563" s="31" t="s">
        <v>2043</v>
      </c>
      <c r="E2563" s="32">
        <v>795.24</v>
      </c>
      <c r="F2563" s="32">
        <v>3</v>
      </c>
    </row>
    <row r="2564" spans="1:6" x14ac:dyDescent="0.3">
      <c r="A2564" s="31">
        <v>1000100646</v>
      </c>
      <c r="B2564" s="31" t="s">
        <v>3630</v>
      </c>
      <c r="C2564" s="31" t="s">
        <v>4</v>
      </c>
      <c r="D2564" s="31" t="s">
        <v>2056</v>
      </c>
      <c r="E2564" s="32">
        <v>794.15</v>
      </c>
      <c r="F2564" s="32">
        <v>2</v>
      </c>
    </row>
    <row r="2565" spans="1:6" x14ac:dyDescent="0.3">
      <c r="A2565" s="31">
        <v>1000107874</v>
      </c>
      <c r="B2565" s="31" t="s">
        <v>3631</v>
      </c>
      <c r="C2565" s="31" t="s">
        <v>2257</v>
      </c>
      <c r="D2565" s="31" t="s">
        <v>2070</v>
      </c>
      <c r="E2565" s="32">
        <v>793.75</v>
      </c>
      <c r="F2565" s="32">
        <v>1</v>
      </c>
    </row>
    <row r="2566" spans="1:6" x14ac:dyDescent="0.3">
      <c r="A2566" s="31">
        <v>1000100647</v>
      </c>
      <c r="B2566" s="31" t="s">
        <v>3632</v>
      </c>
      <c r="C2566" s="31" t="s">
        <v>4</v>
      </c>
      <c r="D2566" s="31" t="s">
        <v>2056</v>
      </c>
      <c r="E2566" s="32">
        <v>793.74</v>
      </c>
      <c r="F2566" s="32">
        <v>2</v>
      </c>
    </row>
    <row r="2567" spans="1:6" x14ac:dyDescent="0.3">
      <c r="A2567" s="31">
        <v>80000009694</v>
      </c>
      <c r="B2567" s="31" t="s">
        <v>3633</v>
      </c>
      <c r="C2567" s="31" t="s">
        <v>2521</v>
      </c>
      <c r="D2567" s="31" t="s">
        <v>2670</v>
      </c>
      <c r="E2567" s="32">
        <v>792</v>
      </c>
      <c r="F2567" s="32">
        <v>165</v>
      </c>
    </row>
    <row r="2568" spans="1:6" x14ac:dyDescent="0.3">
      <c r="A2568" s="31">
        <v>1000100649</v>
      </c>
      <c r="B2568" s="31" t="s">
        <v>3634</v>
      </c>
      <c r="C2568" s="31" t="s">
        <v>4</v>
      </c>
      <c r="D2568" s="31" t="s">
        <v>2056</v>
      </c>
      <c r="E2568" s="32">
        <v>791.8</v>
      </c>
      <c r="F2568" s="32">
        <v>2</v>
      </c>
    </row>
    <row r="2569" spans="1:6" x14ac:dyDescent="0.3">
      <c r="A2569" s="31">
        <v>1000100648</v>
      </c>
      <c r="B2569" s="31" t="s">
        <v>3635</v>
      </c>
      <c r="C2569" s="31" t="s">
        <v>4</v>
      </c>
      <c r="D2569" s="31" t="s">
        <v>2056</v>
      </c>
      <c r="E2569" s="32">
        <v>790.87</v>
      </c>
      <c r="F2569" s="32">
        <v>2</v>
      </c>
    </row>
    <row r="2570" spans="1:6" x14ac:dyDescent="0.3">
      <c r="A2570" s="31">
        <v>1000106068</v>
      </c>
      <c r="B2570" s="31" t="s">
        <v>3636</v>
      </c>
      <c r="C2570" s="31" t="s">
        <v>4</v>
      </c>
      <c r="D2570" s="31" t="s">
        <v>2161</v>
      </c>
      <c r="E2570" s="32">
        <v>790.28</v>
      </c>
      <c r="F2570" s="32">
        <v>2</v>
      </c>
    </row>
    <row r="2571" spans="1:6" x14ac:dyDescent="0.3">
      <c r="A2571" s="31">
        <v>1000111136</v>
      </c>
      <c r="B2571" s="31" t="s">
        <v>3637</v>
      </c>
      <c r="C2571" s="31" t="s">
        <v>4</v>
      </c>
      <c r="D2571" s="31" t="s">
        <v>2090</v>
      </c>
      <c r="E2571" s="32">
        <v>786.1875</v>
      </c>
      <c r="F2571" s="32">
        <v>7</v>
      </c>
    </row>
    <row r="2572" spans="1:6" x14ac:dyDescent="0.3">
      <c r="A2572" s="31">
        <v>2200011994</v>
      </c>
      <c r="B2572" s="31" t="s">
        <v>3638</v>
      </c>
      <c r="C2572" s="31" t="s">
        <v>2037</v>
      </c>
      <c r="D2572" s="31" t="s">
        <v>2038</v>
      </c>
      <c r="E2572" s="32">
        <v>785.92</v>
      </c>
      <c r="F2572" s="32">
        <v>1</v>
      </c>
    </row>
    <row r="2573" spans="1:6" x14ac:dyDescent="0.3">
      <c r="A2573" s="31">
        <v>2200011994</v>
      </c>
      <c r="B2573" s="31" t="s">
        <v>3638</v>
      </c>
      <c r="C2573" s="31" t="s">
        <v>2088</v>
      </c>
      <c r="D2573" s="31" t="s">
        <v>2038</v>
      </c>
      <c r="E2573" s="32">
        <v>785.92</v>
      </c>
      <c r="F2573" s="32">
        <v>1</v>
      </c>
    </row>
    <row r="2574" spans="1:6" x14ac:dyDescent="0.3">
      <c r="A2574" s="31">
        <v>1000001284</v>
      </c>
      <c r="B2574" s="31" t="s">
        <v>25</v>
      </c>
      <c r="C2574" s="31" t="s">
        <v>2165</v>
      </c>
      <c r="D2574" s="31" t="s">
        <v>2399</v>
      </c>
      <c r="E2574" s="32">
        <v>785.91537817938399</v>
      </c>
      <c r="F2574" s="32">
        <v>6</v>
      </c>
    </row>
    <row r="2575" spans="1:6" x14ac:dyDescent="0.3">
      <c r="A2575" s="31">
        <v>1000103637</v>
      </c>
      <c r="B2575" s="31" t="s">
        <v>3639</v>
      </c>
      <c r="C2575" s="31" t="s">
        <v>4</v>
      </c>
      <c r="D2575" s="31" t="s">
        <v>2161</v>
      </c>
      <c r="E2575" s="32">
        <v>785.28</v>
      </c>
      <c r="F2575" s="32">
        <v>3</v>
      </c>
    </row>
    <row r="2576" spans="1:6" x14ac:dyDescent="0.3">
      <c r="A2576" s="31">
        <v>1000109439</v>
      </c>
      <c r="B2576" s="31" t="s">
        <v>3640</v>
      </c>
      <c r="C2576" s="31" t="s">
        <v>4</v>
      </c>
      <c r="D2576" s="31" t="s">
        <v>2090</v>
      </c>
      <c r="E2576" s="32">
        <v>784.125</v>
      </c>
      <c r="F2576" s="32">
        <v>1</v>
      </c>
    </row>
    <row r="2577" spans="1:6" x14ac:dyDescent="0.3">
      <c r="A2577" s="31">
        <v>1000021253</v>
      </c>
      <c r="B2577" s="31" t="s">
        <v>1398</v>
      </c>
      <c r="C2577" s="31" t="s">
        <v>4</v>
      </c>
      <c r="D2577" s="31" t="s">
        <v>2090</v>
      </c>
      <c r="E2577" s="32">
        <v>783.58057142857103</v>
      </c>
      <c r="F2577" s="32">
        <v>4</v>
      </c>
    </row>
    <row r="2578" spans="1:6" x14ac:dyDescent="0.3">
      <c r="A2578" s="31">
        <v>2200002964</v>
      </c>
      <c r="B2578" s="31" t="s">
        <v>3641</v>
      </c>
      <c r="C2578" s="31" t="s">
        <v>2037</v>
      </c>
      <c r="D2578" s="31" t="s">
        <v>2038</v>
      </c>
      <c r="E2578" s="32">
        <v>782.78099999999995</v>
      </c>
      <c r="F2578" s="32">
        <v>1</v>
      </c>
    </row>
    <row r="2579" spans="1:6" x14ac:dyDescent="0.3">
      <c r="A2579" s="31">
        <v>1000021242</v>
      </c>
      <c r="B2579" s="31" t="s">
        <v>1387</v>
      </c>
      <c r="C2579" s="31" t="s">
        <v>4</v>
      </c>
      <c r="D2579" s="31" t="s">
        <v>2090</v>
      </c>
      <c r="E2579" s="32">
        <v>780.24</v>
      </c>
      <c r="F2579" s="32">
        <v>2</v>
      </c>
    </row>
    <row r="2580" spans="1:6" x14ac:dyDescent="0.3">
      <c r="A2580" s="31">
        <v>1000010176</v>
      </c>
      <c r="B2580" s="31" t="s">
        <v>123</v>
      </c>
      <c r="C2580" s="31" t="s">
        <v>4</v>
      </c>
      <c r="D2580" s="31" t="s">
        <v>2161</v>
      </c>
      <c r="E2580" s="32">
        <v>780</v>
      </c>
      <c r="F2580" s="32">
        <v>4</v>
      </c>
    </row>
    <row r="2581" spans="1:6" x14ac:dyDescent="0.3">
      <c r="A2581" s="31">
        <v>1000021038</v>
      </c>
      <c r="B2581" s="31" t="s">
        <v>1209</v>
      </c>
      <c r="C2581" s="31" t="s">
        <v>4</v>
      </c>
      <c r="D2581" s="31" t="s">
        <v>2090</v>
      </c>
      <c r="E2581" s="32">
        <v>778.28</v>
      </c>
      <c r="F2581" s="32">
        <v>5</v>
      </c>
    </row>
    <row r="2582" spans="1:6" x14ac:dyDescent="0.3">
      <c r="A2582" s="31">
        <v>1000101591</v>
      </c>
      <c r="B2582" s="31" t="s">
        <v>3642</v>
      </c>
      <c r="C2582" s="31" t="s">
        <v>4</v>
      </c>
      <c r="D2582" s="31" t="s">
        <v>2090</v>
      </c>
      <c r="E2582" s="32">
        <v>777.38</v>
      </c>
      <c r="F2582" s="32">
        <v>5</v>
      </c>
    </row>
    <row r="2583" spans="1:6" x14ac:dyDescent="0.3">
      <c r="A2583" s="31">
        <v>1000098570</v>
      </c>
      <c r="B2583" s="31" t="s">
        <v>3643</v>
      </c>
      <c r="C2583" s="31" t="s">
        <v>4</v>
      </c>
      <c r="D2583" s="31" t="s">
        <v>2043</v>
      </c>
      <c r="E2583" s="32">
        <v>775.83749999999998</v>
      </c>
      <c r="F2583" s="32">
        <v>1</v>
      </c>
    </row>
    <row r="2584" spans="1:6" x14ac:dyDescent="0.3">
      <c r="A2584" s="31">
        <v>1000099429</v>
      </c>
      <c r="B2584" s="31" t="s">
        <v>3644</v>
      </c>
      <c r="C2584" s="31" t="s">
        <v>4</v>
      </c>
      <c r="D2584" s="31" t="s">
        <v>2090</v>
      </c>
      <c r="E2584" s="32">
        <v>775.2</v>
      </c>
      <c r="F2584" s="32">
        <v>38</v>
      </c>
    </row>
    <row r="2585" spans="1:6" x14ac:dyDescent="0.3">
      <c r="A2585" s="31">
        <v>1000100364</v>
      </c>
      <c r="B2585" s="31" t="s">
        <v>1704</v>
      </c>
      <c r="C2585" s="31" t="s">
        <v>4</v>
      </c>
      <c r="D2585" s="31" t="s">
        <v>2090</v>
      </c>
      <c r="E2585" s="32">
        <v>770.47</v>
      </c>
      <c r="F2585" s="32">
        <v>10</v>
      </c>
    </row>
    <row r="2586" spans="1:6" x14ac:dyDescent="0.3">
      <c r="A2586" s="31">
        <v>8000000301520</v>
      </c>
      <c r="B2586" s="31" t="s">
        <v>3645</v>
      </c>
      <c r="C2586" s="31" t="s">
        <v>2755</v>
      </c>
      <c r="D2586" s="31" t="s">
        <v>2670</v>
      </c>
      <c r="E2586" s="32">
        <v>770</v>
      </c>
      <c r="F2586" s="32">
        <v>2200</v>
      </c>
    </row>
    <row r="2587" spans="1:6" x14ac:dyDescent="0.3">
      <c r="A2587" s="31">
        <v>1000103205</v>
      </c>
      <c r="B2587" s="31" t="s">
        <v>1812</v>
      </c>
      <c r="C2587" s="31" t="s">
        <v>4</v>
      </c>
      <c r="D2587" s="31" t="s">
        <v>2090</v>
      </c>
      <c r="E2587" s="32">
        <v>769.71008841732896</v>
      </c>
      <c r="F2587" s="32">
        <v>35</v>
      </c>
    </row>
    <row r="2588" spans="1:6" x14ac:dyDescent="0.3">
      <c r="A2588" s="31">
        <v>1000020118</v>
      </c>
      <c r="B2588" s="31" t="s">
        <v>373</v>
      </c>
      <c r="C2588" s="31" t="s">
        <v>4</v>
      </c>
      <c r="D2588" s="31" t="s">
        <v>2090</v>
      </c>
      <c r="E2588" s="32">
        <v>768.63980000000004</v>
      </c>
      <c r="F2588" s="32">
        <v>2</v>
      </c>
    </row>
    <row r="2589" spans="1:6" x14ac:dyDescent="0.3">
      <c r="A2589" s="31">
        <v>1000092372</v>
      </c>
      <c r="B2589" s="31" t="s">
        <v>3646</v>
      </c>
      <c r="C2589" s="31" t="s">
        <v>4</v>
      </c>
      <c r="D2589" s="31" t="s">
        <v>2161</v>
      </c>
      <c r="E2589" s="32">
        <v>767.59005000000002</v>
      </c>
      <c r="F2589" s="32">
        <v>3</v>
      </c>
    </row>
    <row r="2590" spans="1:6" x14ac:dyDescent="0.3">
      <c r="A2590" s="31">
        <v>1000020658</v>
      </c>
      <c r="B2590" s="31" t="s">
        <v>871</v>
      </c>
      <c r="C2590" s="31" t="s">
        <v>4</v>
      </c>
      <c r="D2590" s="31" t="s">
        <v>2090</v>
      </c>
      <c r="E2590" s="32">
        <v>766.72500000000002</v>
      </c>
      <c r="F2590" s="32">
        <v>17</v>
      </c>
    </row>
    <row r="2591" spans="1:6" x14ac:dyDescent="0.3">
      <c r="A2591" s="31">
        <v>2500008615</v>
      </c>
      <c r="B2591" s="31" t="s">
        <v>3647</v>
      </c>
      <c r="C2591" s="31" t="s">
        <v>1996</v>
      </c>
      <c r="D2591" s="31" t="s">
        <v>2025</v>
      </c>
      <c r="E2591" s="32">
        <v>765</v>
      </c>
      <c r="F2591" s="32">
        <v>1</v>
      </c>
    </row>
    <row r="2592" spans="1:6" x14ac:dyDescent="0.3">
      <c r="A2592" s="31">
        <v>2500008616</v>
      </c>
      <c r="B2592" s="31" t="s">
        <v>3648</v>
      </c>
      <c r="C2592" s="31" t="s">
        <v>1996</v>
      </c>
      <c r="D2592" s="31" t="s">
        <v>2025</v>
      </c>
      <c r="E2592" s="32">
        <v>765</v>
      </c>
      <c r="F2592" s="32">
        <v>1</v>
      </c>
    </row>
    <row r="2593" spans="1:6" x14ac:dyDescent="0.3">
      <c r="A2593" s="31">
        <v>1000098165</v>
      </c>
      <c r="B2593" s="31" t="s">
        <v>3649</v>
      </c>
      <c r="C2593" s="31" t="s">
        <v>2257</v>
      </c>
      <c r="D2593" s="31" t="s">
        <v>2070</v>
      </c>
      <c r="E2593" s="32">
        <v>765</v>
      </c>
      <c r="F2593" s="32">
        <v>1</v>
      </c>
    </row>
    <row r="2594" spans="1:6" x14ac:dyDescent="0.3">
      <c r="A2594" s="31">
        <v>1000095834</v>
      </c>
      <c r="B2594" s="31" t="s">
        <v>3650</v>
      </c>
      <c r="C2594" s="31" t="s">
        <v>4</v>
      </c>
      <c r="D2594" s="31" t="s">
        <v>2056</v>
      </c>
      <c r="E2594" s="32">
        <v>763.14712222222204</v>
      </c>
      <c r="F2594" s="32">
        <v>902</v>
      </c>
    </row>
    <row r="2595" spans="1:6" x14ac:dyDescent="0.3">
      <c r="A2595" s="31">
        <v>1000021109</v>
      </c>
      <c r="B2595" s="31" t="s">
        <v>1270</v>
      </c>
      <c r="C2595" s="31" t="s">
        <v>4</v>
      </c>
      <c r="D2595" s="31" t="s">
        <v>2090</v>
      </c>
      <c r="E2595" s="32">
        <v>763.06</v>
      </c>
      <c r="F2595" s="32">
        <v>2</v>
      </c>
    </row>
    <row r="2596" spans="1:6" x14ac:dyDescent="0.3">
      <c r="A2596" s="31">
        <v>1000098530</v>
      </c>
      <c r="B2596" s="31" t="s">
        <v>1564</v>
      </c>
      <c r="C2596" s="31" t="s">
        <v>4</v>
      </c>
      <c r="D2596" s="31" t="s">
        <v>2090</v>
      </c>
      <c r="E2596" s="32">
        <v>762.7</v>
      </c>
      <c r="F2596" s="32">
        <v>2</v>
      </c>
    </row>
    <row r="2597" spans="1:6" x14ac:dyDescent="0.3">
      <c r="A2597" s="31">
        <v>2200002866</v>
      </c>
      <c r="B2597" s="31" t="s">
        <v>187</v>
      </c>
      <c r="C2597" s="31" t="s">
        <v>2037</v>
      </c>
      <c r="D2597" s="31" t="s">
        <v>2038</v>
      </c>
      <c r="E2597" s="32">
        <v>761.12</v>
      </c>
      <c r="F2597" s="32">
        <v>1</v>
      </c>
    </row>
    <row r="2598" spans="1:6" x14ac:dyDescent="0.3">
      <c r="A2598" s="31">
        <v>1000098574</v>
      </c>
      <c r="B2598" s="31" t="s">
        <v>1583</v>
      </c>
      <c r="C2598" s="31" t="s">
        <v>4</v>
      </c>
      <c r="D2598" s="31" t="s">
        <v>2090</v>
      </c>
      <c r="E2598" s="32">
        <v>760.3</v>
      </c>
      <c r="F2598" s="32">
        <v>25</v>
      </c>
    </row>
    <row r="2599" spans="1:6" x14ac:dyDescent="0.3">
      <c r="A2599" s="31">
        <v>2000009033</v>
      </c>
      <c r="B2599" s="31" t="s">
        <v>3651</v>
      </c>
      <c r="C2599" s="31" t="s">
        <v>2017</v>
      </c>
      <c r="D2599" s="31" t="s">
        <v>2072</v>
      </c>
      <c r="E2599" s="32">
        <v>757.5</v>
      </c>
      <c r="F2599" s="32">
        <v>2</v>
      </c>
    </row>
    <row r="2600" spans="1:6" x14ac:dyDescent="0.3">
      <c r="A2600" s="31">
        <v>1000020972</v>
      </c>
      <c r="B2600" s="31" t="s">
        <v>1146</v>
      </c>
      <c r="C2600" s="31" t="s">
        <v>4</v>
      </c>
      <c r="D2600" s="31" t="s">
        <v>2090</v>
      </c>
      <c r="E2600" s="32">
        <v>757.46</v>
      </c>
      <c r="F2600" s="32">
        <v>10</v>
      </c>
    </row>
    <row r="2601" spans="1:6" x14ac:dyDescent="0.3">
      <c r="A2601" s="31">
        <v>1000020004</v>
      </c>
      <c r="B2601" s="31" t="s">
        <v>3652</v>
      </c>
      <c r="C2601" s="31" t="s">
        <v>4</v>
      </c>
      <c r="D2601" s="31" t="s">
        <v>2090</v>
      </c>
      <c r="E2601" s="32">
        <v>756.05341970310303</v>
      </c>
      <c r="F2601" s="32">
        <v>109</v>
      </c>
    </row>
    <row r="2602" spans="1:6" x14ac:dyDescent="0.3">
      <c r="A2602" s="31">
        <v>1000010163</v>
      </c>
      <c r="B2602" s="31" t="s">
        <v>3653</v>
      </c>
      <c r="C2602" s="31" t="s">
        <v>4</v>
      </c>
      <c r="D2602" s="31" t="s">
        <v>2161</v>
      </c>
      <c r="E2602" s="32">
        <v>753.75</v>
      </c>
      <c r="F2602" s="32">
        <v>5</v>
      </c>
    </row>
    <row r="2603" spans="1:6" x14ac:dyDescent="0.3">
      <c r="A2603" s="31">
        <v>80000006845</v>
      </c>
      <c r="B2603" s="31" t="s">
        <v>3654</v>
      </c>
      <c r="C2603" s="31" t="s">
        <v>2521</v>
      </c>
      <c r="D2603" s="31" t="s">
        <v>3289</v>
      </c>
      <c r="E2603" s="32">
        <v>752</v>
      </c>
      <c r="F2603" s="32">
        <v>8</v>
      </c>
    </row>
    <row r="2604" spans="1:6" x14ac:dyDescent="0.3">
      <c r="A2604" s="31">
        <v>2500008494</v>
      </c>
      <c r="B2604" s="31" t="s">
        <v>3655</v>
      </c>
      <c r="C2604" s="31" t="s">
        <v>1996</v>
      </c>
      <c r="D2604" s="31" t="s">
        <v>2025</v>
      </c>
      <c r="E2604" s="32">
        <v>751.875</v>
      </c>
      <c r="F2604" s="32">
        <v>1</v>
      </c>
    </row>
    <row r="2605" spans="1:6" x14ac:dyDescent="0.3">
      <c r="A2605" s="31">
        <v>1000020631</v>
      </c>
      <c r="B2605" s="31" t="s">
        <v>846</v>
      </c>
      <c r="C2605" s="31" t="s">
        <v>4</v>
      </c>
      <c r="D2605" s="31" t="s">
        <v>2090</v>
      </c>
      <c r="E2605" s="32">
        <v>751.73006934984505</v>
      </c>
      <c r="F2605" s="32">
        <v>59</v>
      </c>
    </row>
    <row r="2606" spans="1:6" x14ac:dyDescent="0.3">
      <c r="A2606" s="31">
        <v>1000103529</v>
      </c>
      <c r="B2606" s="31" t="s">
        <v>1831</v>
      </c>
      <c r="C2606" s="31" t="s">
        <v>4</v>
      </c>
      <c r="D2606" s="31" t="s">
        <v>2090</v>
      </c>
      <c r="E2606" s="32">
        <v>751.69</v>
      </c>
      <c r="F2606" s="32">
        <v>5</v>
      </c>
    </row>
    <row r="2607" spans="1:6" x14ac:dyDescent="0.3">
      <c r="A2607" s="31">
        <v>1000102408</v>
      </c>
      <c r="B2607" s="31" t="s">
        <v>3656</v>
      </c>
      <c r="C2607" s="31" t="s">
        <v>4</v>
      </c>
      <c r="D2607" s="31" t="s">
        <v>2090</v>
      </c>
      <c r="E2607" s="32">
        <v>751.20187438271</v>
      </c>
      <c r="F2607" s="32">
        <v>38</v>
      </c>
    </row>
    <row r="2608" spans="1:6" x14ac:dyDescent="0.3">
      <c r="A2608" s="31">
        <v>1000020097</v>
      </c>
      <c r="B2608" s="31" t="s">
        <v>354</v>
      </c>
      <c r="C2608" s="31" t="s">
        <v>4</v>
      </c>
      <c r="D2608" s="31" t="s">
        <v>2090</v>
      </c>
      <c r="E2608" s="32">
        <v>751.16</v>
      </c>
      <c r="F2608" s="32">
        <v>4</v>
      </c>
    </row>
    <row r="2609" spans="1:6" x14ac:dyDescent="0.3">
      <c r="A2609" s="31">
        <v>1000100361</v>
      </c>
      <c r="B2609" s="31" t="s">
        <v>1702</v>
      </c>
      <c r="C2609" s="31" t="s">
        <v>4</v>
      </c>
      <c r="D2609" s="31" t="s">
        <v>2090</v>
      </c>
      <c r="E2609" s="32">
        <v>750.92</v>
      </c>
      <c r="F2609" s="32">
        <v>29</v>
      </c>
    </row>
    <row r="2610" spans="1:6" x14ac:dyDescent="0.3">
      <c r="A2610" s="31">
        <v>1000020615</v>
      </c>
      <c r="B2610" s="31" t="s">
        <v>831</v>
      </c>
      <c r="C2610" s="31" t="s">
        <v>4</v>
      </c>
      <c r="D2610" s="31" t="s">
        <v>2090</v>
      </c>
      <c r="E2610" s="32">
        <v>750</v>
      </c>
      <c r="F2610" s="32">
        <v>100</v>
      </c>
    </row>
    <row r="2611" spans="1:6" x14ac:dyDescent="0.3">
      <c r="A2611" s="31">
        <v>2500008560</v>
      </c>
      <c r="B2611" s="31" t="s">
        <v>3657</v>
      </c>
      <c r="C2611" s="31" t="s">
        <v>1996</v>
      </c>
      <c r="D2611" s="31" t="s">
        <v>2025</v>
      </c>
      <c r="E2611" s="32">
        <v>750</v>
      </c>
      <c r="F2611" s="32">
        <v>2</v>
      </c>
    </row>
    <row r="2612" spans="1:6" x14ac:dyDescent="0.3">
      <c r="A2612" s="31">
        <v>2500005599</v>
      </c>
      <c r="B2612" s="31" t="s">
        <v>3658</v>
      </c>
      <c r="C2612" s="31" t="s">
        <v>1996</v>
      </c>
      <c r="D2612" s="31" t="s">
        <v>2025</v>
      </c>
      <c r="E2612" s="32">
        <v>750</v>
      </c>
      <c r="F2612" s="32">
        <v>1</v>
      </c>
    </row>
    <row r="2613" spans="1:6" x14ac:dyDescent="0.3">
      <c r="A2613" s="31">
        <v>2500009495</v>
      </c>
      <c r="B2613" s="31" t="s">
        <v>3659</v>
      </c>
      <c r="C2613" s="31" t="s">
        <v>1996</v>
      </c>
      <c r="D2613" s="31" t="s">
        <v>2289</v>
      </c>
      <c r="E2613" s="32">
        <v>750</v>
      </c>
      <c r="F2613" s="32">
        <v>25</v>
      </c>
    </row>
    <row r="2614" spans="1:6" x14ac:dyDescent="0.3">
      <c r="A2614" s="31">
        <v>2500008971</v>
      </c>
      <c r="B2614" s="31" t="s">
        <v>3660</v>
      </c>
      <c r="C2614" s="31" t="s">
        <v>1996</v>
      </c>
      <c r="D2614" s="31" t="s">
        <v>2025</v>
      </c>
      <c r="E2614" s="32">
        <v>749.25</v>
      </c>
      <c r="F2614" s="32">
        <v>6</v>
      </c>
    </row>
    <row r="2615" spans="1:6" x14ac:dyDescent="0.3">
      <c r="A2615" s="31">
        <v>1000002870</v>
      </c>
      <c r="B2615" s="31" t="s">
        <v>12</v>
      </c>
      <c r="C2615" s="31" t="s">
        <v>2109</v>
      </c>
      <c r="D2615" s="31" t="s">
        <v>2070</v>
      </c>
      <c r="E2615" s="32">
        <v>749.06</v>
      </c>
      <c r="F2615" s="32">
        <v>2</v>
      </c>
    </row>
    <row r="2616" spans="1:6" x14ac:dyDescent="0.3">
      <c r="A2616" s="31">
        <v>1000021157</v>
      </c>
      <c r="B2616" s="31" t="s">
        <v>1306</v>
      </c>
      <c r="C2616" s="31" t="s">
        <v>4</v>
      </c>
      <c r="D2616" s="31" t="s">
        <v>2090</v>
      </c>
      <c r="E2616" s="32">
        <v>746.88</v>
      </c>
      <c r="F2616" s="32">
        <v>2</v>
      </c>
    </row>
    <row r="2617" spans="1:6" x14ac:dyDescent="0.3">
      <c r="A2617" s="31">
        <v>1000021158</v>
      </c>
      <c r="B2617" s="31" t="s">
        <v>1307</v>
      </c>
      <c r="C2617" s="31" t="s">
        <v>4</v>
      </c>
      <c r="D2617" s="31" t="s">
        <v>2090</v>
      </c>
      <c r="E2617" s="32">
        <v>746.88</v>
      </c>
      <c r="F2617" s="32">
        <v>2</v>
      </c>
    </row>
    <row r="2618" spans="1:6" x14ac:dyDescent="0.3">
      <c r="A2618" s="31">
        <v>1000021055</v>
      </c>
      <c r="B2618" s="31" t="s">
        <v>1221</v>
      </c>
      <c r="C2618" s="31" t="s">
        <v>4</v>
      </c>
      <c r="D2618" s="31" t="s">
        <v>2090</v>
      </c>
      <c r="E2618" s="32">
        <v>746.74</v>
      </c>
      <c r="F2618" s="32">
        <v>2</v>
      </c>
    </row>
    <row r="2619" spans="1:6" x14ac:dyDescent="0.3">
      <c r="A2619" s="31">
        <v>1000102221</v>
      </c>
      <c r="B2619" s="31" t="s">
        <v>1776</v>
      </c>
      <c r="C2619" s="31" t="s">
        <v>4</v>
      </c>
      <c r="D2619" s="31" t="s">
        <v>2218</v>
      </c>
      <c r="E2619" s="32">
        <v>745.07242031295198</v>
      </c>
      <c r="F2619" s="32">
        <v>303</v>
      </c>
    </row>
    <row r="2620" spans="1:6" x14ac:dyDescent="0.3">
      <c r="A2620" s="31">
        <v>1000096440</v>
      </c>
      <c r="B2620" s="31" t="s">
        <v>3661</v>
      </c>
      <c r="C2620" s="31" t="s">
        <v>4</v>
      </c>
      <c r="D2620" s="31" t="s">
        <v>2161</v>
      </c>
      <c r="E2620" s="32">
        <v>743.82</v>
      </c>
      <c r="F2620" s="32">
        <v>5</v>
      </c>
    </row>
    <row r="2621" spans="1:6" x14ac:dyDescent="0.3">
      <c r="A2621" s="31">
        <v>2500005888</v>
      </c>
      <c r="B2621" s="31" t="s">
        <v>3662</v>
      </c>
      <c r="C2621" s="31" t="s">
        <v>1996</v>
      </c>
      <c r="D2621" s="31" t="s">
        <v>2025</v>
      </c>
      <c r="E2621" s="32">
        <v>743.32822222222205</v>
      </c>
      <c r="F2621" s="32">
        <v>8</v>
      </c>
    </row>
    <row r="2622" spans="1:6" x14ac:dyDescent="0.3">
      <c r="A2622" s="31">
        <v>1000021123</v>
      </c>
      <c r="B2622" s="31" t="s">
        <v>1282</v>
      </c>
      <c r="C2622" s="31" t="s">
        <v>4</v>
      </c>
      <c r="D2622" s="31" t="s">
        <v>2090</v>
      </c>
      <c r="E2622" s="32">
        <v>742.72</v>
      </c>
      <c r="F2622" s="32">
        <v>2</v>
      </c>
    </row>
    <row r="2623" spans="1:6" x14ac:dyDescent="0.3">
      <c r="A2623" s="31">
        <v>2500009674</v>
      </c>
      <c r="B2623" s="31" t="s">
        <v>3663</v>
      </c>
      <c r="C2623" s="31" t="s">
        <v>1996</v>
      </c>
      <c r="D2623" s="31" t="s">
        <v>2025</v>
      </c>
      <c r="E2623" s="32">
        <v>742.5</v>
      </c>
      <c r="F2623" s="32">
        <v>1</v>
      </c>
    </row>
    <row r="2624" spans="1:6" x14ac:dyDescent="0.3">
      <c r="A2624" s="31">
        <v>2500009499</v>
      </c>
      <c r="B2624" s="31" t="s">
        <v>3664</v>
      </c>
      <c r="C2624" s="31" t="s">
        <v>1996</v>
      </c>
      <c r="D2624" s="31" t="s">
        <v>2289</v>
      </c>
      <c r="E2624" s="32">
        <v>742.5</v>
      </c>
      <c r="F2624" s="32">
        <v>2</v>
      </c>
    </row>
    <row r="2625" spans="1:6" x14ac:dyDescent="0.3">
      <c r="A2625" s="31">
        <v>1000020183</v>
      </c>
      <c r="B2625" s="31" t="s">
        <v>426</v>
      </c>
      <c r="C2625" s="31" t="s">
        <v>4</v>
      </c>
      <c r="D2625" s="31" t="s">
        <v>2090</v>
      </c>
      <c r="E2625" s="32">
        <v>742</v>
      </c>
      <c r="F2625" s="32">
        <v>20</v>
      </c>
    </row>
    <row r="2626" spans="1:6" x14ac:dyDescent="0.3">
      <c r="A2626" s="31">
        <v>1000102208</v>
      </c>
      <c r="B2626" s="31" t="s">
        <v>1770</v>
      </c>
      <c r="C2626" s="31" t="s">
        <v>4</v>
      </c>
      <c r="D2626" s="31" t="s">
        <v>2090</v>
      </c>
      <c r="E2626" s="32">
        <v>741.38</v>
      </c>
      <c r="F2626" s="32">
        <v>25</v>
      </c>
    </row>
    <row r="2627" spans="1:6" x14ac:dyDescent="0.3">
      <c r="A2627" s="31">
        <v>1000010216</v>
      </c>
      <c r="B2627" s="31" t="s">
        <v>3665</v>
      </c>
      <c r="C2627" s="31" t="s">
        <v>4</v>
      </c>
      <c r="D2627" s="31" t="s">
        <v>2161</v>
      </c>
      <c r="E2627" s="32">
        <v>740.88</v>
      </c>
      <c r="F2627" s="32">
        <v>7</v>
      </c>
    </row>
    <row r="2628" spans="1:6" x14ac:dyDescent="0.3">
      <c r="A2628" s="31">
        <v>1000020944</v>
      </c>
      <c r="B2628" s="31" t="s">
        <v>1123</v>
      </c>
      <c r="C2628" s="31" t="s">
        <v>4</v>
      </c>
      <c r="D2628" s="31" t="s">
        <v>2090</v>
      </c>
      <c r="E2628" s="32">
        <v>738.52499999999998</v>
      </c>
      <c r="F2628" s="32">
        <v>1</v>
      </c>
    </row>
    <row r="2629" spans="1:6" x14ac:dyDescent="0.3">
      <c r="A2629" s="31">
        <v>1000020217</v>
      </c>
      <c r="B2629" s="31" t="s">
        <v>457</v>
      </c>
      <c r="C2629" s="31" t="s">
        <v>4</v>
      </c>
      <c r="D2629" s="31" t="s">
        <v>2090</v>
      </c>
      <c r="E2629" s="32">
        <v>737.4</v>
      </c>
      <c r="F2629" s="32">
        <v>3</v>
      </c>
    </row>
    <row r="2630" spans="1:6" x14ac:dyDescent="0.3">
      <c r="A2630" s="31">
        <v>1000020184</v>
      </c>
      <c r="B2630" s="31" t="s">
        <v>427</v>
      </c>
      <c r="C2630" s="31" t="s">
        <v>4</v>
      </c>
      <c r="D2630" s="31" t="s">
        <v>2090</v>
      </c>
      <c r="E2630" s="32">
        <v>737</v>
      </c>
      <c r="F2630" s="32">
        <v>20</v>
      </c>
    </row>
    <row r="2631" spans="1:6" x14ac:dyDescent="0.3">
      <c r="A2631" s="31">
        <v>1000020256</v>
      </c>
      <c r="B2631" s="31" t="s">
        <v>495</v>
      </c>
      <c r="C2631" s="31" t="s">
        <v>4</v>
      </c>
      <c r="D2631" s="31" t="s">
        <v>2090</v>
      </c>
      <c r="E2631" s="32">
        <v>736.5</v>
      </c>
      <c r="F2631" s="32">
        <v>75</v>
      </c>
    </row>
    <row r="2632" spans="1:6" x14ac:dyDescent="0.3">
      <c r="A2632" s="31">
        <v>1000103145</v>
      </c>
      <c r="B2632" s="31" t="s">
        <v>3666</v>
      </c>
      <c r="C2632" s="31" t="s">
        <v>4</v>
      </c>
      <c r="D2632" s="31" t="s">
        <v>2090</v>
      </c>
      <c r="E2632" s="32">
        <v>736.31399999999996</v>
      </c>
      <c r="F2632" s="32">
        <v>3</v>
      </c>
    </row>
    <row r="2633" spans="1:6" x14ac:dyDescent="0.3">
      <c r="A2633" s="31">
        <v>1000020524</v>
      </c>
      <c r="B2633" s="31" t="s">
        <v>328</v>
      </c>
      <c r="C2633" s="31" t="s">
        <v>4</v>
      </c>
      <c r="D2633" s="31" t="s">
        <v>2090</v>
      </c>
      <c r="E2633" s="32">
        <v>736.26</v>
      </c>
      <c r="F2633" s="32">
        <v>6</v>
      </c>
    </row>
    <row r="2634" spans="1:6" x14ac:dyDescent="0.3">
      <c r="A2634" s="31">
        <v>2500008201</v>
      </c>
      <c r="B2634" s="31" t="s">
        <v>3159</v>
      </c>
      <c r="C2634" s="31" t="s">
        <v>2088</v>
      </c>
      <c r="D2634" s="31" t="s">
        <v>2025</v>
      </c>
      <c r="E2634" s="32">
        <v>734.25</v>
      </c>
      <c r="F2634" s="32">
        <v>1</v>
      </c>
    </row>
    <row r="2635" spans="1:6" x14ac:dyDescent="0.3">
      <c r="A2635" s="31">
        <v>1000020825</v>
      </c>
      <c r="B2635" s="31" t="s">
        <v>1023</v>
      </c>
      <c r="C2635" s="31" t="s">
        <v>4</v>
      </c>
      <c r="D2635" s="31" t="s">
        <v>2090</v>
      </c>
      <c r="E2635" s="32">
        <v>734.03</v>
      </c>
      <c r="F2635" s="32">
        <v>1</v>
      </c>
    </row>
    <row r="2636" spans="1:6" x14ac:dyDescent="0.3">
      <c r="A2636" s="31">
        <v>1000020330</v>
      </c>
      <c r="B2636" s="31" t="s">
        <v>563</v>
      </c>
      <c r="C2636" s="31" t="s">
        <v>4</v>
      </c>
      <c r="D2636" s="31" t="s">
        <v>2090</v>
      </c>
      <c r="E2636" s="32">
        <v>733.8</v>
      </c>
      <c r="F2636" s="32">
        <v>3</v>
      </c>
    </row>
    <row r="2637" spans="1:6" x14ac:dyDescent="0.3">
      <c r="A2637" s="31">
        <v>1000107341</v>
      </c>
      <c r="B2637" s="31" t="s">
        <v>132</v>
      </c>
      <c r="C2637" s="31" t="s">
        <v>4</v>
      </c>
      <c r="D2637" s="31" t="s">
        <v>2161</v>
      </c>
      <c r="E2637" s="32">
        <v>733.34107518140399</v>
      </c>
      <c r="F2637" s="32">
        <v>1</v>
      </c>
    </row>
    <row r="2638" spans="1:6" x14ac:dyDescent="0.3">
      <c r="A2638" s="31">
        <v>1000107634</v>
      </c>
      <c r="B2638" s="31" t="s">
        <v>3667</v>
      </c>
      <c r="C2638" s="31" t="s">
        <v>2257</v>
      </c>
      <c r="D2638" s="31" t="s">
        <v>3668</v>
      </c>
      <c r="E2638" s="32">
        <v>732</v>
      </c>
      <c r="F2638" s="32">
        <v>1</v>
      </c>
    </row>
    <row r="2639" spans="1:6" x14ac:dyDescent="0.3">
      <c r="A2639" s="31">
        <v>1000021228</v>
      </c>
      <c r="B2639" s="31" t="s">
        <v>1374</v>
      </c>
      <c r="C2639" s="31" t="s">
        <v>4</v>
      </c>
      <c r="D2639" s="31" t="s">
        <v>2090</v>
      </c>
      <c r="E2639" s="32">
        <v>731.49</v>
      </c>
      <c r="F2639" s="32">
        <v>3</v>
      </c>
    </row>
    <row r="2640" spans="1:6" x14ac:dyDescent="0.3">
      <c r="A2640" s="31">
        <v>2500008458</v>
      </c>
      <c r="B2640" s="31" t="s">
        <v>1937</v>
      </c>
      <c r="C2640" s="31" t="s">
        <v>1996</v>
      </c>
      <c r="D2640" s="31" t="s">
        <v>2025</v>
      </c>
      <c r="E2640" s="32">
        <v>731.25000022500001</v>
      </c>
      <c r="F2640" s="32">
        <v>5</v>
      </c>
    </row>
    <row r="2641" spans="1:6" x14ac:dyDescent="0.3">
      <c r="A2641" s="31">
        <v>2200000386</v>
      </c>
      <c r="B2641" s="31" t="s">
        <v>155</v>
      </c>
      <c r="C2641" s="31" t="s">
        <v>2037</v>
      </c>
      <c r="D2641" s="31" t="s">
        <v>2038</v>
      </c>
      <c r="E2641" s="32">
        <v>730.73</v>
      </c>
      <c r="F2641" s="32">
        <v>1</v>
      </c>
    </row>
    <row r="2642" spans="1:6" x14ac:dyDescent="0.3">
      <c r="A2642" s="31">
        <v>1000020945</v>
      </c>
      <c r="B2642" s="31" t="s">
        <v>1124</v>
      </c>
      <c r="C2642" s="31" t="s">
        <v>4</v>
      </c>
      <c r="D2642" s="31" t="s">
        <v>2090</v>
      </c>
      <c r="E2642" s="32">
        <v>729.77</v>
      </c>
      <c r="F2642" s="32">
        <v>1</v>
      </c>
    </row>
    <row r="2643" spans="1:6" x14ac:dyDescent="0.3">
      <c r="A2643" s="31">
        <v>2500008455</v>
      </c>
      <c r="B2643" s="31" t="s">
        <v>3669</v>
      </c>
      <c r="C2643" s="31" t="s">
        <v>1996</v>
      </c>
      <c r="D2643" s="31" t="s">
        <v>2025</v>
      </c>
      <c r="E2643" s="32">
        <v>729.00599999999997</v>
      </c>
      <c r="F2643" s="32">
        <v>5</v>
      </c>
    </row>
    <row r="2644" spans="1:6" x14ac:dyDescent="0.3">
      <c r="A2644" s="31">
        <v>1000097557</v>
      </c>
      <c r="B2644" s="31" t="s">
        <v>3670</v>
      </c>
      <c r="C2644" s="31" t="s">
        <v>4</v>
      </c>
      <c r="D2644" s="31" t="s">
        <v>2161</v>
      </c>
      <c r="E2644" s="32">
        <v>729</v>
      </c>
      <c r="F2644" s="32">
        <v>1</v>
      </c>
    </row>
    <row r="2645" spans="1:6" x14ac:dyDescent="0.3">
      <c r="A2645" s="31">
        <v>1000021253</v>
      </c>
      <c r="B2645" s="31" t="s">
        <v>1398</v>
      </c>
      <c r="C2645" s="31" t="s">
        <v>2205</v>
      </c>
      <c r="D2645" s="31" t="s">
        <v>2090</v>
      </c>
      <c r="E2645" s="32">
        <v>728.64</v>
      </c>
      <c r="F2645" s="32">
        <v>4</v>
      </c>
    </row>
    <row r="2646" spans="1:6" x14ac:dyDescent="0.3">
      <c r="A2646" s="31">
        <v>1000103525</v>
      </c>
      <c r="B2646" s="31" t="s">
        <v>1827</v>
      </c>
      <c r="C2646" s="31" t="s">
        <v>4</v>
      </c>
      <c r="D2646" s="31" t="s">
        <v>2090</v>
      </c>
      <c r="E2646" s="32">
        <v>728.25</v>
      </c>
      <c r="F2646" s="32">
        <v>5</v>
      </c>
    </row>
    <row r="2647" spans="1:6" x14ac:dyDescent="0.3">
      <c r="A2647" s="31">
        <v>2500008693</v>
      </c>
      <c r="B2647" s="31" t="s">
        <v>3671</v>
      </c>
      <c r="C2647" s="31" t="s">
        <v>1996</v>
      </c>
      <c r="D2647" s="31" t="s">
        <v>2025</v>
      </c>
      <c r="E2647" s="32">
        <v>727.5</v>
      </c>
      <c r="F2647" s="32">
        <v>2</v>
      </c>
    </row>
    <row r="2648" spans="1:6" x14ac:dyDescent="0.3">
      <c r="A2648" s="31">
        <v>2200000299</v>
      </c>
      <c r="B2648" s="31" t="s">
        <v>3672</v>
      </c>
      <c r="C2648" s="31" t="s">
        <v>2037</v>
      </c>
      <c r="D2648" s="31" t="s">
        <v>2038</v>
      </c>
      <c r="E2648" s="32">
        <v>726.63</v>
      </c>
      <c r="F2648" s="32">
        <v>1</v>
      </c>
    </row>
    <row r="2649" spans="1:6" x14ac:dyDescent="0.3">
      <c r="A2649" s="31">
        <v>1000103143</v>
      </c>
      <c r="B2649" s="31" t="s">
        <v>3673</v>
      </c>
      <c r="C2649" s="31" t="s">
        <v>4</v>
      </c>
      <c r="D2649" s="31" t="s">
        <v>2090</v>
      </c>
      <c r="E2649" s="32">
        <v>726.38</v>
      </c>
      <c r="F2649" s="32">
        <v>27</v>
      </c>
    </row>
    <row r="2650" spans="1:6" x14ac:dyDescent="0.3">
      <c r="A2650" s="31">
        <v>1000100433</v>
      </c>
      <c r="B2650" s="31" t="s">
        <v>1744</v>
      </c>
      <c r="C2650" s="31" t="s">
        <v>4</v>
      </c>
      <c r="D2650" s="31" t="s">
        <v>2090</v>
      </c>
      <c r="E2650" s="32">
        <v>725.4</v>
      </c>
      <c r="F2650" s="32">
        <v>12</v>
      </c>
    </row>
    <row r="2651" spans="1:6" x14ac:dyDescent="0.3">
      <c r="A2651" s="31">
        <v>1000093964</v>
      </c>
      <c r="B2651" s="31" t="s">
        <v>3674</v>
      </c>
      <c r="C2651" s="31" t="s">
        <v>2205</v>
      </c>
      <c r="D2651" s="31" t="s">
        <v>2070</v>
      </c>
      <c r="E2651" s="32">
        <v>724.15731249999999</v>
      </c>
      <c r="F2651" s="32">
        <v>1</v>
      </c>
    </row>
    <row r="2652" spans="1:6" x14ac:dyDescent="0.3">
      <c r="A2652" s="31">
        <v>1000095711</v>
      </c>
      <c r="B2652" s="31" t="s">
        <v>3675</v>
      </c>
      <c r="C2652" s="31" t="s">
        <v>2027</v>
      </c>
      <c r="D2652" s="31" t="s">
        <v>2173</v>
      </c>
      <c r="E2652" s="32">
        <v>723.77987173333304</v>
      </c>
      <c r="F2652" s="32">
        <v>1</v>
      </c>
    </row>
    <row r="2653" spans="1:6" x14ac:dyDescent="0.3">
      <c r="A2653" s="31">
        <v>1000098642</v>
      </c>
      <c r="B2653" s="31" t="s">
        <v>1620</v>
      </c>
      <c r="C2653" s="31" t="s">
        <v>4</v>
      </c>
      <c r="D2653" s="31" t="s">
        <v>2090</v>
      </c>
      <c r="E2653" s="32">
        <v>723.26</v>
      </c>
      <c r="F2653" s="32">
        <v>3</v>
      </c>
    </row>
    <row r="2654" spans="1:6" x14ac:dyDescent="0.3">
      <c r="A2654" s="31">
        <v>1000020773</v>
      </c>
      <c r="B2654" s="31" t="s">
        <v>977</v>
      </c>
      <c r="C2654" s="31" t="s">
        <v>4</v>
      </c>
      <c r="D2654" s="31" t="s">
        <v>2090</v>
      </c>
      <c r="E2654" s="32">
        <v>723.15</v>
      </c>
      <c r="F2654" s="32">
        <v>1</v>
      </c>
    </row>
    <row r="2655" spans="1:6" x14ac:dyDescent="0.3">
      <c r="A2655" s="31">
        <v>1000103195</v>
      </c>
      <c r="B2655" s="31" t="s">
        <v>1803</v>
      </c>
      <c r="C2655" s="31" t="s">
        <v>4</v>
      </c>
      <c r="D2655" s="31" t="s">
        <v>2090</v>
      </c>
      <c r="E2655" s="32">
        <v>722.74</v>
      </c>
      <c r="F2655" s="32">
        <v>3</v>
      </c>
    </row>
    <row r="2656" spans="1:6" x14ac:dyDescent="0.3">
      <c r="A2656" s="31">
        <v>1000098676</v>
      </c>
      <c r="B2656" s="31" t="s">
        <v>1635</v>
      </c>
      <c r="C2656" s="31" t="s">
        <v>4</v>
      </c>
      <c r="D2656" s="31" t="s">
        <v>2090</v>
      </c>
      <c r="E2656" s="32">
        <v>722.66</v>
      </c>
      <c r="F2656" s="32">
        <v>1</v>
      </c>
    </row>
    <row r="2657" spans="1:6" x14ac:dyDescent="0.3">
      <c r="A2657" s="31">
        <v>1000097074</v>
      </c>
      <c r="B2657" s="31" t="s">
        <v>3676</v>
      </c>
      <c r="C2657" s="31" t="s">
        <v>4</v>
      </c>
      <c r="D2657" s="31" t="s">
        <v>2639</v>
      </c>
      <c r="E2657" s="32">
        <v>722.38259555144305</v>
      </c>
      <c r="F2657" s="32">
        <v>101</v>
      </c>
    </row>
    <row r="2658" spans="1:6" x14ac:dyDescent="0.3">
      <c r="A2658" s="31">
        <v>2700000005</v>
      </c>
      <c r="B2658" s="31" t="s">
        <v>215</v>
      </c>
      <c r="C2658" s="31" t="s">
        <v>2037</v>
      </c>
      <c r="D2658" s="31" t="s">
        <v>2038</v>
      </c>
      <c r="E2658" s="32">
        <v>721.66134631578905</v>
      </c>
      <c r="F2658" s="32">
        <v>3</v>
      </c>
    </row>
    <row r="2659" spans="1:6" x14ac:dyDescent="0.3">
      <c r="A2659" s="31">
        <v>1000093483</v>
      </c>
      <c r="B2659" s="31" t="s">
        <v>3677</v>
      </c>
      <c r="C2659" s="31" t="s">
        <v>4</v>
      </c>
      <c r="D2659" s="31" t="s">
        <v>2161</v>
      </c>
      <c r="E2659" s="32">
        <v>721.35</v>
      </c>
      <c r="F2659" s="32">
        <v>5</v>
      </c>
    </row>
    <row r="2660" spans="1:6" x14ac:dyDescent="0.3">
      <c r="A2660" s="31">
        <v>1000102854</v>
      </c>
      <c r="B2660" s="31" t="s">
        <v>3678</v>
      </c>
      <c r="C2660" s="31" t="s">
        <v>4</v>
      </c>
      <c r="D2660" s="31" t="s">
        <v>2056</v>
      </c>
      <c r="E2660" s="32">
        <v>721.30499999999995</v>
      </c>
      <c r="F2660" s="32">
        <v>195</v>
      </c>
    </row>
    <row r="2661" spans="1:6" x14ac:dyDescent="0.3">
      <c r="A2661" s="31">
        <v>1000100365</v>
      </c>
      <c r="B2661" s="31" t="s">
        <v>1705</v>
      </c>
      <c r="C2661" s="31" t="s">
        <v>4</v>
      </c>
      <c r="D2661" s="31" t="s">
        <v>2090</v>
      </c>
      <c r="E2661" s="32">
        <v>721.00687893081704</v>
      </c>
      <c r="F2661" s="32">
        <v>105</v>
      </c>
    </row>
    <row r="2662" spans="1:6" x14ac:dyDescent="0.3">
      <c r="A2662" s="31">
        <v>80000009695</v>
      </c>
      <c r="B2662" s="31" t="s">
        <v>3679</v>
      </c>
      <c r="C2662" s="31" t="s">
        <v>2521</v>
      </c>
      <c r="D2662" s="31" t="s">
        <v>2670</v>
      </c>
      <c r="E2662" s="32">
        <v>720</v>
      </c>
      <c r="F2662" s="32">
        <v>150</v>
      </c>
    </row>
    <row r="2663" spans="1:6" x14ac:dyDescent="0.3">
      <c r="A2663" s="31">
        <v>1000021054</v>
      </c>
      <c r="B2663" s="31" t="s">
        <v>1220</v>
      </c>
      <c r="C2663" s="31" t="s">
        <v>4</v>
      </c>
      <c r="D2663" s="31" t="s">
        <v>2090</v>
      </c>
      <c r="E2663" s="32">
        <v>719.14</v>
      </c>
      <c r="F2663" s="32">
        <v>2</v>
      </c>
    </row>
    <row r="2664" spans="1:6" x14ac:dyDescent="0.3">
      <c r="A2664" s="31">
        <v>1000092603</v>
      </c>
      <c r="B2664" s="31" t="s">
        <v>2704</v>
      </c>
      <c r="C2664" s="31" t="s">
        <v>2165</v>
      </c>
      <c r="D2664" s="31" t="s">
        <v>2399</v>
      </c>
      <c r="E2664" s="32">
        <v>718.74</v>
      </c>
      <c r="F2664" s="32">
        <v>2</v>
      </c>
    </row>
    <row r="2665" spans="1:6" x14ac:dyDescent="0.3">
      <c r="A2665" s="31">
        <v>1000020903</v>
      </c>
      <c r="B2665" s="31" t="s">
        <v>1084</v>
      </c>
      <c r="C2665" s="31" t="s">
        <v>4</v>
      </c>
      <c r="D2665" s="31" t="s">
        <v>2090</v>
      </c>
      <c r="E2665" s="32">
        <v>717.33</v>
      </c>
      <c r="F2665" s="32">
        <v>3</v>
      </c>
    </row>
    <row r="2666" spans="1:6" x14ac:dyDescent="0.3">
      <c r="A2666" s="31">
        <v>1000020521</v>
      </c>
      <c r="B2666" s="31" t="s">
        <v>743</v>
      </c>
      <c r="C2666" s="31" t="s">
        <v>4</v>
      </c>
      <c r="D2666" s="31" t="s">
        <v>2090</v>
      </c>
      <c r="E2666" s="32">
        <v>716.4</v>
      </c>
      <c r="F2666" s="32">
        <v>8</v>
      </c>
    </row>
    <row r="2667" spans="1:6" x14ac:dyDescent="0.3">
      <c r="A2667" s="31">
        <v>1000091290</v>
      </c>
      <c r="B2667" s="31" t="s">
        <v>2969</v>
      </c>
      <c r="C2667" s="31" t="s">
        <v>2257</v>
      </c>
      <c r="D2667" s="31" t="s">
        <v>2399</v>
      </c>
      <c r="E2667" s="32">
        <v>715.79975524817405</v>
      </c>
      <c r="F2667" s="32">
        <v>7</v>
      </c>
    </row>
    <row r="2668" spans="1:6" x14ac:dyDescent="0.3">
      <c r="A2668" s="31">
        <v>1000098577</v>
      </c>
      <c r="B2668" s="31" t="s">
        <v>1586</v>
      </c>
      <c r="C2668" s="31" t="s">
        <v>4</v>
      </c>
      <c r="D2668" s="31" t="s">
        <v>2090</v>
      </c>
      <c r="E2668" s="32">
        <v>715.66</v>
      </c>
      <c r="F2668" s="32">
        <v>4</v>
      </c>
    </row>
    <row r="2669" spans="1:6" x14ac:dyDescent="0.3">
      <c r="A2669" s="31">
        <v>2000019695</v>
      </c>
      <c r="B2669" s="31" t="s">
        <v>3680</v>
      </c>
      <c r="C2669" s="31" t="s">
        <v>2017</v>
      </c>
      <c r="D2669" s="31" t="s">
        <v>2063</v>
      </c>
      <c r="E2669" s="32">
        <v>714.71249999999998</v>
      </c>
      <c r="F2669" s="32">
        <v>10</v>
      </c>
    </row>
    <row r="2670" spans="1:6" x14ac:dyDescent="0.3">
      <c r="A2670" s="31">
        <v>80000009704</v>
      </c>
      <c r="B2670" s="31" t="s">
        <v>3522</v>
      </c>
      <c r="C2670" s="31" t="s">
        <v>2521</v>
      </c>
      <c r="D2670" s="31" t="s">
        <v>2670</v>
      </c>
      <c r="E2670" s="32">
        <v>714.4</v>
      </c>
      <c r="F2670" s="32">
        <v>1880</v>
      </c>
    </row>
    <row r="2671" spans="1:6" x14ac:dyDescent="0.3">
      <c r="A2671" s="31">
        <v>1000098698</v>
      </c>
      <c r="B2671" s="31" t="s">
        <v>1649</v>
      </c>
      <c r="C2671" s="31" t="s">
        <v>4</v>
      </c>
      <c r="D2671" s="31" t="s">
        <v>2090</v>
      </c>
      <c r="E2671" s="32">
        <v>713.11</v>
      </c>
      <c r="F2671" s="32">
        <v>2</v>
      </c>
    </row>
    <row r="2672" spans="1:6" x14ac:dyDescent="0.3">
      <c r="A2672" s="31">
        <v>1000103753</v>
      </c>
      <c r="B2672" s="31" t="s">
        <v>3681</v>
      </c>
      <c r="C2672" s="31" t="s">
        <v>4</v>
      </c>
      <c r="D2672" s="31" t="s">
        <v>2056</v>
      </c>
      <c r="E2672" s="32">
        <v>712.85828571428499</v>
      </c>
      <c r="F2672" s="32">
        <v>20</v>
      </c>
    </row>
    <row r="2673" spans="1:6" x14ac:dyDescent="0.3">
      <c r="A2673" s="31">
        <v>1000101151</v>
      </c>
      <c r="B2673" s="31" t="s">
        <v>3682</v>
      </c>
      <c r="C2673" s="31" t="s">
        <v>4</v>
      </c>
      <c r="D2673" s="31" t="s">
        <v>2284</v>
      </c>
      <c r="E2673" s="32">
        <v>712.5</v>
      </c>
      <c r="F2673" s="32">
        <v>2</v>
      </c>
    </row>
    <row r="2674" spans="1:6" x14ac:dyDescent="0.3">
      <c r="A2674" s="31">
        <v>1000021282</v>
      </c>
      <c r="B2674" s="31" t="s">
        <v>1419</v>
      </c>
      <c r="C2674" s="31" t="s">
        <v>4</v>
      </c>
      <c r="D2674" s="31" t="s">
        <v>2090</v>
      </c>
      <c r="E2674" s="32">
        <v>709.24</v>
      </c>
      <c r="F2674" s="32">
        <v>2</v>
      </c>
    </row>
    <row r="2675" spans="1:6" x14ac:dyDescent="0.3">
      <c r="A2675" s="31">
        <v>1000101103</v>
      </c>
      <c r="B2675" s="31" t="s">
        <v>3683</v>
      </c>
      <c r="C2675" s="31" t="s">
        <v>4</v>
      </c>
      <c r="D2675" s="31" t="s">
        <v>2284</v>
      </c>
      <c r="E2675" s="32">
        <v>709.05</v>
      </c>
      <c r="F2675" s="32">
        <v>1</v>
      </c>
    </row>
    <row r="2676" spans="1:6" x14ac:dyDescent="0.3">
      <c r="A2676" s="31">
        <v>2500009161</v>
      </c>
      <c r="B2676" s="31" t="s">
        <v>1980</v>
      </c>
      <c r="C2676" s="31" t="s">
        <v>1996</v>
      </c>
      <c r="D2676" s="31" t="s">
        <v>2025</v>
      </c>
      <c r="E2676" s="32">
        <v>708.75</v>
      </c>
      <c r="F2676" s="32">
        <v>1</v>
      </c>
    </row>
    <row r="2677" spans="1:6" x14ac:dyDescent="0.3">
      <c r="A2677" s="31">
        <v>2500009026</v>
      </c>
      <c r="B2677" s="31" t="s">
        <v>1962</v>
      </c>
      <c r="C2677" s="31" t="s">
        <v>1996</v>
      </c>
      <c r="D2677" s="31" t="s">
        <v>2025</v>
      </c>
      <c r="E2677" s="32">
        <v>708.75</v>
      </c>
      <c r="F2677" s="32">
        <v>1</v>
      </c>
    </row>
    <row r="2678" spans="1:6" x14ac:dyDescent="0.3">
      <c r="A2678" s="31">
        <v>1000099196</v>
      </c>
      <c r="B2678" s="31" t="s">
        <v>3684</v>
      </c>
      <c r="C2678" s="31" t="s">
        <v>4</v>
      </c>
      <c r="D2678" s="31" t="s">
        <v>2161</v>
      </c>
      <c r="E2678" s="32">
        <v>706.12964705882302</v>
      </c>
      <c r="F2678" s="32">
        <v>4</v>
      </c>
    </row>
    <row r="2679" spans="1:6" x14ac:dyDescent="0.3">
      <c r="A2679" s="31">
        <v>2500008261</v>
      </c>
      <c r="B2679" s="31" t="s">
        <v>3685</v>
      </c>
      <c r="C2679" s="31" t="s">
        <v>1996</v>
      </c>
      <c r="D2679" s="31" t="s">
        <v>2025</v>
      </c>
      <c r="E2679" s="32">
        <v>705.37666666666598</v>
      </c>
      <c r="F2679" s="32">
        <v>1</v>
      </c>
    </row>
    <row r="2680" spans="1:6" x14ac:dyDescent="0.3">
      <c r="A2680" s="31">
        <v>1000020210</v>
      </c>
      <c r="B2680" s="31" t="s">
        <v>450</v>
      </c>
      <c r="C2680" s="31" t="s">
        <v>4</v>
      </c>
      <c r="D2680" s="31" t="s">
        <v>2090</v>
      </c>
      <c r="E2680" s="32">
        <v>704</v>
      </c>
      <c r="F2680" s="32">
        <v>4</v>
      </c>
    </row>
    <row r="2681" spans="1:6" x14ac:dyDescent="0.3">
      <c r="A2681" s="31">
        <v>1000102642</v>
      </c>
      <c r="B2681" s="31" t="s">
        <v>3686</v>
      </c>
      <c r="C2681" s="31" t="s">
        <v>4</v>
      </c>
      <c r="D2681" s="31" t="s">
        <v>2056</v>
      </c>
      <c r="E2681" s="32">
        <v>701.94109090909001</v>
      </c>
      <c r="F2681" s="32">
        <v>90</v>
      </c>
    </row>
    <row r="2682" spans="1:6" x14ac:dyDescent="0.3">
      <c r="A2682" s="31">
        <v>1000110904</v>
      </c>
      <c r="B2682" s="31" t="s">
        <v>3687</v>
      </c>
      <c r="C2682" s="31" t="s">
        <v>4</v>
      </c>
      <c r="D2682" s="31" t="s">
        <v>2056</v>
      </c>
      <c r="E2682" s="32">
        <v>701.8</v>
      </c>
      <c r="F2682" s="32">
        <v>110</v>
      </c>
    </row>
    <row r="2683" spans="1:6" x14ac:dyDescent="0.3">
      <c r="A2683" s="31">
        <v>1000101584</v>
      </c>
      <c r="B2683" s="31" t="s">
        <v>3688</v>
      </c>
      <c r="C2683" s="31" t="s">
        <v>4</v>
      </c>
      <c r="D2683" s="31" t="s">
        <v>2056</v>
      </c>
      <c r="E2683" s="32">
        <v>701.36666666666599</v>
      </c>
      <c r="F2683" s="32">
        <v>2</v>
      </c>
    </row>
    <row r="2684" spans="1:6" x14ac:dyDescent="0.3">
      <c r="A2684" s="31">
        <v>1000020571</v>
      </c>
      <c r="B2684" s="31" t="s">
        <v>788</v>
      </c>
      <c r="C2684" s="31" t="s">
        <v>4</v>
      </c>
      <c r="D2684" s="31" t="s">
        <v>2090</v>
      </c>
      <c r="E2684" s="32">
        <v>701.35</v>
      </c>
      <c r="F2684" s="32">
        <v>5</v>
      </c>
    </row>
    <row r="2685" spans="1:6" x14ac:dyDescent="0.3">
      <c r="A2685" s="31">
        <v>1000108815</v>
      </c>
      <c r="B2685" s="31" t="s">
        <v>3689</v>
      </c>
      <c r="C2685" s="31" t="s">
        <v>4</v>
      </c>
      <c r="D2685" s="31" t="s">
        <v>2056</v>
      </c>
      <c r="E2685" s="32">
        <v>701.26800000000003</v>
      </c>
      <c r="F2685" s="32">
        <v>60</v>
      </c>
    </row>
    <row r="2686" spans="1:6" x14ac:dyDescent="0.3">
      <c r="A2686" s="31">
        <v>1000020860</v>
      </c>
      <c r="B2686" s="31" t="s">
        <v>1049</v>
      </c>
      <c r="C2686" s="31" t="s">
        <v>4</v>
      </c>
      <c r="D2686" s="31" t="s">
        <v>2090</v>
      </c>
      <c r="E2686" s="32">
        <v>700.80373597998801</v>
      </c>
      <c r="F2686" s="32">
        <v>2</v>
      </c>
    </row>
    <row r="2687" spans="1:6" x14ac:dyDescent="0.3">
      <c r="A2687" s="31">
        <v>80000009722</v>
      </c>
      <c r="B2687" s="31" t="s">
        <v>3584</v>
      </c>
      <c r="C2687" s="31" t="s">
        <v>2755</v>
      </c>
      <c r="D2687" s="31" t="s">
        <v>2670</v>
      </c>
      <c r="E2687" s="32">
        <v>700</v>
      </c>
      <c r="F2687" s="32">
        <v>1400</v>
      </c>
    </row>
    <row r="2688" spans="1:6" x14ac:dyDescent="0.3">
      <c r="A2688" s="31">
        <v>2200002924</v>
      </c>
      <c r="B2688" s="31" t="s">
        <v>188</v>
      </c>
      <c r="C2688" s="31" t="s">
        <v>2037</v>
      </c>
      <c r="D2688" s="31" t="s">
        <v>2038</v>
      </c>
      <c r="E2688" s="32">
        <v>699.24</v>
      </c>
      <c r="F2688" s="32">
        <v>1</v>
      </c>
    </row>
    <row r="2689" spans="1:6" x14ac:dyDescent="0.3">
      <c r="A2689" s="31">
        <v>2200002958</v>
      </c>
      <c r="B2689" s="31" t="s">
        <v>3690</v>
      </c>
      <c r="C2689" s="31" t="s">
        <v>2037</v>
      </c>
      <c r="D2689" s="31" t="s">
        <v>2038</v>
      </c>
      <c r="E2689" s="32">
        <v>699.24</v>
      </c>
      <c r="F2689" s="32">
        <v>1</v>
      </c>
    </row>
    <row r="2690" spans="1:6" x14ac:dyDescent="0.3">
      <c r="A2690" s="31">
        <v>1000020673</v>
      </c>
      <c r="B2690" s="31" t="s">
        <v>886</v>
      </c>
      <c r="C2690" s="31" t="s">
        <v>4</v>
      </c>
      <c r="D2690" s="31" t="s">
        <v>2090</v>
      </c>
      <c r="E2690" s="32">
        <v>699</v>
      </c>
      <c r="F2690" s="32">
        <v>16</v>
      </c>
    </row>
    <row r="2691" spans="1:6" x14ac:dyDescent="0.3">
      <c r="A2691" s="31">
        <v>2500008569</v>
      </c>
      <c r="B2691" s="31" t="s">
        <v>3176</v>
      </c>
      <c r="C2691" s="31" t="s">
        <v>1996</v>
      </c>
      <c r="D2691" s="31" t="s">
        <v>2117</v>
      </c>
      <c r="E2691" s="32">
        <v>697.5</v>
      </c>
      <c r="F2691" s="32">
        <v>2</v>
      </c>
    </row>
    <row r="2692" spans="1:6" x14ac:dyDescent="0.3">
      <c r="A2692" s="31">
        <v>1000021477</v>
      </c>
      <c r="B2692" s="31" t="s">
        <v>1491</v>
      </c>
      <c r="C2692" s="31" t="s">
        <v>4</v>
      </c>
      <c r="D2692" s="31" t="s">
        <v>2090</v>
      </c>
      <c r="E2692" s="32">
        <v>696.44</v>
      </c>
      <c r="F2692" s="32">
        <v>1</v>
      </c>
    </row>
    <row r="2693" spans="1:6" x14ac:dyDescent="0.3">
      <c r="A2693" s="31">
        <v>1000021173</v>
      </c>
      <c r="B2693" s="31" t="s">
        <v>1320</v>
      </c>
      <c r="C2693" s="31" t="s">
        <v>4</v>
      </c>
      <c r="D2693" s="31" t="s">
        <v>2090</v>
      </c>
      <c r="E2693" s="32">
        <v>695.6</v>
      </c>
      <c r="F2693" s="32">
        <v>10</v>
      </c>
    </row>
    <row r="2694" spans="1:6" x14ac:dyDescent="0.3">
      <c r="A2694" s="31">
        <v>1000093600</v>
      </c>
      <c r="B2694" s="31" t="s">
        <v>3691</v>
      </c>
      <c r="C2694" s="31" t="s">
        <v>4</v>
      </c>
      <c r="D2694" s="31" t="s">
        <v>2056</v>
      </c>
      <c r="E2694" s="32">
        <v>693.30102172593297</v>
      </c>
      <c r="F2694" s="32">
        <v>177</v>
      </c>
    </row>
    <row r="2695" spans="1:6" x14ac:dyDescent="0.3">
      <c r="A2695" s="31">
        <v>1000098675</v>
      </c>
      <c r="B2695" s="31" t="s">
        <v>1634</v>
      </c>
      <c r="C2695" s="31" t="s">
        <v>4</v>
      </c>
      <c r="D2695" s="31" t="s">
        <v>2090</v>
      </c>
      <c r="E2695" s="32">
        <v>693</v>
      </c>
      <c r="F2695" s="32">
        <v>20</v>
      </c>
    </row>
    <row r="2696" spans="1:6" x14ac:dyDescent="0.3">
      <c r="A2696" s="31">
        <v>1000020930</v>
      </c>
      <c r="B2696" s="31" t="s">
        <v>1110</v>
      </c>
      <c r="C2696" s="31" t="s">
        <v>4</v>
      </c>
      <c r="D2696" s="31" t="s">
        <v>2090</v>
      </c>
      <c r="E2696" s="32">
        <v>692.16</v>
      </c>
      <c r="F2696" s="32">
        <v>4</v>
      </c>
    </row>
    <row r="2697" spans="1:6" x14ac:dyDescent="0.3">
      <c r="A2697" s="31">
        <v>2500008253</v>
      </c>
      <c r="B2697" s="31" t="s">
        <v>3692</v>
      </c>
      <c r="C2697" s="31" t="s">
        <v>1996</v>
      </c>
      <c r="D2697" s="31" t="s">
        <v>2025</v>
      </c>
      <c r="E2697" s="32">
        <v>691.88273809523798</v>
      </c>
      <c r="F2697" s="32">
        <v>5</v>
      </c>
    </row>
    <row r="2698" spans="1:6" x14ac:dyDescent="0.3">
      <c r="A2698" s="31">
        <v>1000098764</v>
      </c>
      <c r="B2698" s="31" t="s">
        <v>1690</v>
      </c>
      <c r="C2698" s="31" t="s">
        <v>4</v>
      </c>
      <c r="D2698" s="31" t="s">
        <v>2090</v>
      </c>
      <c r="E2698" s="32">
        <v>690.50074326282197</v>
      </c>
      <c r="F2698" s="32">
        <v>220</v>
      </c>
    </row>
    <row r="2699" spans="1:6" x14ac:dyDescent="0.3">
      <c r="A2699" s="31">
        <v>1000017008</v>
      </c>
      <c r="B2699" s="31" t="s">
        <v>3693</v>
      </c>
      <c r="C2699" s="31" t="s">
        <v>4</v>
      </c>
      <c r="D2699" s="31" t="s">
        <v>3274</v>
      </c>
      <c r="E2699" s="32">
        <v>690</v>
      </c>
      <c r="F2699" s="32">
        <v>50</v>
      </c>
    </row>
    <row r="2700" spans="1:6" x14ac:dyDescent="0.3">
      <c r="A2700" s="31">
        <v>1000010232</v>
      </c>
      <c r="B2700" s="31" t="s">
        <v>3694</v>
      </c>
      <c r="C2700" s="31" t="s">
        <v>4</v>
      </c>
      <c r="D2700" s="31" t="s">
        <v>2161</v>
      </c>
      <c r="E2700" s="32">
        <v>689.77499999999998</v>
      </c>
      <c r="F2700" s="32">
        <v>5</v>
      </c>
    </row>
    <row r="2701" spans="1:6" x14ac:dyDescent="0.3">
      <c r="A2701" s="31">
        <v>1000020803</v>
      </c>
      <c r="B2701" s="31" t="s">
        <v>1007</v>
      </c>
      <c r="C2701" s="31" t="s">
        <v>4</v>
      </c>
      <c r="D2701" s="31" t="s">
        <v>2090</v>
      </c>
      <c r="E2701" s="32">
        <v>689.73599999999999</v>
      </c>
      <c r="F2701" s="32">
        <v>4</v>
      </c>
    </row>
    <row r="2702" spans="1:6" x14ac:dyDescent="0.3">
      <c r="A2702" s="31">
        <v>1000020503</v>
      </c>
      <c r="B2702" s="31" t="s">
        <v>728</v>
      </c>
      <c r="C2702" s="31" t="s">
        <v>4</v>
      </c>
      <c r="D2702" s="31" t="s">
        <v>2090</v>
      </c>
      <c r="E2702" s="32">
        <v>689.25</v>
      </c>
      <c r="F2702" s="32">
        <v>10</v>
      </c>
    </row>
    <row r="2703" spans="1:6" x14ac:dyDescent="0.3">
      <c r="A2703" s="31">
        <v>2200003317</v>
      </c>
      <c r="B2703" s="31" t="s">
        <v>3695</v>
      </c>
      <c r="C2703" s="31" t="s">
        <v>2037</v>
      </c>
      <c r="D2703" s="31" t="s">
        <v>2038</v>
      </c>
      <c r="E2703" s="32">
        <v>688.90800000000002</v>
      </c>
      <c r="F2703" s="32">
        <v>1</v>
      </c>
    </row>
    <row r="2704" spans="1:6" x14ac:dyDescent="0.3">
      <c r="A2704" s="31">
        <v>1000020830</v>
      </c>
      <c r="B2704" s="31" t="s">
        <v>1026</v>
      </c>
      <c r="C2704" s="31" t="s">
        <v>4</v>
      </c>
      <c r="D2704" s="31" t="s">
        <v>2090</v>
      </c>
      <c r="E2704" s="32">
        <v>688.9</v>
      </c>
      <c r="F2704" s="32">
        <v>10</v>
      </c>
    </row>
    <row r="2705" spans="1:6" x14ac:dyDescent="0.3">
      <c r="A2705" s="31">
        <v>1000020511</v>
      </c>
      <c r="B2705" s="31" t="s">
        <v>734</v>
      </c>
      <c r="C2705" s="31" t="s">
        <v>4</v>
      </c>
      <c r="D2705" s="31" t="s">
        <v>2090</v>
      </c>
      <c r="E2705" s="32">
        <v>688.34857142857095</v>
      </c>
      <c r="F2705" s="32">
        <v>8</v>
      </c>
    </row>
    <row r="2706" spans="1:6" x14ac:dyDescent="0.3">
      <c r="A2706" s="31">
        <v>2500009668</v>
      </c>
      <c r="B2706" s="31" t="s">
        <v>3696</v>
      </c>
      <c r="C2706" s="31" t="s">
        <v>1996</v>
      </c>
      <c r="D2706" s="31" t="s">
        <v>2025</v>
      </c>
      <c r="E2706" s="32">
        <v>686.25</v>
      </c>
      <c r="F2706" s="32">
        <v>3</v>
      </c>
    </row>
    <row r="2707" spans="1:6" x14ac:dyDescent="0.3">
      <c r="A2707" s="31">
        <v>1000098934</v>
      </c>
      <c r="B2707" s="31" t="s">
        <v>3697</v>
      </c>
      <c r="C2707" s="31" t="s">
        <v>4</v>
      </c>
      <c r="D2707" s="31" t="s">
        <v>2161</v>
      </c>
      <c r="E2707" s="32">
        <v>686.01726666666605</v>
      </c>
      <c r="F2707" s="32">
        <v>3</v>
      </c>
    </row>
    <row r="2708" spans="1:6" x14ac:dyDescent="0.3">
      <c r="A2708" s="31">
        <v>1000020552</v>
      </c>
      <c r="B2708" s="31" t="s">
        <v>770</v>
      </c>
      <c r="C2708" s="31" t="s">
        <v>4</v>
      </c>
      <c r="D2708" s="31" t="s">
        <v>2090</v>
      </c>
      <c r="E2708" s="32">
        <v>685.48</v>
      </c>
      <c r="F2708" s="32">
        <v>2</v>
      </c>
    </row>
    <row r="2709" spans="1:6" x14ac:dyDescent="0.3">
      <c r="A2709" s="31">
        <v>1000101040</v>
      </c>
      <c r="B2709" s="31" t="s">
        <v>3698</v>
      </c>
      <c r="C2709" s="31" t="s">
        <v>4</v>
      </c>
      <c r="D2709" s="31" t="s">
        <v>2043</v>
      </c>
      <c r="E2709" s="32">
        <v>684.8</v>
      </c>
      <c r="F2709" s="32">
        <v>8</v>
      </c>
    </row>
    <row r="2710" spans="1:6" x14ac:dyDescent="0.3">
      <c r="A2710" s="31">
        <v>1000104281</v>
      </c>
      <c r="B2710" s="31" t="s">
        <v>3699</v>
      </c>
      <c r="C2710" s="31" t="s">
        <v>4</v>
      </c>
      <c r="D2710" s="31" t="s">
        <v>2056</v>
      </c>
      <c r="E2710" s="32">
        <v>684.72</v>
      </c>
      <c r="F2710" s="32">
        <v>9</v>
      </c>
    </row>
    <row r="2711" spans="1:6" x14ac:dyDescent="0.3">
      <c r="A2711" s="31">
        <v>1000101740</v>
      </c>
      <c r="B2711" s="31" t="s">
        <v>3700</v>
      </c>
      <c r="C2711" s="31" t="s">
        <v>2027</v>
      </c>
      <c r="D2711" s="31" t="s">
        <v>3562</v>
      </c>
      <c r="E2711" s="32">
        <v>684</v>
      </c>
      <c r="F2711" s="32">
        <v>10</v>
      </c>
    </row>
    <row r="2712" spans="1:6" x14ac:dyDescent="0.3">
      <c r="A2712" s="31">
        <v>8000000789456</v>
      </c>
      <c r="B2712" s="31" t="s">
        <v>3701</v>
      </c>
      <c r="C2712" s="31" t="s">
        <v>2521</v>
      </c>
      <c r="D2712" s="31" t="s">
        <v>3289</v>
      </c>
      <c r="E2712" s="32">
        <v>684</v>
      </c>
      <c r="F2712" s="32">
        <v>4</v>
      </c>
    </row>
    <row r="2713" spans="1:6" x14ac:dyDescent="0.3">
      <c r="A2713" s="31">
        <v>1000099530</v>
      </c>
      <c r="B2713" s="31" t="s">
        <v>3702</v>
      </c>
      <c r="C2713" s="31" t="s">
        <v>4</v>
      </c>
      <c r="D2713" s="31" t="s">
        <v>2056</v>
      </c>
      <c r="E2713" s="32">
        <v>683.93600000000004</v>
      </c>
      <c r="F2713" s="32">
        <v>2</v>
      </c>
    </row>
    <row r="2714" spans="1:6" x14ac:dyDescent="0.3">
      <c r="A2714" s="31">
        <v>1000020973</v>
      </c>
      <c r="B2714" s="31" t="s">
        <v>1147</v>
      </c>
      <c r="C2714" s="31" t="s">
        <v>4</v>
      </c>
      <c r="D2714" s="31" t="s">
        <v>2090</v>
      </c>
      <c r="E2714" s="32">
        <v>683.72</v>
      </c>
      <c r="F2714" s="32">
        <v>4</v>
      </c>
    </row>
    <row r="2715" spans="1:6" x14ac:dyDescent="0.3">
      <c r="A2715" s="31">
        <v>1000020606</v>
      </c>
      <c r="B2715" s="31" t="s">
        <v>822</v>
      </c>
      <c r="C2715" s="31" t="s">
        <v>4</v>
      </c>
      <c r="D2715" s="31" t="s">
        <v>2090</v>
      </c>
      <c r="E2715" s="32">
        <v>683</v>
      </c>
      <c r="F2715" s="32">
        <v>25</v>
      </c>
    </row>
    <row r="2716" spans="1:6" x14ac:dyDescent="0.3">
      <c r="A2716" s="31">
        <v>1000020508</v>
      </c>
      <c r="B2716" s="31" t="s">
        <v>731</v>
      </c>
      <c r="C2716" s="31" t="s">
        <v>4</v>
      </c>
      <c r="D2716" s="31" t="s">
        <v>2090</v>
      </c>
      <c r="E2716" s="32">
        <v>682.9</v>
      </c>
      <c r="F2716" s="32">
        <v>10</v>
      </c>
    </row>
    <row r="2717" spans="1:6" x14ac:dyDescent="0.3">
      <c r="A2717" s="31">
        <v>1000021021</v>
      </c>
      <c r="B2717" s="31" t="s">
        <v>1193</v>
      </c>
      <c r="C2717" s="31" t="s">
        <v>4</v>
      </c>
      <c r="D2717" s="31" t="s">
        <v>2090</v>
      </c>
      <c r="E2717" s="32">
        <v>681.68</v>
      </c>
      <c r="F2717" s="32">
        <v>2</v>
      </c>
    </row>
    <row r="2718" spans="1:6" x14ac:dyDescent="0.3">
      <c r="A2718" s="31">
        <v>80000002255</v>
      </c>
      <c r="B2718" s="31" t="s">
        <v>3092</v>
      </c>
      <c r="C2718" s="31" t="s">
        <v>2755</v>
      </c>
      <c r="D2718" s="31" t="s">
        <v>2645</v>
      </c>
      <c r="E2718" s="32">
        <v>680.4</v>
      </c>
      <c r="F2718" s="32">
        <v>162</v>
      </c>
    </row>
    <row r="2719" spans="1:6" x14ac:dyDescent="0.3">
      <c r="A2719" s="31">
        <v>1000021255</v>
      </c>
      <c r="B2719" s="31" t="s">
        <v>1400</v>
      </c>
      <c r="C2719" s="31" t="s">
        <v>4</v>
      </c>
      <c r="D2719" s="31" t="s">
        <v>2090</v>
      </c>
      <c r="E2719" s="32">
        <v>678.50199999999995</v>
      </c>
      <c r="F2719" s="32">
        <v>1</v>
      </c>
    </row>
    <row r="2720" spans="1:6" x14ac:dyDescent="0.3">
      <c r="A2720" s="31">
        <v>80000009709</v>
      </c>
      <c r="B2720" s="31" t="s">
        <v>3703</v>
      </c>
      <c r="C2720" s="31" t="s">
        <v>2521</v>
      </c>
      <c r="D2720" s="31" t="s">
        <v>2670</v>
      </c>
      <c r="E2720" s="32">
        <v>676.5</v>
      </c>
      <c r="F2720" s="32">
        <v>123</v>
      </c>
    </row>
    <row r="2721" spans="1:6" x14ac:dyDescent="0.3">
      <c r="A2721" s="31">
        <v>1000100334</v>
      </c>
      <c r="B2721" s="31" t="s">
        <v>3704</v>
      </c>
      <c r="C2721" s="31" t="s">
        <v>4</v>
      </c>
      <c r="D2721" s="31" t="s">
        <v>2090</v>
      </c>
      <c r="E2721" s="32">
        <v>676.35</v>
      </c>
      <c r="F2721" s="32">
        <v>3</v>
      </c>
    </row>
    <row r="2722" spans="1:6" x14ac:dyDescent="0.3">
      <c r="A2722" s="31">
        <v>1000104792</v>
      </c>
      <c r="B2722" s="31" t="s">
        <v>3705</v>
      </c>
      <c r="C2722" s="31" t="s">
        <v>2257</v>
      </c>
      <c r="D2722" s="31" t="s">
        <v>3004</v>
      </c>
      <c r="E2722" s="32">
        <v>675.71199999999999</v>
      </c>
      <c r="F2722" s="32">
        <v>1</v>
      </c>
    </row>
    <row r="2723" spans="1:6" x14ac:dyDescent="0.3">
      <c r="A2723" s="31">
        <v>2500008445</v>
      </c>
      <c r="B2723" s="31" t="s">
        <v>3706</v>
      </c>
      <c r="C2723" s="31" t="s">
        <v>1996</v>
      </c>
      <c r="D2723" s="31" t="s">
        <v>2025</v>
      </c>
      <c r="E2723" s="32">
        <v>675.00000899999998</v>
      </c>
      <c r="F2723" s="32">
        <v>3</v>
      </c>
    </row>
    <row r="2724" spans="1:6" x14ac:dyDescent="0.3">
      <c r="A2724" s="31">
        <v>2500009488</v>
      </c>
      <c r="B2724" s="31" t="s">
        <v>3707</v>
      </c>
      <c r="C2724" s="31" t="s">
        <v>1996</v>
      </c>
      <c r="D2724" s="31" t="s">
        <v>2289</v>
      </c>
      <c r="E2724" s="32">
        <v>675</v>
      </c>
      <c r="F2724" s="32">
        <v>10</v>
      </c>
    </row>
    <row r="2725" spans="1:6" x14ac:dyDescent="0.3">
      <c r="A2725" s="31">
        <v>2500008901</v>
      </c>
      <c r="B2725" s="31" t="s">
        <v>3708</v>
      </c>
      <c r="C2725" s="31" t="s">
        <v>1996</v>
      </c>
      <c r="D2725" s="31" t="s">
        <v>2025</v>
      </c>
      <c r="E2725" s="32">
        <v>675</v>
      </c>
      <c r="F2725" s="32">
        <v>4</v>
      </c>
    </row>
    <row r="2726" spans="1:6" x14ac:dyDescent="0.3">
      <c r="A2726" s="31">
        <v>1000103523</v>
      </c>
      <c r="B2726" s="31" t="s">
        <v>1825</v>
      </c>
      <c r="C2726" s="31" t="s">
        <v>4</v>
      </c>
      <c r="D2726" s="31" t="s">
        <v>2090</v>
      </c>
      <c r="E2726" s="32">
        <v>674.44</v>
      </c>
      <c r="F2726" s="32">
        <v>5</v>
      </c>
    </row>
    <row r="2727" spans="1:6" x14ac:dyDescent="0.3">
      <c r="A2727" s="31">
        <v>1000095356</v>
      </c>
      <c r="B2727" s="31" t="s">
        <v>3709</v>
      </c>
      <c r="C2727" s="31" t="s">
        <v>4</v>
      </c>
      <c r="D2727" s="31" t="s">
        <v>2090</v>
      </c>
      <c r="E2727" s="32">
        <v>673.91799934873995</v>
      </c>
      <c r="F2727" s="32">
        <v>3</v>
      </c>
    </row>
    <row r="2728" spans="1:6" x14ac:dyDescent="0.3">
      <c r="A2728" s="31">
        <v>1000099633</v>
      </c>
      <c r="B2728" s="31" t="s">
        <v>3710</v>
      </c>
      <c r="C2728" s="31" t="s">
        <v>4</v>
      </c>
      <c r="D2728" s="31" t="s">
        <v>2090</v>
      </c>
      <c r="E2728" s="32">
        <v>672.3</v>
      </c>
      <c r="F2728" s="32">
        <v>1</v>
      </c>
    </row>
    <row r="2729" spans="1:6" x14ac:dyDescent="0.3">
      <c r="A2729" s="31">
        <v>1000020277</v>
      </c>
      <c r="B2729" s="31" t="s">
        <v>513</v>
      </c>
      <c r="C2729" s="31" t="s">
        <v>4</v>
      </c>
      <c r="D2729" s="31" t="s">
        <v>2090</v>
      </c>
      <c r="E2729" s="32">
        <v>671.7</v>
      </c>
      <c r="F2729" s="32">
        <v>30</v>
      </c>
    </row>
    <row r="2730" spans="1:6" x14ac:dyDescent="0.3">
      <c r="A2730" s="31">
        <v>1000098717</v>
      </c>
      <c r="B2730" s="31" t="s">
        <v>1664</v>
      </c>
      <c r="C2730" s="31" t="s">
        <v>4</v>
      </c>
      <c r="D2730" s="31" t="s">
        <v>2090</v>
      </c>
      <c r="E2730" s="32">
        <v>671.24</v>
      </c>
      <c r="F2730" s="32">
        <v>2</v>
      </c>
    </row>
    <row r="2731" spans="1:6" x14ac:dyDescent="0.3">
      <c r="A2731" s="31">
        <v>1000098730</v>
      </c>
      <c r="B2731" s="31" t="s">
        <v>1672</v>
      </c>
      <c r="C2731" s="31" t="s">
        <v>4</v>
      </c>
      <c r="D2731" s="31" t="s">
        <v>2090</v>
      </c>
      <c r="E2731" s="32">
        <v>671.23800000000006</v>
      </c>
      <c r="F2731" s="32">
        <v>6</v>
      </c>
    </row>
    <row r="2732" spans="1:6" x14ac:dyDescent="0.3">
      <c r="A2732" s="31">
        <v>1000020051</v>
      </c>
      <c r="B2732" s="31" t="s">
        <v>3711</v>
      </c>
      <c r="C2732" s="31" t="s">
        <v>4</v>
      </c>
      <c r="D2732" s="31" t="s">
        <v>2090</v>
      </c>
      <c r="E2732" s="32">
        <v>670.94</v>
      </c>
      <c r="F2732" s="32">
        <v>15</v>
      </c>
    </row>
    <row r="2733" spans="1:6" x14ac:dyDescent="0.3">
      <c r="A2733" s="31">
        <v>1000010079</v>
      </c>
      <c r="B2733" s="31" t="s">
        <v>3712</v>
      </c>
      <c r="C2733" s="31" t="s">
        <v>4</v>
      </c>
      <c r="D2733" s="31" t="s">
        <v>2161</v>
      </c>
      <c r="E2733" s="32">
        <v>669.19964285714195</v>
      </c>
      <c r="F2733" s="32">
        <v>6</v>
      </c>
    </row>
    <row r="2734" spans="1:6" x14ac:dyDescent="0.3">
      <c r="A2734" s="31">
        <v>1000098671</v>
      </c>
      <c r="B2734" s="31" t="s">
        <v>1631</v>
      </c>
      <c r="C2734" s="31" t="s">
        <v>4</v>
      </c>
      <c r="D2734" s="31" t="s">
        <v>2090</v>
      </c>
      <c r="E2734" s="32">
        <v>667.6</v>
      </c>
      <c r="F2734" s="32">
        <v>5</v>
      </c>
    </row>
    <row r="2735" spans="1:6" x14ac:dyDescent="0.3">
      <c r="A2735" s="31">
        <v>1000020298</v>
      </c>
      <c r="B2735" s="31" t="s">
        <v>534</v>
      </c>
      <c r="C2735" s="31" t="s">
        <v>4</v>
      </c>
      <c r="D2735" s="31" t="s">
        <v>2090</v>
      </c>
      <c r="E2735" s="32">
        <v>666.7</v>
      </c>
      <c r="F2735" s="32">
        <v>10</v>
      </c>
    </row>
    <row r="2736" spans="1:6" x14ac:dyDescent="0.3">
      <c r="A2736" s="31">
        <v>1000100393</v>
      </c>
      <c r="B2736" s="31" t="s">
        <v>1722</v>
      </c>
      <c r="C2736" s="31" t="s">
        <v>4</v>
      </c>
      <c r="D2736" s="31" t="s">
        <v>2090</v>
      </c>
      <c r="E2736" s="32">
        <v>666.45</v>
      </c>
      <c r="F2736" s="32">
        <v>3</v>
      </c>
    </row>
    <row r="2737" spans="1:6" x14ac:dyDescent="0.3">
      <c r="A2737" s="31">
        <v>1000021183</v>
      </c>
      <c r="B2737" s="31" t="s">
        <v>1330</v>
      </c>
      <c r="C2737" s="31" t="s">
        <v>4</v>
      </c>
      <c r="D2737" s="31" t="s">
        <v>2090</v>
      </c>
      <c r="E2737" s="32">
        <v>666.17049999999995</v>
      </c>
      <c r="F2737" s="32">
        <v>17</v>
      </c>
    </row>
    <row r="2738" spans="1:6" x14ac:dyDescent="0.3">
      <c r="A2738" s="31">
        <v>2500008431</v>
      </c>
      <c r="B2738" s="31" t="s">
        <v>3713</v>
      </c>
      <c r="C2738" s="31" t="s">
        <v>1996</v>
      </c>
      <c r="D2738" s="31" t="s">
        <v>2025</v>
      </c>
      <c r="E2738" s="32">
        <v>665.63</v>
      </c>
      <c r="F2738" s="32">
        <v>5</v>
      </c>
    </row>
    <row r="2739" spans="1:6" x14ac:dyDescent="0.3">
      <c r="A2739" s="31">
        <v>1000100159</v>
      </c>
      <c r="B2739" s="31" t="s">
        <v>3714</v>
      </c>
      <c r="C2739" s="31" t="s">
        <v>4</v>
      </c>
      <c r="D2739" s="31" t="s">
        <v>2056</v>
      </c>
      <c r="E2739" s="32">
        <v>665.03292754627103</v>
      </c>
      <c r="F2739" s="32">
        <v>317</v>
      </c>
    </row>
    <row r="2740" spans="1:6" x14ac:dyDescent="0.3">
      <c r="A2740" s="31">
        <v>2700000285</v>
      </c>
      <c r="B2740" s="31" t="s">
        <v>313</v>
      </c>
      <c r="C2740" s="31" t="s">
        <v>2037</v>
      </c>
      <c r="D2740" s="31" t="s">
        <v>2038</v>
      </c>
      <c r="E2740" s="32">
        <v>664.85</v>
      </c>
      <c r="F2740" s="32">
        <v>1</v>
      </c>
    </row>
    <row r="2741" spans="1:6" x14ac:dyDescent="0.3">
      <c r="A2741" s="31">
        <v>2500009086</v>
      </c>
      <c r="B2741" s="31" t="s">
        <v>3715</v>
      </c>
      <c r="C2741" s="31" t="s">
        <v>1996</v>
      </c>
      <c r="D2741" s="31" t="s">
        <v>2289</v>
      </c>
      <c r="E2741" s="32">
        <v>663.75</v>
      </c>
      <c r="F2741" s="32">
        <v>3</v>
      </c>
    </row>
    <row r="2742" spans="1:6" x14ac:dyDescent="0.3">
      <c r="A2742" s="31">
        <v>1000020895</v>
      </c>
      <c r="B2742" s="31" t="s">
        <v>1077</v>
      </c>
      <c r="C2742" s="31" t="s">
        <v>4</v>
      </c>
      <c r="D2742" s="31" t="s">
        <v>2090</v>
      </c>
      <c r="E2742" s="32">
        <v>662.74</v>
      </c>
      <c r="F2742" s="32">
        <v>2</v>
      </c>
    </row>
    <row r="2743" spans="1:6" x14ac:dyDescent="0.3">
      <c r="A2743" s="31">
        <v>1000092374</v>
      </c>
      <c r="B2743" s="31" t="s">
        <v>3716</v>
      </c>
      <c r="C2743" s="31" t="s">
        <v>4</v>
      </c>
      <c r="D2743" s="31" t="s">
        <v>2161</v>
      </c>
      <c r="E2743" s="32">
        <v>662.4</v>
      </c>
      <c r="F2743" s="32">
        <v>1</v>
      </c>
    </row>
    <row r="2744" spans="1:6" x14ac:dyDescent="0.3">
      <c r="A2744" s="31">
        <v>2500008398</v>
      </c>
      <c r="B2744" s="31" t="s">
        <v>3717</v>
      </c>
      <c r="C2744" s="31" t="s">
        <v>1996</v>
      </c>
      <c r="D2744" s="31" t="s">
        <v>2025</v>
      </c>
      <c r="E2744" s="32">
        <v>660.88</v>
      </c>
      <c r="F2744" s="32">
        <v>1</v>
      </c>
    </row>
    <row r="2745" spans="1:6" x14ac:dyDescent="0.3">
      <c r="A2745" s="31">
        <v>2700000070</v>
      </c>
      <c r="B2745" s="31" t="s">
        <v>3718</v>
      </c>
      <c r="C2745" s="31" t="s">
        <v>2037</v>
      </c>
      <c r="D2745" s="31" t="s">
        <v>2038</v>
      </c>
      <c r="E2745" s="32">
        <v>660.60845714285699</v>
      </c>
      <c r="F2745" s="32">
        <v>1</v>
      </c>
    </row>
    <row r="2746" spans="1:6" x14ac:dyDescent="0.3">
      <c r="A2746" s="31">
        <v>1000021202</v>
      </c>
      <c r="B2746" s="31" t="s">
        <v>1348</v>
      </c>
      <c r="C2746" s="31" t="s">
        <v>4</v>
      </c>
      <c r="D2746" s="31" t="s">
        <v>2090</v>
      </c>
      <c r="E2746" s="32">
        <v>660.22199999999998</v>
      </c>
      <c r="F2746" s="32">
        <v>6</v>
      </c>
    </row>
    <row r="2747" spans="1:6" x14ac:dyDescent="0.3">
      <c r="A2747" s="31">
        <v>2100006945</v>
      </c>
      <c r="B2747" s="31" t="s">
        <v>3719</v>
      </c>
      <c r="C2747" s="31" t="s">
        <v>2030</v>
      </c>
      <c r="D2747" s="31" t="s">
        <v>2031</v>
      </c>
      <c r="E2747" s="32">
        <v>658.56375000000003</v>
      </c>
      <c r="F2747" s="32">
        <v>1</v>
      </c>
    </row>
    <row r="2748" spans="1:6" x14ac:dyDescent="0.3">
      <c r="A2748" s="31">
        <v>1000093785</v>
      </c>
      <c r="B2748" s="31" t="s">
        <v>3720</v>
      </c>
      <c r="C2748" s="31" t="s">
        <v>4</v>
      </c>
      <c r="D2748" s="31" t="s">
        <v>2218</v>
      </c>
      <c r="E2748" s="32">
        <v>657.98934402332304</v>
      </c>
      <c r="F2748" s="32">
        <v>379</v>
      </c>
    </row>
    <row r="2749" spans="1:6" x14ac:dyDescent="0.3">
      <c r="A2749" s="31">
        <v>1000020049</v>
      </c>
      <c r="B2749" s="31" t="s">
        <v>3721</v>
      </c>
      <c r="C2749" s="31" t="s">
        <v>4</v>
      </c>
      <c r="D2749" s="31" t="s">
        <v>2090</v>
      </c>
      <c r="E2749" s="32">
        <v>657.79714285714203</v>
      </c>
      <c r="F2749" s="32">
        <v>8</v>
      </c>
    </row>
    <row r="2750" spans="1:6" x14ac:dyDescent="0.3">
      <c r="A2750" s="31">
        <v>1000020768</v>
      </c>
      <c r="B2750" s="31" t="s">
        <v>972</v>
      </c>
      <c r="C2750" s="31" t="s">
        <v>4</v>
      </c>
      <c r="D2750" s="31" t="s">
        <v>2090</v>
      </c>
      <c r="E2750" s="32">
        <v>655.44</v>
      </c>
      <c r="F2750" s="32">
        <v>4</v>
      </c>
    </row>
    <row r="2751" spans="1:6" x14ac:dyDescent="0.3">
      <c r="A2751" s="31">
        <v>1000021219</v>
      </c>
      <c r="B2751" s="31" t="s">
        <v>1365</v>
      </c>
      <c r="C2751" s="31" t="s">
        <v>4</v>
      </c>
      <c r="D2751" s="31" t="s">
        <v>2090</v>
      </c>
      <c r="E2751" s="32">
        <v>655.38</v>
      </c>
      <c r="F2751" s="32">
        <v>3</v>
      </c>
    </row>
    <row r="2752" spans="1:6" x14ac:dyDescent="0.3">
      <c r="A2752" s="31">
        <v>1000021098</v>
      </c>
      <c r="B2752" s="31" t="s">
        <v>1260</v>
      </c>
      <c r="C2752" s="31" t="s">
        <v>4</v>
      </c>
      <c r="D2752" s="31" t="s">
        <v>2090</v>
      </c>
      <c r="E2752" s="32">
        <v>655.22</v>
      </c>
      <c r="F2752" s="32">
        <v>2</v>
      </c>
    </row>
    <row r="2753" spans="1:6" x14ac:dyDescent="0.3">
      <c r="A2753" s="31">
        <v>1000103013</v>
      </c>
      <c r="B2753" s="31" t="s">
        <v>3722</v>
      </c>
      <c r="C2753" s="31" t="s">
        <v>4</v>
      </c>
      <c r="D2753" s="31" t="s">
        <v>2090</v>
      </c>
      <c r="E2753" s="32">
        <v>654.51391304347806</v>
      </c>
      <c r="F2753" s="32">
        <v>30</v>
      </c>
    </row>
    <row r="2754" spans="1:6" x14ac:dyDescent="0.3">
      <c r="A2754" s="31">
        <v>1000098850</v>
      </c>
      <c r="B2754" s="31" t="s">
        <v>3723</v>
      </c>
      <c r="C2754" s="31" t="s">
        <v>4</v>
      </c>
      <c r="D2754" s="31" t="s">
        <v>2230</v>
      </c>
      <c r="E2754" s="32">
        <v>653.51</v>
      </c>
      <c r="F2754" s="32">
        <v>1</v>
      </c>
    </row>
    <row r="2755" spans="1:6" x14ac:dyDescent="0.3">
      <c r="A2755" s="31">
        <v>1000096875</v>
      </c>
      <c r="B2755" s="31" t="s">
        <v>3724</v>
      </c>
      <c r="C2755" s="31" t="s">
        <v>4</v>
      </c>
      <c r="D2755" s="31" t="s">
        <v>2161</v>
      </c>
      <c r="E2755" s="32">
        <v>653.25599999999997</v>
      </c>
      <c r="F2755" s="32">
        <v>4</v>
      </c>
    </row>
    <row r="2756" spans="1:6" x14ac:dyDescent="0.3">
      <c r="A2756" s="31">
        <v>1000020542</v>
      </c>
      <c r="B2756" s="31" t="s">
        <v>762</v>
      </c>
      <c r="C2756" s="31" t="s">
        <v>4</v>
      </c>
      <c r="D2756" s="31" t="s">
        <v>2090</v>
      </c>
      <c r="E2756" s="32">
        <v>652.54</v>
      </c>
      <c r="F2756" s="32">
        <v>2</v>
      </c>
    </row>
    <row r="2757" spans="1:6" x14ac:dyDescent="0.3">
      <c r="A2757" s="31">
        <v>2700000267</v>
      </c>
      <c r="B2757" s="31" t="s">
        <v>307</v>
      </c>
      <c r="C2757" s="31" t="s">
        <v>2037</v>
      </c>
      <c r="D2757" s="31" t="s">
        <v>2038</v>
      </c>
      <c r="E2757" s="32">
        <v>650.99</v>
      </c>
      <c r="F2757" s="32">
        <v>1</v>
      </c>
    </row>
    <row r="2758" spans="1:6" x14ac:dyDescent="0.3">
      <c r="A2758" s="31">
        <v>1000020556</v>
      </c>
      <c r="B2758" s="31" t="s">
        <v>774</v>
      </c>
      <c r="C2758" s="31" t="s">
        <v>4</v>
      </c>
      <c r="D2758" s="31" t="s">
        <v>2090</v>
      </c>
      <c r="E2758" s="32">
        <v>650.25</v>
      </c>
      <c r="F2758" s="32">
        <v>25</v>
      </c>
    </row>
    <row r="2759" spans="1:6" x14ac:dyDescent="0.3">
      <c r="A2759" s="31">
        <v>1000020487</v>
      </c>
      <c r="B2759" s="31" t="s">
        <v>712</v>
      </c>
      <c r="C2759" s="31" t="s">
        <v>4</v>
      </c>
      <c r="D2759" s="31" t="s">
        <v>2090</v>
      </c>
      <c r="E2759" s="32">
        <v>650.04432142857104</v>
      </c>
      <c r="F2759" s="32">
        <v>12</v>
      </c>
    </row>
    <row r="2760" spans="1:6" x14ac:dyDescent="0.3">
      <c r="A2760" s="31">
        <v>1000110313</v>
      </c>
      <c r="B2760" s="31" t="s">
        <v>3725</v>
      </c>
      <c r="C2760" s="31" t="s">
        <v>2109</v>
      </c>
      <c r="D2760" s="31" t="s">
        <v>2409</v>
      </c>
      <c r="E2760" s="32">
        <v>649.5</v>
      </c>
      <c r="F2760" s="32">
        <v>1</v>
      </c>
    </row>
    <row r="2761" spans="1:6" x14ac:dyDescent="0.3">
      <c r="A2761" s="31">
        <v>1000102922</v>
      </c>
      <c r="B2761" s="31" t="s">
        <v>3726</v>
      </c>
      <c r="C2761" s="31" t="s">
        <v>4</v>
      </c>
      <c r="D2761" s="31" t="s">
        <v>2056</v>
      </c>
      <c r="E2761" s="32">
        <v>649.28555066533295</v>
      </c>
      <c r="F2761" s="32">
        <v>92</v>
      </c>
    </row>
    <row r="2762" spans="1:6" x14ac:dyDescent="0.3">
      <c r="A2762" s="31">
        <v>1000020611</v>
      </c>
      <c r="B2762" s="31" t="s">
        <v>827</v>
      </c>
      <c r="C2762" s="31" t="s">
        <v>4</v>
      </c>
      <c r="D2762" s="31" t="s">
        <v>2090</v>
      </c>
      <c r="E2762" s="32">
        <v>648.23</v>
      </c>
      <c r="F2762" s="32">
        <v>83</v>
      </c>
    </row>
    <row r="2763" spans="1:6" x14ac:dyDescent="0.3">
      <c r="A2763" s="31">
        <v>80000009790</v>
      </c>
      <c r="B2763" s="31" t="s">
        <v>3727</v>
      </c>
      <c r="C2763" s="31" t="s">
        <v>2521</v>
      </c>
      <c r="D2763" s="31" t="s">
        <v>2670</v>
      </c>
      <c r="E2763" s="32">
        <v>648</v>
      </c>
      <c r="F2763" s="32">
        <v>54</v>
      </c>
    </row>
    <row r="2764" spans="1:6" x14ac:dyDescent="0.3">
      <c r="A2764" s="31">
        <v>1000103732</v>
      </c>
      <c r="B2764" s="31" t="s">
        <v>1872</v>
      </c>
      <c r="C2764" s="31" t="s">
        <v>4</v>
      </c>
      <c r="D2764" s="31" t="s">
        <v>2056</v>
      </c>
      <c r="E2764" s="32">
        <v>647.09225293700001</v>
      </c>
      <c r="F2764" s="32">
        <v>254</v>
      </c>
    </row>
    <row r="2765" spans="1:6" x14ac:dyDescent="0.3">
      <c r="A2765" s="31">
        <v>1000096756</v>
      </c>
      <c r="B2765" s="31" t="s">
        <v>3728</v>
      </c>
      <c r="C2765" s="31" t="s">
        <v>4</v>
      </c>
      <c r="D2765" s="31" t="s">
        <v>2090</v>
      </c>
      <c r="E2765" s="32">
        <v>646.63333333333298</v>
      </c>
      <c r="F2765" s="32">
        <v>5</v>
      </c>
    </row>
    <row r="2766" spans="1:6" x14ac:dyDescent="0.3">
      <c r="A2766" s="31">
        <v>1000020848</v>
      </c>
      <c r="B2766" s="31" t="s">
        <v>1040</v>
      </c>
      <c r="C2766" s="31" t="s">
        <v>4</v>
      </c>
      <c r="D2766" s="31" t="s">
        <v>2090</v>
      </c>
      <c r="E2766" s="32">
        <v>645.72903944551399</v>
      </c>
      <c r="F2766" s="32">
        <v>3</v>
      </c>
    </row>
    <row r="2767" spans="1:6" x14ac:dyDescent="0.3">
      <c r="A2767" s="31">
        <v>1000010127</v>
      </c>
      <c r="B2767" s="31" t="s">
        <v>3729</v>
      </c>
      <c r="C2767" s="31" t="s">
        <v>4</v>
      </c>
      <c r="D2767" s="31" t="s">
        <v>2161</v>
      </c>
      <c r="E2767" s="32">
        <v>644.76</v>
      </c>
      <c r="F2767" s="32">
        <v>1</v>
      </c>
    </row>
    <row r="2768" spans="1:6" x14ac:dyDescent="0.3">
      <c r="A2768" s="31">
        <v>1000021217</v>
      </c>
      <c r="B2768" s="31" t="s">
        <v>1363</v>
      </c>
      <c r="C2768" s="31" t="s">
        <v>4</v>
      </c>
      <c r="D2768" s="31" t="s">
        <v>2090</v>
      </c>
      <c r="E2768" s="32">
        <v>644.73749999999995</v>
      </c>
      <c r="F2768" s="32">
        <v>3</v>
      </c>
    </row>
    <row r="2769" spans="1:6" x14ac:dyDescent="0.3">
      <c r="A2769" s="31">
        <v>1000020107</v>
      </c>
      <c r="B2769" s="31" t="s">
        <v>363</v>
      </c>
      <c r="C2769" s="31" t="s">
        <v>4</v>
      </c>
      <c r="D2769" s="31" t="s">
        <v>2218</v>
      </c>
      <c r="E2769" s="32">
        <v>642.97533333333297</v>
      </c>
      <c r="F2769" s="32">
        <v>2</v>
      </c>
    </row>
    <row r="2770" spans="1:6" x14ac:dyDescent="0.3">
      <c r="A2770" s="31">
        <v>2500008223</v>
      </c>
      <c r="B2770" s="31" t="s">
        <v>3730</v>
      </c>
      <c r="C2770" s="31" t="s">
        <v>1996</v>
      </c>
      <c r="D2770" s="31" t="s">
        <v>2025</v>
      </c>
      <c r="E2770" s="32">
        <v>641.63150059999998</v>
      </c>
      <c r="F2770" s="32">
        <v>4</v>
      </c>
    </row>
    <row r="2771" spans="1:6" x14ac:dyDescent="0.3">
      <c r="A2771" s="31">
        <v>1000097831</v>
      </c>
      <c r="B2771" s="31" t="s">
        <v>3731</v>
      </c>
      <c r="C2771" s="31" t="s">
        <v>4</v>
      </c>
      <c r="D2771" s="31" t="s">
        <v>2056</v>
      </c>
      <c r="E2771" s="32">
        <v>639.96799999999996</v>
      </c>
      <c r="F2771" s="32">
        <v>30</v>
      </c>
    </row>
    <row r="2772" spans="1:6" x14ac:dyDescent="0.3">
      <c r="A2772" s="31">
        <v>1000020637</v>
      </c>
      <c r="B2772" s="31" t="s">
        <v>852</v>
      </c>
      <c r="C2772" s="31" t="s">
        <v>4</v>
      </c>
      <c r="D2772" s="31" t="s">
        <v>2090</v>
      </c>
      <c r="E2772" s="32">
        <v>639.09510518933996</v>
      </c>
      <c r="F2772" s="32">
        <v>32</v>
      </c>
    </row>
    <row r="2773" spans="1:6" x14ac:dyDescent="0.3">
      <c r="A2773" s="31">
        <v>1000020587</v>
      </c>
      <c r="B2773" s="31" t="s">
        <v>803</v>
      </c>
      <c r="C2773" s="31" t="s">
        <v>4</v>
      </c>
      <c r="D2773" s="31" t="s">
        <v>2090</v>
      </c>
      <c r="E2773" s="32">
        <v>637.65</v>
      </c>
      <c r="F2773" s="32">
        <v>5</v>
      </c>
    </row>
    <row r="2774" spans="1:6" x14ac:dyDescent="0.3">
      <c r="A2774" s="31">
        <v>2500009648</v>
      </c>
      <c r="B2774" s="31" t="s">
        <v>3732</v>
      </c>
      <c r="C2774" s="31" t="s">
        <v>1996</v>
      </c>
      <c r="D2774" s="31" t="s">
        <v>2025</v>
      </c>
      <c r="E2774" s="32">
        <v>637.5</v>
      </c>
      <c r="F2774" s="32">
        <v>2</v>
      </c>
    </row>
    <row r="2775" spans="1:6" x14ac:dyDescent="0.3">
      <c r="A2775" s="31">
        <v>80000009786</v>
      </c>
      <c r="B2775" s="31" t="s">
        <v>3733</v>
      </c>
      <c r="C2775" s="31" t="s">
        <v>2755</v>
      </c>
      <c r="D2775" s="31" t="s">
        <v>2670</v>
      </c>
      <c r="E2775" s="32">
        <v>634.4</v>
      </c>
      <c r="F2775" s="32">
        <v>122</v>
      </c>
    </row>
    <row r="2776" spans="1:6" x14ac:dyDescent="0.3">
      <c r="A2776" s="31">
        <v>1000020967</v>
      </c>
      <c r="B2776" s="31" t="s">
        <v>1143</v>
      </c>
      <c r="C2776" s="31" t="s">
        <v>4</v>
      </c>
      <c r="D2776" s="31" t="s">
        <v>2090</v>
      </c>
      <c r="E2776" s="32">
        <v>633.85</v>
      </c>
      <c r="F2776" s="32">
        <v>1</v>
      </c>
    </row>
    <row r="2777" spans="1:6" x14ac:dyDescent="0.3">
      <c r="A2777" s="31">
        <v>1000015038</v>
      </c>
      <c r="B2777" s="31" t="s">
        <v>2103</v>
      </c>
      <c r="C2777" s="31" t="s">
        <v>2521</v>
      </c>
      <c r="D2777" s="31" t="s">
        <v>2043</v>
      </c>
      <c r="E2777" s="32">
        <v>631.57439052542895</v>
      </c>
      <c r="F2777" s="32">
        <v>20</v>
      </c>
    </row>
    <row r="2778" spans="1:6" x14ac:dyDescent="0.3">
      <c r="A2778" s="31">
        <v>1000021167</v>
      </c>
      <c r="B2778" s="31" t="s">
        <v>1315</v>
      </c>
      <c r="C2778" s="31" t="s">
        <v>4</v>
      </c>
      <c r="D2778" s="31" t="s">
        <v>2090</v>
      </c>
      <c r="E2778" s="32">
        <v>630.42999999999995</v>
      </c>
      <c r="F2778" s="32">
        <v>1</v>
      </c>
    </row>
    <row r="2779" spans="1:6" x14ac:dyDescent="0.3">
      <c r="A2779" s="31">
        <v>1000020933</v>
      </c>
      <c r="B2779" s="31" t="s">
        <v>1112</v>
      </c>
      <c r="C2779" s="31" t="s">
        <v>4</v>
      </c>
      <c r="D2779" s="31" t="s">
        <v>2090</v>
      </c>
      <c r="E2779" s="32">
        <v>630.24</v>
      </c>
      <c r="F2779" s="32">
        <v>4</v>
      </c>
    </row>
    <row r="2780" spans="1:6" x14ac:dyDescent="0.3">
      <c r="A2780" s="31">
        <v>80000002966</v>
      </c>
      <c r="B2780" s="31" t="s">
        <v>3734</v>
      </c>
      <c r="C2780" s="31" t="s">
        <v>2521</v>
      </c>
      <c r="D2780" s="31" t="s">
        <v>3735</v>
      </c>
      <c r="E2780" s="32">
        <v>630</v>
      </c>
      <c r="F2780" s="32">
        <v>7</v>
      </c>
    </row>
    <row r="2781" spans="1:6" x14ac:dyDescent="0.3">
      <c r="A2781" s="31">
        <v>800000097139</v>
      </c>
      <c r="B2781" s="31" t="s">
        <v>3736</v>
      </c>
      <c r="C2781" s="31" t="s">
        <v>2521</v>
      </c>
      <c r="D2781" s="31" t="s">
        <v>3289</v>
      </c>
      <c r="E2781" s="32">
        <v>627</v>
      </c>
      <c r="F2781" s="32">
        <v>3</v>
      </c>
    </row>
    <row r="2782" spans="1:6" x14ac:dyDescent="0.3">
      <c r="A2782" s="31">
        <v>1000098545</v>
      </c>
      <c r="B2782" s="31" t="s">
        <v>1576</v>
      </c>
      <c r="C2782" s="31" t="s">
        <v>4</v>
      </c>
      <c r="D2782" s="31" t="s">
        <v>2090</v>
      </c>
      <c r="E2782" s="32">
        <v>625.16999999999996</v>
      </c>
      <c r="F2782" s="32">
        <v>2</v>
      </c>
    </row>
    <row r="2783" spans="1:6" x14ac:dyDescent="0.3">
      <c r="A2783" s="31">
        <v>1000020759</v>
      </c>
      <c r="B2783" s="31" t="s">
        <v>964</v>
      </c>
      <c r="C2783" s="31" t="s">
        <v>4</v>
      </c>
      <c r="D2783" s="31" t="s">
        <v>2090</v>
      </c>
      <c r="E2783" s="32">
        <v>624.79999999999995</v>
      </c>
      <c r="F2783" s="32">
        <v>10</v>
      </c>
    </row>
    <row r="2784" spans="1:6" x14ac:dyDescent="0.3">
      <c r="A2784" s="31">
        <v>1000095965</v>
      </c>
      <c r="B2784" s="31" t="s">
        <v>3737</v>
      </c>
      <c r="C2784" s="31" t="s">
        <v>4</v>
      </c>
      <c r="D2784" s="31" t="s">
        <v>2161</v>
      </c>
      <c r="E2784" s="32">
        <v>624.37666666666598</v>
      </c>
      <c r="F2784" s="32">
        <v>1</v>
      </c>
    </row>
    <row r="2785" spans="1:6" x14ac:dyDescent="0.3">
      <c r="A2785" s="31">
        <v>2500008649</v>
      </c>
      <c r="B2785" s="31" t="s">
        <v>3738</v>
      </c>
      <c r="C2785" s="31" t="s">
        <v>1996</v>
      </c>
      <c r="D2785" s="31" t="s">
        <v>2025</v>
      </c>
      <c r="E2785" s="32">
        <v>622.5</v>
      </c>
      <c r="F2785" s="32">
        <v>4</v>
      </c>
    </row>
    <row r="2786" spans="1:6" x14ac:dyDescent="0.3">
      <c r="A2786" s="31">
        <v>1000100426</v>
      </c>
      <c r="B2786" s="31" t="s">
        <v>1737</v>
      </c>
      <c r="C2786" s="31" t="s">
        <v>4</v>
      </c>
      <c r="D2786" s="31" t="s">
        <v>2090</v>
      </c>
      <c r="E2786" s="32">
        <v>621.67499999999995</v>
      </c>
      <c r="F2786" s="32">
        <v>3</v>
      </c>
    </row>
    <row r="2787" spans="1:6" x14ac:dyDescent="0.3">
      <c r="A2787" s="31">
        <v>1000021043</v>
      </c>
      <c r="B2787" s="31" t="s">
        <v>1213</v>
      </c>
      <c r="C2787" s="31" t="s">
        <v>4</v>
      </c>
      <c r="D2787" s="31" t="s">
        <v>2090</v>
      </c>
      <c r="E2787" s="32">
        <v>621.15</v>
      </c>
      <c r="F2787" s="32">
        <v>3</v>
      </c>
    </row>
    <row r="2788" spans="1:6" x14ac:dyDescent="0.3">
      <c r="A2788" s="31">
        <v>2500008376</v>
      </c>
      <c r="B2788" s="31" t="s">
        <v>3739</v>
      </c>
      <c r="C2788" s="31" t="s">
        <v>1996</v>
      </c>
      <c r="D2788" s="31" t="s">
        <v>2025</v>
      </c>
      <c r="E2788" s="32">
        <v>620.4</v>
      </c>
      <c r="F2788" s="32">
        <v>2</v>
      </c>
    </row>
    <row r="2789" spans="1:6" x14ac:dyDescent="0.3">
      <c r="A2789" s="31">
        <v>80000009695</v>
      </c>
      <c r="B2789" s="31" t="s">
        <v>3679</v>
      </c>
      <c r="C2789" s="31" t="s">
        <v>2755</v>
      </c>
      <c r="D2789" s="31" t="s">
        <v>2670</v>
      </c>
      <c r="E2789" s="32">
        <v>619.20000000000005</v>
      </c>
      <c r="F2789" s="32">
        <v>129</v>
      </c>
    </row>
    <row r="2790" spans="1:6" x14ac:dyDescent="0.3">
      <c r="A2790" s="31">
        <v>1000021280</v>
      </c>
      <c r="B2790" s="31" t="s">
        <v>1417</v>
      </c>
      <c r="C2790" s="31" t="s">
        <v>4</v>
      </c>
      <c r="D2790" s="31" t="s">
        <v>2090</v>
      </c>
      <c r="E2790" s="32">
        <v>619.16</v>
      </c>
      <c r="F2790" s="32">
        <v>2</v>
      </c>
    </row>
    <row r="2791" spans="1:6" x14ac:dyDescent="0.3">
      <c r="A2791" s="31">
        <v>1000020034</v>
      </c>
      <c r="B2791" s="31" t="s">
        <v>3740</v>
      </c>
      <c r="C2791" s="31" t="s">
        <v>4</v>
      </c>
      <c r="D2791" s="31" t="s">
        <v>2090</v>
      </c>
      <c r="E2791" s="32">
        <v>619.05999999999995</v>
      </c>
      <c r="F2791" s="32">
        <v>7</v>
      </c>
    </row>
    <row r="2792" spans="1:6" x14ac:dyDescent="0.3">
      <c r="A2792" s="31">
        <v>1000020339</v>
      </c>
      <c r="B2792" s="31" t="s">
        <v>571</v>
      </c>
      <c r="C2792" s="31" t="s">
        <v>4</v>
      </c>
      <c r="D2792" s="31" t="s">
        <v>2090</v>
      </c>
      <c r="E2792" s="32">
        <v>619.012077399899</v>
      </c>
      <c r="F2792" s="32">
        <v>109</v>
      </c>
    </row>
    <row r="2793" spans="1:6" x14ac:dyDescent="0.3">
      <c r="A2793" s="31">
        <v>1000106171</v>
      </c>
      <c r="B2793" s="31" t="s">
        <v>3741</v>
      </c>
      <c r="C2793" s="31" t="s">
        <v>4</v>
      </c>
      <c r="D2793" s="31" t="s">
        <v>2090</v>
      </c>
      <c r="E2793" s="32">
        <v>618.75</v>
      </c>
      <c r="F2793" s="32">
        <v>5</v>
      </c>
    </row>
    <row r="2794" spans="1:6" x14ac:dyDescent="0.3">
      <c r="A2794" s="31">
        <v>2500008064</v>
      </c>
      <c r="B2794" s="31" t="s">
        <v>3742</v>
      </c>
      <c r="C2794" s="31" t="s">
        <v>1996</v>
      </c>
      <c r="D2794" s="31" t="s">
        <v>2025</v>
      </c>
      <c r="E2794" s="32">
        <v>618.30437500000005</v>
      </c>
      <c r="F2794" s="32">
        <v>1</v>
      </c>
    </row>
    <row r="2795" spans="1:6" x14ac:dyDescent="0.3">
      <c r="A2795" s="31">
        <v>1000020939</v>
      </c>
      <c r="B2795" s="31" t="s">
        <v>1118</v>
      </c>
      <c r="C2795" s="31" t="s">
        <v>4</v>
      </c>
      <c r="D2795" s="31" t="s">
        <v>2090</v>
      </c>
      <c r="E2795" s="32">
        <v>618.08000000000004</v>
      </c>
      <c r="F2795" s="32">
        <v>1</v>
      </c>
    </row>
    <row r="2796" spans="1:6" x14ac:dyDescent="0.3">
      <c r="A2796" s="31">
        <v>1000020586</v>
      </c>
      <c r="B2796" s="31" t="s">
        <v>802</v>
      </c>
      <c r="C2796" s="31" t="s">
        <v>4</v>
      </c>
      <c r="D2796" s="31" t="s">
        <v>2090</v>
      </c>
      <c r="E2796" s="32">
        <v>618</v>
      </c>
      <c r="F2796" s="32">
        <v>5</v>
      </c>
    </row>
    <row r="2797" spans="1:6" x14ac:dyDescent="0.3">
      <c r="A2797" s="31">
        <v>1000020292</v>
      </c>
      <c r="B2797" s="31" t="s">
        <v>528</v>
      </c>
      <c r="C2797" s="31" t="s">
        <v>4</v>
      </c>
      <c r="D2797" s="31" t="s">
        <v>2090</v>
      </c>
      <c r="E2797" s="32">
        <v>617.4</v>
      </c>
      <c r="F2797" s="32">
        <v>10</v>
      </c>
    </row>
    <row r="2798" spans="1:6" x14ac:dyDescent="0.3">
      <c r="A2798" s="31">
        <v>1000102322</v>
      </c>
      <c r="B2798" s="31" t="s">
        <v>3743</v>
      </c>
      <c r="C2798" s="31" t="s">
        <v>4</v>
      </c>
      <c r="D2798" s="31" t="s">
        <v>2161</v>
      </c>
      <c r="E2798" s="32">
        <v>616.5</v>
      </c>
      <c r="F2798" s="32">
        <v>2</v>
      </c>
    </row>
    <row r="2799" spans="1:6" x14ac:dyDescent="0.3">
      <c r="A2799" s="31">
        <v>2500008904</v>
      </c>
      <c r="B2799" s="31" t="s">
        <v>3744</v>
      </c>
      <c r="C2799" s="31" t="s">
        <v>1996</v>
      </c>
      <c r="D2799" s="31" t="s">
        <v>2875</v>
      </c>
      <c r="E2799" s="32">
        <v>615</v>
      </c>
      <c r="F2799" s="32">
        <v>2</v>
      </c>
    </row>
    <row r="2800" spans="1:6" x14ac:dyDescent="0.3">
      <c r="A2800" s="31">
        <v>2500008491</v>
      </c>
      <c r="B2800" s="31" t="s">
        <v>3745</v>
      </c>
      <c r="C2800" s="31" t="s">
        <v>1996</v>
      </c>
      <c r="D2800" s="31" t="s">
        <v>2025</v>
      </c>
      <c r="E2800" s="32">
        <v>615</v>
      </c>
      <c r="F2800" s="32">
        <v>1</v>
      </c>
    </row>
    <row r="2801" spans="1:6" x14ac:dyDescent="0.3">
      <c r="A2801" s="31">
        <v>2200011059</v>
      </c>
      <c r="B2801" s="31" t="s">
        <v>3746</v>
      </c>
      <c r="C2801" s="31" t="s">
        <v>2088</v>
      </c>
      <c r="D2801" s="31" t="s">
        <v>2038</v>
      </c>
      <c r="E2801" s="32">
        <v>614.29060000000004</v>
      </c>
      <c r="F2801" s="32">
        <v>1</v>
      </c>
    </row>
    <row r="2802" spans="1:6" x14ac:dyDescent="0.3">
      <c r="A2802" s="31">
        <v>1000021397</v>
      </c>
      <c r="B2802" s="31" t="s">
        <v>1473</v>
      </c>
      <c r="C2802" s="31" t="s">
        <v>4</v>
      </c>
      <c r="D2802" s="31" t="s">
        <v>2090</v>
      </c>
      <c r="E2802" s="32">
        <v>613.57500000000005</v>
      </c>
      <c r="F2802" s="32">
        <v>6</v>
      </c>
    </row>
    <row r="2803" spans="1:6" x14ac:dyDescent="0.3">
      <c r="A2803" s="31">
        <v>1000103604</v>
      </c>
      <c r="B2803" s="31" t="s">
        <v>1869</v>
      </c>
      <c r="C2803" s="31" t="s">
        <v>4</v>
      </c>
      <c r="D2803" s="31" t="s">
        <v>2056</v>
      </c>
      <c r="E2803" s="32">
        <v>613.05246276923003</v>
      </c>
      <c r="F2803" s="32">
        <v>480</v>
      </c>
    </row>
    <row r="2804" spans="1:6" x14ac:dyDescent="0.3">
      <c r="A2804" s="31">
        <v>1000099609</v>
      </c>
      <c r="B2804" s="31" t="s">
        <v>3747</v>
      </c>
      <c r="C2804" s="31" t="s">
        <v>4</v>
      </c>
      <c r="D2804" s="31" t="s">
        <v>2056</v>
      </c>
      <c r="E2804" s="32">
        <v>612.48125000000005</v>
      </c>
      <c r="F2804" s="32">
        <v>10</v>
      </c>
    </row>
    <row r="2805" spans="1:6" x14ac:dyDescent="0.3">
      <c r="A2805" s="31">
        <v>2100007013</v>
      </c>
      <c r="B2805" s="31" t="s">
        <v>3748</v>
      </c>
      <c r="C2805" s="31" t="s">
        <v>2037</v>
      </c>
      <c r="D2805" s="31" t="s">
        <v>2031</v>
      </c>
      <c r="E2805" s="32">
        <v>612.48</v>
      </c>
      <c r="F2805" s="32">
        <v>4</v>
      </c>
    </row>
    <row r="2806" spans="1:6" x14ac:dyDescent="0.3">
      <c r="A2806" s="31">
        <v>1000102698</v>
      </c>
      <c r="B2806" s="31" t="s">
        <v>96</v>
      </c>
      <c r="C2806" s="31" t="s">
        <v>4</v>
      </c>
      <c r="D2806" s="31" t="s">
        <v>2873</v>
      </c>
      <c r="E2806" s="32">
        <v>612</v>
      </c>
      <c r="F2806" s="32">
        <v>9</v>
      </c>
    </row>
    <row r="2807" spans="1:6" x14ac:dyDescent="0.3">
      <c r="A2807" s="31">
        <v>1000020173</v>
      </c>
      <c r="B2807" s="31" t="s">
        <v>417</v>
      </c>
      <c r="C2807" s="31" t="s">
        <v>4</v>
      </c>
      <c r="D2807" s="31" t="s">
        <v>2090</v>
      </c>
      <c r="E2807" s="32">
        <v>611.04</v>
      </c>
      <c r="F2807" s="32">
        <v>8</v>
      </c>
    </row>
    <row r="2808" spans="1:6" x14ac:dyDescent="0.3">
      <c r="A2808" s="31">
        <v>2500008754</v>
      </c>
      <c r="B2808" s="31" t="s">
        <v>3749</v>
      </c>
      <c r="C2808" s="31" t="s">
        <v>1996</v>
      </c>
      <c r="D2808" s="31" t="s">
        <v>2025</v>
      </c>
      <c r="E2808" s="32">
        <v>607.50666666666598</v>
      </c>
      <c r="F2808" s="32">
        <v>4</v>
      </c>
    </row>
    <row r="2809" spans="1:6" x14ac:dyDescent="0.3">
      <c r="A2809" s="31">
        <v>2500008244</v>
      </c>
      <c r="B2809" s="31" t="s">
        <v>3750</v>
      </c>
      <c r="C2809" s="31" t="s">
        <v>1996</v>
      </c>
      <c r="D2809" s="31" t="s">
        <v>2643</v>
      </c>
      <c r="E2809" s="32">
        <v>607.5</v>
      </c>
      <c r="F2809" s="32">
        <v>2</v>
      </c>
    </row>
    <row r="2810" spans="1:6" x14ac:dyDescent="0.3">
      <c r="A2810" s="31">
        <v>1000020767</v>
      </c>
      <c r="B2810" s="31" t="s">
        <v>971</v>
      </c>
      <c r="C2810" s="31" t="s">
        <v>4</v>
      </c>
      <c r="D2810" s="31" t="s">
        <v>2090</v>
      </c>
      <c r="E2810" s="32">
        <v>607.17283333333296</v>
      </c>
      <c r="F2810" s="32">
        <v>4</v>
      </c>
    </row>
    <row r="2811" spans="1:6" x14ac:dyDescent="0.3">
      <c r="A2811" s="31">
        <v>1000020698</v>
      </c>
      <c r="B2811" s="31" t="s">
        <v>908</v>
      </c>
      <c r="C2811" s="31" t="s">
        <v>4</v>
      </c>
      <c r="D2811" s="31" t="s">
        <v>2090</v>
      </c>
      <c r="E2811" s="32">
        <v>607.13</v>
      </c>
      <c r="F2811" s="32">
        <v>5</v>
      </c>
    </row>
    <row r="2812" spans="1:6" x14ac:dyDescent="0.3">
      <c r="A2812" s="31">
        <v>1000020514</v>
      </c>
      <c r="B2812" s="31" t="s">
        <v>736</v>
      </c>
      <c r="C2812" s="31" t="s">
        <v>4</v>
      </c>
      <c r="D2812" s="31" t="s">
        <v>2090</v>
      </c>
      <c r="E2812" s="32">
        <v>605.44000000000005</v>
      </c>
      <c r="F2812" s="32">
        <v>8</v>
      </c>
    </row>
    <row r="2813" spans="1:6" x14ac:dyDescent="0.3">
      <c r="A2813" s="31">
        <v>1000020816</v>
      </c>
      <c r="B2813" s="31" t="s">
        <v>1018</v>
      </c>
      <c r="C2813" s="31" t="s">
        <v>4</v>
      </c>
      <c r="D2813" s="31" t="s">
        <v>2090</v>
      </c>
      <c r="E2813" s="32">
        <v>603.76</v>
      </c>
      <c r="F2813" s="32">
        <v>2</v>
      </c>
    </row>
    <row r="2814" spans="1:6" x14ac:dyDescent="0.3">
      <c r="A2814" s="31">
        <v>1000020209</v>
      </c>
      <c r="B2814" s="31" t="s">
        <v>449</v>
      </c>
      <c r="C2814" s="31" t="s">
        <v>4</v>
      </c>
      <c r="D2814" s="31" t="s">
        <v>2090</v>
      </c>
      <c r="E2814" s="32">
        <v>603.6</v>
      </c>
      <c r="F2814" s="32">
        <v>4</v>
      </c>
    </row>
    <row r="2815" spans="1:6" x14ac:dyDescent="0.3">
      <c r="A2815" s="31">
        <v>1000095818</v>
      </c>
      <c r="B2815" s="31" t="s">
        <v>3751</v>
      </c>
      <c r="C2815" s="31" t="s">
        <v>4</v>
      </c>
      <c r="D2815" s="31" t="s">
        <v>2056</v>
      </c>
      <c r="E2815" s="32">
        <v>603.07500000000005</v>
      </c>
      <c r="F2815" s="32">
        <v>22</v>
      </c>
    </row>
    <row r="2816" spans="1:6" x14ac:dyDescent="0.3">
      <c r="A2816" s="31">
        <v>2900000011</v>
      </c>
      <c r="B2816" s="31" t="s">
        <v>1991</v>
      </c>
      <c r="C2816" s="31" t="s">
        <v>1996</v>
      </c>
      <c r="D2816" s="31" t="s">
        <v>3752</v>
      </c>
      <c r="E2816" s="32">
        <v>602.35130000000004</v>
      </c>
      <c r="F2816" s="32">
        <v>4</v>
      </c>
    </row>
    <row r="2817" spans="1:6" x14ac:dyDescent="0.3">
      <c r="A2817" s="31">
        <v>1000020943</v>
      </c>
      <c r="B2817" s="31" t="s">
        <v>1122</v>
      </c>
      <c r="C2817" s="31" t="s">
        <v>4</v>
      </c>
      <c r="D2817" s="31" t="s">
        <v>2090</v>
      </c>
      <c r="E2817" s="32">
        <v>602.30999999999995</v>
      </c>
      <c r="F2817" s="32">
        <v>1</v>
      </c>
    </row>
    <row r="2818" spans="1:6" x14ac:dyDescent="0.3">
      <c r="A2818" s="31">
        <v>1000097023</v>
      </c>
      <c r="B2818" s="31" t="s">
        <v>3753</v>
      </c>
      <c r="C2818" s="31" t="s">
        <v>4</v>
      </c>
      <c r="D2818" s="31" t="s">
        <v>2090</v>
      </c>
      <c r="E2818" s="32">
        <v>602.24666666666599</v>
      </c>
      <c r="F2818" s="32">
        <v>2</v>
      </c>
    </row>
    <row r="2819" spans="1:6" x14ac:dyDescent="0.3">
      <c r="A2819" s="31">
        <v>2700000054</v>
      </c>
      <c r="B2819" s="31" t="s">
        <v>239</v>
      </c>
      <c r="C2819" s="31" t="s">
        <v>2088</v>
      </c>
      <c r="D2819" s="31" t="s">
        <v>2038</v>
      </c>
      <c r="E2819" s="32">
        <v>601.40656403448804</v>
      </c>
      <c r="F2819" s="32">
        <v>2</v>
      </c>
    </row>
    <row r="2820" spans="1:6" x14ac:dyDescent="0.3">
      <c r="A2820" s="31">
        <v>1000017030</v>
      </c>
      <c r="B2820" s="31" t="s">
        <v>3754</v>
      </c>
      <c r="C2820" s="31" t="s">
        <v>4</v>
      </c>
      <c r="D2820" s="31" t="s">
        <v>3274</v>
      </c>
      <c r="E2820" s="32">
        <v>600</v>
      </c>
      <c r="F2820" s="32">
        <v>50</v>
      </c>
    </row>
    <row r="2821" spans="1:6" x14ac:dyDescent="0.3">
      <c r="A2821" s="31">
        <v>80000009897</v>
      </c>
      <c r="B2821" s="31" t="s">
        <v>3755</v>
      </c>
      <c r="C2821" s="31" t="s">
        <v>2521</v>
      </c>
      <c r="D2821" s="31" t="s">
        <v>3289</v>
      </c>
      <c r="E2821" s="32">
        <v>600</v>
      </c>
      <c r="F2821" s="32">
        <v>50</v>
      </c>
    </row>
    <row r="2822" spans="1:6" x14ac:dyDescent="0.3">
      <c r="A2822" s="31">
        <v>1000098154</v>
      </c>
      <c r="B2822" s="31" t="s">
        <v>3379</v>
      </c>
      <c r="C2822" s="31" t="s">
        <v>4</v>
      </c>
      <c r="D2822" s="31" t="s">
        <v>2056</v>
      </c>
      <c r="E2822" s="32">
        <v>599.92784615384596</v>
      </c>
      <c r="F2822" s="32">
        <v>70</v>
      </c>
    </row>
    <row r="2823" spans="1:6" x14ac:dyDescent="0.3">
      <c r="A2823" s="31">
        <v>2500005578</v>
      </c>
      <c r="B2823" s="31" t="s">
        <v>3756</v>
      </c>
      <c r="C2823" s="31" t="s">
        <v>1996</v>
      </c>
      <c r="D2823" s="31" t="s">
        <v>2025</v>
      </c>
      <c r="E2823" s="32">
        <v>599.81452742891202</v>
      </c>
      <c r="F2823" s="32">
        <v>12</v>
      </c>
    </row>
    <row r="2824" spans="1:6" x14ac:dyDescent="0.3">
      <c r="A2824" s="31">
        <v>1000020640</v>
      </c>
      <c r="B2824" s="31" t="s">
        <v>855</v>
      </c>
      <c r="C2824" s="31" t="s">
        <v>4</v>
      </c>
      <c r="D2824" s="31" t="s">
        <v>2090</v>
      </c>
      <c r="E2824" s="32">
        <v>598.5</v>
      </c>
      <c r="F2824" s="32">
        <v>35</v>
      </c>
    </row>
    <row r="2825" spans="1:6" x14ac:dyDescent="0.3">
      <c r="A2825" s="31">
        <v>1000099045</v>
      </c>
      <c r="B2825" s="31" t="s">
        <v>3757</v>
      </c>
      <c r="C2825" s="31" t="s">
        <v>4</v>
      </c>
      <c r="D2825" s="31" t="s">
        <v>2639</v>
      </c>
      <c r="E2825" s="32">
        <v>598.42963386727604</v>
      </c>
      <c r="F2825" s="32">
        <v>110</v>
      </c>
    </row>
    <row r="2826" spans="1:6" x14ac:dyDescent="0.3">
      <c r="A2826" s="31">
        <v>1000020404</v>
      </c>
      <c r="B2826" s="31" t="s">
        <v>634</v>
      </c>
      <c r="C2826" s="31" t="s">
        <v>4</v>
      </c>
      <c r="D2826" s="31" t="s">
        <v>2090</v>
      </c>
      <c r="E2826" s="32">
        <v>598</v>
      </c>
      <c r="F2826" s="32">
        <v>100</v>
      </c>
    </row>
    <row r="2827" spans="1:6" x14ac:dyDescent="0.3">
      <c r="A2827" s="31">
        <v>80000009705</v>
      </c>
      <c r="B2827" s="31" t="s">
        <v>3758</v>
      </c>
      <c r="C2827" s="31" t="s">
        <v>2521</v>
      </c>
      <c r="D2827" s="31" t="s">
        <v>2670</v>
      </c>
      <c r="E2827" s="32">
        <v>598</v>
      </c>
      <c r="F2827" s="32">
        <v>46</v>
      </c>
    </row>
    <row r="2828" spans="1:6" x14ac:dyDescent="0.3">
      <c r="A2828" s="31">
        <v>2500009675</v>
      </c>
      <c r="B2828" s="31" t="s">
        <v>3759</v>
      </c>
      <c r="C2828" s="31" t="s">
        <v>1996</v>
      </c>
      <c r="D2828" s="31" t="s">
        <v>2025</v>
      </c>
      <c r="E2828" s="32">
        <v>597.375</v>
      </c>
      <c r="F2828" s="32">
        <v>1</v>
      </c>
    </row>
    <row r="2829" spans="1:6" x14ac:dyDescent="0.3">
      <c r="A2829" s="31">
        <v>1000092373</v>
      </c>
      <c r="B2829" s="31" t="s">
        <v>3760</v>
      </c>
      <c r="C2829" s="31" t="s">
        <v>4</v>
      </c>
      <c r="D2829" s="31" t="s">
        <v>2161</v>
      </c>
      <c r="E2829" s="32">
        <v>597.19000000000005</v>
      </c>
      <c r="F2829" s="32">
        <v>5</v>
      </c>
    </row>
    <row r="2830" spans="1:6" x14ac:dyDescent="0.3">
      <c r="A2830" s="31">
        <v>1000020112</v>
      </c>
      <c r="B2830" s="31" t="s">
        <v>368</v>
      </c>
      <c r="C2830" s="31" t="s">
        <v>4</v>
      </c>
      <c r="D2830" s="31" t="s">
        <v>2090</v>
      </c>
      <c r="E2830" s="32">
        <v>597.05999999999995</v>
      </c>
      <c r="F2830" s="32">
        <v>2</v>
      </c>
    </row>
    <row r="2831" spans="1:6" x14ac:dyDescent="0.3">
      <c r="A2831" s="31">
        <v>1000020110</v>
      </c>
      <c r="B2831" s="31" t="s">
        <v>366</v>
      </c>
      <c r="C2831" s="31" t="s">
        <v>4</v>
      </c>
      <c r="D2831" s="31" t="s">
        <v>2090</v>
      </c>
      <c r="E2831" s="32">
        <v>597.05999999999995</v>
      </c>
      <c r="F2831" s="32">
        <v>2</v>
      </c>
    </row>
    <row r="2832" spans="1:6" x14ac:dyDescent="0.3">
      <c r="A2832" s="31">
        <v>1000020266</v>
      </c>
      <c r="B2832" s="31" t="s">
        <v>504</v>
      </c>
      <c r="C2832" s="31" t="s">
        <v>4</v>
      </c>
      <c r="D2832" s="31" t="s">
        <v>2090</v>
      </c>
      <c r="E2832" s="32">
        <v>595.6</v>
      </c>
      <c r="F2832" s="32">
        <v>40</v>
      </c>
    </row>
    <row r="2833" spans="1:6" x14ac:dyDescent="0.3">
      <c r="A2833" s="31">
        <v>80000009696</v>
      </c>
      <c r="B2833" s="31" t="s">
        <v>3761</v>
      </c>
      <c r="C2833" s="31" t="s">
        <v>2521</v>
      </c>
      <c r="D2833" s="31" t="s">
        <v>2670</v>
      </c>
      <c r="E2833" s="32">
        <v>594.70000000000005</v>
      </c>
      <c r="F2833" s="32">
        <v>313</v>
      </c>
    </row>
    <row r="2834" spans="1:6" x14ac:dyDescent="0.3">
      <c r="A2834" s="31">
        <v>1000095918</v>
      </c>
      <c r="B2834" s="31" t="s">
        <v>3379</v>
      </c>
      <c r="C2834" s="31" t="s">
        <v>4</v>
      </c>
      <c r="D2834" s="31" t="s">
        <v>2056</v>
      </c>
      <c r="E2834" s="32">
        <v>593.80236027319995</v>
      </c>
      <c r="F2834" s="32">
        <v>30</v>
      </c>
    </row>
    <row r="2835" spans="1:6" x14ac:dyDescent="0.3">
      <c r="A2835" s="31">
        <v>1000020617</v>
      </c>
      <c r="B2835" s="31" t="s">
        <v>833</v>
      </c>
      <c r="C2835" s="31" t="s">
        <v>4</v>
      </c>
      <c r="D2835" s="31" t="s">
        <v>2090</v>
      </c>
      <c r="E2835" s="32">
        <v>593.34</v>
      </c>
      <c r="F2835" s="32">
        <v>62</v>
      </c>
    </row>
    <row r="2836" spans="1:6" x14ac:dyDescent="0.3">
      <c r="A2836" s="31">
        <v>1000020555</v>
      </c>
      <c r="B2836" s="31" t="s">
        <v>773</v>
      </c>
      <c r="C2836" s="31" t="s">
        <v>4</v>
      </c>
      <c r="D2836" s="31" t="s">
        <v>2090</v>
      </c>
      <c r="E2836" s="32">
        <v>593</v>
      </c>
      <c r="F2836" s="32">
        <v>25</v>
      </c>
    </row>
    <row r="2837" spans="1:6" x14ac:dyDescent="0.3">
      <c r="A2837" s="31">
        <v>2500008873</v>
      </c>
      <c r="B2837" s="31" t="s">
        <v>3762</v>
      </c>
      <c r="C2837" s="31" t="s">
        <v>1996</v>
      </c>
      <c r="D2837" s="31" t="s">
        <v>3044</v>
      </c>
      <c r="E2837" s="32">
        <v>592.28</v>
      </c>
      <c r="F2837" s="32">
        <v>200</v>
      </c>
    </row>
    <row r="2838" spans="1:6" x14ac:dyDescent="0.3">
      <c r="A2838" s="31">
        <v>1000020212</v>
      </c>
      <c r="B2838" s="31" t="s">
        <v>452</v>
      </c>
      <c r="C2838" s="31" t="s">
        <v>4</v>
      </c>
      <c r="D2838" s="31" t="s">
        <v>2090</v>
      </c>
      <c r="E2838" s="32">
        <v>591.44000000000005</v>
      </c>
      <c r="F2838" s="32">
        <v>2</v>
      </c>
    </row>
    <row r="2839" spans="1:6" x14ac:dyDescent="0.3">
      <c r="A2839" s="31">
        <v>1000094367</v>
      </c>
      <c r="B2839" s="31" t="s">
        <v>3763</v>
      </c>
      <c r="C2839" s="31" t="s">
        <v>2257</v>
      </c>
      <c r="D2839" s="31" t="s">
        <v>2399</v>
      </c>
      <c r="E2839" s="32">
        <v>591.40800000000002</v>
      </c>
      <c r="F2839" s="32">
        <v>3</v>
      </c>
    </row>
    <row r="2840" spans="1:6" x14ac:dyDescent="0.3">
      <c r="A2840" s="31">
        <v>1000103199</v>
      </c>
      <c r="B2840" s="31" t="s">
        <v>1807</v>
      </c>
      <c r="C2840" s="31" t="s">
        <v>4</v>
      </c>
      <c r="D2840" s="31" t="s">
        <v>2090</v>
      </c>
      <c r="E2840" s="32">
        <v>589.16</v>
      </c>
      <c r="F2840" s="32">
        <v>3</v>
      </c>
    </row>
    <row r="2841" spans="1:6" x14ac:dyDescent="0.3">
      <c r="A2841" s="31">
        <v>1000020665</v>
      </c>
      <c r="B2841" s="31" t="s">
        <v>878</v>
      </c>
      <c r="C2841" s="31" t="s">
        <v>4</v>
      </c>
      <c r="D2841" s="31" t="s">
        <v>2090</v>
      </c>
      <c r="E2841" s="32">
        <v>587.62</v>
      </c>
      <c r="F2841" s="32">
        <v>2</v>
      </c>
    </row>
    <row r="2842" spans="1:6" x14ac:dyDescent="0.3">
      <c r="A2842" s="31">
        <v>2500008209</v>
      </c>
      <c r="B2842" s="31" t="s">
        <v>3764</v>
      </c>
      <c r="C2842" s="31" t="s">
        <v>1996</v>
      </c>
      <c r="D2842" s="31" t="s">
        <v>2025</v>
      </c>
      <c r="E2842" s="32">
        <v>586.25250015375002</v>
      </c>
      <c r="F2842" s="32">
        <v>2</v>
      </c>
    </row>
    <row r="2843" spans="1:6" x14ac:dyDescent="0.3">
      <c r="A2843" s="31">
        <v>1000098457</v>
      </c>
      <c r="B2843" s="31" t="s">
        <v>3765</v>
      </c>
      <c r="C2843" s="31" t="s">
        <v>4</v>
      </c>
      <c r="D2843" s="31" t="s">
        <v>2090</v>
      </c>
      <c r="E2843" s="32">
        <v>585.505</v>
      </c>
      <c r="F2843" s="32">
        <v>1</v>
      </c>
    </row>
    <row r="2844" spans="1:6" x14ac:dyDescent="0.3">
      <c r="A2844" s="31">
        <v>1000021019</v>
      </c>
      <c r="B2844" s="31" t="s">
        <v>1191</v>
      </c>
      <c r="C2844" s="31" t="s">
        <v>4</v>
      </c>
      <c r="D2844" s="31" t="s">
        <v>2090</v>
      </c>
      <c r="E2844" s="32">
        <v>583.96</v>
      </c>
      <c r="F2844" s="32">
        <v>2</v>
      </c>
    </row>
    <row r="2845" spans="1:6" x14ac:dyDescent="0.3">
      <c r="A2845" s="31">
        <v>1000021319</v>
      </c>
      <c r="B2845" s="31" t="s">
        <v>1451</v>
      </c>
      <c r="C2845" s="31" t="s">
        <v>4</v>
      </c>
      <c r="D2845" s="31" t="s">
        <v>2090</v>
      </c>
      <c r="E2845" s="32">
        <v>583.86</v>
      </c>
      <c r="F2845" s="32">
        <v>1</v>
      </c>
    </row>
    <row r="2846" spans="1:6" x14ac:dyDescent="0.3">
      <c r="A2846" s="31">
        <v>1000021405</v>
      </c>
      <c r="B2846" s="31" t="s">
        <v>1475</v>
      </c>
      <c r="C2846" s="31" t="s">
        <v>4</v>
      </c>
      <c r="D2846" s="31" t="s">
        <v>2090</v>
      </c>
      <c r="E2846" s="32">
        <v>582.02</v>
      </c>
      <c r="F2846" s="32">
        <v>2</v>
      </c>
    </row>
    <row r="2847" spans="1:6" x14ac:dyDescent="0.3">
      <c r="A2847" s="31">
        <v>1000020314</v>
      </c>
      <c r="B2847" s="31" t="s">
        <v>549</v>
      </c>
      <c r="C2847" s="31" t="s">
        <v>4</v>
      </c>
      <c r="D2847" s="31" t="s">
        <v>2090</v>
      </c>
      <c r="E2847" s="32">
        <v>581.91999999999996</v>
      </c>
      <c r="F2847" s="32">
        <v>4</v>
      </c>
    </row>
    <row r="2848" spans="1:6" x14ac:dyDescent="0.3">
      <c r="A2848" s="31">
        <v>1000020959</v>
      </c>
      <c r="B2848" s="31" t="s">
        <v>1137</v>
      </c>
      <c r="C2848" s="31" t="s">
        <v>4</v>
      </c>
      <c r="D2848" s="31" t="s">
        <v>2090</v>
      </c>
      <c r="E2848" s="32">
        <v>581.64</v>
      </c>
      <c r="F2848" s="32">
        <v>3</v>
      </c>
    </row>
    <row r="2849" spans="1:6" x14ac:dyDescent="0.3">
      <c r="A2849" s="31">
        <v>1000017029</v>
      </c>
      <c r="B2849" s="31" t="s">
        <v>3766</v>
      </c>
      <c r="C2849" s="31" t="s">
        <v>4</v>
      </c>
      <c r="D2849" s="31" t="s">
        <v>3274</v>
      </c>
      <c r="E2849" s="32">
        <v>580</v>
      </c>
      <c r="F2849" s="32">
        <v>100</v>
      </c>
    </row>
    <row r="2850" spans="1:6" x14ac:dyDescent="0.3">
      <c r="A2850" s="31">
        <v>2700000021</v>
      </c>
      <c r="B2850" s="31" t="s">
        <v>227</v>
      </c>
      <c r="C2850" s="31" t="s">
        <v>2037</v>
      </c>
      <c r="D2850" s="31" t="s">
        <v>2038</v>
      </c>
      <c r="E2850" s="32">
        <v>579.04</v>
      </c>
      <c r="F2850" s="32">
        <v>1</v>
      </c>
    </row>
    <row r="2851" spans="1:6" x14ac:dyDescent="0.3">
      <c r="A2851" s="31">
        <v>1000020634</v>
      </c>
      <c r="B2851" s="31" t="s">
        <v>849</v>
      </c>
      <c r="C2851" s="31" t="s">
        <v>4</v>
      </c>
      <c r="D2851" s="31" t="s">
        <v>2218</v>
      </c>
      <c r="E2851" s="32">
        <v>578.37511363636304</v>
      </c>
      <c r="F2851" s="32">
        <v>38</v>
      </c>
    </row>
    <row r="2852" spans="1:6" x14ac:dyDescent="0.3">
      <c r="A2852" s="31">
        <v>2700000219</v>
      </c>
      <c r="B2852" s="31" t="s">
        <v>287</v>
      </c>
      <c r="C2852" s="31" t="s">
        <v>2037</v>
      </c>
      <c r="D2852" s="31" t="s">
        <v>2038</v>
      </c>
      <c r="E2852" s="32">
        <v>577.32000000000005</v>
      </c>
      <c r="F2852" s="32">
        <v>42</v>
      </c>
    </row>
    <row r="2853" spans="1:6" x14ac:dyDescent="0.3">
      <c r="A2853" s="31">
        <v>1000017010</v>
      </c>
      <c r="B2853" s="31" t="s">
        <v>3767</v>
      </c>
      <c r="C2853" s="31" t="s">
        <v>4</v>
      </c>
      <c r="D2853" s="31" t="s">
        <v>3274</v>
      </c>
      <c r="E2853" s="32">
        <v>575</v>
      </c>
      <c r="F2853" s="32">
        <v>50</v>
      </c>
    </row>
    <row r="2854" spans="1:6" x14ac:dyDescent="0.3">
      <c r="A2854" s="31">
        <v>1000103965</v>
      </c>
      <c r="B2854" s="31" t="s">
        <v>3768</v>
      </c>
      <c r="C2854" s="31" t="s">
        <v>2257</v>
      </c>
      <c r="D2854" s="31" t="s">
        <v>2921</v>
      </c>
      <c r="E2854" s="32">
        <v>575</v>
      </c>
      <c r="F2854" s="32">
        <v>1</v>
      </c>
    </row>
    <row r="2855" spans="1:6" x14ac:dyDescent="0.3">
      <c r="A2855" s="31">
        <v>1000093786</v>
      </c>
      <c r="B2855" s="31" t="s">
        <v>3769</v>
      </c>
      <c r="C2855" s="31" t="s">
        <v>4</v>
      </c>
      <c r="D2855" s="31" t="s">
        <v>2090</v>
      </c>
      <c r="E2855" s="32">
        <v>574.38448879755595</v>
      </c>
      <c r="F2855" s="32">
        <v>277</v>
      </c>
    </row>
    <row r="2856" spans="1:6" x14ac:dyDescent="0.3">
      <c r="A2856" s="31">
        <v>1000020325</v>
      </c>
      <c r="B2856" s="31" t="s">
        <v>559</v>
      </c>
      <c r="C2856" s="31" t="s">
        <v>4</v>
      </c>
      <c r="D2856" s="31" t="s">
        <v>2090</v>
      </c>
      <c r="E2856" s="32">
        <v>573.34</v>
      </c>
      <c r="F2856" s="32">
        <v>2</v>
      </c>
    </row>
    <row r="2857" spans="1:6" x14ac:dyDescent="0.3">
      <c r="A2857" s="31">
        <v>1000093767</v>
      </c>
      <c r="B2857" s="31" t="s">
        <v>3770</v>
      </c>
      <c r="C2857" s="31" t="s">
        <v>4</v>
      </c>
      <c r="D2857" s="31" t="s">
        <v>2056</v>
      </c>
      <c r="E2857" s="32">
        <v>573.21508333333304</v>
      </c>
      <c r="F2857" s="32">
        <v>347</v>
      </c>
    </row>
    <row r="2858" spans="1:6" x14ac:dyDescent="0.3">
      <c r="A2858" s="31">
        <v>1000021083</v>
      </c>
      <c r="B2858" s="31" t="s">
        <v>1245</v>
      </c>
      <c r="C2858" s="31" t="s">
        <v>4</v>
      </c>
      <c r="D2858" s="31" t="s">
        <v>2090</v>
      </c>
      <c r="E2858" s="32">
        <v>570.47172413793101</v>
      </c>
      <c r="F2858" s="32">
        <v>6</v>
      </c>
    </row>
    <row r="2859" spans="1:6" x14ac:dyDescent="0.3">
      <c r="A2859" s="31">
        <v>1000021077</v>
      </c>
      <c r="B2859" s="31" t="s">
        <v>1239</v>
      </c>
      <c r="C2859" s="31" t="s">
        <v>4</v>
      </c>
      <c r="D2859" s="31" t="s">
        <v>2090</v>
      </c>
      <c r="E2859" s="32">
        <v>569.47</v>
      </c>
      <c r="F2859" s="32">
        <v>1</v>
      </c>
    </row>
    <row r="2860" spans="1:6" x14ac:dyDescent="0.3">
      <c r="A2860" s="31">
        <v>1000021390</v>
      </c>
      <c r="B2860" s="31" t="s">
        <v>1469</v>
      </c>
      <c r="C2860" s="31" t="s">
        <v>4</v>
      </c>
      <c r="D2860" s="31" t="s">
        <v>2090</v>
      </c>
      <c r="E2860" s="32">
        <v>569.40645554171795</v>
      </c>
      <c r="F2860" s="32">
        <v>145</v>
      </c>
    </row>
    <row r="2861" spans="1:6" x14ac:dyDescent="0.3">
      <c r="A2861" s="31">
        <v>1000090936</v>
      </c>
      <c r="B2861" s="31" t="s">
        <v>3771</v>
      </c>
      <c r="C2861" s="31" t="s">
        <v>2027</v>
      </c>
      <c r="D2861" s="31" t="s">
        <v>2399</v>
      </c>
      <c r="E2861" s="32">
        <v>567.89279999999997</v>
      </c>
      <c r="F2861" s="32">
        <v>6</v>
      </c>
    </row>
    <row r="2862" spans="1:6" x14ac:dyDescent="0.3">
      <c r="A2862" s="31">
        <v>2500009307</v>
      </c>
      <c r="B2862" s="31" t="s">
        <v>3772</v>
      </c>
      <c r="C2862" s="31" t="s">
        <v>1996</v>
      </c>
      <c r="D2862" s="31" t="s">
        <v>2025</v>
      </c>
      <c r="E2862" s="32">
        <v>567</v>
      </c>
      <c r="F2862" s="32">
        <v>1</v>
      </c>
    </row>
    <row r="2863" spans="1:6" x14ac:dyDescent="0.3">
      <c r="A2863" s="31">
        <v>1000020306</v>
      </c>
      <c r="B2863" s="31" t="s">
        <v>542</v>
      </c>
      <c r="C2863" s="31" t="s">
        <v>4</v>
      </c>
      <c r="D2863" s="31" t="s">
        <v>2090</v>
      </c>
      <c r="E2863" s="32">
        <v>564.12</v>
      </c>
      <c r="F2863" s="32">
        <v>6</v>
      </c>
    </row>
    <row r="2864" spans="1:6" x14ac:dyDescent="0.3">
      <c r="A2864" s="31">
        <v>1000091845</v>
      </c>
      <c r="B2864" s="31" t="s">
        <v>3773</v>
      </c>
      <c r="C2864" s="31" t="s">
        <v>2109</v>
      </c>
      <c r="D2864" s="31" t="s">
        <v>2070</v>
      </c>
      <c r="E2864" s="32">
        <v>563.62666666666598</v>
      </c>
      <c r="F2864" s="32">
        <v>2</v>
      </c>
    </row>
    <row r="2865" spans="1:6" x14ac:dyDescent="0.3">
      <c r="A2865" s="31">
        <v>1000095433</v>
      </c>
      <c r="B2865" s="31" t="s">
        <v>3774</v>
      </c>
      <c r="C2865" s="31" t="s">
        <v>4</v>
      </c>
      <c r="D2865" s="31" t="s">
        <v>2090</v>
      </c>
      <c r="E2865" s="32">
        <v>562.875</v>
      </c>
      <c r="F2865" s="32">
        <v>10</v>
      </c>
    </row>
    <row r="2866" spans="1:6" x14ac:dyDescent="0.3">
      <c r="A2866" s="31">
        <v>1000021320</v>
      </c>
      <c r="B2866" s="31" t="s">
        <v>1452</v>
      </c>
      <c r="C2866" s="31" t="s">
        <v>4</v>
      </c>
      <c r="D2866" s="31" t="s">
        <v>2090</v>
      </c>
      <c r="E2866" s="32">
        <v>562.53</v>
      </c>
      <c r="F2866" s="32">
        <v>1</v>
      </c>
    </row>
    <row r="2867" spans="1:6" x14ac:dyDescent="0.3">
      <c r="A2867" s="31">
        <v>1000021321</v>
      </c>
      <c r="B2867" s="31" t="s">
        <v>1453</v>
      </c>
      <c r="C2867" s="31" t="s">
        <v>4</v>
      </c>
      <c r="D2867" s="31" t="s">
        <v>2090</v>
      </c>
      <c r="E2867" s="32">
        <v>562.53</v>
      </c>
      <c r="F2867" s="32">
        <v>1</v>
      </c>
    </row>
    <row r="2868" spans="1:6" x14ac:dyDescent="0.3">
      <c r="A2868" s="31">
        <v>1000110509</v>
      </c>
      <c r="B2868" s="31" t="s">
        <v>3775</v>
      </c>
      <c r="C2868" s="31" t="s">
        <v>2257</v>
      </c>
      <c r="D2868" s="31" t="s">
        <v>2173</v>
      </c>
      <c r="E2868" s="32">
        <v>562.5</v>
      </c>
      <c r="F2868" s="32">
        <v>1</v>
      </c>
    </row>
    <row r="2869" spans="1:6" x14ac:dyDescent="0.3">
      <c r="A2869" s="31">
        <v>1000103194</v>
      </c>
      <c r="B2869" s="31" t="s">
        <v>1802</v>
      </c>
      <c r="C2869" s="31" t="s">
        <v>4</v>
      </c>
      <c r="D2869" s="31" t="s">
        <v>2090</v>
      </c>
      <c r="E2869" s="32">
        <v>561.75</v>
      </c>
      <c r="F2869" s="32">
        <v>5</v>
      </c>
    </row>
    <row r="2870" spans="1:6" x14ac:dyDescent="0.3">
      <c r="A2870" s="31">
        <v>1000021072</v>
      </c>
      <c r="B2870" s="31" t="s">
        <v>1234</v>
      </c>
      <c r="C2870" s="31" t="s">
        <v>4</v>
      </c>
      <c r="D2870" s="31" t="s">
        <v>2090</v>
      </c>
      <c r="E2870" s="32">
        <v>559.96</v>
      </c>
      <c r="F2870" s="32">
        <v>2</v>
      </c>
    </row>
    <row r="2871" spans="1:6" x14ac:dyDescent="0.3">
      <c r="A2871" s="31">
        <v>1000021089</v>
      </c>
      <c r="B2871" s="31" t="s">
        <v>1251</v>
      </c>
      <c r="C2871" s="31" t="s">
        <v>4</v>
      </c>
      <c r="D2871" s="31" t="s">
        <v>2090</v>
      </c>
      <c r="E2871" s="32">
        <v>559.54</v>
      </c>
      <c r="F2871" s="32">
        <v>2</v>
      </c>
    </row>
    <row r="2872" spans="1:6" x14ac:dyDescent="0.3">
      <c r="A2872" s="31">
        <v>1000020868</v>
      </c>
      <c r="B2872" s="31" t="s">
        <v>1055</v>
      </c>
      <c r="C2872" s="31" t="s">
        <v>4</v>
      </c>
      <c r="D2872" s="31" t="s">
        <v>2090</v>
      </c>
      <c r="E2872" s="32">
        <v>558.73</v>
      </c>
      <c r="F2872" s="32">
        <v>1</v>
      </c>
    </row>
    <row r="2873" spans="1:6" x14ac:dyDescent="0.3">
      <c r="A2873" s="31">
        <v>1000101776</v>
      </c>
      <c r="B2873" s="31" t="s">
        <v>3776</v>
      </c>
      <c r="C2873" s="31" t="s">
        <v>4</v>
      </c>
      <c r="D2873" s="31" t="s">
        <v>2161</v>
      </c>
      <c r="E2873" s="32">
        <v>558.28</v>
      </c>
      <c r="F2873" s="32">
        <v>2</v>
      </c>
    </row>
    <row r="2874" spans="1:6" x14ac:dyDescent="0.3">
      <c r="A2874" s="31">
        <v>1000020416</v>
      </c>
      <c r="B2874" s="31" t="s">
        <v>645</v>
      </c>
      <c r="C2874" s="31" t="s">
        <v>4</v>
      </c>
      <c r="D2874" s="31" t="s">
        <v>2218</v>
      </c>
      <c r="E2874" s="32">
        <v>557.20945945945903</v>
      </c>
      <c r="F2874" s="32">
        <v>85</v>
      </c>
    </row>
    <row r="2875" spans="1:6" x14ac:dyDescent="0.3">
      <c r="A2875" s="31">
        <v>1000020197</v>
      </c>
      <c r="B2875" s="31" t="s">
        <v>438</v>
      </c>
      <c r="C2875" s="31" t="s">
        <v>4</v>
      </c>
      <c r="D2875" s="31" t="s">
        <v>2090</v>
      </c>
      <c r="E2875" s="32">
        <v>556.62</v>
      </c>
      <c r="F2875" s="32">
        <v>3</v>
      </c>
    </row>
    <row r="2876" spans="1:6" x14ac:dyDescent="0.3">
      <c r="A2876" s="31">
        <v>1000106808</v>
      </c>
      <c r="B2876" s="31" t="s">
        <v>3777</v>
      </c>
      <c r="C2876" s="31" t="s">
        <v>4</v>
      </c>
      <c r="D2876" s="31" t="s">
        <v>2880</v>
      </c>
      <c r="E2876" s="32">
        <v>555.47439999999995</v>
      </c>
      <c r="F2876" s="32">
        <v>2</v>
      </c>
    </row>
    <row r="2877" spans="1:6" x14ac:dyDescent="0.3">
      <c r="A2877" s="31">
        <v>1000103340</v>
      </c>
      <c r="B2877" s="31" t="s">
        <v>1864</v>
      </c>
      <c r="C2877" s="31" t="s">
        <v>4</v>
      </c>
      <c r="D2877" s="31" t="s">
        <v>2056</v>
      </c>
      <c r="E2877" s="32">
        <v>554.84</v>
      </c>
      <c r="F2877" s="32">
        <v>13</v>
      </c>
    </row>
    <row r="2878" spans="1:6" x14ac:dyDescent="0.3">
      <c r="A2878" s="31">
        <v>2100007041</v>
      </c>
      <c r="B2878" s="31" t="s">
        <v>3778</v>
      </c>
      <c r="C2878" s="31" t="s">
        <v>2037</v>
      </c>
      <c r="D2878" s="31" t="s">
        <v>2031</v>
      </c>
      <c r="E2878" s="32">
        <v>554.4</v>
      </c>
      <c r="F2878" s="32">
        <v>4</v>
      </c>
    </row>
    <row r="2879" spans="1:6" x14ac:dyDescent="0.3">
      <c r="A2879" s="31">
        <v>2200003270</v>
      </c>
      <c r="B2879" s="31" t="s">
        <v>206</v>
      </c>
      <c r="C2879" s="31" t="s">
        <v>2037</v>
      </c>
      <c r="D2879" s="31" t="s">
        <v>2038</v>
      </c>
      <c r="E2879" s="32">
        <v>551.64</v>
      </c>
      <c r="F2879" s="32">
        <v>1</v>
      </c>
    </row>
    <row r="2880" spans="1:6" x14ac:dyDescent="0.3">
      <c r="A2880" s="31">
        <v>1000110823</v>
      </c>
      <c r="B2880" s="31" t="s">
        <v>3779</v>
      </c>
      <c r="C2880" s="31" t="s">
        <v>4</v>
      </c>
      <c r="D2880" s="31" t="s">
        <v>2056</v>
      </c>
      <c r="E2880" s="32">
        <v>551.54</v>
      </c>
      <c r="F2880" s="32">
        <v>23</v>
      </c>
    </row>
    <row r="2881" spans="1:6" x14ac:dyDescent="0.3">
      <c r="A2881" s="31">
        <v>2100007146</v>
      </c>
      <c r="B2881" s="31" t="s">
        <v>3780</v>
      </c>
      <c r="C2881" s="31" t="s">
        <v>2030</v>
      </c>
      <c r="D2881" s="31" t="s">
        <v>2031</v>
      </c>
      <c r="E2881" s="32">
        <v>550.79999999999995</v>
      </c>
      <c r="F2881" s="32">
        <v>1</v>
      </c>
    </row>
    <row r="2882" spans="1:6" x14ac:dyDescent="0.3">
      <c r="A2882" s="31">
        <v>1000021088</v>
      </c>
      <c r="B2882" s="31" t="s">
        <v>1250</v>
      </c>
      <c r="C2882" s="31" t="s">
        <v>4</v>
      </c>
      <c r="D2882" s="31" t="s">
        <v>2090</v>
      </c>
      <c r="E2882" s="32">
        <v>549.45000000000005</v>
      </c>
      <c r="F2882" s="32">
        <v>5</v>
      </c>
    </row>
    <row r="2883" spans="1:6" x14ac:dyDescent="0.3">
      <c r="A2883" s="31">
        <v>2500008415</v>
      </c>
      <c r="B2883" s="31" t="s">
        <v>3781</v>
      </c>
      <c r="C2883" s="31" t="s">
        <v>1996</v>
      </c>
      <c r="D2883" s="31" t="s">
        <v>2025</v>
      </c>
      <c r="E2883" s="32">
        <v>549.35333333333301</v>
      </c>
      <c r="F2883" s="32">
        <v>2</v>
      </c>
    </row>
    <row r="2884" spans="1:6" x14ac:dyDescent="0.3">
      <c r="A2884" s="31">
        <v>1000021236</v>
      </c>
      <c r="B2884" s="31" t="s">
        <v>1381</v>
      </c>
      <c r="C2884" s="31" t="s">
        <v>4</v>
      </c>
      <c r="D2884" s="31" t="s">
        <v>2090</v>
      </c>
      <c r="E2884" s="32">
        <v>548.4</v>
      </c>
      <c r="F2884" s="32">
        <v>4</v>
      </c>
    </row>
    <row r="2885" spans="1:6" x14ac:dyDescent="0.3">
      <c r="A2885" s="31">
        <v>1000021076</v>
      </c>
      <c r="B2885" s="31" t="s">
        <v>1238</v>
      </c>
      <c r="C2885" s="31" t="s">
        <v>4</v>
      </c>
      <c r="D2885" s="31" t="s">
        <v>2090</v>
      </c>
      <c r="E2885" s="32">
        <v>548.38</v>
      </c>
      <c r="F2885" s="32">
        <v>1</v>
      </c>
    </row>
    <row r="2886" spans="1:6" x14ac:dyDescent="0.3">
      <c r="A2886" s="31">
        <v>1000103009</v>
      </c>
      <c r="B2886" s="31" t="s">
        <v>3782</v>
      </c>
      <c r="C2886" s="31" t="s">
        <v>4</v>
      </c>
      <c r="D2886" s="31" t="s">
        <v>2090</v>
      </c>
      <c r="E2886" s="32">
        <v>548.10481684981596</v>
      </c>
      <c r="F2886" s="32">
        <v>33</v>
      </c>
    </row>
    <row r="2887" spans="1:6" x14ac:dyDescent="0.3">
      <c r="A2887" s="31">
        <v>1000021221</v>
      </c>
      <c r="B2887" s="31" t="s">
        <v>1367</v>
      </c>
      <c r="C2887" s="31" t="s">
        <v>4</v>
      </c>
      <c r="D2887" s="31" t="s">
        <v>2090</v>
      </c>
      <c r="E2887" s="32">
        <v>547.75</v>
      </c>
      <c r="F2887" s="32">
        <v>7</v>
      </c>
    </row>
    <row r="2888" spans="1:6" x14ac:dyDescent="0.3">
      <c r="A2888" s="31">
        <v>2000020789</v>
      </c>
      <c r="B2888" s="31" t="s">
        <v>3783</v>
      </c>
      <c r="C2888" s="31" t="s">
        <v>2017</v>
      </c>
      <c r="D2888" s="31" t="s">
        <v>2072</v>
      </c>
      <c r="E2888" s="32">
        <v>547.5</v>
      </c>
      <c r="F2888" s="32">
        <v>1</v>
      </c>
    </row>
    <row r="2889" spans="1:6" x14ac:dyDescent="0.3">
      <c r="A2889" s="31">
        <v>1000020342</v>
      </c>
      <c r="B2889" s="31" t="s">
        <v>574</v>
      </c>
      <c r="C2889" s="31" t="s">
        <v>4</v>
      </c>
      <c r="D2889" s="31" t="s">
        <v>2090</v>
      </c>
      <c r="E2889" s="32">
        <v>546</v>
      </c>
      <c r="F2889" s="32">
        <v>100</v>
      </c>
    </row>
    <row r="2890" spans="1:6" x14ac:dyDescent="0.3">
      <c r="A2890" s="31">
        <v>1000098640</v>
      </c>
      <c r="B2890" s="31" t="s">
        <v>1618</v>
      </c>
      <c r="C2890" s="31" t="s">
        <v>4</v>
      </c>
      <c r="D2890" s="31" t="s">
        <v>2090</v>
      </c>
      <c r="E2890" s="32">
        <v>545.32000000000005</v>
      </c>
      <c r="F2890" s="32">
        <v>10</v>
      </c>
    </row>
    <row r="2891" spans="1:6" x14ac:dyDescent="0.3">
      <c r="A2891" s="31">
        <v>1000021147</v>
      </c>
      <c r="B2891" s="31" t="s">
        <v>1298</v>
      </c>
      <c r="C2891" s="31" t="s">
        <v>4</v>
      </c>
      <c r="D2891" s="31" t="s">
        <v>2090</v>
      </c>
      <c r="E2891" s="32">
        <v>544.48</v>
      </c>
      <c r="F2891" s="32">
        <v>4</v>
      </c>
    </row>
    <row r="2892" spans="1:6" x14ac:dyDescent="0.3">
      <c r="A2892" s="31">
        <v>1000020558</v>
      </c>
      <c r="B2892" s="31" t="s">
        <v>776</v>
      </c>
      <c r="C2892" s="31" t="s">
        <v>4</v>
      </c>
      <c r="D2892" s="31" t="s">
        <v>2090</v>
      </c>
      <c r="E2892" s="32">
        <v>544.35</v>
      </c>
      <c r="F2892" s="32">
        <v>19</v>
      </c>
    </row>
    <row r="2893" spans="1:6" x14ac:dyDescent="0.3">
      <c r="A2893" s="31">
        <v>1000099658</v>
      </c>
      <c r="B2893" s="31" t="s">
        <v>3784</v>
      </c>
      <c r="C2893" s="31" t="s">
        <v>4</v>
      </c>
      <c r="D2893" s="31" t="s">
        <v>2056</v>
      </c>
      <c r="E2893" s="32">
        <v>543.84</v>
      </c>
      <c r="F2893" s="32">
        <v>120</v>
      </c>
    </row>
    <row r="2894" spans="1:6" x14ac:dyDescent="0.3">
      <c r="A2894" s="31">
        <v>1000021057</v>
      </c>
      <c r="B2894" s="31" t="s">
        <v>1222</v>
      </c>
      <c r="C2894" s="31" t="s">
        <v>4</v>
      </c>
      <c r="D2894" s="31" t="s">
        <v>2090</v>
      </c>
      <c r="E2894" s="32">
        <v>543.79999999999995</v>
      </c>
      <c r="F2894" s="32">
        <v>1</v>
      </c>
    </row>
    <row r="2895" spans="1:6" x14ac:dyDescent="0.3">
      <c r="A2895" s="31">
        <v>1000020338</v>
      </c>
      <c r="B2895" s="31" t="s">
        <v>570</v>
      </c>
      <c r="C2895" s="31" t="s">
        <v>4</v>
      </c>
      <c r="D2895" s="31" t="s">
        <v>2090</v>
      </c>
      <c r="E2895" s="32">
        <v>543.75</v>
      </c>
      <c r="F2895" s="32">
        <v>100</v>
      </c>
    </row>
    <row r="2896" spans="1:6" x14ac:dyDescent="0.3">
      <c r="A2896" s="31">
        <v>2200000390</v>
      </c>
      <c r="B2896" s="31" t="s">
        <v>3785</v>
      </c>
      <c r="C2896" s="31" t="s">
        <v>2037</v>
      </c>
      <c r="D2896" s="31" t="s">
        <v>2038</v>
      </c>
      <c r="E2896" s="32">
        <v>543.46</v>
      </c>
      <c r="F2896" s="32">
        <v>2</v>
      </c>
    </row>
    <row r="2897" spans="1:6" x14ac:dyDescent="0.3">
      <c r="A2897" s="31">
        <v>1000105251</v>
      </c>
      <c r="B2897" s="31" t="s">
        <v>3786</v>
      </c>
      <c r="C2897" s="31" t="s">
        <v>2257</v>
      </c>
      <c r="D2897" s="31" t="s">
        <v>3787</v>
      </c>
      <c r="E2897" s="32">
        <v>543.20000000000005</v>
      </c>
      <c r="F2897" s="32">
        <v>2</v>
      </c>
    </row>
    <row r="2898" spans="1:6" x14ac:dyDescent="0.3">
      <c r="A2898" s="31">
        <v>1000020190</v>
      </c>
      <c r="B2898" s="31" t="s">
        <v>431</v>
      </c>
      <c r="C2898" s="31" t="s">
        <v>4</v>
      </c>
      <c r="D2898" s="31" t="s">
        <v>2090</v>
      </c>
      <c r="E2898" s="32">
        <v>542.55666666666605</v>
      </c>
      <c r="F2898" s="32">
        <v>1</v>
      </c>
    </row>
    <row r="2899" spans="1:6" x14ac:dyDescent="0.3">
      <c r="A2899" s="31">
        <v>2500009192</v>
      </c>
      <c r="B2899" s="31" t="s">
        <v>3788</v>
      </c>
      <c r="C2899" s="31" t="s">
        <v>1996</v>
      </c>
      <c r="D2899" s="31" t="s">
        <v>2025</v>
      </c>
      <c r="E2899" s="32">
        <v>541.875</v>
      </c>
      <c r="F2899" s="32">
        <v>2</v>
      </c>
    </row>
    <row r="2900" spans="1:6" x14ac:dyDescent="0.3">
      <c r="A2900" s="31">
        <v>1000101282</v>
      </c>
      <c r="B2900" s="31" t="s">
        <v>1851</v>
      </c>
      <c r="C2900" s="31" t="s">
        <v>4</v>
      </c>
      <c r="D2900" s="31" t="s">
        <v>2056</v>
      </c>
      <c r="E2900" s="32">
        <v>541.08000000000004</v>
      </c>
      <c r="F2900" s="32">
        <v>4</v>
      </c>
    </row>
    <row r="2901" spans="1:6" x14ac:dyDescent="0.3">
      <c r="A2901" s="31">
        <v>1000098687</v>
      </c>
      <c r="B2901" s="31" t="s">
        <v>1640</v>
      </c>
      <c r="C2901" s="31" t="s">
        <v>4</v>
      </c>
      <c r="D2901" s="31" t="s">
        <v>2090</v>
      </c>
      <c r="E2901" s="32">
        <v>540.45000000000005</v>
      </c>
      <c r="F2901" s="32">
        <v>2</v>
      </c>
    </row>
    <row r="2902" spans="1:6" x14ac:dyDescent="0.3">
      <c r="A2902" s="31">
        <v>1000093393</v>
      </c>
      <c r="B2902" s="31" t="s">
        <v>3789</v>
      </c>
      <c r="C2902" s="31" t="s">
        <v>4</v>
      </c>
      <c r="D2902" s="31" t="s">
        <v>2090</v>
      </c>
      <c r="E2902" s="32">
        <v>540.22400000000005</v>
      </c>
      <c r="F2902" s="32">
        <v>4</v>
      </c>
    </row>
    <row r="2903" spans="1:6" x14ac:dyDescent="0.3">
      <c r="A2903" s="31">
        <v>1000020937</v>
      </c>
      <c r="B2903" s="31" t="s">
        <v>1116</v>
      </c>
      <c r="C2903" s="31" t="s">
        <v>4</v>
      </c>
      <c r="D2903" s="31" t="s">
        <v>2090</v>
      </c>
      <c r="E2903" s="32">
        <v>540.13333333333298</v>
      </c>
      <c r="F2903" s="32">
        <v>2</v>
      </c>
    </row>
    <row r="2904" spans="1:6" x14ac:dyDescent="0.3">
      <c r="A2904" s="31">
        <v>2500009421</v>
      </c>
      <c r="B2904" s="31" t="s">
        <v>3790</v>
      </c>
      <c r="C2904" s="31" t="s">
        <v>1996</v>
      </c>
      <c r="D2904" s="31" t="s">
        <v>2289</v>
      </c>
      <c r="E2904" s="32">
        <v>540</v>
      </c>
      <c r="F2904" s="32">
        <v>1</v>
      </c>
    </row>
    <row r="2905" spans="1:6" x14ac:dyDescent="0.3">
      <c r="A2905" s="31">
        <v>2500009293</v>
      </c>
      <c r="B2905" s="31" t="s">
        <v>3791</v>
      </c>
      <c r="C2905" s="31" t="s">
        <v>1996</v>
      </c>
      <c r="D2905" s="31" t="s">
        <v>2117</v>
      </c>
      <c r="E2905" s="32">
        <v>540</v>
      </c>
      <c r="F2905" s="32">
        <v>1</v>
      </c>
    </row>
    <row r="2906" spans="1:6" x14ac:dyDescent="0.3">
      <c r="A2906" s="31">
        <v>2500009050</v>
      </c>
      <c r="B2906" s="31" t="s">
        <v>1964</v>
      </c>
      <c r="C2906" s="31" t="s">
        <v>1996</v>
      </c>
      <c r="D2906" s="31" t="s">
        <v>2289</v>
      </c>
      <c r="E2906" s="32">
        <v>540</v>
      </c>
      <c r="F2906" s="32">
        <v>2</v>
      </c>
    </row>
    <row r="2907" spans="1:6" x14ac:dyDescent="0.3">
      <c r="A2907" s="31">
        <v>2500008651</v>
      </c>
      <c r="B2907" s="31" t="s">
        <v>3792</v>
      </c>
      <c r="C2907" s="31" t="s">
        <v>1996</v>
      </c>
      <c r="D2907" s="31" t="s">
        <v>2025</v>
      </c>
      <c r="E2907" s="32">
        <v>539.16</v>
      </c>
      <c r="F2907" s="32">
        <v>3</v>
      </c>
    </row>
    <row r="2908" spans="1:6" x14ac:dyDescent="0.3">
      <c r="A2908" s="31">
        <v>1000097683</v>
      </c>
      <c r="B2908" s="31" t="s">
        <v>3793</v>
      </c>
      <c r="C2908" s="31" t="s">
        <v>4</v>
      </c>
      <c r="D2908" s="31" t="s">
        <v>2056</v>
      </c>
      <c r="E2908" s="32">
        <v>536.93682965881601</v>
      </c>
      <c r="F2908" s="32">
        <v>147</v>
      </c>
    </row>
    <row r="2909" spans="1:6" x14ac:dyDescent="0.3">
      <c r="A2909" s="31">
        <v>1000097919</v>
      </c>
      <c r="B2909" s="31" t="s">
        <v>3794</v>
      </c>
      <c r="C2909" s="31" t="s">
        <v>4</v>
      </c>
      <c r="D2909" s="31" t="s">
        <v>2090</v>
      </c>
      <c r="E2909" s="32">
        <v>536.17999999999995</v>
      </c>
      <c r="F2909" s="32">
        <v>2</v>
      </c>
    </row>
    <row r="2910" spans="1:6" x14ac:dyDescent="0.3">
      <c r="A2910" s="31">
        <v>1000020721</v>
      </c>
      <c r="B2910" s="31" t="s">
        <v>929</v>
      </c>
      <c r="C2910" s="31" t="s">
        <v>4</v>
      </c>
      <c r="D2910" s="31" t="s">
        <v>2090</v>
      </c>
      <c r="E2910" s="32">
        <v>536.1</v>
      </c>
      <c r="F2910" s="32">
        <v>2</v>
      </c>
    </row>
    <row r="2911" spans="1:6" x14ac:dyDescent="0.3">
      <c r="A2911" s="31">
        <v>1000094031</v>
      </c>
      <c r="B2911" s="31" t="s">
        <v>3795</v>
      </c>
      <c r="C2911" s="31" t="s">
        <v>4</v>
      </c>
      <c r="D2911" s="31" t="s">
        <v>2090</v>
      </c>
      <c r="E2911" s="32">
        <v>535.84</v>
      </c>
      <c r="F2911" s="32">
        <v>1</v>
      </c>
    </row>
    <row r="2912" spans="1:6" x14ac:dyDescent="0.3">
      <c r="A2912" s="31">
        <v>1000020337</v>
      </c>
      <c r="B2912" s="31" t="s">
        <v>569</v>
      </c>
      <c r="C2912" s="31" t="s">
        <v>4</v>
      </c>
      <c r="D2912" s="31" t="s">
        <v>2090</v>
      </c>
      <c r="E2912" s="32">
        <v>535</v>
      </c>
      <c r="F2912" s="32">
        <v>100</v>
      </c>
    </row>
    <row r="2913" spans="1:6" x14ac:dyDescent="0.3">
      <c r="A2913" s="31">
        <v>1000106055</v>
      </c>
      <c r="B2913" s="31" t="s">
        <v>3796</v>
      </c>
      <c r="C2913" s="31" t="s">
        <v>4</v>
      </c>
      <c r="D2913" s="31" t="s">
        <v>2161</v>
      </c>
      <c r="E2913" s="32">
        <v>534.6</v>
      </c>
      <c r="F2913" s="32">
        <v>2</v>
      </c>
    </row>
    <row r="2914" spans="1:6" x14ac:dyDescent="0.3">
      <c r="A2914" s="31">
        <v>2700000104</v>
      </c>
      <c r="B2914" s="31" t="s">
        <v>256</v>
      </c>
      <c r="C2914" s="31" t="s">
        <v>2037</v>
      </c>
      <c r="D2914" s="31" t="s">
        <v>2038</v>
      </c>
      <c r="E2914" s="32">
        <v>534.08000000000004</v>
      </c>
      <c r="F2914" s="32">
        <v>1</v>
      </c>
    </row>
    <row r="2915" spans="1:6" x14ac:dyDescent="0.3">
      <c r="A2915" s="31">
        <v>1000021274</v>
      </c>
      <c r="B2915" s="31" t="s">
        <v>1413</v>
      </c>
      <c r="C2915" s="31" t="s">
        <v>4</v>
      </c>
      <c r="D2915" s="31" t="s">
        <v>2090</v>
      </c>
      <c r="E2915" s="32">
        <v>532.44000000000005</v>
      </c>
      <c r="F2915" s="32">
        <v>2</v>
      </c>
    </row>
    <row r="2916" spans="1:6" x14ac:dyDescent="0.3">
      <c r="A2916" s="31">
        <v>1000099648</v>
      </c>
      <c r="B2916" s="31" t="s">
        <v>3797</v>
      </c>
      <c r="C2916" s="31" t="s">
        <v>4</v>
      </c>
      <c r="D2916" s="31" t="s">
        <v>2056</v>
      </c>
      <c r="E2916" s="32">
        <v>532.03</v>
      </c>
      <c r="F2916" s="32">
        <v>19</v>
      </c>
    </row>
    <row r="2917" spans="1:6" x14ac:dyDescent="0.3">
      <c r="A2917" s="31">
        <v>2500009229</v>
      </c>
      <c r="B2917" s="31" t="s">
        <v>3798</v>
      </c>
      <c r="C2917" s="31" t="s">
        <v>1996</v>
      </c>
      <c r="D2917" s="31" t="s">
        <v>2434</v>
      </c>
      <c r="E2917" s="32">
        <v>530.4</v>
      </c>
      <c r="F2917" s="32">
        <v>6</v>
      </c>
    </row>
    <row r="2918" spans="1:6" x14ac:dyDescent="0.3">
      <c r="A2918" s="31">
        <v>2500009232</v>
      </c>
      <c r="B2918" s="31" t="s">
        <v>3799</v>
      </c>
      <c r="C2918" s="31" t="s">
        <v>1996</v>
      </c>
      <c r="D2918" s="31" t="s">
        <v>2434</v>
      </c>
      <c r="E2918" s="32">
        <v>530.4</v>
      </c>
      <c r="F2918" s="32">
        <v>6</v>
      </c>
    </row>
    <row r="2919" spans="1:6" x14ac:dyDescent="0.3">
      <c r="A2919" s="31">
        <v>1000096642</v>
      </c>
      <c r="B2919" s="31" t="s">
        <v>3800</v>
      </c>
      <c r="C2919" s="31" t="s">
        <v>4</v>
      </c>
      <c r="D2919" s="31" t="s">
        <v>2090</v>
      </c>
      <c r="E2919" s="32">
        <v>530.34</v>
      </c>
      <c r="F2919" s="32">
        <v>6</v>
      </c>
    </row>
    <row r="2920" spans="1:6" x14ac:dyDescent="0.3">
      <c r="A2920" s="31">
        <v>1000103974</v>
      </c>
      <c r="B2920" s="31" t="s">
        <v>3801</v>
      </c>
      <c r="C2920" s="31" t="s">
        <v>4</v>
      </c>
      <c r="D2920" s="31" t="s">
        <v>2056</v>
      </c>
      <c r="E2920" s="32">
        <v>530.19000000000005</v>
      </c>
      <c r="F2920" s="32">
        <v>1</v>
      </c>
    </row>
    <row r="2921" spans="1:6" x14ac:dyDescent="0.3">
      <c r="A2921" s="31">
        <v>1000020601</v>
      </c>
      <c r="B2921" s="31" t="s">
        <v>817</v>
      </c>
      <c r="C2921" s="31" t="s">
        <v>4</v>
      </c>
      <c r="D2921" s="31" t="s">
        <v>2090</v>
      </c>
      <c r="E2921" s="32">
        <v>529.75</v>
      </c>
      <c r="F2921" s="32">
        <v>25</v>
      </c>
    </row>
    <row r="2922" spans="1:6" x14ac:dyDescent="0.3">
      <c r="A2922" s="31">
        <v>2500009320</v>
      </c>
      <c r="B2922" s="31" t="s">
        <v>3802</v>
      </c>
      <c r="C2922" s="31" t="s">
        <v>1996</v>
      </c>
      <c r="D2922" s="31" t="s">
        <v>2289</v>
      </c>
      <c r="E2922" s="32">
        <v>528.75</v>
      </c>
      <c r="F2922" s="32">
        <v>1</v>
      </c>
    </row>
    <row r="2923" spans="1:6" x14ac:dyDescent="0.3">
      <c r="A2923" s="31">
        <v>2500006908</v>
      </c>
      <c r="B2923" s="31" t="s">
        <v>3803</v>
      </c>
      <c r="C2923" s="31" t="s">
        <v>1996</v>
      </c>
      <c r="D2923" s="31" t="s">
        <v>2025</v>
      </c>
      <c r="E2923" s="32">
        <v>528.66</v>
      </c>
      <c r="F2923" s="32">
        <v>2</v>
      </c>
    </row>
    <row r="2924" spans="1:6" x14ac:dyDescent="0.3">
      <c r="A2924" s="31">
        <v>1000100381</v>
      </c>
      <c r="B2924" s="31" t="s">
        <v>1711</v>
      </c>
      <c r="C2924" s="31" t="s">
        <v>4</v>
      </c>
      <c r="D2924" s="31" t="s">
        <v>2090</v>
      </c>
      <c r="E2924" s="32">
        <v>528.37</v>
      </c>
      <c r="F2924" s="32">
        <v>10</v>
      </c>
    </row>
    <row r="2925" spans="1:6" x14ac:dyDescent="0.3">
      <c r="A2925" s="31">
        <v>1000100898</v>
      </c>
      <c r="B2925" s="31" t="s">
        <v>3804</v>
      </c>
      <c r="C2925" s="31" t="s">
        <v>2257</v>
      </c>
      <c r="D2925" s="31" t="s">
        <v>2399</v>
      </c>
      <c r="E2925" s="32">
        <v>527.79999999999995</v>
      </c>
      <c r="F2925" s="32">
        <v>4</v>
      </c>
    </row>
    <row r="2926" spans="1:6" x14ac:dyDescent="0.3">
      <c r="A2926" s="31">
        <v>1000104817</v>
      </c>
      <c r="B2926" s="31" t="s">
        <v>3805</v>
      </c>
      <c r="C2926" s="31" t="s">
        <v>4</v>
      </c>
      <c r="D2926" s="31" t="s">
        <v>2056</v>
      </c>
      <c r="E2926" s="32">
        <v>526.03</v>
      </c>
      <c r="F2926" s="32">
        <v>10</v>
      </c>
    </row>
    <row r="2927" spans="1:6" x14ac:dyDescent="0.3">
      <c r="A2927" s="31">
        <v>2200001070</v>
      </c>
      <c r="B2927" s="31" t="s">
        <v>3806</v>
      </c>
      <c r="C2927" s="31" t="s">
        <v>2037</v>
      </c>
      <c r="D2927" s="31" t="s">
        <v>2038</v>
      </c>
      <c r="E2927" s="32">
        <v>525.98</v>
      </c>
      <c r="F2927" s="32">
        <v>1</v>
      </c>
    </row>
    <row r="2928" spans="1:6" x14ac:dyDescent="0.3">
      <c r="A2928" s="31">
        <v>2200002960</v>
      </c>
      <c r="B2928" s="31" t="s">
        <v>3807</v>
      </c>
      <c r="C2928" s="31" t="s">
        <v>2037</v>
      </c>
      <c r="D2928" s="31" t="s">
        <v>2038</v>
      </c>
      <c r="E2928" s="32">
        <v>525.98</v>
      </c>
      <c r="F2928" s="32">
        <v>1</v>
      </c>
    </row>
    <row r="2929" spans="1:6" x14ac:dyDescent="0.3">
      <c r="A2929" s="31">
        <v>2500006867</v>
      </c>
      <c r="B2929" s="31" t="s">
        <v>2633</v>
      </c>
      <c r="C2929" s="31" t="s">
        <v>2165</v>
      </c>
      <c r="D2929" s="31" t="s">
        <v>2440</v>
      </c>
      <c r="E2929" s="32">
        <v>525.40604522792</v>
      </c>
      <c r="F2929" s="32">
        <v>1</v>
      </c>
    </row>
    <row r="2930" spans="1:6" x14ac:dyDescent="0.3">
      <c r="A2930" s="31">
        <v>2500009485</v>
      </c>
      <c r="B2930" s="31" t="s">
        <v>3808</v>
      </c>
      <c r="C2930" s="31" t="s">
        <v>1996</v>
      </c>
      <c r="D2930" s="31" t="s">
        <v>2289</v>
      </c>
      <c r="E2930" s="32">
        <v>525</v>
      </c>
      <c r="F2930" s="32">
        <v>10</v>
      </c>
    </row>
    <row r="2931" spans="1:6" x14ac:dyDescent="0.3">
      <c r="A2931" s="31">
        <v>1000020919</v>
      </c>
      <c r="B2931" s="31" t="s">
        <v>1099</v>
      </c>
      <c r="C2931" s="31" t="s">
        <v>4</v>
      </c>
      <c r="D2931" s="31" t="s">
        <v>2090</v>
      </c>
      <c r="E2931" s="32">
        <v>524.94000000000005</v>
      </c>
      <c r="F2931" s="32">
        <v>3</v>
      </c>
    </row>
    <row r="2932" spans="1:6" x14ac:dyDescent="0.3">
      <c r="A2932" s="31">
        <v>1000020592</v>
      </c>
      <c r="B2932" s="31" t="s">
        <v>808</v>
      </c>
      <c r="C2932" s="31" t="s">
        <v>4</v>
      </c>
      <c r="D2932" s="31" t="s">
        <v>2090</v>
      </c>
      <c r="E2932" s="32">
        <v>524</v>
      </c>
      <c r="F2932" s="32">
        <v>100</v>
      </c>
    </row>
    <row r="2933" spans="1:6" x14ac:dyDescent="0.3">
      <c r="A2933" s="31">
        <v>1000021030</v>
      </c>
      <c r="B2933" s="31" t="s">
        <v>1201</v>
      </c>
      <c r="C2933" s="31" t="s">
        <v>4</v>
      </c>
      <c r="D2933" s="31" t="s">
        <v>2090</v>
      </c>
      <c r="E2933" s="32">
        <v>523.54</v>
      </c>
      <c r="F2933" s="32">
        <v>1</v>
      </c>
    </row>
    <row r="2934" spans="1:6" x14ac:dyDescent="0.3">
      <c r="A2934" s="31">
        <v>1000094939</v>
      </c>
      <c r="B2934" s="31" t="s">
        <v>3809</v>
      </c>
      <c r="C2934" s="31" t="s">
        <v>4</v>
      </c>
      <c r="D2934" s="31" t="s">
        <v>2090</v>
      </c>
      <c r="E2934" s="32">
        <v>522.77</v>
      </c>
      <c r="F2934" s="32">
        <v>2</v>
      </c>
    </row>
    <row r="2935" spans="1:6" x14ac:dyDescent="0.3">
      <c r="A2935" s="31">
        <v>80000009794</v>
      </c>
      <c r="B2935" s="31" t="s">
        <v>3810</v>
      </c>
      <c r="C2935" s="31" t="s">
        <v>2521</v>
      </c>
      <c r="D2935" s="31" t="s">
        <v>2670</v>
      </c>
      <c r="E2935" s="32">
        <v>522</v>
      </c>
      <c r="F2935" s="32">
        <v>180</v>
      </c>
    </row>
    <row r="2936" spans="1:6" x14ac:dyDescent="0.3">
      <c r="A2936" s="31">
        <v>1000021177</v>
      </c>
      <c r="B2936" s="31" t="s">
        <v>1324</v>
      </c>
      <c r="C2936" s="31" t="s">
        <v>4</v>
      </c>
      <c r="D2936" s="31" t="s">
        <v>2090</v>
      </c>
      <c r="E2936" s="32">
        <v>521.52</v>
      </c>
      <c r="F2936" s="32">
        <v>8</v>
      </c>
    </row>
    <row r="2937" spans="1:6" x14ac:dyDescent="0.3">
      <c r="A2937" s="31">
        <v>1000094519</v>
      </c>
      <c r="B2937" s="31" t="s">
        <v>3811</v>
      </c>
      <c r="C2937" s="31" t="s">
        <v>2257</v>
      </c>
      <c r="D2937" s="31" t="s">
        <v>2409</v>
      </c>
      <c r="E2937" s="32">
        <v>521.21947544795</v>
      </c>
      <c r="F2937" s="32">
        <v>1</v>
      </c>
    </row>
    <row r="2938" spans="1:6" x14ac:dyDescent="0.3">
      <c r="A2938" s="31">
        <v>1000111108</v>
      </c>
      <c r="B2938" s="31" t="s">
        <v>2904</v>
      </c>
      <c r="C2938" s="31" t="s">
        <v>2109</v>
      </c>
      <c r="D2938" s="31" t="s">
        <v>2905</v>
      </c>
      <c r="E2938" s="32">
        <v>520</v>
      </c>
      <c r="F2938" s="32">
        <v>2</v>
      </c>
    </row>
    <row r="2939" spans="1:6" x14ac:dyDescent="0.3">
      <c r="A2939" s="31">
        <v>800000052</v>
      </c>
      <c r="B2939" s="31" t="s">
        <v>3812</v>
      </c>
      <c r="C2939" s="31" t="s">
        <v>2521</v>
      </c>
      <c r="D2939" s="31" t="s">
        <v>3289</v>
      </c>
      <c r="E2939" s="32">
        <v>520</v>
      </c>
      <c r="F2939" s="32">
        <v>2</v>
      </c>
    </row>
    <row r="2940" spans="1:6" x14ac:dyDescent="0.3">
      <c r="A2940" s="31">
        <v>80000009819</v>
      </c>
      <c r="B2940" s="31" t="s">
        <v>3813</v>
      </c>
      <c r="C2940" s="31" t="s">
        <v>2755</v>
      </c>
      <c r="D2940" s="31" t="s">
        <v>2670</v>
      </c>
      <c r="E2940" s="32">
        <v>520</v>
      </c>
      <c r="F2940" s="32">
        <v>5</v>
      </c>
    </row>
    <row r="2941" spans="1:6" x14ac:dyDescent="0.3">
      <c r="A2941" s="31">
        <v>2100000721</v>
      </c>
      <c r="B2941" s="31" t="s">
        <v>3814</v>
      </c>
      <c r="C2941" s="31" t="s">
        <v>2030</v>
      </c>
      <c r="D2941" s="31" t="s">
        <v>2472</v>
      </c>
      <c r="E2941" s="32">
        <v>519</v>
      </c>
      <c r="F2941" s="32">
        <v>3</v>
      </c>
    </row>
    <row r="2942" spans="1:6" x14ac:dyDescent="0.3">
      <c r="A2942" s="31">
        <v>1000099205</v>
      </c>
      <c r="B2942" s="31" t="s">
        <v>3815</v>
      </c>
      <c r="C2942" s="31" t="s">
        <v>4</v>
      </c>
      <c r="D2942" s="31" t="s">
        <v>2090</v>
      </c>
      <c r="E2942" s="32">
        <v>518.95000000000005</v>
      </c>
      <c r="F2942" s="32">
        <v>1</v>
      </c>
    </row>
    <row r="2943" spans="1:6" x14ac:dyDescent="0.3">
      <c r="A2943" s="31">
        <v>1000021062</v>
      </c>
      <c r="B2943" s="31" t="s">
        <v>1227</v>
      </c>
      <c r="C2943" s="31" t="s">
        <v>4</v>
      </c>
      <c r="D2943" s="31" t="s">
        <v>2090</v>
      </c>
      <c r="E2943" s="32">
        <v>518.85</v>
      </c>
      <c r="F2943" s="32">
        <v>5</v>
      </c>
    </row>
    <row r="2944" spans="1:6" x14ac:dyDescent="0.3">
      <c r="A2944" s="31">
        <v>2500008579</v>
      </c>
      <c r="B2944" s="31" t="s">
        <v>3816</v>
      </c>
      <c r="C2944" s="31" t="s">
        <v>1996</v>
      </c>
      <c r="D2944" s="31" t="s">
        <v>2025</v>
      </c>
      <c r="E2944" s="32">
        <v>517.5</v>
      </c>
      <c r="F2944" s="32">
        <v>4</v>
      </c>
    </row>
    <row r="2945" spans="1:6" x14ac:dyDescent="0.3">
      <c r="A2945" s="31">
        <v>1000098905</v>
      </c>
      <c r="B2945" s="31" t="s">
        <v>3817</v>
      </c>
      <c r="C2945" s="31" t="s">
        <v>4</v>
      </c>
      <c r="D2945" s="31" t="s">
        <v>2161</v>
      </c>
      <c r="E2945" s="32">
        <v>517.14</v>
      </c>
      <c r="F2945" s="32">
        <v>5</v>
      </c>
    </row>
    <row r="2946" spans="1:6" x14ac:dyDescent="0.3">
      <c r="A2946" s="31">
        <v>2500008171</v>
      </c>
      <c r="B2946" s="31" t="s">
        <v>3818</v>
      </c>
      <c r="C2946" s="31" t="s">
        <v>1996</v>
      </c>
      <c r="D2946" s="31" t="s">
        <v>2025</v>
      </c>
      <c r="E2946" s="32">
        <v>516.375</v>
      </c>
      <c r="F2946" s="32">
        <v>3</v>
      </c>
    </row>
    <row r="2947" spans="1:6" x14ac:dyDescent="0.3">
      <c r="A2947" s="31">
        <v>1000020171</v>
      </c>
      <c r="B2947" s="31" t="s">
        <v>415</v>
      </c>
      <c r="C2947" s="31" t="s">
        <v>4</v>
      </c>
      <c r="D2947" s="31" t="s">
        <v>2090</v>
      </c>
      <c r="E2947" s="32">
        <v>514.6</v>
      </c>
      <c r="F2947" s="32">
        <v>10</v>
      </c>
    </row>
    <row r="2948" spans="1:6" x14ac:dyDescent="0.3">
      <c r="A2948" s="31">
        <v>1000020998</v>
      </c>
      <c r="B2948" s="31" t="s">
        <v>1171</v>
      </c>
      <c r="C2948" s="31" t="s">
        <v>4</v>
      </c>
      <c r="D2948" s="31" t="s">
        <v>2090</v>
      </c>
      <c r="E2948" s="32">
        <v>513.75</v>
      </c>
      <c r="F2948" s="32">
        <v>5</v>
      </c>
    </row>
    <row r="2949" spans="1:6" x14ac:dyDescent="0.3">
      <c r="A2949" s="31">
        <v>1000003007</v>
      </c>
      <c r="B2949" s="31" t="s">
        <v>27</v>
      </c>
      <c r="C2949" s="31" t="s">
        <v>2109</v>
      </c>
      <c r="D2949" s="31" t="s">
        <v>2070</v>
      </c>
      <c r="E2949" s="32">
        <v>512.66119894560097</v>
      </c>
      <c r="F2949" s="32">
        <v>3</v>
      </c>
    </row>
    <row r="2950" spans="1:6" x14ac:dyDescent="0.3">
      <c r="A2950" s="31">
        <v>2500008946</v>
      </c>
      <c r="B2950" s="31" t="s">
        <v>3819</v>
      </c>
      <c r="C2950" s="31" t="s">
        <v>1996</v>
      </c>
      <c r="D2950" s="31" t="s">
        <v>2875</v>
      </c>
      <c r="E2950" s="32">
        <v>512.5</v>
      </c>
      <c r="F2950" s="32">
        <v>20</v>
      </c>
    </row>
    <row r="2951" spans="1:6" x14ac:dyDescent="0.3">
      <c r="A2951" s="31">
        <v>1000099046</v>
      </c>
      <c r="B2951" s="31" t="s">
        <v>3820</v>
      </c>
      <c r="C2951" s="31" t="s">
        <v>4</v>
      </c>
      <c r="D2951" s="31" t="s">
        <v>2639</v>
      </c>
      <c r="E2951" s="32">
        <v>511.77614142720103</v>
      </c>
      <c r="F2951" s="32">
        <v>79</v>
      </c>
    </row>
    <row r="2952" spans="1:6" x14ac:dyDescent="0.3">
      <c r="A2952" s="31">
        <v>1000108574</v>
      </c>
      <c r="B2952" s="31" t="s">
        <v>108</v>
      </c>
      <c r="C2952" s="31" t="s">
        <v>4</v>
      </c>
      <c r="D2952" s="31" t="s">
        <v>2043</v>
      </c>
      <c r="E2952" s="32">
        <v>511.3</v>
      </c>
      <c r="F2952" s="32">
        <v>2</v>
      </c>
    </row>
    <row r="2953" spans="1:6" x14ac:dyDescent="0.3">
      <c r="A2953" s="31">
        <v>1000021085</v>
      </c>
      <c r="B2953" s="31" t="s">
        <v>1247</v>
      </c>
      <c r="C2953" s="31" t="s">
        <v>4</v>
      </c>
      <c r="D2953" s="31" t="s">
        <v>2090</v>
      </c>
      <c r="E2953" s="32">
        <v>510.76</v>
      </c>
      <c r="F2953" s="32">
        <v>2</v>
      </c>
    </row>
    <row r="2954" spans="1:6" x14ac:dyDescent="0.3">
      <c r="A2954" s="31">
        <v>1000103341</v>
      </c>
      <c r="B2954" s="31" t="s">
        <v>1865</v>
      </c>
      <c r="C2954" s="31" t="s">
        <v>4</v>
      </c>
      <c r="D2954" s="31" t="s">
        <v>2056</v>
      </c>
      <c r="E2954" s="32">
        <v>510.15869120000002</v>
      </c>
      <c r="F2954" s="32">
        <v>8</v>
      </c>
    </row>
    <row r="2955" spans="1:6" x14ac:dyDescent="0.3">
      <c r="A2955" s="31">
        <v>1000002758</v>
      </c>
      <c r="B2955" s="31" t="s">
        <v>11</v>
      </c>
      <c r="C2955" s="31" t="s">
        <v>2109</v>
      </c>
      <c r="D2955" s="31" t="s">
        <v>2070</v>
      </c>
      <c r="E2955" s="32">
        <v>510</v>
      </c>
      <c r="F2955" s="32">
        <v>1</v>
      </c>
    </row>
    <row r="2956" spans="1:6" x14ac:dyDescent="0.3">
      <c r="A2956" s="31">
        <v>1000106182</v>
      </c>
      <c r="B2956" s="31" t="s">
        <v>3821</v>
      </c>
      <c r="C2956" s="31" t="s">
        <v>4</v>
      </c>
      <c r="D2956" s="31" t="s">
        <v>2161</v>
      </c>
      <c r="E2956" s="32">
        <v>509.64</v>
      </c>
      <c r="F2956" s="32">
        <v>2</v>
      </c>
    </row>
    <row r="2957" spans="1:6" x14ac:dyDescent="0.3">
      <c r="A2957" s="31">
        <v>1000010222</v>
      </c>
      <c r="B2957" s="31" t="s">
        <v>3822</v>
      </c>
      <c r="C2957" s="31" t="s">
        <v>4</v>
      </c>
      <c r="D2957" s="31" t="s">
        <v>2161</v>
      </c>
      <c r="E2957" s="32">
        <v>508.2</v>
      </c>
      <c r="F2957" s="32">
        <v>2</v>
      </c>
    </row>
    <row r="2958" spans="1:6" x14ac:dyDescent="0.3">
      <c r="A2958" s="31">
        <v>2700000232</v>
      </c>
      <c r="B2958" s="31" t="s">
        <v>294</v>
      </c>
      <c r="C2958" s="31" t="s">
        <v>2037</v>
      </c>
      <c r="D2958" s="31" t="s">
        <v>2038</v>
      </c>
      <c r="E2958" s="32">
        <v>508.11</v>
      </c>
      <c r="F2958" s="32">
        <v>3</v>
      </c>
    </row>
    <row r="2959" spans="1:6" x14ac:dyDescent="0.3">
      <c r="A2959" s="31">
        <v>1000021119</v>
      </c>
      <c r="B2959" s="31" t="s">
        <v>1278</v>
      </c>
      <c r="C2959" s="31" t="s">
        <v>4</v>
      </c>
      <c r="D2959" s="31" t="s">
        <v>2090</v>
      </c>
      <c r="E2959" s="32">
        <v>507.69</v>
      </c>
      <c r="F2959" s="32">
        <v>1</v>
      </c>
    </row>
    <row r="2960" spans="1:6" x14ac:dyDescent="0.3">
      <c r="A2960" s="31">
        <v>1000102921</v>
      </c>
      <c r="B2960" s="31" t="s">
        <v>3823</v>
      </c>
      <c r="C2960" s="31" t="s">
        <v>4</v>
      </c>
      <c r="D2960" s="31" t="s">
        <v>2161</v>
      </c>
      <c r="E2960" s="32">
        <v>507.43740000000003</v>
      </c>
      <c r="F2960" s="32">
        <v>3</v>
      </c>
    </row>
    <row r="2961" spans="1:6" x14ac:dyDescent="0.3">
      <c r="A2961" s="31">
        <v>1000020275</v>
      </c>
      <c r="B2961" s="31" t="s">
        <v>512</v>
      </c>
      <c r="C2961" s="31" t="s">
        <v>4</v>
      </c>
      <c r="D2961" s="31" t="s">
        <v>2090</v>
      </c>
      <c r="E2961" s="32">
        <v>506.8</v>
      </c>
      <c r="F2961" s="32">
        <v>20</v>
      </c>
    </row>
    <row r="2962" spans="1:6" x14ac:dyDescent="0.3">
      <c r="A2962" s="31">
        <v>1000017004</v>
      </c>
      <c r="B2962" s="31" t="s">
        <v>3824</v>
      </c>
      <c r="C2962" s="31" t="s">
        <v>4</v>
      </c>
      <c r="D2962" s="31" t="s">
        <v>3274</v>
      </c>
      <c r="E2962" s="32">
        <v>506</v>
      </c>
      <c r="F2962" s="32">
        <v>46</v>
      </c>
    </row>
    <row r="2963" spans="1:6" x14ac:dyDescent="0.3">
      <c r="A2963" s="31">
        <v>1000020942</v>
      </c>
      <c r="B2963" s="31" t="s">
        <v>1121</v>
      </c>
      <c r="C2963" s="31" t="s">
        <v>4</v>
      </c>
      <c r="D2963" s="31" t="s">
        <v>2090</v>
      </c>
      <c r="E2963" s="32">
        <v>505.05</v>
      </c>
      <c r="F2963" s="32">
        <v>1</v>
      </c>
    </row>
    <row r="2964" spans="1:6" x14ac:dyDescent="0.3">
      <c r="A2964" s="31">
        <v>2500008859</v>
      </c>
      <c r="B2964" s="31" t="s">
        <v>3825</v>
      </c>
      <c r="C2964" s="31" t="s">
        <v>1996</v>
      </c>
      <c r="D2964" s="31" t="s">
        <v>2875</v>
      </c>
      <c r="E2964" s="32">
        <v>504.9</v>
      </c>
      <c r="F2964" s="32">
        <v>3</v>
      </c>
    </row>
    <row r="2965" spans="1:6" x14ac:dyDescent="0.3">
      <c r="A2965" s="31">
        <v>1000010254</v>
      </c>
      <c r="B2965" s="31" t="s">
        <v>3826</v>
      </c>
      <c r="C2965" s="31" t="s">
        <v>4</v>
      </c>
      <c r="D2965" s="31" t="s">
        <v>2161</v>
      </c>
      <c r="E2965" s="32">
        <v>504.59030000000001</v>
      </c>
      <c r="F2965" s="32">
        <v>2</v>
      </c>
    </row>
    <row r="2966" spans="1:6" x14ac:dyDescent="0.3">
      <c r="A2966" s="31">
        <v>1000097541</v>
      </c>
      <c r="B2966" s="31" t="s">
        <v>3827</v>
      </c>
      <c r="C2966" s="31" t="s">
        <v>2109</v>
      </c>
      <c r="D2966" s="31" t="s">
        <v>2070</v>
      </c>
      <c r="E2966" s="32">
        <v>504</v>
      </c>
      <c r="F2966" s="32">
        <v>2</v>
      </c>
    </row>
    <row r="2967" spans="1:6" x14ac:dyDescent="0.3">
      <c r="A2967" s="31">
        <v>80000005108</v>
      </c>
      <c r="B2967" s="31" t="s">
        <v>3828</v>
      </c>
      <c r="C2967" s="31" t="s">
        <v>2521</v>
      </c>
      <c r="D2967" s="31" t="s">
        <v>3624</v>
      </c>
      <c r="E2967" s="32">
        <v>504</v>
      </c>
      <c r="F2967" s="32">
        <v>28</v>
      </c>
    </row>
    <row r="2968" spans="1:6" x14ac:dyDescent="0.3">
      <c r="A2968" s="31">
        <v>2500003653</v>
      </c>
      <c r="B2968" s="31" t="s">
        <v>3829</v>
      </c>
      <c r="C2968" s="31" t="s">
        <v>1996</v>
      </c>
      <c r="D2968" s="31" t="s">
        <v>2025</v>
      </c>
      <c r="E2968" s="32">
        <v>503.97481273066597</v>
      </c>
      <c r="F2968" s="32">
        <v>5</v>
      </c>
    </row>
    <row r="2969" spans="1:6" x14ac:dyDescent="0.3">
      <c r="A2969" s="31">
        <v>1000100332</v>
      </c>
      <c r="B2969" s="31" t="s">
        <v>3830</v>
      </c>
      <c r="C2969" s="31" t="s">
        <v>4</v>
      </c>
      <c r="D2969" s="31" t="s">
        <v>2090</v>
      </c>
      <c r="E2969" s="32">
        <v>503.21499999999997</v>
      </c>
      <c r="F2969" s="32">
        <v>3</v>
      </c>
    </row>
    <row r="2970" spans="1:6" x14ac:dyDescent="0.3">
      <c r="A2970" s="31">
        <v>1000102702</v>
      </c>
      <c r="B2970" s="31" t="s">
        <v>3831</v>
      </c>
      <c r="C2970" s="31" t="s">
        <v>4</v>
      </c>
      <c r="D2970" s="31" t="s">
        <v>2090</v>
      </c>
      <c r="E2970" s="32">
        <v>502.95</v>
      </c>
      <c r="F2970" s="32">
        <v>28</v>
      </c>
    </row>
    <row r="2971" spans="1:6" x14ac:dyDescent="0.3">
      <c r="A2971" s="31">
        <v>1000098650</v>
      </c>
      <c r="B2971" s="31" t="s">
        <v>1627</v>
      </c>
      <c r="C2971" s="31" t="s">
        <v>4</v>
      </c>
      <c r="D2971" s="31" t="s">
        <v>2090</v>
      </c>
      <c r="E2971" s="32">
        <v>501.75</v>
      </c>
      <c r="F2971" s="32">
        <v>15</v>
      </c>
    </row>
    <row r="2972" spans="1:6" x14ac:dyDescent="0.3">
      <c r="A2972" s="31">
        <v>1000102899</v>
      </c>
      <c r="B2972" s="31" t="s">
        <v>3832</v>
      </c>
      <c r="C2972" s="31" t="s">
        <v>4</v>
      </c>
      <c r="D2972" s="31" t="s">
        <v>2090</v>
      </c>
      <c r="E2972" s="32">
        <v>501.56</v>
      </c>
      <c r="F2972" s="32">
        <v>5</v>
      </c>
    </row>
    <row r="2973" spans="1:6" x14ac:dyDescent="0.3">
      <c r="A2973" s="31">
        <v>1000020045</v>
      </c>
      <c r="B2973" s="31" t="s">
        <v>3833</v>
      </c>
      <c r="C2973" s="31" t="s">
        <v>4</v>
      </c>
      <c r="D2973" s="31" t="s">
        <v>2090</v>
      </c>
      <c r="E2973" s="32">
        <v>501.53</v>
      </c>
      <c r="F2973" s="32">
        <v>5</v>
      </c>
    </row>
    <row r="2974" spans="1:6" x14ac:dyDescent="0.3">
      <c r="A2974" s="31">
        <v>2500009235</v>
      </c>
      <c r="B2974" s="31" t="s">
        <v>1987</v>
      </c>
      <c r="C2974" s="31" t="s">
        <v>1996</v>
      </c>
      <c r="D2974" s="31" t="s">
        <v>3603</v>
      </c>
      <c r="E2974" s="32">
        <v>501.5</v>
      </c>
      <c r="F2974" s="32">
        <v>1</v>
      </c>
    </row>
    <row r="2975" spans="1:6" x14ac:dyDescent="0.3">
      <c r="A2975" s="31">
        <v>2700000012</v>
      </c>
      <c r="B2975" s="31" t="s">
        <v>221</v>
      </c>
      <c r="C2975" s="31" t="s">
        <v>2037</v>
      </c>
      <c r="D2975" s="31" t="s">
        <v>2038</v>
      </c>
      <c r="E2975" s="32">
        <v>500.40909090909003</v>
      </c>
      <c r="F2975" s="32">
        <v>5</v>
      </c>
    </row>
    <row r="2976" spans="1:6" x14ac:dyDescent="0.3">
      <c r="A2976" s="31">
        <v>1000107468</v>
      </c>
      <c r="B2976" s="31" t="s">
        <v>2724</v>
      </c>
      <c r="C2976" s="31" t="s">
        <v>4</v>
      </c>
      <c r="D2976" s="31" t="s">
        <v>2043</v>
      </c>
      <c r="E2976" s="32">
        <v>499.8</v>
      </c>
      <c r="F2976" s="32">
        <v>3</v>
      </c>
    </row>
    <row r="2977" spans="1:6" x14ac:dyDescent="0.3">
      <c r="A2977" s="31">
        <v>1000109368</v>
      </c>
      <c r="B2977" s="31" t="s">
        <v>3834</v>
      </c>
      <c r="C2977" s="31" t="s">
        <v>4</v>
      </c>
      <c r="D2977" s="31" t="s">
        <v>2043</v>
      </c>
      <c r="E2977" s="32">
        <v>499.8</v>
      </c>
      <c r="F2977" s="32">
        <v>3</v>
      </c>
    </row>
    <row r="2978" spans="1:6" x14ac:dyDescent="0.3">
      <c r="A2978" s="31">
        <v>1000094928</v>
      </c>
      <c r="B2978" s="31" t="s">
        <v>3835</v>
      </c>
      <c r="C2978" s="31" t="s">
        <v>4</v>
      </c>
      <c r="D2978" s="31" t="s">
        <v>2056</v>
      </c>
      <c r="E2978" s="32">
        <v>498.33120000000002</v>
      </c>
      <c r="F2978" s="32">
        <v>591</v>
      </c>
    </row>
    <row r="2979" spans="1:6" x14ac:dyDescent="0.3">
      <c r="A2979" s="31">
        <v>1000020287</v>
      </c>
      <c r="B2979" s="31" t="s">
        <v>523</v>
      </c>
      <c r="C2979" s="31" t="s">
        <v>4</v>
      </c>
      <c r="D2979" s="31" t="s">
        <v>2090</v>
      </c>
      <c r="E2979" s="32">
        <v>497.14125000000001</v>
      </c>
      <c r="F2979" s="32">
        <v>12</v>
      </c>
    </row>
    <row r="2980" spans="1:6" x14ac:dyDescent="0.3">
      <c r="A2980" s="31">
        <v>1000020419</v>
      </c>
      <c r="B2980" s="31" t="s">
        <v>648</v>
      </c>
      <c r="C2980" s="31" t="s">
        <v>4</v>
      </c>
      <c r="D2980" s="31" t="s">
        <v>2090</v>
      </c>
      <c r="E2980" s="32">
        <v>496.43650246305401</v>
      </c>
      <c r="F2980" s="32">
        <v>73</v>
      </c>
    </row>
    <row r="2981" spans="1:6" x14ac:dyDescent="0.3">
      <c r="A2981" s="31">
        <v>1000102394</v>
      </c>
      <c r="B2981" s="31" t="s">
        <v>3836</v>
      </c>
      <c r="C2981" s="31" t="s">
        <v>4</v>
      </c>
      <c r="D2981" s="31" t="s">
        <v>2043</v>
      </c>
      <c r="E2981" s="32">
        <v>496.03874358880103</v>
      </c>
      <c r="F2981" s="32">
        <v>8</v>
      </c>
    </row>
    <row r="2982" spans="1:6" x14ac:dyDescent="0.3">
      <c r="A2982" s="31">
        <v>1000108752</v>
      </c>
      <c r="B2982" s="31" t="s">
        <v>109</v>
      </c>
      <c r="C2982" s="31" t="s">
        <v>4</v>
      </c>
      <c r="D2982" s="31" t="s">
        <v>2043</v>
      </c>
      <c r="E2982" s="32">
        <v>495</v>
      </c>
      <c r="F2982" s="32">
        <v>15</v>
      </c>
    </row>
    <row r="2983" spans="1:6" x14ac:dyDescent="0.3">
      <c r="A2983" s="31">
        <v>2500009487</v>
      </c>
      <c r="B2983" s="31" t="s">
        <v>3837</v>
      </c>
      <c r="C2983" s="31" t="s">
        <v>1996</v>
      </c>
      <c r="D2983" s="31" t="s">
        <v>2289</v>
      </c>
      <c r="E2983" s="32">
        <v>495</v>
      </c>
      <c r="F2983" s="32">
        <v>6</v>
      </c>
    </row>
    <row r="2984" spans="1:6" x14ac:dyDescent="0.3">
      <c r="A2984" s="31">
        <v>1000108753</v>
      </c>
      <c r="B2984" s="31" t="s">
        <v>2904</v>
      </c>
      <c r="C2984" s="31" t="s">
        <v>2027</v>
      </c>
      <c r="D2984" s="31" t="s">
        <v>2905</v>
      </c>
      <c r="E2984" s="32">
        <v>495</v>
      </c>
      <c r="F2984" s="32">
        <v>3</v>
      </c>
    </row>
    <row r="2985" spans="1:6" x14ac:dyDescent="0.3">
      <c r="A2985" s="31">
        <v>1000098651</v>
      </c>
      <c r="B2985" s="31" t="s">
        <v>1628</v>
      </c>
      <c r="C2985" s="31" t="s">
        <v>4</v>
      </c>
      <c r="D2985" s="31" t="s">
        <v>2090</v>
      </c>
      <c r="E2985" s="32">
        <v>494.67149999999998</v>
      </c>
      <c r="F2985" s="32">
        <v>8</v>
      </c>
    </row>
    <row r="2986" spans="1:6" x14ac:dyDescent="0.3">
      <c r="A2986" s="31">
        <v>1000092343</v>
      </c>
      <c r="B2986" s="31" t="s">
        <v>3838</v>
      </c>
      <c r="C2986" s="31" t="s">
        <v>2257</v>
      </c>
      <c r="D2986" s="31" t="s">
        <v>2070</v>
      </c>
      <c r="E2986" s="32">
        <v>494.50081188725397</v>
      </c>
      <c r="F2986" s="32">
        <v>5</v>
      </c>
    </row>
    <row r="2987" spans="1:6" x14ac:dyDescent="0.3">
      <c r="A2987" s="31">
        <v>1000021146</v>
      </c>
      <c r="B2987" s="31" t="s">
        <v>1297</v>
      </c>
      <c r="C2987" s="31" t="s">
        <v>4</v>
      </c>
      <c r="D2987" s="31" t="s">
        <v>2090</v>
      </c>
      <c r="E2987" s="32">
        <v>494.08</v>
      </c>
      <c r="F2987" s="32">
        <v>4</v>
      </c>
    </row>
    <row r="2988" spans="1:6" x14ac:dyDescent="0.3">
      <c r="A2988" s="31">
        <v>1000105611</v>
      </c>
      <c r="B2988" s="31" t="s">
        <v>3839</v>
      </c>
      <c r="C2988" s="31" t="s">
        <v>4</v>
      </c>
      <c r="D2988" s="31" t="s">
        <v>2043</v>
      </c>
      <c r="E2988" s="32">
        <v>494.06057856654201</v>
      </c>
      <c r="F2988" s="32">
        <v>17</v>
      </c>
    </row>
    <row r="2989" spans="1:6" x14ac:dyDescent="0.3">
      <c r="A2989" s="31">
        <v>80000009705</v>
      </c>
      <c r="B2989" s="31" t="s">
        <v>3758</v>
      </c>
      <c r="C2989" s="31" t="s">
        <v>2755</v>
      </c>
      <c r="D2989" s="31" t="s">
        <v>2670</v>
      </c>
      <c r="E2989" s="32">
        <v>494</v>
      </c>
      <c r="F2989" s="32">
        <v>38</v>
      </c>
    </row>
    <row r="2990" spans="1:6" x14ac:dyDescent="0.3">
      <c r="A2990" s="31">
        <v>1000098476</v>
      </c>
      <c r="B2990" s="31" t="s">
        <v>3840</v>
      </c>
      <c r="C2990" s="31" t="s">
        <v>4</v>
      </c>
      <c r="D2990" s="31" t="s">
        <v>2161</v>
      </c>
      <c r="E2990" s="32">
        <v>493.54</v>
      </c>
      <c r="F2990" s="32">
        <v>16</v>
      </c>
    </row>
    <row r="2991" spans="1:6" x14ac:dyDescent="0.3">
      <c r="A2991" s="31">
        <v>1000097477</v>
      </c>
      <c r="B2991" s="31" t="s">
        <v>3841</v>
      </c>
      <c r="C2991" s="31" t="s">
        <v>4</v>
      </c>
      <c r="D2991" s="31" t="s">
        <v>2161</v>
      </c>
      <c r="E2991" s="32">
        <v>493.2</v>
      </c>
      <c r="F2991" s="32">
        <v>3</v>
      </c>
    </row>
    <row r="2992" spans="1:6" x14ac:dyDescent="0.3">
      <c r="A2992" s="31">
        <v>1000103739</v>
      </c>
      <c r="B2992" s="31" t="s">
        <v>1879</v>
      </c>
      <c r="C2992" s="31" t="s">
        <v>4</v>
      </c>
      <c r="D2992" s="31" t="s">
        <v>2056</v>
      </c>
      <c r="E2992" s="32">
        <v>493.2</v>
      </c>
      <c r="F2992" s="32">
        <v>50</v>
      </c>
    </row>
    <row r="2993" spans="1:6" x14ac:dyDescent="0.3">
      <c r="A2993" s="31">
        <v>1000020092</v>
      </c>
      <c r="B2993" s="31" t="s">
        <v>351</v>
      </c>
      <c r="C2993" s="31" t="s">
        <v>4</v>
      </c>
      <c r="D2993" s="31" t="s">
        <v>2090</v>
      </c>
      <c r="E2993" s="32">
        <v>492.63749999999999</v>
      </c>
      <c r="F2993" s="32">
        <v>5</v>
      </c>
    </row>
    <row r="2994" spans="1:6" x14ac:dyDescent="0.3">
      <c r="A2994" s="31">
        <v>1000020896</v>
      </c>
      <c r="B2994" s="31" t="s">
        <v>1078</v>
      </c>
      <c r="C2994" s="31" t="s">
        <v>4</v>
      </c>
      <c r="D2994" s="31" t="s">
        <v>2090</v>
      </c>
      <c r="E2994" s="32">
        <v>491.37</v>
      </c>
      <c r="F2994" s="32">
        <v>3</v>
      </c>
    </row>
    <row r="2995" spans="1:6" x14ac:dyDescent="0.3">
      <c r="A2995" s="31">
        <v>2500008149</v>
      </c>
      <c r="B2995" s="31" t="s">
        <v>3842</v>
      </c>
      <c r="C2995" s="31" t="s">
        <v>1996</v>
      </c>
      <c r="D2995" s="31" t="s">
        <v>2025</v>
      </c>
      <c r="E2995" s="32">
        <v>491.30815476190401</v>
      </c>
      <c r="F2995" s="32">
        <v>3</v>
      </c>
    </row>
    <row r="2996" spans="1:6" x14ac:dyDescent="0.3">
      <c r="A2996" s="31">
        <v>2500002205</v>
      </c>
      <c r="B2996" s="31" t="s">
        <v>3843</v>
      </c>
      <c r="C2996" s="31" t="s">
        <v>1996</v>
      </c>
      <c r="D2996" s="31" t="s">
        <v>2025</v>
      </c>
      <c r="E2996" s="32">
        <v>490.58225965742901</v>
      </c>
      <c r="F2996" s="32">
        <v>35</v>
      </c>
    </row>
    <row r="2997" spans="1:6" x14ac:dyDescent="0.3">
      <c r="A2997" s="31">
        <v>1000105246</v>
      </c>
      <c r="B2997" s="31" t="s">
        <v>3844</v>
      </c>
      <c r="C2997" s="31" t="s">
        <v>4</v>
      </c>
      <c r="D2997" s="31" t="s">
        <v>2161</v>
      </c>
      <c r="E2997" s="32">
        <v>489.60333333333301</v>
      </c>
      <c r="F2997" s="32">
        <v>7</v>
      </c>
    </row>
    <row r="2998" spans="1:6" x14ac:dyDescent="0.3">
      <c r="A2998" s="31">
        <v>1000095639</v>
      </c>
      <c r="B2998" s="31" t="s">
        <v>3845</v>
      </c>
      <c r="C2998" s="31" t="s">
        <v>4</v>
      </c>
      <c r="D2998" s="31" t="s">
        <v>2056</v>
      </c>
      <c r="E2998" s="32">
        <v>489.52800000000002</v>
      </c>
      <c r="F2998" s="32">
        <v>2</v>
      </c>
    </row>
    <row r="2999" spans="1:6" x14ac:dyDescent="0.3">
      <c r="A2999" s="31">
        <v>1000020741</v>
      </c>
      <c r="B2999" s="31" t="s">
        <v>949</v>
      </c>
      <c r="C2999" s="31" t="s">
        <v>4</v>
      </c>
      <c r="D2999" s="31" t="s">
        <v>2090</v>
      </c>
      <c r="E2999" s="32">
        <v>489.35</v>
      </c>
      <c r="F2999" s="32">
        <v>1</v>
      </c>
    </row>
    <row r="3000" spans="1:6" x14ac:dyDescent="0.3">
      <c r="A3000" s="31">
        <v>1000020331</v>
      </c>
      <c r="B3000" s="31" t="s">
        <v>564</v>
      </c>
      <c r="C3000" s="31" t="s">
        <v>4</v>
      </c>
      <c r="D3000" s="31" t="s">
        <v>2090</v>
      </c>
      <c r="E3000" s="32">
        <v>489.2</v>
      </c>
      <c r="F3000" s="32">
        <v>2</v>
      </c>
    </row>
    <row r="3001" spans="1:6" x14ac:dyDescent="0.3">
      <c r="A3001" s="31">
        <v>1000020308</v>
      </c>
      <c r="B3001" s="31" t="s">
        <v>544</v>
      </c>
      <c r="C3001" s="31" t="s">
        <v>4</v>
      </c>
      <c r="D3001" s="31" t="s">
        <v>2090</v>
      </c>
      <c r="E3001" s="32">
        <v>489</v>
      </c>
      <c r="F3001" s="32">
        <v>4</v>
      </c>
    </row>
    <row r="3002" spans="1:6" x14ac:dyDescent="0.3">
      <c r="A3002" s="31">
        <v>1000020080</v>
      </c>
      <c r="B3002" s="31" t="s">
        <v>340</v>
      </c>
      <c r="C3002" s="31" t="s">
        <v>4</v>
      </c>
      <c r="D3002" s="31" t="s">
        <v>2090</v>
      </c>
      <c r="E3002" s="32">
        <v>488.72</v>
      </c>
      <c r="F3002" s="32">
        <v>4</v>
      </c>
    </row>
    <row r="3003" spans="1:6" x14ac:dyDescent="0.3">
      <c r="A3003" s="31">
        <v>1000020549</v>
      </c>
      <c r="B3003" s="31" t="s">
        <v>767</v>
      </c>
      <c r="C3003" s="31" t="s">
        <v>4</v>
      </c>
      <c r="D3003" s="31" t="s">
        <v>2090</v>
      </c>
      <c r="E3003" s="32">
        <v>488.5</v>
      </c>
      <c r="F3003" s="32">
        <v>25</v>
      </c>
    </row>
    <row r="3004" spans="1:6" x14ac:dyDescent="0.3">
      <c r="A3004" s="31">
        <v>2500009644</v>
      </c>
      <c r="B3004" s="31" t="s">
        <v>3846</v>
      </c>
      <c r="C3004" s="31" t="s">
        <v>1996</v>
      </c>
      <c r="D3004" s="31" t="s">
        <v>2025</v>
      </c>
      <c r="E3004" s="32">
        <v>487.5</v>
      </c>
      <c r="F3004" s="32">
        <v>5</v>
      </c>
    </row>
    <row r="3005" spans="1:6" x14ac:dyDescent="0.3">
      <c r="A3005" s="31">
        <v>1000093200</v>
      </c>
      <c r="B3005" s="31" t="s">
        <v>3847</v>
      </c>
      <c r="C3005" s="31" t="s">
        <v>2109</v>
      </c>
      <c r="D3005" s="31" t="s">
        <v>2070</v>
      </c>
      <c r="E3005" s="32">
        <v>487.5</v>
      </c>
      <c r="F3005" s="32">
        <v>13</v>
      </c>
    </row>
    <row r="3006" spans="1:6" x14ac:dyDescent="0.3">
      <c r="A3006" s="31">
        <v>80000009832</v>
      </c>
      <c r="B3006" s="31" t="s">
        <v>3848</v>
      </c>
      <c r="C3006" s="31" t="s">
        <v>2521</v>
      </c>
      <c r="D3006" s="31" t="s">
        <v>2670</v>
      </c>
      <c r="E3006" s="32">
        <v>487.5</v>
      </c>
      <c r="F3006" s="32">
        <v>65</v>
      </c>
    </row>
    <row r="3007" spans="1:6" x14ac:dyDescent="0.3">
      <c r="A3007" s="31">
        <v>1000094598</v>
      </c>
      <c r="B3007" s="31" t="s">
        <v>3849</v>
      </c>
      <c r="C3007" s="31" t="s">
        <v>2027</v>
      </c>
      <c r="D3007" s="31" t="s">
        <v>2399</v>
      </c>
      <c r="E3007" s="32">
        <v>486.13</v>
      </c>
      <c r="F3007" s="32">
        <v>2</v>
      </c>
    </row>
    <row r="3008" spans="1:6" x14ac:dyDescent="0.3">
      <c r="A3008" s="31">
        <v>2200012235</v>
      </c>
      <c r="B3008" s="31" t="s">
        <v>3850</v>
      </c>
      <c r="C3008" s="31" t="s">
        <v>2037</v>
      </c>
      <c r="D3008" s="31" t="s">
        <v>2038</v>
      </c>
      <c r="E3008" s="32">
        <v>485.22</v>
      </c>
      <c r="F3008" s="32">
        <v>2</v>
      </c>
    </row>
    <row r="3009" spans="1:6" x14ac:dyDescent="0.3">
      <c r="A3009" s="31">
        <v>1000098693</v>
      </c>
      <c r="B3009" s="31" t="s">
        <v>1645</v>
      </c>
      <c r="C3009" s="31" t="s">
        <v>4</v>
      </c>
      <c r="D3009" s="31" t="s">
        <v>2090</v>
      </c>
      <c r="E3009" s="32">
        <v>485.02</v>
      </c>
      <c r="F3009" s="32">
        <v>2</v>
      </c>
    </row>
    <row r="3010" spans="1:6" x14ac:dyDescent="0.3">
      <c r="A3010" s="31">
        <v>1000100421</v>
      </c>
      <c r="B3010" s="31" t="s">
        <v>1733</v>
      </c>
      <c r="C3010" s="31" t="s">
        <v>4</v>
      </c>
      <c r="D3010" s="31" t="s">
        <v>2090</v>
      </c>
      <c r="E3010" s="32">
        <v>484.54</v>
      </c>
      <c r="F3010" s="32">
        <v>1</v>
      </c>
    </row>
    <row r="3011" spans="1:6" x14ac:dyDescent="0.3">
      <c r="A3011" s="31">
        <v>800000654789</v>
      </c>
      <c r="B3011" s="31" t="s">
        <v>3851</v>
      </c>
      <c r="C3011" s="31" t="s">
        <v>2521</v>
      </c>
      <c r="D3011" s="31" t="s">
        <v>3289</v>
      </c>
      <c r="E3011" s="32">
        <v>484.5</v>
      </c>
      <c r="F3011" s="32">
        <v>3</v>
      </c>
    </row>
    <row r="3012" spans="1:6" x14ac:dyDescent="0.3">
      <c r="A3012" s="31">
        <v>1000102436</v>
      </c>
      <c r="B3012" s="31" t="s">
        <v>3852</v>
      </c>
      <c r="C3012" s="31" t="s">
        <v>4</v>
      </c>
      <c r="D3012" s="31" t="s">
        <v>2090</v>
      </c>
      <c r="E3012" s="32">
        <v>484.24363636363603</v>
      </c>
      <c r="F3012" s="32">
        <v>12</v>
      </c>
    </row>
    <row r="3013" spans="1:6" x14ac:dyDescent="0.3">
      <c r="A3013" s="31">
        <v>1000021035</v>
      </c>
      <c r="B3013" s="31" t="s">
        <v>1206</v>
      </c>
      <c r="C3013" s="31" t="s">
        <v>4</v>
      </c>
      <c r="D3013" s="31" t="s">
        <v>2090</v>
      </c>
      <c r="E3013" s="32">
        <v>483.96</v>
      </c>
      <c r="F3013" s="32">
        <v>3</v>
      </c>
    </row>
    <row r="3014" spans="1:6" x14ac:dyDescent="0.3">
      <c r="A3014" s="31">
        <v>1000111093</v>
      </c>
      <c r="B3014" s="31" t="s">
        <v>3853</v>
      </c>
      <c r="C3014" s="31" t="s">
        <v>4</v>
      </c>
      <c r="D3014" s="31" t="s">
        <v>2090</v>
      </c>
      <c r="E3014" s="32">
        <v>483.9</v>
      </c>
      <c r="F3014" s="32">
        <v>4</v>
      </c>
    </row>
    <row r="3015" spans="1:6" x14ac:dyDescent="0.3">
      <c r="A3015" s="31">
        <v>2500008474</v>
      </c>
      <c r="B3015" s="31" t="s">
        <v>3854</v>
      </c>
      <c r="C3015" s="31" t="s">
        <v>1996</v>
      </c>
      <c r="D3015" s="31" t="s">
        <v>2025</v>
      </c>
      <c r="E3015" s="32">
        <v>483.88125000000002</v>
      </c>
      <c r="F3015" s="32">
        <v>1</v>
      </c>
    </row>
    <row r="3016" spans="1:6" x14ac:dyDescent="0.3">
      <c r="A3016" s="31">
        <v>1000021211</v>
      </c>
      <c r="B3016" s="31" t="s">
        <v>1357</v>
      </c>
      <c r="C3016" s="31" t="s">
        <v>4</v>
      </c>
      <c r="D3016" s="31" t="s">
        <v>2090</v>
      </c>
      <c r="E3016" s="32">
        <v>482.90138237389499</v>
      </c>
      <c r="F3016" s="32">
        <v>3</v>
      </c>
    </row>
    <row r="3017" spans="1:6" x14ac:dyDescent="0.3">
      <c r="A3017" s="31">
        <v>1000021159</v>
      </c>
      <c r="B3017" s="31" t="s">
        <v>1308</v>
      </c>
      <c r="C3017" s="31" t="s">
        <v>4</v>
      </c>
      <c r="D3017" s="31" t="s">
        <v>2090</v>
      </c>
      <c r="E3017" s="32">
        <v>482.49</v>
      </c>
      <c r="F3017" s="32">
        <v>1</v>
      </c>
    </row>
    <row r="3018" spans="1:6" x14ac:dyDescent="0.3">
      <c r="A3018" s="31">
        <v>1000021097</v>
      </c>
      <c r="B3018" s="31" t="s">
        <v>1259</v>
      </c>
      <c r="C3018" s="31" t="s">
        <v>4</v>
      </c>
      <c r="D3018" s="31" t="s">
        <v>2090</v>
      </c>
      <c r="E3018" s="32">
        <v>482.28</v>
      </c>
      <c r="F3018" s="32">
        <v>3</v>
      </c>
    </row>
    <row r="3019" spans="1:6" x14ac:dyDescent="0.3">
      <c r="A3019" s="31">
        <v>80000009790</v>
      </c>
      <c r="B3019" s="31" t="s">
        <v>3727</v>
      </c>
      <c r="C3019" s="31" t="s">
        <v>2755</v>
      </c>
      <c r="D3019" s="31" t="s">
        <v>2670</v>
      </c>
      <c r="E3019" s="32">
        <v>480</v>
      </c>
      <c r="F3019" s="32">
        <v>40</v>
      </c>
    </row>
    <row r="3020" spans="1:6" x14ac:dyDescent="0.3">
      <c r="A3020" s="31">
        <v>80000009694</v>
      </c>
      <c r="B3020" s="31" t="s">
        <v>3633</v>
      </c>
      <c r="C3020" s="31" t="s">
        <v>2755</v>
      </c>
      <c r="D3020" s="31" t="s">
        <v>2670</v>
      </c>
      <c r="E3020" s="32">
        <v>480</v>
      </c>
      <c r="F3020" s="32">
        <v>100</v>
      </c>
    </row>
    <row r="3021" spans="1:6" x14ac:dyDescent="0.3">
      <c r="A3021" s="31">
        <v>1000021196</v>
      </c>
      <c r="B3021" s="31" t="s">
        <v>1343</v>
      </c>
      <c r="C3021" s="31" t="s">
        <v>4</v>
      </c>
      <c r="D3021" s="31" t="s">
        <v>2090</v>
      </c>
      <c r="E3021" s="32">
        <v>479.14</v>
      </c>
      <c r="F3021" s="32">
        <v>5</v>
      </c>
    </row>
    <row r="3022" spans="1:6" x14ac:dyDescent="0.3">
      <c r="A3022" s="31">
        <v>1000020677</v>
      </c>
      <c r="B3022" s="31" t="s">
        <v>890</v>
      </c>
      <c r="C3022" s="31" t="s">
        <v>4</v>
      </c>
      <c r="D3022" s="31" t="s">
        <v>2090</v>
      </c>
      <c r="E3022" s="32">
        <v>479.07279999999997</v>
      </c>
      <c r="F3022" s="32">
        <v>8</v>
      </c>
    </row>
    <row r="3023" spans="1:6" x14ac:dyDescent="0.3">
      <c r="A3023" s="31">
        <v>1000020253</v>
      </c>
      <c r="B3023" s="31" t="s">
        <v>492</v>
      </c>
      <c r="C3023" s="31" t="s">
        <v>4</v>
      </c>
      <c r="D3023" s="31" t="s">
        <v>2090</v>
      </c>
      <c r="E3023" s="32">
        <v>478.61439999999999</v>
      </c>
      <c r="F3023" s="32">
        <v>44</v>
      </c>
    </row>
    <row r="3024" spans="1:6" x14ac:dyDescent="0.3">
      <c r="A3024" s="31">
        <v>1000020232</v>
      </c>
      <c r="B3024" s="31" t="s">
        <v>472</v>
      </c>
      <c r="C3024" s="31" t="s">
        <v>4</v>
      </c>
      <c r="D3024" s="31" t="s">
        <v>2090</v>
      </c>
      <c r="E3024" s="32">
        <v>478.4</v>
      </c>
      <c r="F3024" s="32">
        <v>80</v>
      </c>
    </row>
    <row r="3025" spans="1:6" x14ac:dyDescent="0.3">
      <c r="A3025" s="31">
        <v>1000093318</v>
      </c>
      <c r="B3025" s="31" t="s">
        <v>3855</v>
      </c>
      <c r="C3025" s="31" t="s">
        <v>4</v>
      </c>
      <c r="D3025" s="31" t="s">
        <v>2161</v>
      </c>
      <c r="E3025" s="32">
        <v>478.12666666666598</v>
      </c>
      <c r="F3025" s="32">
        <v>2</v>
      </c>
    </row>
    <row r="3026" spans="1:6" x14ac:dyDescent="0.3">
      <c r="A3026" s="31">
        <v>1000020724</v>
      </c>
      <c r="B3026" s="31" t="s">
        <v>932</v>
      </c>
      <c r="C3026" s="31" t="s">
        <v>4</v>
      </c>
      <c r="D3026" s="31" t="s">
        <v>2090</v>
      </c>
      <c r="E3026" s="32">
        <v>477.6</v>
      </c>
      <c r="F3026" s="32">
        <v>2</v>
      </c>
    </row>
    <row r="3027" spans="1:6" x14ac:dyDescent="0.3">
      <c r="A3027" s="31">
        <v>1000021140</v>
      </c>
      <c r="B3027" s="31" t="s">
        <v>1291</v>
      </c>
      <c r="C3027" s="31" t="s">
        <v>4</v>
      </c>
      <c r="D3027" s="31" t="s">
        <v>2090</v>
      </c>
      <c r="E3027" s="32">
        <v>477.17</v>
      </c>
      <c r="F3027" s="32">
        <v>1</v>
      </c>
    </row>
    <row r="3028" spans="1:6" x14ac:dyDescent="0.3">
      <c r="A3028" s="31">
        <v>1000020422</v>
      </c>
      <c r="B3028" s="31" t="s">
        <v>650</v>
      </c>
      <c r="C3028" s="31" t="s">
        <v>4</v>
      </c>
      <c r="D3028" s="31" t="s">
        <v>2090</v>
      </c>
      <c r="E3028" s="32">
        <v>477.12</v>
      </c>
      <c r="F3028" s="32">
        <v>56</v>
      </c>
    </row>
    <row r="3029" spans="1:6" x14ac:dyDescent="0.3">
      <c r="A3029" s="31">
        <v>1000021105</v>
      </c>
      <c r="B3029" s="31" t="s">
        <v>1266</v>
      </c>
      <c r="C3029" s="31" t="s">
        <v>4</v>
      </c>
      <c r="D3029" s="31" t="s">
        <v>2090</v>
      </c>
      <c r="E3029" s="32">
        <v>476.16</v>
      </c>
      <c r="F3029" s="32">
        <v>3</v>
      </c>
    </row>
    <row r="3030" spans="1:6" x14ac:dyDescent="0.3">
      <c r="A3030" s="31">
        <v>2500009355</v>
      </c>
      <c r="B3030" s="31" t="s">
        <v>3856</v>
      </c>
      <c r="C3030" s="31" t="s">
        <v>1996</v>
      </c>
      <c r="D3030" s="31" t="s">
        <v>2025</v>
      </c>
      <c r="E3030" s="32">
        <v>475.88</v>
      </c>
      <c r="F3030" s="32">
        <v>3</v>
      </c>
    </row>
    <row r="3031" spans="1:6" x14ac:dyDescent="0.3">
      <c r="A3031" s="31">
        <v>1000096051</v>
      </c>
      <c r="B3031" s="31" t="s">
        <v>3857</v>
      </c>
      <c r="C3031" s="31" t="s">
        <v>4</v>
      </c>
      <c r="D3031" s="31" t="s">
        <v>2056</v>
      </c>
      <c r="E3031" s="32">
        <v>475.15</v>
      </c>
      <c r="F3031" s="32">
        <v>500</v>
      </c>
    </row>
    <row r="3032" spans="1:6" x14ac:dyDescent="0.3">
      <c r="A3032" s="31">
        <v>1000103748</v>
      </c>
      <c r="B3032" s="31" t="s">
        <v>1886</v>
      </c>
      <c r="C3032" s="31" t="s">
        <v>4</v>
      </c>
      <c r="D3032" s="31" t="s">
        <v>2056</v>
      </c>
      <c r="E3032" s="32">
        <v>474.37619999999998</v>
      </c>
      <c r="F3032" s="32">
        <v>58</v>
      </c>
    </row>
    <row r="3033" spans="1:6" x14ac:dyDescent="0.3">
      <c r="A3033" s="31">
        <v>1000098525</v>
      </c>
      <c r="B3033" s="31" t="s">
        <v>1559</v>
      </c>
      <c r="C3033" s="31" t="s">
        <v>4</v>
      </c>
      <c r="D3033" s="31" t="s">
        <v>2090</v>
      </c>
      <c r="E3033" s="32">
        <v>474.07499999999999</v>
      </c>
      <c r="F3033" s="32">
        <v>3</v>
      </c>
    </row>
    <row r="3034" spans="1:6" x14ac:dyDescent="0.3">
      <c r="A3034" s="31">
        <v>1000001223</v>
      </c>
      <c r="B3034" s="31" t="s">
        <v>8</v>
      </c>
      <c r="C3034" s="31" t="s">
        <v>2109</v>
      </c>
      <c r="D3034" s="31" t="s">
        <v>2070</v>
      </c>
      <c r="E3034" s="32">
        <v>474</v>
      </c>
      <c r="F3034" s="32">
        <v>4</v>
      </c>
    </row>
    <row r="3035" spans="1:6" x14ac:dyDescent="0.3">
      <c r="A3035" s="31">
        <v>1000093982</v>
      </c>
      <c r="B3035" s="31" t="s">
        <v>3858</v>
      </c>
      <c r="C3035" s="31" t="s">
        <v>4</v>
      </c>
      <c r="D3035" s="31" t="s">
        <v>2090</v>
      </c>
      <c r="E3035" s="32">
        <v>472.96</v>
      </c>
      <c r="F3035" s="32">
        <v>2</v>
      </c>
    </row>
    <row r="3036" spans="1:6" x14ac:dyDescent="0.3">
      <c r="A3036" s="31">
        <v>1000020954</v>
      </c>
      <c r="B3036" s="31" t="s">
        <v>1132</v>
      </c>
      <c r="C3036" s="31" t="s">
        <v>4</v>
      </c>
      <c r="D3036" s="31" t="s">
        <v>2090</v>
      </c>
      <c r="E3036" s="32">
        <v>472.12</v>
      </c>
      <c r="F3036" s="32">
        <v>4</v>
      </c>
    </row>
    <row r="3037" spans="1:6" x14ac:dyDescent="0.3">
      <c r="A3037" s="31">
        <v>1000020590</v>
      </c>
      <c r="B3037" s="31" t="s">
        <v>806</v>
      </c>
      <c r="C3037" s="31" t="s">
        <v>4</v>
      </c>
      <c r="D3037" s="31" t="s">
        <v>2090</v>
      </c>
      <c r="E3037" s="32">
        <v>472</v>
      </c>
      <c r="F3037" s="32">
        <v>100</v>
      </c>
    </row>
    <row r="3038" spans="1:6" x14ac:dyDescent="0.3">
      <c r="A3038" s="31">
        <v>1000098528</v>
      </c>
      <c r="B3038" s="31" t="s">
        <v>1562</v>
      </c>
      <c r="C3038" s="31" t="s">
        <v>4</v>
      </c>
      <c r="D3038" s="31" t="s">
        <v>2090</v>
      </c>
      <c r="E3038" s="32">
        <v>471.61</v>
      </c>
      <c r="F3038" s="32">
        <v>2</v>
      </c>
    </row>
    <row r="3039" spans="1:6" x14ac:dyDescent="0.3">
      <c r="A3039" s="31">
        <v>1000021241</v>
      </c>
      <c r="B3039" s="31" t="s">
        <v>1386</v>
      </c>
      <c r="C3039" s="31" t="s">
        <v>4</v>
      </c>
      <c r="D3039" s="31" t="s">
        <v>2090</v>
      </c>
      <c r="E3039" s="32">
        <v>471.48130952380899</v>
      </c>
      <c r="F3039" s="32">
        <v>1</v>
      </c>
    </row>
    <row r="3040" spans="1:6" x14ac:dyDescent="0.3">
      <c r="A3040" s="31">
        <v>2500008218</v>
      </c>
      <c r="B3040" s="31" t="s">
        <v>3859</v>
      </c>
      <c r="C3040" s="31" t="s">
        <v>1996</v>
      </c>
      <c r="D3040" s="31" t="s">
        <v>2025</v>
      </c>
      <c r="E3040" s="32">
        <v>470.25200000000001</v>
      </c>
      <c r="F3040" s="32">
        <v>2</v>
      </c>
    </row>
    <row r="3041" spans="1:6" x14ac:dyDescent="0.3">
      <c r="A3041" s="31">
        <v>1000100391</v>
      </c>
      <c r="B3041" s="31" t="s">
        <v>1720</v>
      </c>
      <c r="C3041" s="31" t="s">
        <v>4</v>
      </c>
      <c r="D3041" s="31" t="s">
        <v>2090</v>
      </c>
      <c r="E3041" s="32">
        <v>470.25</v>
      </c>
      <c r="F3041" s="32">
        <v>2</v>
      </c>
    </row>
    <row r="3042" spans="1:6" x14ac:dyDescent="0.3">
      <c r="A3042" s="31">
        <v>1000020770</v>
      </c>
      <c r="B3042" s="31" t="s">
        <v>974</v>
      </c>
      <c r="C3042" s="31" t="s">
        <v>4</v>
      </c>
      <c r="D3042" s="31" t="s">
        <v>2090</v>
      </c>
      <c r="E3042" s="32">
        <v>470.14</v>
      </c>
      <c r="F3042" s="32">
        <v>2</v>
      </c>
    </row>
    <row r="3043" spans="1:6" x14ac:dyDescent="0.3">
      <c r="A3043" s="31">
        <v>1000020408</v>
      </c>
      <c r="B3043" s="31" t="s">
        <v>638</v>
      </c>
      <c r="C3043" s="31" t="s">
        <v>4</v>
      </c>
      <c r="D3043" s="31" t="s">
        <v>2090</v>
      </c>
      <c r="E3043" s="32">
        <v>470.12</v>
      </c>
      <c r="F3043" s="32">
        <v>73</v>
      </c>
    </row>
    <row r="3044" spans="1:6" x14ac:dyDescent="0.3">
      <c r="A3044" s="31">
        <v>1000098699</v>
      </c>
      <c r="B3044" s="31" t="s">
        <v>1650</v>
      </c>
      <c r="C3044" s="31" t="s">
        <v>4</v>
      </c>
      <c r="D3044" s="31" t="s">
        <v>2090</v>
      </c>
      <c r="E3044" s="32">
        <v>470.11</v>
      </c>
      <c r="F3044" s="32">
        <v>3</v>
      </c>
    </row>
    <row r="3045" spans="1:6" x14ac:dyDescent="0.3">
      <c r="A3045" s="31">
        <v>1000020535</v>
      </c>
      <c r="B3045" s="31" t="s">
        <v>756</v>
      </c>
      <c r="C3045" s="31" t="s">
        <v>4</v>
      </c>
      <c r="D3045" s="31" t="s">
        <v>2090</v>
      </c>
      <c r="E3045" s="32">
        <v>469.78</v>
      </c>
      <c r="F3045" s="32">
        <v>2</v>
      </c>
    </row>
    <row r="3046" spans="1:6" x14ac:dyDescent="0.3">
      <c r="A3046" s="31">
        <v>80000009703</v>
      </c>
      <c r="B3046" s="31" t="s">
        <v>3860</v>
      </c>
      <c r="C3046" s="31" t="s">
        <v>2521</v>
      </c>
      <c r="D3046" s="31" t="s">
        <v>2670</v>
      </c>
      <c r="E3046" s="32">
        <v>468</v>
      </c>
      <c r="F3046" s="32">
        <v>156</v>
      </c>
    </row>
    <row r="3047" spans="1:6" x14ac:dyDescent="0.3">
      <c r="A3047" s="31">
        <v>2100004824</v>
      </c>
      <c r="B3047" s="31" t="s">
        <v>3861</v>
      </c>
      <c r="C3047" s="31" t="s">
        <v>2037</v>
      </c>
      <c r="D3047" s="31" t="s">
        <v>2031</v>
      </c>
      <c r="E3047" s="32">
        <v>466.57866666666598</v>
      </c>
      <c r="F3047" s="32">
        <v>26</v>
      </c>
    </row>
    <row r="3048" spans="1:6" x14ac:dyDescent="0.3">
      <c r="A3048" s="31">
        <v>1000020206</v>
      </c>
      <c r="B3048" s="31" t="s">
        <v>446</v>
      </c>
      <c r="C3048" s="31" t="s">
        <v>4</v>
      </c>
      <c r="D3048" s="31" t="s">
        <v>2090</v>
      </c>
      <c r="E3048" s="32">
        <v>466.56</v>
      </c>
      <c r="F3048" s="32">
        <v>6</v>
      </c>
    </row>
    <row r="3049" spans="1:6" x14ac:dyDescent="0.3">
      <c r="A3049" s="31">
        <v>1000020765</v>
      </c>
      <c r="B3049" s="31" t="s">
        <v>969</v>
      </c>
      <c r="C3049" s="31" t="s">
        <v>4</v>
      </c>
      <c r="D3049" s="31" t="s">
        <v>2090</v>
      </c>
      <c r="E3049" s="32">
        <v>465.17</v>
      </c>
      <c r="F3049" s="32">
        <v>5</v>
      </c>
    </row>
    <row r="3050" spans="1:6" x14ac:dyDescent="0.3">
      <c r="A3050" s="31">
        <v>1000021417</v>
      </c>
      <c r="B3050" s="31" t="s">
        <v>1478</v>
      </c>
      <c r="C3050" s="31" t="s">
        <v>4</v>
      </c>
      <c r="D3050" s="31" t="s">
        <v>2090</v>
      </c>
      <c r="E3050" s="32">
        <v>465.00749999999999</v>
      </c>
      <c r="F3050" s="32">
        <v>15</v>
      </c>
    </row>
    <row r="3051" spans="1:6" x14ac:dyDescent="0.3">
      <c r="A3051" s="31">
        <v>2500009326</v>
      </c>
      <c r="B3051" s="31" t="s">
        <v>3862</v>
      </c>
      <c r="C3051" s="31" t="s">
        <v>1996</v>
      </c>
      <c r="D3051" s="31" t="s">
        <v>2289</v>
      </c>
      <c r="E3051" s="32">
        <v>465</v>
      </c>
      <c r="F3051" s="32">
        <v>2</v>
      </c>
    </row>
    <row r="3052" spans="1:6" x14ac:dyDescent="0.3">
      <c r="A3052" s="31">
        <v>2500009498</v>
      </c>
      <c r="B3052" s="31" t="s">
        <v>3863</v>
      </c>
      <c r="C3052" s="31" t="s">
        <v>1996</v>
      </c>
      <c r="D3052" s="31" t="s">
        <v>2289</v>
      </c>
      <c r="E3052" s="32">
        <v>465</v>
      </c>
      <c r="F3052" s="32">
        <v>4</v>
      </c>
    </row>
    <row r="3053" spans="1:6" x14ac:dyDescent="0.3">
      <c r="A3053" s="31">
        <v>2200000376</v>
      </c>
      <c r="B3053" s="31" t="s">
        <v>148</v>
      </c>
      <c r="C3053" s="31" t="s">
        <v>2037</v>
      </c>
      <c r="D3053" s="31" t="s">
        <v>2038</v>
      </c>
      <c r="E3053" s="32">
        <v>464.64</v>
      </c>
      <c r="F3053" s="32">
        <v>2</v>
      </c>
    </row>
    <row r="3054" spans="1:6" x14ac:dyDescent="0.3">
      <c r="A3054" s="31">
        <v>1000100348</v>
      </c>
      <c r="B3054" s="31" t="s">
        <v>3864</v>
      </c>
      <c r="C3054" s="31" t="s">
        <v>4</v>
      </c>
      <c r="D3054" s="31" t="s">
        <v>2090</v>
      </c>
      <c r="E3054" s="32">
        <v>463.53555555555499</v>
      </c>
      <c r="F3054" s="32">
        <v>4</v>
      </c>
    </row>
    <row r="3055" spans="1:6" x14ac:dyDescent="0.3">
      <c r="A3055" s="31">
        <v>1000104452</v>
      </c>
      <c r="B3055" s="31" t="s">
        <v>3865</v>
      </c>
      <c r="C3055" s="31" t="s">
        <v>2257</v>
      </c>
      <c r="D3055" s="31" t="s">
        <v>2998</v>
      </c>
      <c r="E3055" s="32">
        <v>462.54</v>
      </c>
      <c r="F3055" s="32">
        <v>6</v>
      </c>
    </row>
    <row r="3056" spans="1:6" x14ac:dyDescent="0.3">
      <c r="A3056" s="31">
        <v>1000103153</v>
      </c>
      <c r="B3056" s="31" t="s">
        <v>3866</v>
      </c>
      <c r="C3056" s="31" t="s">
        <v>4</v>
      </c>
      <c r="D3056" s="31" t="s">
        <v>2090</v>
      </c>
      <c r="E3056" s="32">
        <v>461.69</v>
      </c>
      <c r="F3056" s="32">
        <v>12</v>
      </c>
    </row>
    <row r="3057" spans="1:6" x14ac:dyDescent="0.3">
      <c r="A3057" s="31">
        <v>1000020103</v>
      </c>
      <c r="B3057" s="31" t="s">
        <v>359</v>
      </c>
      <c r="C3057" s="31" t="s">
        <v>4</v>
      </c>
      <c r="D3057" s="31" t="s">
        <v>2090</v>
      </c>
      <c r="E3057" s="32">
        <v>461.12</v>
      </c>
      <c r="F3057" s="32">
        <v>2</v>
      </c>
    </row>
    <row r="3058" spans="1:6" x14ac:dyDescent="0.3">
      <c r="A3058" s="31">
        <v>1000020593</v>
      </c>
      <c r="B3058" s="31" t="s">
        <v>809</v>
      </c>
      <c r="C3058" s="31" t="s">
        <v>4</v>
      </c>
      <c r="D3058" s="31" t="s">
        <v>2090</v>
      </c>
      <c r="E3058" s="32">
        <v>461</v>
      </c>
      <c r="F3058" s="32">
        <v>100</v>
      </c>
    </row>
    <row r="3059" spans="1:6" x14ac:dyDescent="0.3">
      <c r="A3059" s="31">
        <v>1000021181</v>
      </c>
      <c r="B3059" s="31" t="s">
        <v>1328</v>
      </c>
      <c r="C3059" s="31" t="s">
        <v>4</v>
      </c>
      <c r="D3059" s="31" t="s">
        <v>2090</v>
      </c>
      <c r="E3059" s="32">
        <v>460.64</v>
      </c>
      <c r="F3059" s="32">
        <v>16</v>
      </c>
    </row>
    <row r="3060" spans="1:6" x14ac:dyDescent="0.3">
      <c r="A3060" s="31">
        <v>2500008413</v>
      </c>
      <c r="B3060" s="31" t="s">
        <v>3867</v>
      </c>
      <c r="C3060" s="31" t="s">
        <v>1996</v>
      </c>
      <c r="D3060" s="31" t="s">
        <v>2025</v>
      </c>
      <c r="E3060" s="32">
        <v>460.18</v>
      </c>
      <c r="F3060" s="32">
        <v>3</v>
      </c>
    </row>
    <row r="3061" spans="1:6" x14ac:dyDescent="0.3">
      <c r="A3061" s="31">
        <v>1000109298</v>
      </c>
      <c r="B3061" s="31" t="s">
        <v>3868</v>
      </c>
      <c r="C3061" s="31" t="s">
        <v>4</v>
      </c>
      <c r="D3061" s="31" t="s">
        <v>2043</v>
      </c>
      <c r="E3061" s="32">
        <v>460</v>
      </c>
      <c r="F3061" s="32">
        <v>10</v>
      </c>
    </row>
    <row r="3062" spans="1:6" x14ac:dyDescent="0.3">
      <c r="A3062" s="31">
        <v>80000009702</v>
      </c>
      <c r="B3062" s="31" t="s">
        <v>3869</v>
      </c>
      <c r="C3062" s="31" t="s">
        <v>2521</v>
      </c>
      <c r="D3062" s="31" t="s">
        <v>2670</v>
      </c>
      <c r="E3062" s="32">
        <v>460</v>
      </c>
      <c r="F3062" s="32">
        <v>200</v>
      </c>
    </row>
    <row r="3063" spans="1:6" x14ac:dyDescent="0.3">
      <c r="A3063" s="31">
        <v>1000020291</v>
      </c>
      <c r="B3063" s="31" t="s">
        <v>527</v>
      </c>
      <c r="C3063" s="31" t="s">
        <v>4</v>
      </c>
      <c r="D3063" s="31" t="s">
        <v>2090</v>
      </c>
      <c r="E3063" s="32">
        <v>458</v>
      </c>
      <c r="F3063" s="32">
        <v>10</v>
      </c>
    </row>
    <row r="3064" spans="1:6" x14ac:dyDescent="0.3">
      <c r="A3064" s="31">
        <v>1000020529</v>
      </c>
      <c r="B3064" s="31" t="s">
        <v>750</v>
      </c>
      <c r="C3064" s="31" t="s">
        <v>4</v>
      </c>
      <c r="D3064" s="31" t="s">
        <v>2090</v>
      </c>
      <c r="E3064" s="32">
        <v>457.169357142857</v>
      </c>
      <c r="F3064" s="32">
        <v>3</v>
      </c>
    </row>
    <row r="3065" spans="1:6" x14ac:dyDescent="0.3">
      <c r="A3065" s="31">
        <v>1000098460</v>
      </c>
      <c r="B3065" s="31" t="s">
        <v>1535</v>
      </c>
      <c r="C3065" s="31" t="s">
        <v>4</v>
      </c>
      <c r="D3065" s="31" t="s">
        <v>2090</v>
      </c>
      <c r="E3065" s="32">
        <v>456.666</v>
      </c>
      <c r="F3065" s="32">
        <v>1</v>
      </c>
    </row>
    <row r="3066" spans="1:6" x14ac:dyDescent="0.3">
      <c r="A3066" s="31">
        <v>1000102121</v>
      </c>
      <c r="B3066" s="31" t="s">
        <v>3870</v>
      </c>
      <c r="C3066" s="31" t="s">
        <v>4</v>
      </c>
      <c r="D3066" s="31" t="s">
        <v>2056</v>
      </c>
      <c r="E3066" s="32">
        <v>455.84206710792</v>
      </c>
      <c r="F3066" s="32">
        <v>2</v>
      </c>
    </row>
    <row r="3067" spans="1:6" x14ac:dyDescent="0.3">
      <c r="A3067" s="31">
        <v>1000093675</v>
      </c>
      <c r="B3067" s="31" t="s">
        <v>3871</v>
      </c>
      <c r="C3067" s="31" t="s">
        <v>4</v>
      </c>
      <c r="D3067" s="31" t="s">
        <v>2056</v>
      </c>
      <c r="E3067" s="32">
        <v>455.8</v>
      </c>
      <c r="F3067" s="32">
        <v>2</v>
      </c>
    </row>
    <row r="3068" spans="1:6" x14ac:dyDescent="0.3">
      <c r="A3068" s="31">
        <v>1000105113</v>
      </c>
      <c r="B3068" s="31" t="s">
        <v>3872</v>
      </c>
      <c r="C3068" s="31" t="s">
        <v>4</v>
      </c>
      <c r="D3068" s="31" t="s">
        <v>2056</v>
      </c>
      <c r="E3068" s="32">
        <v>454.98</v>
      </c>
      <c r="F3068" s="32">
        <v>9</v>
      </c>
    </row>
    <row r="3069" spans="1:6" x14ac:dyDescent="0.3">
      <c r="A3069" s="31">
        <v>1000096039</v>
      </c>
      <c r="B3069" s="31" t="s">
        <v>3873</v>
      </c>
      <c r="C3069" s="31" t="s">
        <v>4</v>
      </c>
      <c r="D3069" s="31" t="s">
        <v>2056</v>
      </c>
      <c r="E3069" s="32">
        <v>454.61</v>
      </c>
      <c r="F3069" s="32">
        <v>7</v>
      </c>
    </row>
    <row r="3070" spans="1:6" x14ac:dyDescent="0.3">
      <c r="A3070" s="31">
        <v>1000102236</v>
      </c>
      <c r="B3070" s="31" t="s">
        <v>1788</v>
      </c>
      <c r="C3070" s="31" t="s">
        <v>4</v>
      </c>
      <c r="D3070" s="31" t="s">
        <v>2090</v>
      </c>
      <c r="E3070" s="32">
        <v>452.7</v>
      </c>
      <c r="F3070" s="32">
        <v>6</v>
      </c>
    </row>
    <row r="3071" spans="1:6" x14ac:dyDescent="0.3">
      <c r="A3071" s="31">
        <v>1000020247</v>
      </c>
      <c r="B3071" s="31" t="s">
        <v>486</v>
      </c>
      <c r="C3071" s="31" t="s">
        <v>4</v>
      </c>
      <c r="D3071" s="31" t="s">
        <v>2090</v>
      </c>
      <c r="E3071" s="32">
        <v>452.5</v>
      </c>
      <c r="F3071" s="32">
        <v>50</v>
      </c>
    </row>
    <row r="3072" spans="1:6" x14ac:dyDescent="0.3">
      <c r="A3072" s="31">
        <v>1000020926</v>
      </c>
      <c r="B3072" s="31" t="s">
        <v>1106</v>
      </c>
      <c r="C3072" s="31" t="s">
        <v>4</v>
      </c>
      <c r="D3072" s="31" t="s">
        <v>2090</v>
      </c>
      <c r="E3072" s="32">
        <v>452.4</v>
      </c>
      <c r="F3072" s="32">
        <v>4</v>
      </c>
    </row>
    <row r="3073" spans="1:6" x14ac:dyDescent="0.3">
      <c r="A3073" s="31">
        <v>2500008957</v>
      </c>
      <c r="B3073" s="31" t="s">
        <v>1951</v>
      </c>
      <c r="C3073" s="31" t="s">
        <v>1996</v>
      </c>
      <c r="D3073" s="31" t="s">
        <v>2025</v>
      </c>
      <c r="E3073" s="32">
        <v>452.25</v>
      </c>
      <c r="F3073" s="32">
        <v>1</v>
      </c>
    </row>
    <row r="3074" spans="1:6" x14ac:dyDescent="0.3">
      <c r="A3074" s="31">
        <v>1000098543</v>
      </c>
      <c r="B3074" s="31" t="s">
        <v>1574</v>
      </c>
      <c r="C3074" s="31" t="s">
        <v>4</v>
      </c>
      <c r="D3074" s="31" t="s">
        <v>2090</v>
      </c>
      <c r="E3074" s="32">
        <v>451.31</v>
      </c>
      <c r="F3074" s="32">
        <v>3</v>
      </c>
    </row>
    <row r="3075" spans="1:6" x14ac:dyDescent="0.3">
      <c r="A3075" s="31">
        <v>1000020002</v>
      </c>
      <c r="B3075" s="31" t="s">
        <v>3874</v>
      </c>
      <c r="C3075" s="31" t="s">
        <v>4</v>
      </c>
      <c r="D3075" s="31" t="s">
        <v>2090</v>
      </c>
      <c r="E3075" s="32">
        <v>451.09050000000002</v>
      </c>
      <c r="F3075" s="32">
        <v>28</v>
      </c>
    </row>
    <row r="3076" spans="1:6" x14ac:dyDescent="0.3">
      <c r="A3076" s="31">
        <v>2500009111</v>
      </c>
      <c r="B3076" s="31" t="s">
        <v>3875</v>
      </c>
      <c r="C3076" s="31" t="s">
        <v>1996</v>
      </c>
      <c r="D3076" s="31" t="s">
        <v>2289</v>
      </c>
      <c r="E3076" s="32">
        <v>450</v>
      </c>
      <c r="F3076" s="32">
        <v>2</v>
      </c>
    </row>
    <row r="3077" spans="1:6" x14ac:dyDescent="0.3">
      <c r="A3077" s="31">
        <v>1000095398</v>
      </c>
      <c r="B3077" s="31" t="s">
        <v>3876</v>
      </c>
      <c r="C3077" s="31" t="s">
        <v>4</v>
      </c>
      <c r="D3077" s="31" t="s">
        <v>2090</v>
      </c>
      <c r="E3077" s="32">
        <v>447.57</v>
      </c>
      <c r="F3077" s="32">
        <v>5</v>
      </c>
    </row>
    <row r="3078" spans="1:6" x14ac:dyDescent="0.3">
      <c r="A3078" s="31">
        <v>1000098647</v>
      </c>
      <c r="B3078" s="31" t="s">
        <v>1624</v>
      </c>
      <c r="C3078" s="31" t="s">
        <v>4</v>
      </c>
      <c r="D3078" s="31" t="s">
        <v>2090</v>
      </c>
      <c r="E3078" s="32">
        <v>446.97</v>
      </c>
      <c r="F3078" s="32">
        <v>2</v>
      </c>
    </row>
    <row r="3079" spans="1:6" x14ac:dyDescent="0.3">
      <c r="A3079" s="31">
        <v>1000010242</v>
      </c>
      <c r="B3079" s="31" t="s">
        <v>3877</v>
      </c>
      <c r="C3079" s="31" t="s">
        <v>4</v>
      </c>
      <c r="D3079" s="31" t="s">
        <v>2161</v>
      </c>
      <c r="E3079" s="32">
        <v>445.60124999999999</v>
      </c>
      <c r="F3079" s="32">
        <v>3</v>
      </c>
    </row>
    <row r="3080" spans="1:6" x14ac:dyDescent="0.3">
      <c r="A3080" s="31">
        <v>2500008148</v>
      </c>
      <c r="B3080" s="31" t="s">
        <v>3878</v>
      </c>
      <c r="C3080" s="31" t="s">
        <v>1996</v>
      </c>
      <c r="D3080" s="31" t="s">
        <v>2811</v>
      </c>
      <c r="E3080" s="32">
        <v>445.15</v>
      </c>
      <c r="F3080" s="32">
        <v>3</v>
      </c>
    </row>
    <row r="3081" spans="1:6" x14ac:dyDescent="0.3">
      <c r="A3081" s="31">
        <v>1000103729</v>
      </c>
      <c r="B3081" s="31" t="s">
        <v>3879</v>
      </c>
      <c r="C3081" s="31" t="s">
        <v>4</v>
      </c>
      <c r="D3081" s="31" t="s">
        <v>2056</v>
      </c>
      <c r="E3081" s="32">
        <v>444.69624712643599</v>
      </c>
      <c r="F3081" s="32">
        <v>279</v>
      </c>
    </row>
    <row r="3082" spans="1:6" x14ac:dyDescent="0.3">
      <c r="A3082" s="31">
        <v>1000098468</v>
      </c>
      <c r="B3082" s="31" t="s">
        <v>1543</v>
      </c>
      <c r="C3082" s="31" t="s">
        <v>4</v>
      </c>
      <c r="D3082" s="31" t="s">
        <v>2090</v>
      </c>
      <c r="E3082" s="32">
        <v>444.00700000000001</v>
      </c>
      <c r="F3082" s="32">
        <v>1</v>
      </c>
    </row>
    <row r="3083" spans="1:6" x14ac:dyDescent="0.3">
      <c r="A3083" s="31">
        <v>1000092377</v>
      </c>
      <c r="B3083" s="31" t="s">
        <v>3880</v>
      </c>
      <c r="C3083" s="31" t="s">
        <v>4</v>
      </c>
      <c r="D3083" s="31" t="s">
        <v>2090</v>
      </c>
      <c r="E3083" s="32">
        <v>443.93</v>
      </c>
      <c r="F3083" s="32">
        <v>2</v>
      </c>
    </row>
    <row r="3084" spans="1:6" x14ac:dyDescent="0.3">
      <c r="A3084" s="31">
        <v>1000107067</v>
      </c>
      <c r="B3084" s="31" t="s">
        <v>1891</v>
      </c>
      <c r="C3084" s="31" t="s">
        <v>4</v>
      </c>
      <c r="D3084" s="31" t="s">
        <v>2056</v>
      </c>
      <c r="E3084" s="32">
        <v>442.39</v>
      </c>
      <c r="F3084" s="32">
        <v>23</v>
      </c>
    </row>
    <row r="3085" spans="1:6" x14ac:dyDescent="0.3">
      <c r="A3085" s="31">
        <v>1000102337</v>
      </c>
      <c r="B3085" s="31" t="s">
        <v>1793</v>
      </c>
      <c r="C3085" s="31" t="s">
        <v>4</v>
      </c>
      <c r="D3085" s="31" t="s">
        <v>2090</v>
      </c>
      <c r="E3085" s="32">
        <v>441.70400000000001</v>
      </c>
      <c r="F3085" s="32">
        <v>2</v>
      </c>
    </row>
    <row r="3086" spans="1:6" x14ac:dyDescent="0.3">
      <c r="A3086" s="31">
        <v>1000097856</v>
      </c>
      <c r="B3086" s="31" t="s">
        <v>3881</v>
      </c>
      <c r="C3086" s="31" t="s">
        <v>4</v>
      </c>
      <c r="D3086" s="31" t="s">
        <v>2090</v>
      </c>
      <c r="E3086" s="32">
        <v>440.11200000000002</v>
      </c>
      <c r="F3086" s="32">
        <v>3</v>
      </c>
    </row>
    <row r="3087" spans="1:6" x14ac:dyDescent="0.3">
      <c r="A3087" s="31">
        <v>1000101490</v>
      </c>
      <c r="B3087" s="31" t="s">
        <v>1855</v>
      </c>
      <c r="C3087" s="31" t="s">
        <v>4</v>
      </c>
      <c r="D3087" s="31" t="s">
        <v>2056</v>
      </c>
      <c r="E3087" s="32">
        <v>440</v>
      </c>
      <c r="F3087" s="32">
        <v>100</v>
      </c>
    </row>
    <row r="3088" spans="1:6" x14ac:dyDescent="0.3">
      <c r="A3088" s="31">
        <v>1000101330</v>
      </c>
      <c r="B3088" s="31" t="s">
        <v>89</v>
      </c>
      <c r="C3088" s="31" t="s">
        <v>4</v>
      </c>
      <c r="D3088" s="31" t="s">
        <v>2043</v>
      </c>
      <c r="E3088" s="32">
        <v>439</v>
      </c>
      <c r="F3088" s="32">
        <v>10</v>
      </c>
    </row>
    <row r="3089" spans="1:6" x14ac:dyDescent="0.3">
      <c r="A3089" s="31">
        <v>2500008412</v>
      </c>
      <c r="B3089" s="31" t="s">
        <v>3882</v>
      </c>
      <c r="C3089" s="31" t="s">
        <v>1996</v>
      </c>
      <c r="D3089" s="31" t="s">
        <v>2025</v>
      </c>
      <c r="E3089" s="32">
        <v>438.77</v>
      </c>
      <c r="F3089" s="32">
        <v>3</v>
      </c>
    </row>
    <row r="3090" spans="1:6" x14ac:dyDescent="0.3">
      <c r="A3090" s="31">
        <v>1000106441</v>
      </c>
      <c r="B3090" s="31" t="s">
        <v>3883</v>
      </c>
      <c r="C3090" s="31" t="s">
        <v>2257</v>
      </c>
      <c r="D3090" s="31" t="s">
        <v>3884</v>
      </c>
      <c r="E3090" s="32">
        <v>438.75</v>
      </c>
      <c r="F3090" s="32">
        <v>3</v>
      </c>
    </row>
    <row r="3091" spans="1:6" x14ac:dyDescent="0.3">
      <c r="A3091" s="31">
        <v>1000020519</v>
      </c>
      <c r="B3091" s="31" t="s">
        <v>741</v>
      </c>
      <c r="C3091" s="31" t="s">
        <v>4</v>
      </c>
      <c r="D3091" s="31" t="s">
        <v>2090</v>
      </c>
      <c r="E3091" s="32">
        <v>438.70173868312702</v>
      </c>
      <c r="F3091" s="32">
        <v>4</v>
      </c>
    </row>
    <row r="3092" spans="1:6" x14ac:dyDescent="0.3">
      <c r="A3092" s="31">
        <v>1000098592</v>
      </c>
      <c r="B3092" s="31" t="s">
        <v>1598</v>
      </c>
      <c r="C3092" s="31" t="s">
        <v>4</v>
      </c>
      <c r="D3092" s="31" t="s">
        <v>2090</v>
      </c>
      <c r="E3092" s="32">
        <v>438.58</v>
      </c>
      <c r="F3092" s="32">
        <v>2</v>
      </c>
    </row>
    <row r="3093" spans="1:6" x14ac:dyDescent="0.3">
      <c r="A3093" s="31">
        <v>1000020537</v>
      </c>
      <c r="B3093" s="31" t="s">
        <v>758</v>
      </c>
      <c r="C3093" s="31" t="s">
        <v>4</v>
      </c>
      <c r="D3093" s="31" t="s">
        <v>2090</v>
      </c>
      <c r="E3093" s="32">
        <v>437.68</v>
      </c>
      <c r="F3093" s="32">
        <v>2</v>
      </c>
    </row>
    <row r="3094" spans="1:6" x14ac:dyDescent="0.3">
      <c r="A3094" s="31">
        <v>2200011639</v>
      </c>
      <c r="B3094" s="31" t="s">
        <v>3885</v>
      </c>
      <c r="C3094" s="31" t="s">
        <v>2037</v>
      </c>
      <c r="D3094" s="31" t="s">
        <v>2038</v>
      </c>
      <c r="E3094" s="32">
        <v>437.63499999999999</v>
      </c>
      <c r="F3094" s="32">
        <v>1</v>
      </c>
    </row>
    <row r="3095" spans="1:6" x14ac:dyDescent="0.3">
      <c r="A3095" s="31">
        <v>1000020568</v>
      </c>
      <c r="B3095" s="31" t="s">
        <v>785</v>
      </c>
      <c r="C3095" s="31" t="s">
        <v>4</v>
      </c>
      <c r="D3095" s="31" t="s">
        <v>2090</v>
      </c>
      <c r="E3095" s="32">
        <v>437.55</v>
      </c>
      <c r="F3095" s="32">
        <v>5</v>
      </c>
    </row>
    <row r="3096" spans="1:6" x14ac:dyDescent="0.3">
      <c r="A3096" s="31">
        <v>1000020175</v>
      </c>
      <c r="B3096" s="31" t="s">
        <v>419</v>
      </c>
      <c r="C3096" s="31" t="s">
        <v>4</v>
      </c>
      <c r="D3096" s="31" t="s">
        <v>2090</v>
      </c>
      <c r="E3096" s="32">
        <v>437.48</v>
      </c>
      <c r="F3096" s="32">
        <v>4</v>
      </c>
    </row>
    <row r="3097" spans="1:6" x14ac:dyDescent="0.3">
      <c r="A3097" s="31">
        <v>1000021018</v>
      </c>
      <c r="B3097" s="31" t="s">
        <v>1190</v>
      </c>
      <c r="C3097" s="31" t="s">
        <v>4</v>
      </c>
      <c r="D3097" s="31" t="s">
        <v>2090</v>
      </c>
      <c r="E3097" s="32">
        <v>437.46</v>
      </c>
      <c r="F3097" s="32">
        <v>2</v>
      </c>
    </row>
    <row r="3098" spans="1:6" x14ac:dyDescent="0.3">
      <c r="A3098" s="31">
        <v>2500008284</v>
      </c>
      <c r="B3098" s="31" t="s">
        <v>3886</v>
      </c>
      <c r="C3098" s="31" t="s">
        <v>1996</v>
      </c>
      <c r="D3098" s="31" t="s">
        <v>2025</v>
      </c>
      <c r="E3098" s="32">
        <v>437.40444444444398</v>
      </c>
      <c r="F3098" s="32">
        <v>8</v>
      </c>
    </row>
    <row r="3099" spans="1:6" x14ac:dyDescent="0.3">
      <c r="A3099" s="31">
        <v>1000020271</v>
      </c>
      <c r="B3099" s="31" t="s">
        <v>509</v>
      </c>
      <c r="C3099" s="31" t="s">
        <v>4</v>
      </c>
      <c r="D3099" s="31" t="s">
        <v>2090</v>
      </c>
      <c r="E3099" s="32">
        <v>437.2</v>
      </c>
      <c r="F3099" s="32">
        <v>20</v>
      </c>
    </row>
    <row r="3100" spans="1:6" x14ac:dyDescent="0.3">
      <c r="A3100" s="31">
        <v>1000103204</v>
      </c>
      <c r="B3100" s="31" t="s">
        <v>1811</v>
      </c>
      <c r="C3100" s="31" t="s">
        <v>4</v>
      </c>
      <c r="D3100" s="31" t="s">
        <v>2090</v>
      </c>
      <c r="E3100" s="32">
        <v>436.78450348899599</v>
      </c>
      <c r="F3100" s="32">
        <v>19</v>
      </c>
    </row>
    <row r="3101" spans="1:6" x14ac:dyDescent="0.3">
      <c r="A3101" s="31">
        <v>1000020157</v>
      </c>
      <c r="B3101" s="31" t="s">
        <v>407</v>
      </c>
      <c r="C3101" s="31" t="s">
        <v>4</v>
      </c>
      <c r="D3101" s="31" t="s">
        <v>2090</v>
      </c>
      <c r="E3101" s="32">
        <v>436.76</v>
      </c>
      <c r="F3101" s="32">
        <v>1</v>
      </c>
    </row>
    <row r="3102" spans="1:6" x14ac:dyDescent="0.3">
      <c r="A3102" s="31">
        <v>1000103154</v>
      </c>
      <c r="B3102" s="31" t="s">
        <v>3887</v>
      </c>
      <c r="C3102" s="31" t="s">
        <v>4</v>
      </c>
      <c r="D3102" s="31" t="s">
        <v>2090</v>
      </c>
      <c r="E3102" s="32">
        <v>435.74</v>
      </c>
      <c r="F3102" s="32">
        <v>7</v>
      </c>
    </row>
    <row r="3103" spans="1:6" x14ac:dyDescent="0.3">
      <c r="A3103" s="31">
        <v>1000020936</v>
      </c>
      <c r="B3103" s="31" t="s">
        <v>1115</v>
      </c>
      <c r="C3103" s="31" t="s">
        <v>4</v>
      </c>
      <c r="D3103" s="31" t="s">
        <v>2090</v>
      </c>
      <c r="E3103" s="32">
        <v>434.94</v>
      </c>
      <c r="F3103" s="32">
        <v>2</v>
      </c>
    </row>
    <row r="3104" spans="1:6" x14ac:dyDescent="0.3">
      <c r="A3104" s="31">
        <v>1000020935</v>
      </c>
      <c r="B3104" s="31" t="s">
        <v>1114</v>
      </c>
      <c r="C3104" s="31" t="s">
        <v>4</v>
      </c>
      <c r="D3104" s="31" t="s">
        <v>2090</v>
      </c>
      <c r="E3104" s="32">
        <v>434.94</v>
      </c>
      <c r="F3104" s="32">
        <v>2</v>
      </c>
    </row>
    <row r="3105" spans="1:6" x14ac:dyDescent="0.3">
      <c r="A3105" s="31">
        <v>1000097684</v>
      </c>
      <c r="B3105" s="31" t="s">
        <v>3888</v>
      </c>
      <c r="C3105" s="31" t="s">
        <v>4</v>
      </c>
      <c r="D3105" s="31" t="s">
        <v>2056</v>
      </c>
      <c r="E3105" s="32">
        <v>434.26</v>
      </c>
      <c r="F3105" s="32">
        <v>95</v>
      </c>
    </row>
    <row r="3106" spans="1:6" x14ac:dyDescent="0.3">
      <c r="A3106" s="31">
        <v>1000020108</v>
      </c>
      <c r="B3106" s="31" t="s">
        <v>364</v>
      </c>
      <c r="C3106" s="31" t="s">
        <v>4</v>
      </c>
      <c r="D3106" s="31" t="s">
        <v>2090</v>
      </c>
      <c r="E3106" s="32">
        <v>434.16</v>
      </c>
      <c r="F3106" s="32">
        <v>2</v>
      </c>
    </row>
    <row r="3107" spans="1:6" x14ac:dyDescent="0.3">
      <c r="A3107" s="31">
        <v>1000020109</v>
      </c>
      <c r="B3107" s="31" t="s">
        <v>365</v>
      </c>
      <c r="C3107" s="31" t="s">
        <v>4</v>
      </c>
      <c r="D3107" s="31" t="s">
        <v>2090</v>
      </c>
      <c r="E3107" s="32">
        <v>434.16</v>
      </c>
      <c r="F3107" s="32">
        <v>2</v>
      </c>
    </row>
    <row r="3108" spans="1:6" x14ac:dyDescent="0.3">
      <c r="A3108" s="31">
        <v>1000020769</v>
      </c>
      <c r="B3108" s="31" t="s">
        <v>973</v>
      </c>
      <c r="C3108" s="31" t="s">
        <v>4</v>
      </c>
      <c r="D3108" s="31" t="s">
        <v>2090</v>
      </c>
      <c r="E3108" s="32">
        <v>433.60918367346898</v>
      </c>
      <c r="F3108" s="32">
        <v>2</v>
      </c>
    </row>
    <row r="3109" spans="1:6" x14ac:dyDescent="0.3">
      <c r="A3109" s="31">
        <v>2100007143</v>
      </c>
      <c r="B3109" s="31" t="s">
        <v>3889</v>
      </c>
      <c r="C3109" s="31" t="s">
        <v>2037</v>
      </c>
      <c r="D3109" s="31" t="s">
        <v>2031</v>
      </c>
      <c r="E3109" s="32">
        <v>433.4</v>
      </c>
      <c r="F3109" s="32">
        <v>1</v>
      </c>
    </row>
    <row r="3110" spans="1:6" x14ac:dyDescent="0.3">
      <c r="A3110" s="31">
        <v>1000020955</v>
      </c>
      <c r="B3110" s="31" t="s">
        <v>1133</v>
      </c>
      <c r="C3110" s="31" t="s">
        <v>4</v>
      </c>
      <c r="D3110" s="31" t="s">
        <v>2090</v>
      </c>
      <c r="E3110" s="32">
        <v>432.22500000000002</v>
      </c>
      <c r="F3110" s="32">
        <v>3</v>
      </c>
    </row>
    <row r="3111" spans="1:6" x14ac:dyDescent="0.3">
      <c r="A3111" s="31">
        <v>1000102178</v>
      </c>
      <c r="B3111" s="31" t="s">
        <v>3890</v>
      </c>
      <c r="C3111" s="31" t="s">
        <v>4</v>
      </c>
      <c r="D3111" s="31" t="s">
        <v>2056</v>
      </c>
      <c r="E3111" s="32">
        <v>432.19274999999999</v>
      </c>
      <c r="F3111" s="32">
        <v>33</v>
      </c>
    </row>
    <row r="3112" spans="1:6" x14ac:dyDescent="0.3">
      <c r="A3112" s="31">
        <v>8000000301523</v>
      </c>
      <c r="B3112" s="31" t="s">
        <v>3891</v>
      </c>
      <c r="C3112" s="31" t="s">
        <v>2521</v>
      </c>
      <c r="D3112" s="31" t="s">
        <v>2670</v>
      </c>
      <c r="E3112" s="32">
        <v>432</v>
      </c>
      <c r="F3112" s="32">
        <v>180</v>
      </c>
    </row>
    <row r="3113" spans="1:6" x14ac:dyDescent="0.3">
      <c r="A3113" s="31">
        <v>1000101514</v>
      </c>
      <c r="B3113" s="31" t="s">
        <v>3892</v>
      </c>
      <c r="C3113" s="31" t="s">
        <v>4</v>
      </c>
      <c r="D3113" s="31" t="s">
        <v>2056</v>
      </c>
      <c r="E3113" s="32">
        <v>431.51</v>
      </c>
      <c r="F3113" s="32">
        <v>100</v>
      </c>
    </row>
    <row r="3114" spans="1:6" x14ac:dyDescent="0.3">
      <c r="A3114" s="31">
        <v>1000098526</v>
      </c>
      <c r="B3114" s="31" t="s">
        <v>1560</v>
      </c>
      <c r="C3114" s="31" t="s">
        <v>4</v>
      </c>
      <c r="D3114" s="31" t="s">
        <v>2090</v>
      </c>
      <c r="E3114" s="32">
        <v>431.31</v>
      </c>
      <c r="F3114" s="32">
        <v>2</v>
      </c>
    </row>
    <row r="3115" spans="1:6" x14ac:dyDescent="0.3">
      <c r="A3115" s="31">
        <v>1000092871</v>
      </c>
      <c r="B3115" s="31" t="s">
        <v>3893</v>
      </c>
      <c r="C3115" s="31" t="s">
        <v>4</v>
      </c>
      <c r="D3115" s="31" t="s">
        <v>2161</v>
      </c>
      <c r="E3115" s="32">
        <v>431.16149999999999</v>
      </c>
      <c r="F3115" s="32">
        <v>3</v>
      </c>
    </row>
    <row r="3116" spans="1:6" x14ac:dyDescent="0.3">
      <c r="A3116" s="31">
        <v>1000103730</v>
      </c>
      <c r="B3116" s="31" t="s">
        <v>1870</v>
      </c>
      <c r="C3116" s="31" t="s">
        <v>4</v>
      </c>
      <c r="D3116" s="31" t="s">
        <v>2056</v>
      </c>
      <c r="E3116" s="32">
        <v>431.05680000000001</v>
      </c>
      <c r="F3116" s="32">
        <v>228</v>
      </c>
    </row>
    <row r="3117" spans="1:6" x14ac:dyDescent="0.3">
      <c r="A3117" s="31">
        <v>1000020736</v>
      </c>
      <c r="B3117" s="31" t="s">
        <v>944</v>
      </c>
      <c r="C3117" s="31" t="s">
        <v>4</v>
      </c>
      <c r="D3117" s="31" t="s">
        <v>2090</v>
      </c>
      <c r="E3117" s="32">
        <v>430.46</v>
      </c>
      <c r="F3117" s="32">
        <v>1</v>
      </c>
    </row>
    <row r="3118" spans="1:6" x14ac:dyDescent="0.3">
      <c r="A3118" s="31">
        <v>2500008058</v>
      </c>
      <c r="B3118" s="31" t="s">
        <v>1915</v>
      </c>
      <c r="C3118" s="31" t="s">
        <v>1996</v>
      </c>
      <c r="D3118" s="31" t="s">
        <v>2025</v>
      </c>
      <c r="E3118" s="32">
        <v>430.39924999999999</v>
      </c>
      <c r="F3118" s="32">
        <v>1</v>
      </c>
    </row>
    <row r="3119" spans="1:6" x14ac:dyDescent="0.3">
      <c r="A3119" s="31">
        <v>1000001269</v>
      </c>
      <c r="B3119" s="31" t="s">
        <v>3894</v>
      </c>
      <c r="C3119" s="31" t="s">
        <v>2257</v>
      </c>
      <c r="D3119" s="31" t="s">
        <v>2070</v>
      </c>
      <c r="E3119" s="32">
        <v>430.12575126262601</v>
      </c>
      <c r="F3119" s="32">
        <v>4</v>
      </c>
    </row>
    <row r="3120" spans="1:6" x14ac:dyDescent="0.3">
      <c r="A3120" s="31">
        <v>80000009699</v>
      </c>
      <c r="B3120" s="31" t="s">
        <v>3895</v>
      </c>
      <c r="C3120" s="31" t="s">
        <v>2521</v>
      </c>
      <c r="D3120" s="31" t="s">
        <v>2670</v>
      </c>
      <c r="E3120" s="32">
        <v>429.86813661287198</v>
      </c>
      <c r="F3120" s="32">
        <v>156</v>
      </c>
    </row>
    <row r="3121" spans="1:6" x14ac:dyDescent="0.3">
      <c r="A3121" s="31">
        <v>2500006045</v>
      </c>
      <c r="B3121" s="31" t="s">
        <v>3896</v>
      </c>
      <c r="C3121" s="31" t="s">
        <v>1996</v>
      </c>
      <c r="D3121" s="31" t="s">
        <v>2025</v>
      </c>
      <c r="E3121" s="32">
        <v>429.53714285714199</v>
      </c>
      <c r="F3121" s="32">
        <v>4</v>
      </c>
    </row>
    <row r="3122" spans="1:6" x14ac:dyDescent="0.3">
      <c r="A3122" s="31">
        <v>2700000242</v>
      </c>
      <c r="B3122" s="31" t="s">
        <v>3897</v>
      </c>
      <c r="C3122" s="31" t="s">
        <v>2037</v>
      </c>
      <c r="D3122" s="31" t="s">
        <v>2038</v>
      </c>
      <c r="E3122" s="32">
        <v>429.38</v>
      </c>
      <c r="F3122" s="32">
        <v>1</v>
      </c>
    </row>
    <row r="3123" spans="1:6" x14ac:dyDescent="0.3">
      <c r="A3123" s="31">
        <v>1000106868</v>
      </c>
      <c r="B3123" s="31" t="s">
        <v>3898</v>
      </c>
      <c r="C3123" s="31" t="s">
        <v>2257</v>
      </c>
      <c r="D3123" s="31" t="s">
        <v>2070</v>
      </c>
      <c r="E3123" s="32">
        <v>429.32749999999999</v>
      </c>
      <c r="F3123" s="32">
        <v>2</v>
      </c>
    </row>
    <row r="3124" spans="1:6" x14ac:dyDescent="0.3">
      <c r="A3124" s="31">
        <v>80000009707</v>
      </c>
      <c r="B3124" s="31" t="s">
        <v>3899</v>
      </c>
      <c r="C3124" s="31" t="s">
        <v>2521</v>
      </c>
      <c r="D3124" s="31" t="s">
        <v>2670</v>
      </c>
      <c r="E3124" s="32">
        <v>429</v>
      </c>
      <c r="F3124" s="32">
        <v>39</v>
      </c>
    </row>
    <row r="3125" spans="1:6" x14ac:dyDescent="0.3">
      <c r="A3125" s="31">
        <v>2500008170</v>
      </c>
      <c r="B3125" s="31" t="s">
        <v>3900</v>
      </c>
      <c r="C3125" s="31" t="s">
        <v>1996</v>
      </c>
      <c r="D3125" s="31" t="s">
        <v>2811</v>
      </c>
      <c r="E3125" s="32">
        <v>428.51139443333301</v>
      </c>
      <c r="F3125" s="32">
        <v>7</v>
      </c>
    </row>
    <row r="3126" spans="1:6" x14ac:dyDescent="0.3">
      <c r="A3126" s="31">
        <v>1000102223</v>
      </c>
      <c r="B3126" s="31" t="s">
        <v>1777</v>
      </c>
      <c r="C3126" s="31" t="s">
        <v>4</v>
      </c>
      <c r="D3126" s="31" t="s">
        <v>2090</v>
      </c>
      <c r="E3126" s="32">
        <v>427.6875</v>
      </c>
      <c r="F3126" s="32">
        <v>1</v>
      </c>
    </row>
    <row r="3127" spans="1:6" x14ac:dyDescent="0.3">
      <c r="A3127" s="31">
        <v>1000020340</v>
      </c>
      <c r="B3127" s="31" t="s">
        <v>572</v>
      </c>
      <c r="C3127" s="31" t="s">
        <v>4</v>
      </c>
      <c r="D3127" s="31" t="s">
        <v>2090</v>
      </c>
      <c r="E3127" s="32">
        <v>427.5</v>
      </c>
      <c r="F3127" s="32">
        <v>90</v>
      </c>
    </row>
    <row r="3128" spans="1:6" x14ac:dyDescent="0.3">
      <c r="A3128" s="31">
        <v>2500008974</v>
      </c>
      <c r="B3128" s="31" t="s">
        <v>3901</v>
      </c>
      <c r="C3128" s="31" t="s">
        <v>1996</v>
      </c>
      <c r="D3128" s="31" t="s">
        <v>2025</v>
      </c>
      <c r="E3128" s="32">
        <v>427.5</v>
      </c>
      <c r="F3128" s="32">
        <v>1</v>
      </c>
    </row>
    <row r="3129" spans="1:6" x14ac:dyDescent="0.3">
      <c r="A3129" s="31">
        <v>1000020925</v>
      </c>
      <c r="B3129" s="31" t="s">
        <v>1105</v>
      </c>
      <c r="C3129" s="31" t="s">
        <v>4</v>
      </c>
      <c r="D3129" s="31" t="s">
        <v>2090</v>
      </c>
      <c r="E3129" s="32">
        <v>427.32</v>
      </c>
      <c r="F3129" s="32">
        <v>2</v>
      </c>
    </row>
    <row r="3130" spans="1:6" x14ac:dyDescent="0.3">
      <c r="A3130" s="31">
        <v>1000093278</v>
      </c>
      <c r="B3130" s="31" t="s">
        <v>3902</v>
      </c>
      <c r="C3130" s="31" t="s">
        <v>2109</v>
      </c>
      <c r="D3130" s="31" t="s">
        <v>2399</v>
      </c>
      <c r="E3130" s="32">
        <v>426</v>
      </c>
      <c r="F3130" s="32">
        <v>156</v>
      </c>
    </row>
    <row r="3131" spans="1:6" x14ac:dyDescent="0.3">
      <c r="A3131" s="31">
        <v>1000020305</v>
      </c>
      <c r="B3131" s="31" t="s">
        <v>541</v>
      </c>
      <c r="C3131" s="31" t="s">
        <v>4</v>
      </c>
      <c r="D3131" s="31" t="s">
        <v>2090</v>
      </c>
      <c r="E3131" s="32">
        <v>425.92</v>
      </c>
      <c r="F3131" s="32">
        <v>4</v>
      </c>
    </row>
    <row r="3132" spans="1:6" x14ac:dyDescent="0.3">
      <c r="A3132" s="31">
        <v>1000020493</v>
      </c>
      <c r="B3132" s="31" t="s">
        <v>718</v>
      </c>
      <c r="C3132" s="31" t="s">
        <v>4</v>
      </c>
      <c r="D3132" s="31" t="s">
        <v>2090</v>
      </c>
      <c r="E3132" s="32">
        <v>425.16800000000001</v>
      </c>
      <c r="F3132" s="32">
        <v>8</v>
      </c>
    </row>
    <row r="3133" spans="1:6" x14ac:dyDescent="0.3">
      <c r="A3133" s="31">
        <v>2500008203</v>
      </c>
      <c r="B3133" s="31" t="s">
        <v>3903</v>
      </c>
      <c r="C3133" s="31" t="s">
        <v>1996</v>
      </c>
      <c r="D3133" s="31" t="s">
        <v>2025</v>
      </c>
      <c r="E3133" s="32">
        <v>424.12333333333299</v>
      </c>
      <c r="F3133" s="32">
        <v>3</v>
      </c>
    </row>
    <row r="3134" spans="1:6" x14ac:dyDescent="0.3">
      <c r="A3134" s="31">
        <v>80000009769</v>
      </c>
      <c r="B3134" s="31" t="s">
        <v>3904</v>
      </c>
      <c r="C3134" s="31" t="s">
        <v>2755</v>
      </c>
      <c r="D3134" s="31" t="s">
        <v>2670</v>
      </c>
      <c r="E3134" s="32">
        <v>424.02857142857101</v>
      </c>
      <c r="F3134" s="32">
        <v>153</v>
      </c>
    </row>
    <row r="3135" spans="1:6" x14ac:dyDescent="0.3">
      <c r="A3135" s="31">
        <v>1000020105</v>
      </c>
      <c r="B3135" s="31" t="s">
        <v>361</v>
      </c>
      <c r="C3135" s="31" t="s">
        <v>4</v>
      </c>
      <c r="D3135" s="31" t="s">
        <v>2090</v>
      </c>
      <c r="E3135" s="32">
        <v>423.18</v>
      </c>
      <c r="F3135" s="32">
        <v>2</v>
      </c>
    </row>
    <row r="3136" spans="1:6" x14ac:dyDescent="0.3">
      <c r="A3136" s="31">
        <v>1000101491</v>
      </c>
      <c r="B3136" s="31" t="s">
        <v>1856</v>
      </c>
      <c r="C3136" s="31" t="s">
        <v>4</v>
      </c>
      <c r="D3136" s="31" t="s">
        <v>2056</v>
      </c>
      <c r="E3136" s="32">
        <v>422.73439999999999</v>
      </c>
      <c r="F3136" s="32">
        <v>44</v>
      </c>
    </row>
    <row r="3137" spans="1:6" x14ac:dyDescent="0.3">
      <c r="A3137" s="31">
        <v>2200000582</v>
      </c>
      <c r="B3137" s="31" t="s">
        <v>175</v>
      </c>
      <c r="C3137" s="31" t="s">
        <v>2037</v>
      </c>
      <c r="D3137" s="31" t="s">
        <v>2038</v>
      </c>
      <c r="E3137" s="32">
        <v>422.4</v>
      </c>
      <c r="F3137" s="32">
        <v>3</v>
      </c>
    </row>
    <row r="3138" spans="1:6" x14ac:dyDescent="0.3">
      <c r="A3138" s="31">
        <v>2500008224</v>
      </c>
      <c r="B3138" s="31" t="s">
        <v>3905</v>
      </c>
      <c r="C3138" s="31" t="s">
        <v>1996</v>
      </c>
      <c r="D3138" s="31" t="s">
        <v>2025</v>
      </c>
      <c r="E3138" s="32">
        <v>421.96</v>
      </c>
      <c r="F3138" s="32">
        <v>2</v>
      </c>
    </row>
    <row r="3139" spans="1:6" x14ac:dyDescent="0.3">
      <c r="A3139" s="31">
        <v>1000020693</v>
      </c>
      <c r="B3139" s="31" t="s">
        <v>905</v>
      </c>
      <c r="C3139" s="31" t="s">
        <v>4</v>
      </c>
      <c r="D3139" s="31" t="s">
        <v>2090</v>
      </c>
      <c r="E3139" s="32">
        <v>421.52270622710603</v>
      </c>
      <c r="F3139" s="32">
        <v>4</v>
      </c>
    </row>
    <row r="3140" spans="1:6" x14ac:dyDescent="0.3">
      <c r="A3140" s="31">
        <v>2500008153</v>
      </c>
      <c r="B3140" s="31" t="s">
        <v>3906</v>
      </c>
      <c r="C3140" s="31" t="s">
        <v>1996</v>
      </c>
      <c r="D3140" s="31" t="s">
        <v>2025</v>
      </c>
      <c r="E3140" s="32">
        <v>420.37842002885998</v>
      </c>
      <c r="F3140" s="32">
        <v>1</v>
      </c>
    </row>
    <row r="3141" spans="1:6" x14ac:dyDescent="0.3">
      <c r="A3141" s="31">
        <v>2500008153</v>
      </c>
      <c r="B3141" s="31" t="s">
        <v>3906</v>
      </c>
      <c r="C3141" s="31" t="s">
        <v>2165</v>
      </c>
      <c r="D3141" s="31" t="s">
        <v>2811</v>
      </c>
      <c r="E3141" s="32">
        <v>420.37842002885998</v>
      </c>
      <c r="F3141" s="32">
        <v>1</v>
      </c>
    </row>
    <row r="3142" spans="1:6" x14ac:dyDescent="0.3">
      <c r="A3142" s="31">
        <v>2500008645</v>
      </c>
      <c r="B3142" s="31" t="s">
        <v>3907</v>
      </c>
      <c r="C3142" s="31" t="s">
        <v>1996</v>
      </c>
      <c r="D3142" s="31" t="s">
        <v>2025</v>
      </c>
      <c r="E3142" s="32">
        <v>420</v>
      </c>
      <c r="F3142" s="32">
        <v>4</v>
      </c>
    </row>
    <row r="3143" spans="1:6" x14ac:dyDescent="0.3">
      <c r="A3143" s="31">
        <v>2500009460</v>
      </c>
      <c r="B3143" s="31" t="s">
        <v>3908</v>
      </c>
      <c r="C3143" s="31" t="s">
        <v>1996</v>
      </c>
      <c r="D3143" s="31" t="s">
        <v>2289</v>
      </c>
      <c r="E3143" s="32">
        <v>420</v>
      </c>
      <c r="F3143" s="32">
        <v>2</v>
      </c>
    </row>
    <row r="3144" spans="1:6" x14ac:dyDescent="0.3">
      <c r="A3144" s="31">
        <v>80000009899</v>
      </c>
      <c r="B3144" s="31" t="s">
        <v>3909</v>
      </c>
      <c r="C3144" s="31" t="s">
        <v>2521</v>
      </c>
      <c r="D3144" s="31" t="s">
        <v>3289</v>
      </c>
      <c r="E3144" s="32">
        <v>420</v>
      </c>
      <c r="F3144" s="32">
        <v>3</v>
      </c>
    </row>
    <row r="3145" spans="1:6" x14ac:dyDescent="0.3">
      <c r="A3145" s="31">
        <v>1000103026</v>
      </c>
      <c r="B3145" s="31" t="s">
        <v>3910</v>
      </c>
      <c r="C3145" s="31" t="s">
        <v>4</v>
      </c>
      <c r="D3145" s="31" t="s">
        <v>2161</v>
      </c>
      <c r="E3145" s="32">
        <v>419.22</v>
      </c>
      <c r="F3145" s="32">
        <v>2</v>
      </c>
    </row>
    <row r="3146" spans="1:6" x14ac:dyDescent="0.3">
      <c r="A3146" s="31">
        <v>1000102284</v>
      </c>
      <c r="B3146" s="31" t="s">
        <v>1857</v>
      </c>
      <c r="C3146" s="31" t="s">
        <v>4</v>
      </c>
      <c r="D3146" s="31" t="s">
        <v>2056</v>
      </c>
      <c r="E3146" s="32">
        <v>419.12400000000002</v>
      </c>
      <c r="F3146" s="32">
        <v>30</v>
      </c>
    </row>
    <row r="3147" spans="1:6" x14ac:dyDescent="0.3">
      <c r="A3147" s="31">
        <v>2500008425</v>
      </c>
      <c r="B3147" s="31" t="s">
        <v>3911</v>
      </c>
      <c r="C3147" s="31" t="s">
        <v>1996</v>
      </c>
      <c r="D3147" s="31" t="s">
        <v>2025</v>
      </c>
      <c r="E3147" s="32">
        <v>418.5</v>
      </c>
      <c r="F3147" s="32">
        <v>2</v>
      </c>
    </row>
    <row r="3148" spans="1:6" x14ac:dyDescent="0.3">
      <c r="A3148" s="31">
        <v>1000021012</v>
      </c>
      <c r="B3148" s="31" t="s">
        <v>1184</v>
      </c>
      <c r="C3148" s="31" t="s">
        <v>4</v>
      </c>
      <c r="D3148" s="31" t="s">
        <v>2090</v>
      </c>
      <c r="E3148" s="32">
        <v>418.39</v>
      </c>
      <c r="F3148" s="32">
        <v>1</v>
      </c>
    </row>
    <row r="3149" spans="1:6" x14ac:dyDescent="0.3">
      <c r="A3149" s="31">
        <v>1000103206</v>
      </c>
      <c r="B3149" s="31" t="s">
        <v>1813</v>
      </c>
      <c r="C3149" s="31" t="s">
        <v>4</v>
      </c>
      <c r="D3149" s="31" t="s">
        <v>2090</v>
      </c>
      <c r="E3149" s="32">
        <v>418.081812169312</v>
      </c>
      <c r="F3149" s="32">
        <v>20</v>
      </c>
    </row>
    <row r="3150" spans="1:6" x14ac:dyDescent="0.3">
      <c r="A3150" s="31">
        <v>1000095677</v>
      </c>
      <c r="B3150" s="31" t="s">
        <v>1501</v>
      </c>
      <c r="C3150" s="31" t="s">
        <v>4</v>
      </c>
      <c r="D3150" s="31" t="s">
        <v>2090</v>
      </c>
      <c r="E3150" s="32">
        <v>416.43</v>
      </c>
      <c r="F3150" s="32">
        <v>2</v>
      </c>
    </row>
    <row r="3151" spans="1:6" x14ac:dyDescent="0.3">
      <c r="A3151" s="31">
        <v>80000009851</v>
      </c>
      <c r="B3151" s="31" t="s">
        <v>3912</v>
      </c>
      <c r="C3151" s="31" t="s">
        <v>2521</v>
      </c>
      <c r="D3151" s="31" t="s">
        <v>2670</v>
      </c>
      <c r="E3151" s="32">
        <v>416.25190311418601</v>
      </c>
      <c r="F3151" s="32">
        <v>13</v>
      </c>
    </row>
    <row r="3152" spans="1:6" x14ac:dyDescent="0.3">
      <c r="A3152" s="31">
        <v>2500001400</v>
      </c>
      <c r="B3152" s="31" t="s">
        <v>3913</v>
      </c>
      <c r="C3152" s="31" t="s">
        <v>1996</v>
      </c>
      <c r="D3152" s="31" t="s">
        <v>2025</v>
      </c>
      <c r="E3152" s="32">
        <v>415.778300575</v>
      </c>
      <c r="F3152" s="32">
        <v>4</v>
      </c>
    </row>
    <row r="3153" spans="1:6" x14ac:dyDescent="0.3">
      <c r="A3153" s="31">
        <v>1000101736</v>
      </c>
      <c r="B3153" s="31" t="s">
        <v>3914</v>
      </c>
      <c r="C3153" s="31" t="s">
        <v>2027</v>
      </c>
      <c r="D3153" s="31" t="s">
        <v>2399</v>
      </c>
      <c r="E3153" s="32">
        <v>415.71</v>
      </c>
      <c r="F3153" s="32">
        <v>6</v>
      </c>
    </row>
    <row r="3154" spans="1:6" x14ac:dyDescent="0.3">
      <c r="A3154" s="31">
        <v>1000098232</v>
      </c>
      <c r="B3154" s="31" t="s">
        <v>3915</v>
      </c>
      <c r="C3154" s="31" t="s">
        <v>4</v>
      </c>
      <c r="D3154" s="31" t="s">
        <v>2056</v>
      </c>
      <c r="E3154" s="32">
        <v>415.15519999999998</v>
      </c>
      <c r="F3154" s="32">
        <v>50</v>
      </c>
    </row>
    <row r="3155" spans="1:6" x14ac:dyDescent="0.3">
      <c r="A3155" s="31">
        <v>1000020260</v>
      </c>
      <c r="B3155" s="31" t="s">
        <v>499</v>
      </c>
      <c r="C3155" s="31" t="s">
        <v>4</v>
      </c>
      <c r="D3155" s="31" t="s">
        <v>2090</v>
      </c>
      <c r="E3155" s="32">
        <v>412.8</v>
      </c>
      <c r="F3155" s="32">
        <v>30</v>
      </c>
    </row>
    <row r="3156" spans="1:6" x14ac:dyDescent="0.3">
      <c r="A3156" s="31">
        <v>2500009294</v>
      </c>
      <c r="B3156" s="31" t="s">
        <v>3916</v>
      </c>
      <c r="C3156" s="31" t="s">
        <v>1996</v>
      </c>
      <c r="D3156" s="31" t="s">
        <v>2117</v>
      </c>
      <c r="E3156" s="32">
        <v>412.5</v>
      </c>
      <c r="F3156" s="32">
        <v>1</v>
      </c>
    </row>
    <row r="3157" spans="1:6" x14ac:dyDescent="0.3">
      <c r="A3157" s="31">
        <v>1000100310</v>
      </c>
      <c r="B3157" s="31" t="s">
        <v>3917</v>
      </c>
      <c r="C3157" s="31" t="s">
        <v>4</v>
      </c>
      <c r="D3157" s="31" t="s">
        <v>2090</v>
      </c>
      <c r="E3157" s="32">
        <v>412.125</v>
      </c>
      <c r="F3157" s="32">
        <v>2</v>
      </c>
    </row>
    <row r="3158" spans="1:6" x14ac:dyDescent="0.3">
      <c r="A3158" s="31">
        <v>1000021066</v>
      </c>
      <c r="B3158" s="31" t="s">
        <v>1231</v>
      </c>
      <c r="C3158" s="31" t="s">
        <v>4</v>
      </c>
      <c r="D3158" s="31" t="s">
        <v>2090</v>
      </c>
      <c r="E3158" s="32">
        <v>412.05</v>
      </c>
      <c r="F3158" s="32">
        <v>3</v>
      </c>
    </row>
    <row r="3159" spans="1:6" x14ac:dyDescent="0.3">
      <c r="A3159" s="31">
        <v>1000103172</v>
      </c>
      <c r="B3159" s="31" t="s">
        <v>98</v>
      </c>
      <c r="C3159" s="31" t="s">
        <v>4</v>
      </c>
      <c r="D3159" s="31" t="s">
        <v>2043</v>
      </c>
      <c r="E3159" s="32">
        <v>411.84</v>
      </c>
      <c r="F3159" s="32">
        <v>1</v>
      </c>
    </row>
    <row r="3160" spans="1:6" x14ac:dyDescent="0.3">
      <c r="A3160" s="31">
        <v>2500008709</v>
      </c>
      <c r="B3160" s="31" t="s">
        <v>3918</v>
      </c>
      <c r="C3160" s="31" t="s">
        <v>1996</v>
      </c>
      <c r="D3160" s="31" t="s">
        <v>2025</v>
      </c>
      <c r="E3160" s="32">
        <v>411.75</v>
      </c>
      <c r="F3160" s="32">
        <v>4</v>
      </c>
    </row>
    <row r="3161" spans="1:6" x14ac:dyDescent="0.3">
      <c r="A3161" s="31">
        <v>1000020775</v>
      </c>
      <c r="B3161" s="31" t="s">
        <v>979</v>
      </c>
      <c r="C3161" s="31" t="s">
        <v>4</v>
      </c>
      <c r="D3161" s="31" t="s">
        <v>2090</v>
      </c>
      <c r="E3161" s="32">
        <v>411.452564102564</v>
      </c>
      <c r="F3161" s="32">
        <v>19</v>
      </c>
    </row>
    <row r="3162" spans="1:6" x14ac:dyDescent="0.3">
      <c r="A3162" s="31">
        <v>1000001284</v>
      </c>
      <c r="B3162" s="31" t="s">
        <v>25</v>
      </c>
      <c r="C3162" s="31" t="s">
        <v>2257</v>
      </c>
      <c r="D3162" s="31" t="s">
        <v>2399</v>
      </c>
      <c r="E3162" s="32">
        <v>411.02327500712897</v>
      </c>
      <c r="F3162" s="32">
        <v>3</v>
      </c>
    </row>
    <row r="3163" spans="1:6" x14ac:dyDescent="0.3">
      <c r="A3163" s="31">
        <v>1000098893</v>
      </c>
      <c r="B3163" s="31" t="s">
        <v>3919</v>
      </c>
      <c r="C3163" s="31" t="s">
        <v>4</v>
      </c>
      <c r="D3163" s="31" t="s">
        <v>2161</v>
      </c>
      <c r="E3163" s="32">
        <v>410.4</v>
      </c>
      <c r="F3163" s="32">
        <v>3</v>
      </c>
    </row>
    <row r="3164" spans="1:6" x14ac:dyDescent="0.3">
      <c r="A3164" s="31">
        <v>80000009760</v>
      </c>
      <c r="B3164" s="31" t="s">
        <v>3920</v>
      </c>
      <c r="C3164" s="31" t="s">
        <v>2521</v>
      </c>
      <c r="D3164" s="31" t="s">
        <v>2670</v>
      </c>
      <c r="E3164" s="32">
        <v>410.02079195024203</v>
      </c>
      <c r="F3164" s="32">
        <v>135</v>
      </c>
    </row>
    <row r="3165" spans="1:6" x14ac:dyDescent="0.3">
      <c r="A3165" s="31">
        <v>1000021127</v>
      </c>
      <c r="B3165" s="31" t="s">
        <v>1284</v>
      </c>
      <c r="C3165" s="31" t="s">
        <v>4</v>
      </c>
      <c r="D3165" s="31" t="s">
        <v>2090</v>
      </c>
      <c r="E3165" s="32">
        <v>410.01</v>
      </c>
      <c r="F3165" s="32">
        <v>1</v>
      </c>
    </row>
    <row r="3166" spans="1:6" x14ac:dyDescent="0.3">
      <c r="A3166" s="31">
        <v>2500009357</v>
      </c>
      <c r="B3166" s="31" t="s">
        <v>3921</v>
      </c>
      <c r="C3166" s="31" t="s">
        <v>1996</v>
      </c>
      <c r="D3166" s="31" t="s">
        <v>2025</v>
      </c>
      <c r="E3166" s="32">
        <v>408.9</v>
      </c>
      <c r="F3166" s="32">
        <v>2</v>
      </c>
    </row>
    <row r="3167" spans="1:6" x14ac:dyDescent="0.3">
      <c r="A3167" s="31">
        <v>1000010119</v>
      </c>
      <c r="B3167" s="31" t="s">
        <v>3922</v>
      </c>
      <c r="C3167" s="31" t="s">
        <v>4</v>
      </c>
      <c r="D3167" s="31" t="s">
        <v>2161</v>
      </c>
      <c r="E3167" s="32">
        <v>408.81470967741899</v>
      </c>
      <c r="F3167" s="32">
        <v>1</v>
      </c>
    </row>
    <row r="3168" spans="1:6" x14ac:dyDescent="0.3">
      <c r="A3168" s="31">
        <v>2500009479</v>
      </c>
      <c r="B3168" s="31" t="s">
        <v>3923</v>
      </c>
      <c r="C3168" s="31" t="s">
        <v>1996</v>
      </c>
      <c r="D3168" s="31" t="s">
        <v>2289</v>
      </c>
      <c r="E3168" s="32">
        <v>408.75</v>
      </c>
      <c r="F3168" s="32">
        <v>1</v>
      </c>
    </row>
    <row r="3169" spans="1:6" x14ac:dyDescent="0.3">
      <c r="A3169" s="31">
        <v>2500008411</v>
      </c>
      <c r="B3169" s="31" t="s">
        <v>3924</v>
      </c>
      <c r="C3169" s="31" t="s">
        <v>1996</v>
      </c>
      <c r="D3169" s="31" t="s">
        <v>2025</v>
      </c>
      <c r="E3169" s="32">
        <v>406.67</v>
      </c>
      <c r="F3169" s="32">
        <v>3</v>
      </c>
    </row>
    <row r="3170" spans="1:6" x14ac:dyDescent="0.3">
      <c r="A3170" s="31">
        <v>2500008678</v>
      </c>
      <c r="B3170" s="31" t="s">
        <v>3925</v>
      </c>
      <c r="C3170" s="31" t="s">
        <v>1996</v>
      </c>
      <c r="D3170" s="31" t="s">
        <v>2025</v>
      </c>
      <c r="E3170" s="32">
        <v>406.58857142857102</v>
      </c>
      <c r="F3170" s="32">
        <v>4</v>
      </c>
    </row>
    <row r="3171" spans="1:6" x14ac:dyDescent="0.3">
      <c r="A3171" s="31">
        <v>1000020153</v>
      </c>
      <c r="B3171" s="31" t="s">
        <v>404</v>
      </c>
      <c r="C3171" s="31" t="s">
        <v>4</v>
      </c>
      <c r="D3171" s="31" t="s">
        <v>2090</v>
      </c>
      <c r="E3171" s="32">
        <v>405.24</v>
      </c>
      <c r="F3171" s="32">
        <v>4</v>
      </c>
    </row>
    <row r="3172" spans="1:6" x14ac:dyDescent="0.3">
      <c r="A3172" s="31">
        <v>2500008262</v>
      </c>
      <c r="B3172" s="31" t="s">
        <v>1924</v>
      </c>
      <c r="C3172" s="31" t="s">
        <v>1996</v>
      </c>
      <c r="D3172" s="31" t="s">
        <v>2025</v>
      </c>
      <c r="E3172" s="32">
        <v>405</v>
      </c>
      <c r="F3172" s="32">
        <v>6</v>
      </c>
    </row>
    <row r="3173" spans="1:6" x14ac:dyDescent="0.3">
      <c r="A3173" s="31">
        <v>1000102231</v>
      </c>
      <c r="B3173" s="31" t="s">
        <v>1783</v>
      </c>
      <c r="C3173" s="31" t="s">
        <v>4</v>
      </c>
      <c r="D3173" s="31" t="s">
        <v>2090</v>
      </c>
      <c r="E3173" s="32">
        <v>403.53750000000002</v>
      </c>
      <c r="F3173" s="32">
        <v>3</v>
      </c>
    </row>
    <row r="3174" spans="1:6" x14ac:dyDescent="0.3">
      <c r="A3174" s="31">
        <v>1000099842</v>
      </c>
      <c r="B3174" s="31" t="s">
        <v>3926</v>
      </c>
      <c r="C3174" s="31" t="s">
        <v>4</v>
      </c>
      <c r="D3174" s="31" t="s">
        <v>2090</v>
      </c>
      <c r="E3174" s="32">
        <v>403.15</v>
      </c>
      <c r="F3174" s="32">
        <v>23</v>
      </c>
    </row>
    <row r="3175" spans="1:6" x14ac:dyDescent="0.3">
      <c r="A3175" s="31">
        <v>1000093596</v>
      </c>
      <c r="B3175" s="31" t="s">
        <v>3927</v>
      </c>
      <c r="C3175" s="31" t="s">
        <v>4</v>
      </c>
      <c r="D3175" s="31" t="s">
        <v>2056</v>
      </c>
      <c r="E3175" s="32">
        <v>401.090105263157</v>
      </c>
      <c r="F3175" s="32">
        <v>4</v>
      </c>
    </row>
    <row r="3176" spans="1:6" x14ac:dyDescent="0.3">
      <c r="A3176" s="31">
        <v>1000020532</v>
      </c>
      <c r="B3176" s="31" t="s">
        <v>753</v>
      </c>
      <c r="C3176" s="31" t="s">
        <v>4</v>
      </c>
      <c r="D3176" s="31" t="s">
        <v>2090</v>
      </c>
      <c r="E3176" s="32">
        <v>400.44</v>
      </c>
      <c r="F3176" s="32">
        <v>2</v>
      </c>
    </row>
    <row r="3177" spans="1:6" x14ac:dyDescent="0.3">
      <c r="A3177" s="31">
        <v>1000020046</v>
      </c>
      <c r="B3177" s="31" t="s">
        <v>3928</v>
      </c>
      <c r="C3177" s="31" t="s">
        <v>4</v>
      </c>
      <c r="D3177" s="31" t="s">
        <v>2090</v>
      </c>
      <c r="E3177" s="32">
        <v>400.27</v>
      </c>
      <c r="F3177" s="32">
        <v>5</v>
      </c>
    </row>
    <row r="3178" spans="1:6" x14ac:dyDescent="0.3">
      <c r="A3178" s="31">
        <v>1000102120</v>
      </c>
      <c r="B3178" s="31" t="s">
        <v>3929</v>
      </c>
      <c r="C3178" s="31" t="s">
        <v>4</v>
      </c>
      <c r="D3178" s="31" t="s">
        <v>2056</v>
      </c>
      <c r="E3178" s="32">
        <v>399.96677727999997</v>
      </c>
      <c r="F3178" s="32">
        <v>6</v>
      </c>
    </row>
    <row r="3179" spans="1:6" x14ac:dyDescent="0.3">
      <c r="A3179" s="31">
        <v>1000100328</v>
      </c>
      <c r="B3179" s="31" t="s">
        <v>3930</v>
      </c>
      <c r="C3179" s="31" t="s">
        <v>4</v>
      </c>
      <c r="D3179" s="31" t="s">
        <v>2090</v>
      </c>
      <c r="E3179" s="32">
        <v>399.95843076923001</v>
      </c>
      <c r="F3179" s="32">
        <v>47</v>
      </c>
    </row>
    <row r="3180" spans="1:6" x14ac:dyDescent="0.3">
      <c r="A3180" s="31">
        <v>2500008870</v>
      </c>
      <c r="B3180" s="31" t="s">
        <v>3931</v>
      </c>
      <c r="C3180" s="31" t="s">
        <v>1996</v>
      </c>
      <c r="D3180" s="31" t="s">
        <v>3044</v>
      </c>
      <c r="E3180" s="32">
        <v>397.8</v>
      </c>
      <c r="F3180" s="32">
        <v>100</v>
      </c>
    </row>
    <row r="3181" spans="1:6" x14ac:dyDescent="0.3">
      <c r="A3181" s="31">
        <v>2700000231</v>
      </c>
      <c r="B3181" s="31" t="s">
        <v>293</v>
      </c>
      <c r="C3181" s="31" t="s">
        <v>2037</v>
      </c>
      <c r="D3181" s="31" t="s">
        <v>2038</v>
      </c>
      <c r="E3181" s="32">
        <v>397.34166666666601</v>
      </c>
      <c r="F3181" s="32">
        <v>1</v>
      </c>
    </row>
    <row r="3182" spans="1:6" x14ac:dyDescent="0.3">
      <c r="A3182" s="31">
        <v>2500005929</v>
      </c>
      <c r="B3182" s="31" t="s">
        <v>1909</v>
      </c>
      <c r="C3182" s="31" t="s">
        <v>1996</v>
      </c>
      <c r="D3182" s="31" t="s">
        <v>2025</v>
      </c>
      <c r="E3182" s="32">
        <v>396.58177913326602</v>
      </c>
      <c r="F3182" s="32">
        <v>1</v>
      </c>
    </row>
    <row r="3183" spans="1:6" x14ac:dyDescent="0.3">
      <c r="A3183" s="31">
        <v>1000098718</v>
      </c>
      <c r="B3183" s="31" t="s">
        <v>1665</v>
      </c>
      <c r="C3183" s="31" t="s">
        <v>4</v>
      </c>
      <c r="D3183" s="31" t="s">
        <v>2090</v>
      </c>
      <c r="E3183" s="32">
        <v>396.4</v>
      </c>
      <c r="F3183" s="32">
        <v>2</v>
      </c>
    </row>
    <row r="3184" spans="1:6" x14ac:dyDescent="0.3">
      <c r="A3184" s="31">
        <v>1000095262</v>
      </c>
      <c r="B3184" s="31" t="s">
        <v>3932</v>
      </c>
      <c r="C3184" s="31" t="s">
        <v>4</v>
      </c>
      <c r="D3184" s="31" t="s">
        <v>2090</v>
      </c>
      <c r="E3184" s="32">
        <v>396.29399999999998</v>
      </c>
      <c r="F3184" s="32">
        <v>3</v>
      </c>
    </row>
    <row r="3185" spans="1:6" x14ac:dyDescent="0.3">
      <c r="A3185" s="31">
        <v>80000009754</v>
      </c>
      <c r="B3185" s="31" t="s">
        <v>3933</v>
      </c>
      <c r="C3185" s="31" t="s">
        <v>2755</v>
      </c>
      <c r="D3185" s="31" t="s">
        <v>2670</v>
      </c>
      <c r="E3185" s="32">
        <v>396</v>
      </c>
      <c r="F3185" s="32">
        <v>4</v>
      </c>
    </row>
    <row r="3186" spans="1:6" x14ac:dyDescent="0.3">
      <c r="A3186" s="31">
        <v>1000099724</v>
      </c>
      <c r="B3186" s="31" t="s">
        <v>3934</v>
      </c>
      <c r="C3186" s="31" t="s">
        <v>4</v>
      </c>
      <c r="D3186" s="31" t="s">
        <v>2090</v>
      </c>
      <c r="E3186" s="32">
        <v>395.54462222222202</v>
      </c>
      <c r="F3186" s="32">
        <v>5</v>
      </c>
    </row>
    <row r="3187" spans="1:6" x14ac:dyDescent="0.3">
      <c r="A3187" s="31">
        <v>1000100304</v>
      </c>
      <c r="B3187" s="31" t="s">
        <v>1693</v>
      </c>
      <c r="C3187" s="31" t="s">
        <v>4</v>
      </c>
      <c r="D3187" s="31" t="s">
        <v>2090</v>
      </c>
      <c r="E3187" s="32">
        <v>395.33</v>
      </c>
      <c r="F3187" s="32">
        <v>2</v>
      </c>
    </row>
    <row r="3188" spans="1:6" x14ac:dyDescent="0.3">
      <c r="A3188" s="31">
        <v>1000093006</v>
      </c>
      <c r="B3188" s="31" t="s">
        <v>3935</v>
      </c>
      <c r="C3188" s="31" t="s">
        <v>4</v>
      </c>
      <c r="D3188" s="31" t="s">
        <v>2161</v>
      </c>
      <c r="E3188" s="32">
        <v>394.56</v>
      </c>
      <c r="F3188" s="32">
        <v>3</v>
      </c>
    </row>
    <row r="3189" spans="1:6" x14ac:dyDescent="0.3">
      <c r="A3189" s="31">
        <v>1000100412</v>
      </c>
      <c r="B3189" s="31" t="s">
        <v>1726</v>
      </c>
      <c r="C3189" s="31" t="s">
        <v>4</v>
      </c>
      <c r="D3189" s="31" t="s">
        <v>2090</v>
      </c>
      <c r="E3189" s="32">
        <v>394.43</v>
      </c>
      <c r="F3189" s="32">
        <v>4</v>
      </c>
    </row>
    <row r="3190" spans="1:6" x14ac:dyDescent="0.3">
      <c r="A3190" s="31">
        <v>80000009794</v>
      </c>
      <c r="B3190" s="31" t="s">
        <v>3810</v>
      </c>
      <c r="C3190" s="31" t="s">
        <v>2755</v>
      </c>
      <c r="D3190" s="31" t="s">
        <v>2670</v>
      </c>
      <c r="E3190" s="32">
        <v>394.4</v>
      </c>
      <c r="F3190" s="32">
        <v>136</v>
      </c>
    </row>
    <row r="3191" spans="1:6" x14ac:dyDescent="0.3">
      <c r="A3191" s="31">
        <v>1000020288</v>
      </c>
      <c r="B3191" s="31" t="s">
        <v>524</v>
      </c>
      <c r="C3191" s="31" t="s">
        <v>4</v>
      </c>
      <c r="D3191" s="31" t="s">
        <v>2090</v>
      </c>
      <c r="E3191" s="32">
        <v>394.08</v>
      </c>
      <c r="F3191" s="32">
        <v>12</v>
      </c>
    </row>
    <row r="3192" spans="1:6" x14ac:dyDescent="0.3">
      <c r="A3192" s="31">
        <v>1000101341</v>
      </c>
      <c r="B3192" s="31" t="s">
        <v>3936</v>
      </c>
      <c r="C3192" s="31" t="s">
        <v>4</v>
      </c>
      <c r="D3192" s="31" t="s">
        <v>2056</v>
      </c>
      <c r="E3192" s="32">
        <v>393.46</v>
      </c>
      <c r="F3192" s="32">
        <v>200</v>
      </c>
    </row>
    <row r="3193" spans="1:6" x14ac:dyDescent="0.3">
      <c r="A3193" s="31">
        <v>1000097010</v>
      </c>
      <c r="B3193" s="31" t="s">
        <v>3937</v>
      </c>
      <c r="C3193" s="31" t="s">
        <v>4</v>
      </c>
      <c r="D3193" s="31" t="s">
        <v>3037</v>
      </c>
      <c r="E3193" s="32">
        <v>393.16260869565201</v>
      </c>
      <c r="F3193" s="32">
        <v>14</v>
      </c>
    </row>
    <row r="3194" spans="1:6" x14ac:dyDescent="0.3">
      <c r="A3194" s="31">
        <v>1000020102</v>
      </c>
      <c r="B3194" s="31" t="s">
        <v>358</v>
      </c>
      <c r="C3194" s="31" t="s">
        <v>4</v>
      </c>
      <c r="D3194" s="31" t="s">
        <v>2090</v>
      </c>
      <c r="E3194" s="32">
        <v>392.7</v>
      </c>
      <c r="F3194" s="32">
        <v>2</v>
      </c>
    </row>
    <row r="3195" spans="1:6" x14ac:dyDescent="0.3">
      <c r="A3195" s="31">
        <v>1000021197</v>
      </c>
      <c r="B3195" s="31" t="s">
        <v>1344</v>
      </c>
      <c r="C3195" s="31" t="s">
        <v>4</v>
      </c>
      <c r="D3195" s="31" t="s">
        <v>2090</v>
      </c>
      <c r="E3195" s="32">
        <v>392.56</v>
      </c>
      <c r="F3195" s="32">
        <v>4</v>
      </c>
    </row>
    <row r="3196" spans="1:6" x14ac:dyDescent="0.3">
      <c r="A3196" s="31">
        <v>1000020671</v>
      </c>
      <c r="B3196" s="31" t="s">
        <v>884</v>
      </c>
      <c r="C3196" s="31" t="s">
        <v>4</v>
      </c>
      <c r="D3196" s="31" t="s">
        <v>2090</v>
      </c>
      <c r="E3196" s="32">
        <v>392.10535714285697</v>
      </c>
      <c r="F3196" s="32">
        <v>8</v>
      </c>
    </row>
    <row r="3197" spans="1:6" x14ac:dyDescent="0.3">
      <c r="A3197" s="31">
        <v>1000093683</v>
      </c>
      <c r="B3197" s="31" t="s">
        <v>3938</v>
      </c>
      <c r="C3197" s="31" t="s">
        <v>4</v>
      </c>
      <c r="D3197" s="31" t="s">
        <v>2056</v>
      </c>
      <c r="E3197" s="32">
        <v>391.41719997070902</v>
      </c>
      <c r="F3197" s="32">
        <v>390</v>
      </c>
    </row>
    <row r="3198" spans="1:6" x14ac:dyDescent="0.3">
      <c r="A3198" s="31">
        <v>8000006548</v>
      </c>
      <c r="B3198" s="31" t="s">
        <v>3939</v>
      </c>
      <c r="C3198" s="31" t="s">
        <v>2755</v>
      </c>
      <c r="D3198" s="31" t="s">
        <v>3289</v>
      </c>
      <c r="E3198" s="32">
        <v>390</v>
      </c>
      <c r="F3198" s="32">
        <v>3</v>
      </c>
    </row>
    <row r="3199" spans="1:6" x14ac:dyDescent="0.3">
      <c r="A3199" s="31">
        <v>1000020994</v>
      </c>
      <c r="B3199" s="31" t="s">
        <v>1168</v>
      </c>
      <c r="C3199" s="31" t="s">
        <v>4</v>
      </c>
      <c r="D3199" s="31" t="s">
        <v>2090</v>
      </c>
      <c r="E3199" s="32">
        <v>388.76307692307603</v>
      </c>
      <c r="F3199" s="32">
        <v>4</v>
      </c>
    </row>
    <row r="3200" spans="1:6" x14ac:dyDescent="0.3">
      <c r="A3200" s="31">
        <v>1000102777</v>
      </c>
      <c r="B3200" s="31" t="s">
        <v>3940</v>
      </c>
      <c r="C3200" s="31" t="s">
        <v>4</v>
      </c>
      <c r="D3200" s="31" t="s">
        <v>2056</v>
      </c>
      <c r="E3200" s="32">
        <v>388.37400000000002</v>
      </c>
      <c r="F3200" s="32">
        <v>3</v>
      </c>
    </row>
    <row r="3201" spans="1:6" x14ac:dyDescent="0.3">
      <c r="A3201" s="31">
        <v>1000098441</v>
      </c>
      <c r="B3201" s="31" t="s">
        <v>1521</v>
      </c>
      <c r="C3201" s="31" t="s">
        <v>4</v>
      </c>
      <c r="D3201" s="31" t="s">
        <v>2090</v>
      </c>
      <c r="E3201" s="32">
        <v>388.31200000000001</v>
      </c>
      <c r="F3201" s="32">
        <v>16</v>
      </c>
    </row>
    <row r="3202" spans="1:6" x14ac:dyDescent="0.3">
      <c r="A3202" s="31">
        <v>2500009025</v>
      </c>
      <c r="B3202" s="31" t="s">
        <v>1961</v>
      </c>
      <c r="C3202" s="31" t="s">
        <v>1996</v>
      </c>
      <c r="D3202" s="31" t="s">
        <v>2025</v>
      </c>
      <c r="E3202" s="32">
        <v>388.12666666666598</v>
      </c>
      <c r="F3202" s="32">
        <v>1</v>
      </c>
    </row>
    <row r="3203" spans="1:6" x14ac:dyDescent="0.3">
      <c r="A3203" s="31">
        <v>1000110738</v>
      </c>
      <c r="B3203" s="31" t="s">
        <v>3941</v>
      </c>
      <c r="C3203" s="31" t="s">
        <v>4</v>
      </c>
      <c r="D3203" s="31" t="s">
        <v>2056</v>
      </c>
      <c r="E3203" s="32">
        <v>388.08</v>
      </c>
      <c r="F3203" s="32">
        <v>49</v>
      </c>
    </row>
    <row r="3204" spans="1:6" x14ac:dyDescent="0.3">
      <c r="A3204" s="31">
        <v>1000098438</v>
      </c>
      <c r="B3204" s="31" t="s">
        <v>1518</v>
      </c>
      <c r="C3204" s="31" t="s">
        <v>4</v>
      </c>
      <c r="D3204" s="31" t="s">
        <v>2090</v>
      </c>
      <c r="E3204" s="32">
        <v>387.416</v>
      </c>
      <c r="F3204" s="32">
        <v>8</v>
      </c>
    </row>
    <row r="3205" spans="1:6" x14ac:dyDescent="0.3">
      <c r="A3205" s="31">
        <v>1000020433</v>
      </c>
      <c r="B3205" s="31" t="s">
        <v>660</v>
      </c>
      <c r="C3205" s="31" t="s">
        <v>4</v>
      </c>
      <c r="D3205" s="31" t="s">
        <v>2090</v>
      </c>
      <c r="E3205" s="32">
        <v>387.35978571428501</v>
      </c>
      <c r="F3205" s="32">
        <v>38</v>
      </c>
    </row>
    <row r="3206" spans="1:6" x14ac:dyDescent="0.3">
      <c r="A3206" s="31">
        <v>1000096883</v>
      </c>
      <c r="B3206" s="31" t="s">
        <v>3942</v>
      </c>
      <c r="C3206" s="31" t="s">
        <v>4</v>
      </c>
      <c r="D3206" s="31" t="s">
        <v>2056</v>
      </c>
      <c r="E3206" s="32">
        <v>386.75</v>
      </c>
      <c r="F3206" s="32">
        <v>2</v>
      </c>
    </row>
    <row r="3207" spans="1:6" x14ac:dyDescent="0.3">
      <c r="A3207" s="31">
        <v>1000021068</v>
      </c>
      <c r="B3207" s="31" t="s">
        <v>1232</v>
      </c>
      <c r="C3207" s="31" t="s">
        <v>4</v>
      </c>
      <c r="D3207" s="31" t="s">
        <v>2090</v>
      </c>
      <c r="E3207" s="32">
        <v>386.5</v>
      </c>
      <c r="F3207" s="32">
        <v>1</v>
      </c>
    </row>
    <row r="3208" spans="1:6" x14ac:dyDescent="0.3">
      <c r="A3208" s="31">
        <v>1000103517</v>
      </c>
      <c r="B3208" s="31" t="s">
        <v>3943</v>
      </c>
      <c r="C3208" s="31" t="s">
        <v>4</v>
      </c>
      <c r="D3208" s="31" t="s">
        <v>2043</v>
      </c>
      <c r="E3208" s="32">
        <v>385.18920000000003</v>
      </c>
      <c r="F3208" s="32">
        <v>11</v>
      </c>
    </row>
    <row r="3209" spans="1:6" x14ac:dyDescent="0.3">
      <c r="A3209" s="31">
        <v>1000020804</v>
      </c>
      <c r="B3209" s="31" t="s">
        <v>1008</v>
      </c>
      <c r="C3209" s="31" t="s">
        <v>4</v>
      </c>
      <c r="D3209" s="31" t="s">
        <v>2090</v>
      </c>
      <c r="E3209" s="32">
        <v>384.964</v>
      </c>
      <c r="F3209" s="32">
        <v>2</v>
      </c>
    </row>
    <row r="3210" spans="1:6" x14ac:dyDescent="0.3">
      <c r="A3210" s="31">
        <v>1000098619</v>
      </c>
      <c r="B3210" s="31" t="s">
        <v>3944</v>
      </c>
      <c r="C3210" s="31" t="s">
        <v>4</v>
      </c>
      <c r="D3210" s="31" t="s">
        <v>2056</v>
      </c>
      <c r="E3210" s="32">
        <v>384.40714285714199</v>
      </c>
      <c r="F3210" s="32">
        <v>150</v>
      </c>
    </row>
    <row r="3211" spans="1:6" x14ac:dyDescent="0.3">
      <c r="A3211" s="31">
        <v>1000106135</v>
      </c>
      <c r="B3211" s="31" t="s">
        <v>1832</v>
      </c>
      <c r="C3211" s="31" t="s">
        <v>4</v>
      </c>
      <c r="D3211" s="31" t="s">
        <v>2090</v>
      </c>
      <c r="E3211" s="32">
        <v>383.33</v>
      </c>
      <c r="F3211" s="32">
        <v>1</v>
      </c>
    </row>
    <row r="3212" spans="1:6" x14ac:dyDescent="0.3">
      <c r="A3212" s="31">
        <v>1000020412</v>
      </c>
      <c r="B3212" s="31" t="s">
        <v>642</v>
      </c>
      <c r="C3212" s="31" t="s">
        <v>4</v>
      </c>
      <c r="D3212" s="31" t="s">
        <v>2090</v>
      </c>
      <c r="E3212" s="32">
        <v>382.84</v>
      </c>
      <c r="F3212" s="32">
        <v>68</v>
      </c>
    </row>
    <row r="3213" spans="1:6" x14ac:dyDescent="0.3">
      <c r="A3213" s="31">
        <v>1000098544</v>
      </c>
      <c r="B3213" s="31" t="s">
        <v>1575</v>
      </c>
      <c r="C3213" s="31" t="s">
        <v>4</v>
      </c>
      <c r="D3213" s="31" t="s">
        <v>2090</v>
      </c>
      <c r="E3213" s="32">
        <v>382.25</v>
      </c>
      <c r="F3213" s="32">
        <v>2</v>
      </c>
    </row>
    <row r="3214" spans="1:6" x14ac:dyDescent="0.3">
      <c r="A3214" s="31">
        <v>1000101059</v>
      </c>
      <c r="B3214" s="31" t="s">
        <v>3945</v>
      </c>
      <c r="C3214" s="31" t="s">
        <v>4</v>
      </c>
      <c r="D3214" s="31" t="s">
        <v>2056</v>
      </c>
      <c r="E3214" s="32">
        <v>381.96449999999999</v>
      </c>
      <c r="F3214" s="32">
        <v>150</v>
      </c>
    </row>
    <row r="3215" spans="1:6" x14ac:dyDescent="0.3">
      <c r="A3215" s="31">
        <v>1000096766</v>
      </c>
      <c r="B3215" s="31" t="s">
        <v>3387</v>
      </c>
      <c r="C3215" s="31" t="s">
        <v>4</v>
      </c>
      <c r="D3215" s="31" t="s">
        <v>2056</v>
      </c>
      <c r="E3215" s="32">
        <v>381.706285714285</v>
      </c>
      <c r="F3215" s="32">
        <v>58</v>
      </c>
    </row>
    <row r="3216" spans="1:6" x14ac:dyDescent="0.3">
      <c r="A3216" s="31">
        <v>1000098202</v>
      </c>
      <c r="B3216" s="31" t="s">
        <v>1513</v>
      </c>
      <c r="C3216" s="31" t="s">
        <v>4</v>
      </c>
      <c r="D3216" s="31" t="s">
        <v>2090</v>
      </c>
      <c r="E3216" s="32">
        <v>381.65</v>
      </c>
      <c r="F3216" s="32">
        <v>5</v>
      </c>
    </row>
    <row r="3217" spans="1:6" x14ac:dyDescent="0.3">
      <c r="A3217" s="31">
        <v>1000020989</v>
      </c>
      <c r="B3217" s="31" t="s">
        <v>1163</v>
      </c>
      <c r="C3217" s="31" t="s">
        <v>4</v>
      </c>
      <c r="D3217" s="31" t="s">
        <v>2090</v>
      </c>
      <c r="E3217" s="32">
        <v>381.55</v>
      </c>
      <c r="F3217" s="32">
        <v>5</v>
      </c>
    </row>
    <row r="3218" spans="1:6" x14ac:dyDescent="0.3">
      <c r="A3218" s="31">
        <v>1000020951</v>
      </c>
      <c r="B3218" s="31" t="s">
        <v>1129</v>
      </c>
      <c r="C3218" s="31" t="s">
        <v>4</v>
      </c>
      <c r="D3218" s="31" t="s">
        <v>2090</v>
      </c>
      <c r="E3218" s="32">
        <v>381.55</v>
      </c>
      <c r="F3218" s="32">
        <v>5</v>
      </c>
    </row>
    <row r="3219" spans="1:6" x14ac:dyDescent="0.3">
      <c r="A3219" s="31">
        <v>1000020898</v>
      </c>
      <c r="B3219" s="31" t="s">
        <v>1080</v>
      </c>
      <c r="C3219" s="31" t="s">
        <v>4</v>
      </c>
      <c r="D3219" s="31" t="s">
        <v>2090</v>
      </c>
      <c r="E3219" s="32">
        <v>380.52</v>
      </c>
      <c r="F3219" s="32">
        <v>2</v>
      </c>
    </row>
    <row r="3220" spans="1:6" x14ac:dyDescent="0.3">
      <c r="A3220" s="31">
        <v>1000098155</v>
      </c>
      <c r="B3220" s="31" t="s">
        <v>3379</v>
      </c>
      <c r="C3220" s="31" t="s">
        <v>4</v>
      </c>
      <c r="D3220" s="31" t="s">
        <v>2056</v>
      </c>
      <c r="E3220" s="32">
        <v>380.481652</v>
      </c>
      <c r="F3220" s="32">
        <v>30</v>
      </c>
    </row>
    <row r="3221" spans="1:6" x14ac:dyDescent="0.3">
      <c r="A3221" s="31">
        <v>1000001281</v>
      </c>
      <c r="B3221" s="31" t="s">
        <v>3946</v>
      </c>
      <c r="C3221" s="31" t="s">
        <v>2257</v>
      </c>
      <c r="D3221" s="31" t="s">
        <v>2399</v>
      </c>
      <c r="E3221" s="32">
        <v>380.28</v>
      </c>
      <c r="F3221" s="32">
        <v>4</v>
      </c>
    </row>
    <row r="3222" spans="1:6" x14ac:dyDescent="0.3">
      <c r="A3222" s="31">
        <v>1000021409</v>
      </c>
      <c r="B3222" s="31" t="s">
        <v>1476</v>
      </c>
      <c r="C3222" s="31" t="s">
        <v>4</v>
      </c>
      <c r="D3222" s="31" t="s">
        <v>2090</v>
      </c>
      <c r="E3222" s="32">
        <v>380.15</v>
      </c>
      <c r="F3222" s="32">
        <v>10</v>
      </c>
    </row>
    <row r="3223" spans="1:6" x14ac:dyDescent="0.3">
      <c r="A3223" s="31">
        <v>1000020603</v>
      </c>
      <c r="B3223" s="31" t="s">
        <v>819</v>
      </c>
      <c r="C3223" s="31" t="s">
        <v>4</v>
      </c>
      <c r="D3223" s="31" t="s">
        <v>2090</v>
      </c>
      <c r="E3223" s="32">
        <v>380</v>
      </c>
      <c r="F3223" s="32">
        <v>50</v>
      </c>
    </row>
    <row r="3224" spans="1:6" x14ac:dyDescent="0.3">
      <c r="A3224" s="31">
        <v>1000017007</v>
      </c>
      <c r="B3224" s="31" t="s">
        <v>3947</v>
      </c>
      <c r="C3224" s="31" t="s">
        <v>4</v>
      </c>
      <c r="D3224" s="31" t="s">
        <v>3274</v>
      </c>
      <c r="E3224" s="32">
        <v>380</v>
      </c>
      <c r="F3224" s="32">
        <v>40</v>
      </c>
    </row>
    <row r="3225" spans="1:6" x14ac:dyDescent="0.3">
      <c r="A3225" s="31">
        <v>80000009742</v>
      </c>
      <c r="B3225" s="31" t="s">
        <v>3948</v>
      </c>
      <c r="C3225" s="31" t="s">
        <v>2755</v>
      </c>
      <c r="D3225" s="31" t="s">
        <v>2670</v>
      </c>
      <c r="E3225" s="32">
        <v>380</v>
      </c>
      <c r="F3225" s="32">
        <v>1</v>
      </c>
    </row>
    <row r="3226" spans="1:6" x14ac:dyDescent="0.3">
      <c r="A3226" s="31">
        <v>8000000004</v>
      </c>
      <c r="B3226" s="31" t="s">
        <v>3949</v>
      </c>
      <c r="C3226" s="31" t="s">
        <v>2755</v>
      </c>
      <c r="D3226" s="31" t="s">
        <v>3289</v>
      </c>
      <c r="E3226" s="32">
        <v>380</v>
      </c>
      <c r="F3226" s="32">
        <v>1</v>
      </c>
    </row>
    <row r="3227" spans="1:6" x14ac:dyDescent="0.3">
      <c r="A3227" s="31">
        <v>1000020300</v>
      </c>
      <c r="B3227" s="31" t="s">
        <v>536</v>
      </c>
      <c r="C3227" s="31" t="s">
        <v>4</v>
      </c>
      <c r="D3227" s="31" t="s">
        <v>2090</v>
      </c>
      <c r="E3227" s="32">
        <v>379.88</v>
      </c>
      <c r="F3227" s="32">
        <v>4</v>
      </c>
    </row>
    <row r="3228" spans="1:6" x14ac:dyDescent="0.3">
      <c r="A3228" s="31">
        <v>1000020771</v>
      </c>
      <c r="B3228" s="31" t="s">
        <v>975</v>
      </c>
      <c r="C3228" s="31" t="s">
        <v>4</v>
      </c>
      <c r="D3228" s="31" t="s">
        <v>2090</v>
      </c>
      <c r="E3228" s="32">
        <v>379.61439272525701</v>
      </c>
      <c r="F3228" s="32">
        <v>1</v>
      </c>
    </row>
    <row r="3229" spans="1:6" x14ac:dyDescent="0.3">
      <c r="A3229" s="31">
        <v>1000020934</v>
      </c>
      <c r="B3229" s="31" t="s">
        <v>1113</v>
      </c>
      <c r="C3229" s="31" t="s">
        <v>4</v>
      </c>
      <c r="D3229" s="31" t="s">
        <v>2090</v>
      </c>
      <c r="E3229" s="32">
        <v>378.89</v>
      </c>
      <c r="F3229" s="32">
        <v>1</v>
      </c>
    </row>
    <row r="3230" spans="1:6" x14ac:dyDescent="0.3">
      <c r="A3230" s="31">
        <v>1000105833</v>
      </c>
      <c r="B3230" s="31" t="s">
        <v>3950</v>
      </c>
      <c r="C3230" s="31" t="s">
        <v>4</v>
      </c>
      <c r="D3230" s="31" t="s">
        <v>2056</v>
      </c>
      <c r="E3230" s="32">
        <v>378.84</v>
      </c>
      <c r="F3230" s="32">
        <v>30</v>
      </c>
    </row>
    <row r="3231" spans="1:6" x14ac:dyDescent="0.3">
      <c r="A3231" s="31">
        <v>1000103196</v>
      </c>
      <c r="B3231" s="31" t="s">
        <v>1804</v>
      </c>
      <c r="C3231" s="31" t="s">
        <v>4</v>
      </c>
      <c r="D3231" s="31" t="s">
        <v>2090</v>
      </c>
      <c r="E3231" s="32">
        <v>378</v>
      </c>
      <c r="F3231" s="32">
        <v>2</v>
      </c>
    </row>
    <row r="3232" spans="1:6" x14ac:dyDescent="0.3">
      <c r="A3232" s="31">
        <v>80000009771</v>
      </c>
      <c r="B3232" s="31" t="s">
        <v>3951</v>
      </c>
      <c r="C3232" s="31" t="s">
        <v>2521</v>
      </c>
      <c r="D3232" s="31" t="s">
        <v>2670</v>
      </c>
      <c r="E3232" s="32">
        <v>378</v>
      </c>
      <c r="F3232" s="32">
        <v>27</v>
      </c>
    </row>
    <row r="3233" spans="1:6" x14ac:dyDescent="0.3">
      <c r="A3233" s="31">
        <v>1000020261</v>
      </c>
      <c r="B3233" s="31" t="s">
        <v>500</v>
      </c>
      <c r="C3233" s="31" t="s">
        <v>4</v>
      </c>
      <c r="D3233" s="31" t="s">
        <v>2090</v>
      </c>
      <c r="E3233" s="32">
        <v>377.58</v>
      </c>
      <c r="F3233" s="32">
        <v>31</v>
      </c>
    </row>
    <row r="3234" spans="1:6" x14ac:dyDescent="0.3">
      <c r="A3234" s="31">
        <v>1000020207</v>
      </c>
      <c r="B3234" s="31" t="s">
        <v>447</v>
      </c>
      <c r="C3234" s="31" t="s">
        <v>4</v>
      </c>
      <c r="D3234" s="31" t="s">
        <v>2090</v>
      </c>
      <c r="E3234" s="32">
        <v>377.2</v>
      </c>
      <c r="F3234" s="32">
        <v>4</v>
      </c>
    </row>
    <row r="3235" spans="1:6" x14ac:dyDescent="0.3">
      <c r="A3235" s="31">
        <v>2500008264</v>
      </c>
      <c r="B3235" s="31" t="s">
        <v>1926</v>
      </c>
      <c r="C3235" s="31" t="s">
        <v>1996</v>
      </c>
      <c r="D3235" s="31" t="s">
        <v>2025</v>
      </c>
      <c r="E3235" s="32">
        <v>376.69</v>
      </c>
      <c r="F3235" s="32">
        <v>4</v>
      </c>
    </row>
    <row r="3236" spans="1:6" x14ac:dyDescent="0.3">
      <c r="A3236" s="31">
        <v>2200000286</v>
      </c>
      <c r="B3236" s="31" t="s">
        <v>3952</v>
      </c>
      <c r="C3236" s="31" t="s">
        <v>2037</v>
      </c>
      <c r="D3236" s="31" t="s">
        <v>2038</v>
      </c>
      <c r="E3236" s="32">
        <v>375.59</v>
      </c>
      <c r="F3236" s="32">
        <v>1</v>
      </c>
    </row>
    <row r="3237" spans="1:6" x14ac:dyDescent="0.3">
      <c r="A3237" s="31">
        <v>1000098459</v>
      </c>
      <c r="B3237" s="31" t="s">
        <v>1534</v>
      </c>
      <c r="C3237" s="31" t="s">
        <v>4</v>
      </c>
      <c r="D3237" s="31" t="s">
        <v>2090</v>
      </c>
      <c r="E3237" s="32">
        <v>375.45</v>
      </c>
      <c r="F3237" s="32">
        <v>1</v>
      </c>
    </row>
    <row r="3238" spans="1:6" x14ac:dyDescent="0.3">
      <c r="A3238" s="31">
        <v>2500009483</v>
      </c>
      <c r="B3238" s="31" t="s">
        <v>3953</v>
      </c>
      <c r="C3238" s="31" t="s">
        <v>1996</v>
      </c>
      <c r="D3238" s="31" t="s">
        <v>2289</v>
      </c>
      <c r="E3238" s="32">
        <v>375</v>
      </c>
      <c r="F3238" s="32">
        <v>10</v>
      </c>
    </row>
    <row r="3239" spans="1:6" x14ac:dyDescent="0.3">
      <c r="A3239" s="31">
        <v>2500008283</v>
      </c>
      <c r="B3239" s="31" t="s">
        <v>3954</v>
      </c>
      <c r="C3239" s="31" t="s">
        <v>1996</v>
      </c>
      <c r="D3239" s="31" t="s">
        <v>2025</v>
      </c>
      <c r="E3239" s="32">
        <v>375</v>
      </c>
      <c r="F3239" s="32">
        <v>1</v>
      </c>
    </row>
    <row r="3240" spans="1:6" x14ac:dyDescent="0.3">
      <c r="A3240" s="31">
        <v>2500009110</v>
      </c>
      <c r="B3240" s="31" t="s">
        <v>3955</v>
      </c>
      <c r="C3240" s="31" t="s">
        <v>1996</v>
      </c>
      <c r="D3240" s="31" t="s">
        <v>2289</v>
      </c>
      <c r="E3240" s="32">
        <v>375</v>
      </c>
      <c r="F3240" s="32">
        <v>2</v>
      </c>
    </row>
    <row r="3241" spans="1:6" x14ac:dyDescent="0.3">
      <c r="A3241" s="31">
        <v>1000020819</v>
      </c>
      <c r="B3241" s="31" t="s">
        <v>1021</v>
      </c>
      <c r="C3241" s="31" t="s">
        <v>4</v>
      </c>
      <c r="D3241" s="31" t="s">
        <v>2090</v>
      </c>
      <c r="E3241" s="32">
        <v>373.61</v>
      </c>
      <c r="F3241" s="32">
        <v>1</v>
      </c>
    </row>
    <row r="3242" spans="1:6" x14ac:dyDescent="0.3">
      <c r="A3242" s="31">
        <v>1000103528</v>
      </c>
      <c r="B3242" s="31" t="s">
        <v>1830</v>
      </c>
      <c r="C3242" s="31" t="s">
        <v>4</v>
      </c>
      <c r="D3242" s="31" t="s">
        <v>2090</v>
      </c>
      <c r="E3242" s="32">
        <v>373.50400000000002</v>
      </c>
      <c r="F3242" s="32">
        <v>4</v>
      </c>
    </row>
    <row r="3243" spans="1:6" x14ac:dyDescent="0.3">
      <c r="A3243" s="31">
        <v>1000106594</v>
      </c>
      <c r="B3243" s="31" t="s">
        <v>129</v>
      </c>
      <c r="C3243" s="31" t="s">
        <v>4</v>
      </c>
      <c r="D3243" s="31" t="s">
        <v>2161</v>
      </c>
      <c r="E3243" s="32">
        <v>372.19333333333299</v>
      </c>
      <c r="F3243" s="32">
        <v>4</v>
      </c>
    </row>
    <row r="3244" spans="1:6" x14ac:dyDescent="0.3">
      <c r="A3244" s="31">
        <v>1000020309</v>
      </c>
      <c r="B3244" s="31" t="s">
        <v>545</v>
      </c>
      <c r="C3244" s="31" t="s">
        <v>4</v>
      </c>
      <c r="D3244" s="31" t="s">
        <v>2090</v>
      </c>
      <c r="E3244" s="32">
        <v>372.03</v>
      </c>
      <c r="F3244" s="32">
        <v>3</v>
      </c>
    </row>
    <row r="3245" spans="1:6" x14ac:dyDescent="0.3">
      <c r="A3245" s="31">
        <v>1000020625</v>
      </c>
      <c r="B3245" s="31" t="s">
        <v>840</v>
      </c>
      <c r="C3245" s="31" t="s">
        <v>4</v>
      </c>
      <c r="D3245" s="31" t="s">
        <v>2090</v>
      </c>
      <c r="E3245" s="32">
        <v>371.73</v>
      </c>
      <c r="F3245" s="32">
        <v>29</v>
      </c>
    </row>
    <row r="3246" spans="1:6" x14ac:dyDescent="0.3">
      <c r="A3246" s="31">
        <v>2500009231</v>
      </c>
      <c r="B3246" s="31" t="s">
        <v>3956</v>
      </c>
      <c r="C3246" s="31" t="s">
        <v>1996</v>
      </c>
      <c r="D3246" s="31" t="s">
        <v>2434</v>
      </c>
      <c r="E3246" s="32">
        <v>371.28</v>
      </c>
      <c r="F3246" s="32">
        <v>1</v>
      </c>
    </row>
    <row r="3247" spans="1:6" x14ac:dyDescent="0.3">
      <c r="A3247" s="31">
        <v>1000098524</v>
      </c>
      <c r="B3247" s="31" t="s">
        <v>1558</v>
      </c>
      <c r="C3247" s="31" t="s">
        <v>4</v>
      </c>
      <c r="D3247" s="31" t="s">
        <v>2090</v>
      </c>
      <c r="E3247" s="32">
        <v>370.89600000000002</v>
      </c>
      <c r="F3247" s="32">
        <v>3</v>
      </c>
    </row>
    <row r="3248" spans="1:6" x14ac:dyDescent="0.3">
      <c r="A3248" s="31">
        <v>1000020286</v>
      </c>
      <c r="B3248" s="31" t="s">
        <v>522</v>
      </c>
      <c r="C3248" s="31" t="s">
        <v>4</v>
      </c>
      <c r="D3248" s="31" t="s">
        <v>2090</v>
      </c>
      <c r="E3248" s="32">
        <v>370.7</v>
      </c>
      <c r="F3248" s="32">
        <v>10</v>
      </c>
    </row>
    <row r="3249" spans="1:6" x14ac:dyDescent="0.3">
      <c r="A3249" s="31">
        <v>1000020327</v>
      </c>
      <c r="B3249" s="31" t="s">
        <v>561</v>
      </c>
      <c r="C3249" s="31" t="s">
        <v>4</v>
      </c>
      <c r="D3249" s="31" t="s">
        <v>2090</v>
      </c>
      <c r="E3249" s="32">
        <v>370.52</v>
      </c>
      <c r="F3249" s="32">
        <v>2</v>
      </c>
    </row>
    <row r="3250" spans="1:6" x14ac:dyDescent="0.3">
      <c r="A3250" s="31">
        <v>1000020530</v>
      </c>
      <c r="B3250" s="31" t="s">
        <v>751</v>
      </c>
      <c r="C3250" s="31" t="s">
        <v>4</v>
      </c>
      <c r="D3250" s="31" t="s">
        <v>2090</v>
      </c>
      <c r="E3250" s="32">
        <v>370.48</v>
      </c>
      <c r="F3250" s="32">
        <v>1</v>
      </c>
    </row>
    <row r="3251" spans="1:6" x14ac:dyDescent="0.3">
      <c r="A3251" s="31">
        <v>1000020694</v>
      </c>
      <c r="B3251" s="31" t="s">
        <v>906</v>
      </c>
      <c r="C3251" s="31" t="s">
        <v>4</v>
      </c>
      <c r="D3251" s="31" t="s">
        <v>2090</v>
      </c>
      <c r="E3251" s="32">
        <v>370.32</v>
      </c>
      <c r="F3251" s="32">
        <v>4</v>
      </c>
    </row>
    <row r="3252" spans="1:6" x14ac:dyDescent="0.3">
      <c r="A3252" s="31">
        <v>1000106189</v>
      </c>
      <c r="B3252" s="31" t="s">
        <v>3957</v>
      </c>
      <c r="C3252" s="31" t="s">
        <v>4</v>
      </c>
      <c r="D3252" s="31" t="s">
        <v>2056</v>
      </c>
      <c r="E3252" s="32">
        <v>369.53</v>
      </c>
      <c r="F3252" s="32">
        <v>4</v>
      </c>
    </row>
    <row r="3253" spans="1:6" x14ac:dyDescent="0.3">
      <c r="A3253" s="31">
        <v>1000021190</v>
      </c>
      <c r="B3253" s="31" t="s">
        <v>1337</v>
      </c>
      <c r="C3253" s="31" t="s">
        <v>4</v>
      </c>
      <c r="D3253" s="31" t="s">
        <v>2218</v>
      </c>
      <c r="E3253" s="32">
        <v>367.65</v>
      </c>
      <c r="F3253" s="32">
        <v>3</v>
      </c>
    </row>
    <row r="3254" spans="1:6" x14ac:dyDescent="0.3">
      <c r="A3254" s="31">
        <v>1000021194</v>
      </c>
      <c r="B3254" s="31" t="s">
        <v>1341</v>
      </c>
      <c r="C3254" s="31" t="s">
        <v>4</v>
      </c>
      <c r="D3254" s="31" t="s">
        <v>2090</v>
      </c>
      <c r="E3254" s="32">
        <v>366.24</v>
      </c>
      <c r="F3254" s="32">
        <v>4</v>
      </c>
    </row>
    <row r="3255" spans="1:6" x14ac:dyDescent="0.3">
      <c r="A3255" s="31">
        <v>1000020927</v>
      </c>
      <c r="B3255" s="31" t="s">
        <v>1107</v>
      </c>
      <c r="C3255" s="31" t="s">
        <v>4</v>
      </c>
      <c r="D3255" s="31" t="s">
        <v>2090</v>
      </c>
      <c r="E3255" s="32">
        <v>365.37</v>
      </c>
      <c r="F3255" s="32">
        <v>3</v>
      </c>
    </row>
    <row r="3256" spans="1:6" x14ac:dyDescent="0.3">
      <c r="A3256" s="31">
        <v>2500008232</v>
      </c>
      <c r="B3256" s="31" t="s">
        <v>3958</v>
      </c>
      <c r="C3256" s="31" t="s">
        <v>1996</v>
      </c>
      <c r="D3256" s="31" t="s">
        <v>2025</v>
      </c>
      <c r="E3256" s="32">
        <v>365.20499999999998</v>
      </c>
      <c r="F3256" s="32">
        <v>7</v>
      </c>
    </row>
    <row r="3257" spans="1:6" x14ac:dyDescent="0.3">
      <c r="A3257" s="31">
        <v>1000098703</v>
      </c>
      <c r="B3257" s="31" t="s">
        <v>1653</v>
      </c>
      <c r="C3257" s="31" t="s">
        <v>4</v>
      </c>
      <c r="D3257" s="31" t="s">
        <v>2090</v>
      </c>
      <c r="E3257" s="32">
        <v>364.42</v>
      </c>
      <c r="F3257" s="32">
        <v>2</v>
      </c>
    </row>
    <row r="3258" spans="1:6" x14ac:dyDescent="0.3">
      <c r="A3258" s="31">
        <v>1000103148</v>
      </c>
      <c r="B3258" s="31" t="s">
        <v>3959</v>
      </c>
      <c r="C3258" s="31" t="s">
        <v>4</v>
      </c>
      <c r="D3258" s="31" t="s">
        <v>2218</v>
      </c>
      <c r="E3258" s="32">
        <v>363.94</v>
      </c>
      <c r="F3258" s="32">
        <v>1</v>
      </c>
    </row>
    <row r="3259" spans="1:6" x14ac:dyDescent="0.3">
      <c r="A3259" s="31">
        <v>2500008878</v>
      </c>
      <c r="B3259" s="31" t="s">
        <v>3960</v>
      </c>
      <c r="C3259" s="31" t="s">
        <v>1996</v>
      </c>
      <c r="D3259" s="31" t="s">
        <v>2025</v>
      </c>
      <c r="E3259" s="32">
        <v>363.75</v>
      </c>
      <c r="F3259" s="32">
        <v>1</v>
      </c>
    </row>
    <row r="3260" spans="1:6" x14ac:dyDescent="0.3">
      <c r="A3260" s="31">
        <v>1000021013</v>
      </c>
      <c r="B3260" s="31" t="s">
        <v>1185</v>
      </c>
      <c r="C3260" s="31" t="s">
        <v>4</v>
      </c>
      <c r="D3260" s="31" t="s">
        <v>2090</v>
      </c>
      <c r="E3260" s="32">
        <v>362.2</v>
      </c>
      <c r="F3260" s="32">
        <v>2</v>
      </c>
    </row>
    <row r="3261" spans="1:6" x14ac:dyDescent="0.3">
      <c r="A3261" s="31">
        <v>1000021014</v>
      </c>
      <c r="B3261" s="31" t="s">
        <v>1186</v>
      </c>
      <c r="C3261" s="31" t="s">
        <v>4</v>
      </c>
      <c r="D3261" s="31" t="s">
        <v>2090</v>
      </c>
      <c r="E3261" s="32">
        <v>362.2</v>
      </c>
      <c r="F3261" s="32">
        <v>2</v>
      </c>
    </row>
    <row r="3262" spans="1:6" x14ac:dyDescent="0.3">
      <c r="A3262" s="31">
        <v>1000020483</v>
      </c>
      <c r="B3262" s="31" t="s">
        <v>709</v>
      </c>
      <c r="C3262" s="31" t="s">
        <v>4</v>
      </c>
      <c r="D3262" s="31" t="s">
        <v>2090</v>
      </c>
      <c r="E3262" s="32">
        <v>360.98467391304303</v>
      </c>
      <c r="F3262" s="32">
        <v>7</v>
      </c>
    </row>
    <row r="3263" spans="1:6" x14ac:dyDescent="0.3">
      <c r="A3263" s="31">
        <v>2500008356</v>
      </c>
      <c r="B3263" s="31" t="s">
        <v>1929</v>
      </c>
      <c r="C3263" s="31" t="s">
        <v>1996</v>
      </c>
      <c r="D3263" s="31" t="s">
        <v>2811</v>
      </c>
      <c r="E3263" s="32">
        <v>360</v>
      </c>
      <c r="F3263" s="32">
        <v>2</v>
      </c>
    </row>
    <row r="3264" spans="1:6" x14ac:dyDescent="0.3">
      <c r="A3264" s="31">
        <v>2500009064</v>
      </c>
      <c r="B3264" s="31" t="s">
        <v>3961</v>
      </c>
      <c r="C3264" s="31" t="s">
        <v>1996</v>
      </c>
      <c r="D3264" s="31" t="s">
        <v>2289</v>
      </c>
      <c r="E3264" s="32">
        <v>360</v>
      </c>
      <c r="F3264" s="32">
        <v>4</v>
      </c>
    </row>
    <row r="3265" spans="1:6" x14ac:dyDescent="0.3">
      <c r="A3265" s="31">
        <v>2500008375</v>
      </c>
      <c r="B3265" s="31" t="s">
        <v>3962</v>
      </c>
      <c r="C3265" s="31" t="s">
        <v>1996</v>
      </c>
      <c r="D3265" s="31" t="s">
        <v>2025</v>
      </c>
      <c r="E3265" s="32">
        <v>360</v>
      </c>
      <c r="F3265" s="32">
        <v>1</v>
      </c>
    </row>
    <row r="3266" spans="1:6" x14ac:dyDescent="0.3">
      <c r="A3266" s="31">
        <v>80000009900</v>
      </c>
      <c r="B3266" s="31" t="s">
        <v>3963</v>
      </c>
      <c r="C3266" s="31" t="s">
        <v>2521</v>
      </c>
      <c r="D3266" s="31" t="s">
        <v>3289</v>
      </c>
      <c r="E3266" s="32">
        <v>360</v>
      </c>
      <c r="F3266" s="32">
        <v>18</v>
      </c>
    </row>
    <row r="3267" spans="1:6" x14ac:dyDescent="0.3">
      <c r="A3267" s="31">
        <v>1000107103</v>
      </c>
      <c r="B3267" s="31" t="s">
        <v>3964</v>
      </c>
      <c r="C3267" s="31" t="s">
        <v>4</v>
      </c>
      <c r="D3267" s="31" t="s">
        <v>2043</v>
      </c>
      <c r="E3267" s="32">
        <v>359.56262973431302</v>
      </c>
      <c r="F3267" s="32">
        <v>4</v>
      </c>
    </row>
    <row r="3268" spans="1:6" x14ac:dyDescent="0.3">
      <c r="A3268" s="31">
        <v>1000108371</v>
      </c>
      <c r="B3268" s="31" t="s">
        <v>3965</v>
      </c>
      <c r="C3268" s="31" t="s">
        <v>4</v>
      </c>
      <c r="D3268" s="31" t="s">
        <v>2056</v>
      </c>
      <c r="E3268" s="32">
        <v>358.99</v>
      </c>
      <c r="F3268" s="32">
        <v>8</v>
      </c>
    </row>
    <row r="3269" spans="1:6" x14ac:dyDescent="0.3">
      <c r="A3269" s="31">
        <v>2200003217</v>
      </c>
      <c r="B3269" s="31" t="s">
        <v>3966</v>
      </c>
      <c r="C3269" s="31" t="s">
        <v>2037</v>
      </c>
      <c r="D3269" s="31" t="s">
        <v>2038</v>
      </c>
      <c r="E3269" s="32">
        <v>358.55599999999998</v>
      </c>
      <c r="F3269" s="32">
        <v>1</v>
      </c>
    </row>
    <row r="3270" spans="1:6" x14ac:dyDescent="0.3">
      <c r="A3270" s="31">
        <v>2100007203</v>
      </c>
      <c r="B3270" s="31" t="s">
        <v>3967</v>
      </c>
      <c r="C3270" s="31" t="s">
        <v>2037</v>
      </c>
      <c r="D3270" s="31" t="s">
        <v>2031</v>
      </c>
      <c r="E3270" s="32">
        <v>357.63200000000001</v>
      </c>
      <c r="F3270" s="32">
        <v>4</v>
      </c>
    </row>
    <row r="3271" spans="1:6" x14ac:dyDescent="0.3">
      <c r="A3271" s="31">
        <v>1000021071</v>
      </c>
      <c r="B3271" s="31" t="s">
        <v>1233</v>
      </c>
      <c r="C3271" s="31" t="s">
        <v>4</v>
      </c>
      <c r="D3271" s="31" t="s">
        <v>2090</v>
      </c>
      <c r="E3271" s="32">
        <v>357.14</v>
      </c>
      <c r="F3271" s="32">
        <v>2</v>
      </c>
    </row>
    <row r="3272" spans="1:6" x14ac:dyDescent="0.3">
      <c r="A3272" s="31">
        <v>1000020136</v>
      </c>
      <c r="B3272" s="31" t="s">
        <v>390</v>
      </c>
      <c r="C3272" s="31" t="s">
        <v>4</v>
      </c>
      <c r="D3272" s="31" t="s">
        <v>2090</v>
      </c>
      <c r="E3272" s="32">
        <v>357</v>
      </c>
      <c r="F3272" s="32">
        <v>20</v>
      </c>
    </row>
    <row r="3273" spans="1:6" x14ac:dyDescent="0.3">
      <c r="A3273" s="31">
        <v>1000015007</v>
      </c>
      <c r="B3273" s="31" t="s">
        <v>3968</v>
      </c>
      <c r="C3273" s="31" t="s">
        <v>4</v>
      </c>
      <c r="D3273" s="31" t="s">
        <v>2043</v>
      </c>
      <c r="E3273" s="32">
        <v>356.62992237120602</v>
      </c>
      <c r="F3273" s="32">
        <v>3</v>
      </c>
    </row>
    <row r="3274" spans="1:6" x14ac:dyDescent="0.3">
      <c r="A3274" s="31">
        <v>2500009070</v>
      </c>
      <c r="B3274" s="31" t="s">
        <v>1966</v>
      </c>
      <c r="C3274" s="31" t="s">
        <v>1996</v>
      </c>
      <c r="D3274" s="31" t="s">
        <v>2289</v>
      </c>
      <c r="E3274" s="32">
        <v>356.25</v>
      </c>
      <c r="F3274" s="32">
        <v>1</v>
      </c>
    </row>
    <row r="3275" spans="1:6" x14ac:dyDescent="0.3">
      <c r="A3275" s="31">
        <v>2500008213</v>
      </c>
      <c r="B3275" s="31" t="s">
        <v>3969</v>
      </c>
      <c r="C3275" s="31" t="s">
        <v>1996</v>
      </c>
      <c r="D3275" s="31" t="s">
        <v>2025</v>
      </c>
      <c r="E3275" s="32">
        <v>354.75</v>
      </c>
      <c r="F3275" s="32">
        <v>3</v>
      </c>
    </row>
    <row r="3276" spans="1:6" x14ac:dyDescent="0.3">
      <c r="A3276" s="31">
        <v>80000009762</v>
      </c>
      <c r="B3276" s="31" t="s">
        <v>3970</v>
      </c>
      <c r="C3276" s="31" t="s">
        <v>2521</v>
      </c>
      <c r="D3276" s="31" t="s">
        <v>2670</v>
      </c>
      <c r="E3276" s="32">
        <v>354</v>
      </c>
      <c r="F3276" s="32">
        <v>590</v>
      </c>
    </row>
    <row r="3277" spans="1:6" x14ac:dyDescent="0.3">
      <c r="A3277" s="31">
        <v>80000002453</v>
      </c>
      <c r="B3277" s="31" t="s">
        <v>3487</v>
      </c>
      <c r="C3277" s="31" t="s">
        <v>2521</v>
      </c>
      <c r="D3277" s="31" t="s">
        <v>2670</v>
      </c>
      <c r="E3277" s="32">
        <v>353.57061855670099</v>
      </c>
      <c r="F3277" s="32">
        <v>127</v>
      </c>
    </row>
    <row r="3278" spans="1:6" x14ac:dyDescent="0.3">
      <c r="A3278" s="31">
        <v>1000098603</v>
      </c>
      <c r="B3278" s="31" t="s">
        <v>1608</v>
      </c>
      <c r="C3278" s="31" t="s">
        <v>4</v>
      </c>
      <c r="D3278" s="31" t="s">
        <v>2090</v>
      </c>
      <c r="E3278" s="32">
        <v>353.48</v>
      </c>
      <c r="F3278" s="32">
        <v>2</v>
      </c>
    </row>
    <row r="3279" spans="1:6" x14ac:dyDescent="0.3">
      <c r="A3279" s="31">
        <v>1000098669</v>
      </c>
      <c r="B3279" s="31" t="s">
        <v>1629</v>
      </c>
      <c r="C3279" s="31" t="s">
        <v>4</v>
      </c>
      <c r="D3279" s="31" t="s">
        <v>2090</v>
      </c>
      <c r="E3279" s="32">
        <v>353.33333333333297</v>
      </c>
      <c r="F3279" s="32">
        <v>2</v>
      </c>
    </row>
    <row r="3280" spans="1:6" x14ac:dyDescent="0.3">
      <c r="A3280" s="31">
        <v>1000093079</v>
      </c>
      <c r="B3280" s="31" t="s">
        <v>2431</v>
      </c>
      <c r="C3280" s="31" t="s">
        <v>4</v>
      </c>
      <c r="D3280" s="31" t="s">
        <v>2043</v>
      </c>
      <c r="E3280" s="32">
        <v>352.74576271186402</v>
      </c>
      <c r="F3280" s="32">
        <v>6</v>
      </c>
    </row>
    <row r="3281" spans="1:6" x14ac:dyDescent="0.3">
      <c r="A3281" s="31">
        <v>1000103916</v>
      </c>
      <c r="B3281" s="31" t="s">
        <v>3971</v>
      </c>
      <c r="C3281" s="31" t="s">
        <v>4</v>
      </c>
      <c r="D3281" s="31" t="s">
        <v>2090</v>
      </c>
      <c r="E3281" s="32">
        <v>352.6875</v>
      </c>
      <c r="F3281" s="32">
        <v>9</v>
      </c>
    </row>
    <row r="3282" spans="1:6" x14ac:dyDescent="0.3">
      <c r="A3282" s="31">
        <v>1000096240</v>
      </c>
      <c r="B3282" s="31" t="s">
        <v>3972</v>
      </c>
      <c r="C3282" s="31" t="s">
        <v>4</v>
      </c>
      <c r="D3282" s="31" t="s">
        <v>2090</v>
      </c>
      <c r="E3282" s="32">
        <v>351.14166666666603</v>
      </c>
      <c r="F3282" s="32">
        <v>2</v>
      </c>
    </row>
    <row r="3283" spans="1:6" x14ac:dyDescent="0.3">
      <c r="A3283" s="31">
        <v>8000000301520</v>
      </c>
      <c r="B3283" s="31" t="s">
        <v>3645</v>
      </c>
      <c r="C3283" s="31" t="s">
        <v>2521</v>
      </c>
      <c r="D3283" s="31" t="s">
        <v>2670</v>
      </c>
      <c r="E3283" s="32">
        <v>350</v>
      </c>
      <c r="F3283" s="32">
        <v>1000</v>
      </c>
    </row>
    <row r="3284" spans="1:6" x14ac:dyDescent="0.3">
      <c r="A3284" s="31">
        <v>1000020920</v>
      </c>
      <c r="B3284" s="31" t="s">
        <v>1100</v>
      </c>
      <c r="C3284" s="31" t="s">
        <v>4</v>
      </c>
      <c r="D3284" s="31" t="s">
        <v>2090</v>
      </c>
      <c r="E3284" s="32">
        <v>349.96</v>
      </c>
      <c r="F3284" s="32">
        <v>2</v>
      </c>
    </row>
    <row r="3285" spans="1:6" x14ac:dyDescent="0.3">
      <c r="A3285" s="31">
        <v>1000106052</v>
      </c>
      <c r="B3285" s="31" t="s">
        <v>3973</v>
      </c>
      <c r="C3285" s="31" t="s">
        <v>4</v>
      </c>
      <c r="D3285" s="31" t="s">
        <v>2161</v>
      </c>
      <c r="E3285" s="32">
        <v>349.92</v>
      </c>
      <c r="F3285" s="32">
        <v>2</v>
      </c>
    </row>
    <row r="3286" spans="1:6" x14ac:dyDescent="0.3">
      <c r="A3286" s="31">
        <v>1000102177</v>
      </c>
      <c r="B3286" s="31" t="s">
        <v>3974</v>
      </c>
      <c r="C3286" s="31" t="s">
        <v>4</v>
      </c>
      <c r="D3286" s="31" t="s">
        <v>2056</v>
      </c>
      <c r="E3286" s="32">
        <v>349.69499999999999</v>
      </c>
      <c r="F3286" s="32">
        <v>5</v>
      </c>
    </row>
    <row r="3287" spans="1:6" x14ac:dyDescent="0.3">
      <c r="A3287" s="31">
        <v>1000108976</v>
      </c>
      <c r="B3287" s="31" t="s">
        <v>3975</v>
      </c>
      <c r="C3287" s="31" t="s">
        <v>4</v>
      </c>
      <c r="D3287" s="31" t="s">
        <v>2056</v>
      </c>
      <c r="E3287" s="32">
        <v>349.23</v>
      </c>
      <c r="F3287" s="32">
        <v>9</v>
      </c>
    </row>
    <row r="3288" spans="1:6" x14ac:dyDescent="0.3">
      <c r="A3288" s="31">
        <v>1000020096</v>
      </c>
      <c r="B3288" s="31" t="s">
        <v>353</v>
      </c>
      <c r="C3288" s="31" t="s">
        <v>4</v>
      </c>
      <c r="D3288" s="31" t="s">
        <v>2090</v>
      </c>
      <c r="E3288" s="32">
        <v>348.98</v>
      </c>
      <c r="F3288" s="32">
        <v>2</v>
      </c>
    </row>
    <row r="3289" spans="1:6" x14ac:dyDescent="0.3">
      <c r="A3289" s="31">
        <v>2500008570</v>
      </c>
      <c r="B3289" s="31" t="s">
        <v>3171</v>
      </c>
      <c r="C3289" s="31" t="s">
        <v>1996</v>
      </c>
      <c r="D3289" s="31" t="s">
        <v>2117</v>
      </c>
      <c r="E3289" s="32">
        <v>348.75</v>
      </c>
      <c r="F3289" s="32">
        <v>1</v>
      </c>
    </row>
    <row r="3290" spans="1:6" x14ac:dyDescent="0.3">
      <c r="A3290" s="31">
        <v>2500009105</v>
      </c>
      <c r="B3290" s="31" t="s">
        <v>1969</v>
      </c>
      <c r="C3290" s="31" t="s">
        <v>1996</v>
      </c>
      <c r="D3290" s="31" t="s">
        <v>2289</v>
      </c>
      <c r="E3290" s="32">
        <v>348.75</v>
      </c>
      <c r="F3290" s="32">
        <v>3</v>
      </c>
    </row>
    <row r="3291" spans="1:6" x14ac:dyDescent="0.3">
      <c r="A3291" s="31">
        <v>2500009106</v>
      </c>
      <c r="B3291" s="31" t="s">
        <v>1970</v>
      </c>
      <c r="C3291" s="31" t="s">
        <v>1996</v>
      </c>
      <c r="D3291" s="31" t="s">
        <v>2289</v>
      </c>
      <c r="E3291" s="32">
        <v>348.75</v>
      </c>
      <c r="F3291" s="32">
        <v>3</v>
      </c>
    </row>
    <row r="3292" spans="1:6" x14ac:dyDescent="0.3">
      <c r="A3292" s="31">
        <v>1000020345</v>
      </c>
      <c r="B3292" s="31" t="s">
        <v>577</v>
      </c>
      <c r="C3292" s="31" t="s">
        <v>4</v>
      </c>
      <c r="D3292" s="31" t="s">
        <v>2090</v>
      </c>
      <c r="E3292" s="32">
        <v>348.67190384615299</v>
      </c>
      <c r="F3292" s="32">
        <v>17</v>
      </c>
    </row>
    <row r="3293" spans="1:6" x14ac:dyDescent="0.3">
      <c r="A3293" s="31">
        <v>1000093664</v>
      </c>
      <c r="B3293" s="31" t="s">
        <v>2181</v>
      </c>
      <c r="C3293" s="31" t="s">
        <v>4</v>
      </c>
      <c r="D3293" s="31" t="s">
        <v>2056</v>
      </c>
      <c r="E3293" s="32">
        <v>347.31679203577602</v>
      </c>
      <c r="F3293" s="32">
        <v>121</v>
      </c>
    </row>
    <row r="3294" spans="1:6" x14ac:dyDescent="0.3">
      <c r="A3294" s="31">
        <v>1000021001</v>
      </c>
      <c r="B3294" s="31" t="s">
        <v>1174</v>
      </c>
      <c r="C3294" s="31" t="s">
        <v>4</v>
      </c>
      <c r="D3294" s="31" t="s">
        <v>2090</v>
      </c>
      <c r="E3294" s="32">
        <v>346.54</v>
      </c>
      <c r="F3294" s="32">
        <v>1</v>
      </c>
    </row>
    <row r="3295" spans="1:6" x14ac:dyDescent="0.3">
      <c r="A3295" s="31">
        <v>1000020315</v>
      </c>
      <c r="B3295" s="31" t="s">
        <v>550</v>
      </c>
      <c r="C3295" s="31" t="s">
        <v>4</v>
      </c>
      <c r="D3295" s="31" t="s">
        <v>2090</v>
      </c>
      <c r="E3295" s="32">
        <v>346.02</v>
      </c>
      <c r="F3295" s="32">
        <v>2</v>
      </c>
    </row>
    <row r="3296" spans="1:6" x14ac:dyDescent="0.3">
      <c r="A3296" s="31">
        <v>1000021103</v>
      </c>
      <c r="B3296" s="31" t="s">
        <v>1264</v>
      </c>
      <c r="C3296" s="31" t="s">
        <v>4</v>
      </c>
      <c r="D3296" s="31" t="s">
        <v>2090</v>
      </c>
      <c r="E3296" s="32">
        <v>345.91</v>
      </c>
      <c r="F3296" s="32">
        <v>1</v>
      </c>
    </row>
    <row r="3297" spans="1:6" x14ac:dyDescent="0.3">
      <c r="A3297" s="31">
        <v>1000106070</v>
      </c>
      <c r="B3297" s="31" t="s">
        <v>3976</v>
      </c>
      <c r="C3297" s="31" t="s">
        <v>4</v>
      </c>
      <c r="D3297" s="31" t="s">
        <v>2161</v>
      </c>
      <c r="E3297" s="32">
        <v>345.24</v>
      </c>
      <c r="F3297" s="32">
        <v>2</v>
      </c>
    </row>
    <row r="3298" spans="1:6" x14ac:dyDescent="0.3">
      <c r="A3298" s="31">
        <v>2500009118</v>
      </c>
      <c r="B3298" s="31" t="s">
        <v>1975</v>
      </c>
      <c r="C3298" s="31" t="s">
        <v>1996</v>
      </c>
      <c r="D3298" s="31" t="s">
        <v>2289</v>
      </c>
      <c r="E3298" s="32">
        <v>345</v>
      </c>
      <c r="F3298" s="32">
        <v>1</v>
      </c>
    </row>
    <row r="3299" spans="1:6" x14ac:dyDescent="0.3">
      <c r="A3299" s="31">
        <v>1000099286</v>
      </c>
      <c r="B3299" s="31" t="s">
        <v>3977</v>
      </c>
      <c r="C3299" s="31" t="s">
        <v>4</v>
      </c>
      <c r="D3299" s="31" t="s">
        <v>2090</v>
      </c>
      <c r="E3299" s="32">
        <v>343.69</v>
      </c>
      <c r="F3299" s="32">
        <v>1</v>
      </c>
    </row>
    <row r="3300" spans="1:6" x14ac:dyDescent="0.3">
      <c r="A3300" s="31">
        <v>80000009786</v>
      </c>
      <c r="B3300" s="31" t="s">
        <v>3733</v>
      </c>
      <c r="C3300" s="31" t="s">
        <v>2521</v>
      </c>
      <c r="D3300" s="31" t="s">
        <v>2670</v>
      </c>
      <c r="E3300" s="32">
        <v>343.2</v>
      </c>
      <c r="F3300" s="32">
        <v>66</v>
      </c>
    </row>
    <row r="3301" spans="1:6" x14ac:dyDescent="0.3">
      <c r="A3301" s="31">
        <v>1000099335</v>
      </c>
      <c r="B3301" s="31" t="s">
        <v>3978</v>
      </c>
      <c r="C3301" s="31" t="s">
        <v>4</v>
      </c>
      <c r="D3301" s="31" t="s">
        <v>2161</v>
      </c>
      <c r="E3301" s="32">
        <v>342</v>
      </c>
      <c r="F3301" s="32">
        <v>3</v>
      </c>
    </row>
    <row r="3302" spans="1:6" x14ac:dyDescent="0.3">
      <c r="A3302" s="31">
        <v>1000020394</v>
      </c>
      <c r="B3302" s="31" t="s">
        <v>624</v>
      </c>
      <c r="C3302" s="31" t="s">
        <v>4</v>
      </c>
      <c r="D3302" s="31" t="s">
        <v>2090</v>
      </c>
      <c r="E3302" s="32">
        <v>341.82</v>
      </c>
      <c r="F3302" s="32">
        <v>3</v>
      </c>
    </row>
    <row r="3303" spans="1:6" x14ac:dyDescent="0.3">
      <c r="A3303" s="31">
        <v>1000101488</v>
      </c>
      <c r="B3303" s="31" t="s">
        <v>1854</v>
      </c>
      <c r="C3303" s="31" t="s">
        <v>4</v>
      </c>
      <c r="D3303" s="31" t="s">
        <v>2056</v>
      </c>
      <c r="E3303" s="32">
        <v>341.4</v>
      </c>
      <c r="F3303" s="32">
        <v>100</v>
      </c>
    </row>
    <row r="3304" spans="1:6" x14ac:dyDescent="0.3">
      <c r="A3304" s="31">
        <v>1000021104</v>
      </c>
      <c r="B3304" s="31" t="s">
        <v>1265</v>
      </c>
      <c r="C3304" s="31" t="s">
        <v>4</v>
      </c>
      <c r="D3304" s="31" t="s">
        <v>2090</v>
      </c>
      <c r="E3304" s="32">
        <v>340.33499999999998</v>
      </c>
      <c r="F3304" s="32">
        <v>1</v>
      </c>
    </row>
    <row r="3305" spans="1:6" x14ac:dyDescent="0.3">
      <c r="A3305" s="31">
        <v>1000020082</v>
      </c>
      <c r="B3305" s="31" t="s">
        <v>341</v>
      </c>
      <c r="C3305" s="31" t="s">
        <v>4</v>
      </c>
      <c r="D3305" s="31" t="s">
        <v>2090</v>
      </c>
      <c r="E3305" s="32">
        <v>340.23</v>
      </c>
      <c r="F3305" s="32">
        <v>3</v>
      </c>
    </row>
    <row r="3306" spans="1:6" x14ac:dyDescent="0.3">
      <c r="A3306" s="31">
        <v>1000110716</v>
      </c>
      <c r="B3306" s="31" t="s">
        <v>3979</v>
      </c>
      <c r="C3306" s="31" t="s">
        <v>4</v>
      </c>
      <c r="D3306" s="31" t="s">
        <v>2855</v>
      </c>
      <c r="E3306" s="32">
        <v>340</v>
      </c>
      <c r="F3306" s="32">
        <v>25</v>
      </c>
    </row>
    <row r="3307" spans="1:6" x14ac:dyDescent="0.3">
      <c r="A3307" s="31">
        <v>80000009905</v>
      </c>
      <c r="B3307" s="31" t="s">
        <v>3980</v>
      </c>
      <c r="C3307" s="31" t="s">
        <v>2521</v>
      </c>
      <c r="D3307" s="31" t="s">
        <v>3289</v>
      </c>
      <c r="E3307" s="32">
        <v>340</v>
      </c>
      <c r="F3307" s="32">
        <v>17</v>
      </c>
    </row>
    <row r="3308" spans="1:6" x14ac:dyDescent="0.3">
      <c r="A3308" s="31">
        <v>80000009981</v>
      </c>
      <c r="B3308" s="31" t="s">
        <v>3981</v>
      </c>
      <c r="C3308" s="31" t="s">
        <v>2521</v>
      </c>
      <c r="D3308" s="31" t="s">
        <v>3289</v>
      </c>
      <c r="E3308" s="32">
        <v>340</v>
      </c>
      <c r="F3308" s="32">
        <v>17</v>
      </c>
    </row>
    <row r="3309" spans="1:6" x14ac:dyDescent="0.3">
      <c r="A3309" s="31">
        <v>1000101747</v>
      </c>
      <c r="B3309" s="31" t="s">
        <v>3982</v>
      </c>
      <c r="C3309" s="31" t="s">
        <v>4</v>
      </c>
      <c r="D3309" s="31" t="s">
        <v>2161</v>
      </c>
      <c r="E3309" s="32">
        <v>339.65199999999999</v>
      </c>
      <c r="F3309" s="32">
        <v>2</v>
      </c>
    </row>
    <row r="3310" spans="1:6" x14ac:dyDescent="0.3">
      <c r="A3310" s="31">
        <v>1000020047</v>
      </c>
      <c r="B3310" s="31" t="s">
        <v>3983</v>
      </c>
      <c r="C3310" s="31" t="s">
        <v>4</v>
      </c>
      <c r="D3310" s="31" t="s">
        <v>2090</v>
      </c>
      <c r="E3310" s="32">
        <v>339.64</v>
      </c>
      <c r="F3310" s="32">
        <v>4</v>
      </c>
    </row>
    <row r="3311" spans="1:6" x14ac:dyDescent="0.3">
      <c r="A3311" s="31">
        <v>80000009753</v>
      </c>
      <c r="B3311" s="31" t="s">
        <v>3984</v>
      </c>
      <c r="C3311" s="31" t="s">
        <v>2521</v>
      </c>
      <c r="D3311" s="31" t="s">
        <v>2670</v>
      </c>
      <c r="E3311" s="32">
        <v>339.444444444444</v>
      </c>
      <c r="F3311" s="32">
        <v>13</v>
      </c>
    </row>
    <row r="3312" spans="1:6" x14ac:dyDescent="0.3">
      <c r="A3312" s="31">
        <v>1000020063</v>
      </c>
      <c r="B3312" s="31" t="s">
        <v>3985</v>
      </c>
      <c r="C3312" s="31" t="s">
        <v>4</v>
      </c>
      <c r="D3312" s="31" t="s">
        <v>2218</v>
      </c>
      <c r="E3312" s="32">
        <v>339.38</v>
      </c>
      <c r="F3312" s="32">
        <v>50</v>
      </c>
    </row>
    <row r="3313" spans="1:6" x14ac:dyDescent="0.3">
      <c r="A3313" s="31">
        <v>1000021075</v>
      </c>
      <c r="B3313" s="31" t="s">
        <v>1237</v>
      </c>
      <c r="C3313" s="31" t="s">
        <v>4</v>
      </c>
      <c r="D3313" s="31" t="s">
        <v>2090</v>
      </c>
      <c r="E3313" s="32">
        <v>339.15</v>
      </c>
      <c r="F3313" s="32">
        <v>1</v>
      </c>
    </row>
    <row r="3314" spans="1:6" x14ac:dyDescent="0.3">
      <c r="A3314" s="31">
        <v>1000106397</v>
      </c>
      <c r="B3314" s="31" t="s">
        <v>3986</v>
      </c>
      <c r="C3314" s="31" t="s">
        <v>4</v>
      </c>
      <c r="D3314" s="31" t="s">
        <v>2056</v>
      </c>
      <c r="E3314" s="32">
        <v>338.86031250000002</v>
      </c>
      <c r="F3314" s="32">
        <v>6</v>
      </c>
    </row>
    <row r="3315" spans="1:6" x14ac:dyDescent="0.3">
      <c r="A3315" s="31">
        <v>1000098445</v>
      </c>
      <c r="B3315" s="31" t="s">
        <v>1525</v>
      </c>
      <c r="C3315" s="31" t="s">
        <v>4</v>
      </c>
      <c r="D3315" s="31" t="s">
        <v>2090</v>
      </c>
      <c r="E3315" s="32">
        <v>337.45</v>
      </c>
      <c r="F3315" s="32">
        <v>10</v>
      </c>
    </row>
    <row r="3316" spans="1:6" x14ac:dyDescent="0.3">
      <c r="A3316" s="31">
        <v>1000001183</v>
      </c>
      <c r="B3316" s="31" t="s">
        <v>2970</v>
      </c>
      <c r="C3316" s="31" t="s">
        <v>2257</v>
      </c>
      <c r="D3316" s="31" t="s">
        <v>2070</v>
      </c>
      <c r="E3316" s="32">
        <v>336.93085290536902</v>
      </c>
      <c r="F3316" s="32">
        <v>1</v>
      </c>
    </row>
    <row r="3317" spans="1:6" x14ac:dyDescent="0.3">
      <c r="A3317" s="31">
        <v>1000015040</v>
      </c>
      <c r="B3317" s="31" t="s">
        <v>3987</v>
      </c>
      <c r="C3317" s="31" t="s">
        <v>4</v>
      </c>
      <c r="D3317" s="31" t="s">
        <v>2043</v>
      </c>
      <c r="E3317" s="32">
        <v>336.688230359442</v>
      </c>
      <c r="F3317" s="32">
        <v>4</v>
      </c>
    </row>
    <row r="3318" spans="1:6" x14ac:dyDescent="0.3">
      <c r="A3318" s="31">
        <v>1000098731</v>
      </c>
      <c r="B3318" s="31" t="s">
        <v>1673</v>
      </c>
      <c r="C3318" s="31" t="s">
        <v>4</v>
      </c>
      <c r="D3318" s="31" t="s">
        <v>2090</v>
      </c>
      <c r="E3318" s="32">
        <v>336.17887179487099</v>
      </c>
      <c r="F3318" s="32">
        <v>32</v>
      </c>
    </row>
    <row r="3319" spans="1:6" x14ac:dyDescent="0.3">
      <c r="A3319" s="31">
        <v>1000020425</v>
      </c>
      <c r="B3319" s="31" t="s">
        <v>653</v>
      </c>
      <c r="C3319" s="31" t="s">
        <v>4</v>
      </c>
      <c r="D3319" s="31" t="s">
        <v>2090</v>
      </c>
      <c r="E3319" s="32">
        <v>335.8</v>
      </c>
      <c r="F3319" s="32">
        <v>20</v>
      </c>
    </row>
    <row r="3320" spans="1:6" x14ac:dyDescent="0.3">
      <c r="A3320" s="31">
        <v>1000020563</v>
      </c>
      <c r="B3320" s="31" t="s">
        <v>780</v>
      </c>
      <c r="C3320" s="31" t="s">
        <v>4</v>
      </c>
      <c r="D3320" s="31" t="s">
        <v>2090</v>
      </c>
      <c r="E3320" s="32">
        <v>335.50799999999998</v>
      </c>
      <c r="F3320" s="32">
        <v>6</v>
      </c>
    </row>
    <row r="3321" spans="1:6" x14ac:dyDescent="0.3">
      <c r="A3321" s="31">
        <v>1000020312</v>
      </c>
      <c r="B3321" s="31" t="s">
        <v>547</v>
      </c>
      <c r="C3321" s="31" t="s">
        <v>4</v>
      </c>
      <c r="D3321" s="31" t="s">
        <v>2090</v>
      </c>
      <c r="E3321" s="32">
        <v>335.16</v>
      </c>
      <c r="F3321" s="32">
        <v>3</v>
      </c>
    </row>
    <row r="3322" spans="1:6" x14ac:dyDescent="0.3">
      <c r="A3322" s="31">
        <v>1000020729</v>
      </c>
      <c r="B3322" s="31" t="s">
        <v>937</v>
      </c>
      <c r="C3322" s="31" t="s">
        <v>4</v>
      </c>
      <c r="D3322" s="31" t="s">
        <v>2090</v>
      </c>
      <c r="E3322" s="32">
        <v>334.15</v>
      </c>
      <c r="F3322" s="32">
        <v>1</v>
      </c>
    </row>
    <row r="3323" spans="1:6" x14ac:dyDescent="0.3">
      <c r="A3323" s="31">
        <v>1000102883</v>
      </c>
      <c r="B3323" s="31" t="s">
        <v>3988</v>
      </c>
      <c r="C3323" s="31" t="s">
        <v>4</v>
      </c>
      <c r="D3323" s="31" t="s">
        <v>2090</v>
      </c>
      <c r="E3323" s="32">
        <v>334.11360000000002</v>
      </c>
      <c r="F3323" s="32">
        <v>1</v>
      </c>
    </row>
    <row r="3324" spans="1:6" x14ac:dyDescent="0.3">
      <c r="A3324" s="31">
        <v>1000021294</v>
      </c>
      <c r="B3324" s="31" t="s">
        <v>1429</v>
      </c>
      <c r="C3324" s="31" t="s">
        <v>4</v>
      </c>
      <c r="D3324" s="31" t="s">
        <v>2090</v>
      </c>
      <c r="E3324" s="32">
        <v>333.94204967320201</v>
      </c>
      <c r="F3324" s="32">
        <v>3</v>
      </c>
    </row>
    <row r="3325" spans="1:6" x14ac:dyDescent="0.3">
      <c r="A3325" s="31">
        <v>1000021443</v>
      </c>
      <c r="B3325" s="31" t="s">
        <v>1484</v>
      </c>
      <c r="C3325" s="31" t="s">
        <v>4</v>
      </c>
      <c r="D3325" s="31" t="s">
        <v>2090</v>
      </c>
      <c r="E3325" s="32">
        <v>331.46</v>
      </c>
      <c r="F3325" s="32">
        <v>2</v>
      </c>
    </row>
    <row r="3326" spans="1:6" x14ac:dyDescent="0.3">
      <c r="A3326" s="31">
        <v>1000020085</v>
      </c>
      <c r="B3326" s="31" t="s">
        <v>344</v>
      </c>
      <c r="C3326" s="31" t="s">
        <v>4</v>
      </c>
      <c r="D3326" s="31" t="s">
        <v>2090</v>
      </c>
      <c r="E3326" s="32">
        <v>330.85142857142802</v>
      </c>
      <c r="F3326" s="32">
        <v>3</v>
      </c>
    </row>
    <row r="3327" spans="1:6" x14ac:dyDescent="0.3">
      <c r="A3327" s="31">
        <v>2500008939</v>
      </c>
      <c r="B3327" s="31" t="s">
        <v>1947</v>
      </c>
      <c r="C3327" s="31" t="s">
        <v>1996</v>
      </c>
      <c r="D3327" s="31" t="s">
        <v>2025</v>
      </c>
      <c r="E3327" s="32">
        <v>330.75</v>
      </c>
      <c r="F3327" s="32">
        <v>1</v>
      </c>
    </row>
    <row r="3328" spans="1:6" x14ac:dyDescent="0.3">
      <c r="A3328" s="31">
        <v>2500009190</v>
      </c>
      <c r="B3328" s="31" t="s">
        <v>3989</v>
      </c>
      <c r="C3328" s="31" t="s">
        <v>1996</v>
      </c>
      <c r="D3328" s="31" t="s">
        <v>2025</v>
      </c>
      <c r="E3328" s="32">
        <v>330.75</v>
      </c>
      <c r="F3328" s="32">
        <v>1</v>
      </c>
    </row>
    <row r="3329" spans="1:6" x14ac:dyDescent="0.3">
      <c r="A3329" s="31">
        <v>1000020465</v>
      </c>
      <c r="B3329" s="31" t="s">
        <v>691</v>
      </c>
      <c r="C3329" s="31" t="s">
        <v>4</v>
      </c>
      <c r="D3329" s="31" t="s">
        <v>2090</v>
      </c>
      <c r="E3329" s="32">
        <v>330.71</v>
      </c>
      <c r="F3329" s="32">
        <v>8</v>
      </c>
    </row>
    <row r="3330" spans="1:6" x14ac:dyDescent="0.3">
      <c r="A3330" s="31">
        <v>1000020986</v>
      </c>
      <c r="B3330" s="31" t="s">
        <v>1160</v>
      </c>
      <c r="C3330" s="31" t="s">
        <v>4</v>
      </c>
      <c r="D3330" s="31" t="s">
        <v>2090</v>
      </c>
      <c r="E3330" s="32">
        <v>330.7</v>
      </c>
      <c r="F3330" s="32">
        <v>5</v>
      </c>
    </row>
    <row r="3331" spans="1:6" x14ac:dyDescent="0.3">
      <c r="A3331" s="31">
        <v>2200000395</v>
      </c>
      <c r="B3331" s="31" t="s">
        <v>156</v>
      </c>
      <c r="C3331" s="31" t="s">
        <v>2037</v>
      </c>
      <c r="D3331" s="31" t="s">
        <v>2038</v>
      </c>
      <c r="E3331" s="32">
        <v>330.48</v>
      </c>
      <c r="F3331" s="32">
        <v>1</v>
      </c>
    </row>
    <row r="3332" spans="1:6" x14ac:dyDescent="0.3">
      <c r="A3332" s="31">
        <v>2500008247</v>
      </c>
      <c r="B3332" s="31" t="s">
        <v>3990</v>
      </c>
      <c r="C3332" s="31" t="s">
        <v>1996</v>
      </c>
      <c r="D3332" s="31" t="s">
        <v>2643</v>
      </c>
      <c r="E3332" s="32">
        <v>330</v>
      </c>
      <c r="F3332" s="32">
        <v>2</v>
      </c>
    </row>
    <row r="3333" spans="1:6" x14ac:dyDescent="0.3">
      <c r="A3333" s="31">
        <v>2500009413</v>
      </c>
      <c r="B3333" s="31" t="s">
        <v>3991</v>
      </c>
      <c r="C3333" s="31" t="s">
        <v>1996</v>
      </c>
      <c r="D3333" s="31" t="s">
        <v>2289</v>
      </c>
      <c r="E3333" s="32">
        <v>330</v>
      </c>
      <c r="F3333" s="32">
        <v>8</v>
      </c>
    </row>
    <row r="3334" spans="1:6" x14ac:dyDescent="0.3">
      <c r="A3334" s="31">
        <v>1000020911</v>
      </c>
      <c r="B3334" s="31" t="s">
        <v>1091</v>
      </c>
      <c r="C3334" s="31" t="s">
        <v>4</v>
      </c>
      <c r="D3334" s="31" t="s">
        <v>2090</v>
      </c>
      <c r="E3334" s="32">
        <v>329.6</v>
      </c>
      <c r="F3334" s="32">
        <v>4</v>
      </c>
    </row>
    <row r="3335" spans="1:6" x14ac:dyDescent="0.3">
      <c r="A3335" s="31">
        <v>2200011068</v>
      </c>
      <c r="B3335" s="31" t="s">
        <v>3992</v>
      </c>
      <c r="C3335" s="31" t="s">
        <v>2037</v>
      </c>
      <c r="D3335" s="31" t="s">
        <v>2038</v>
      </c>
      <c r="E3335" s="32">
        <v>329.12</v>
      </c>
      <c r="F3335" s="32">
        <v>1</v>
      </c>
    </row>
    <row r="3336" spans="1:6" x14ac:dyDescent="0.3">
      <c r="A3336" s="31">
        <v>1000020228</v>
      </c>
      <c r="B3336" s="31" t="s">
        <v>468</v>
      </c>
      <c r="C3336" s="31" t="s">
        <v>4</v>
      </c>
      <c r="D3336" s="31" t="s">
        <v>2090</v>
      </c>
      <c r="E3336" s="32">
        <v>327.60000000000002</v>
      </c>
      <c r="F3336" s="32">
        <v>60</v>
      </c>
    </row>
    <row r="3337" spans="1:6" x14ac:dyDescent="0.3">
      <c r="A3337" s="31">
        <v>1000020347</v>
      </c>
      <c r="B3337" s="31" t="s">
        <v>579</v>
      </c>
      <c r="C3337" s="31" t="s">
        <v>4</v>
      </c>
      <c r="D3337" s="31" t="s">
        <v>2090</v>
      </c>
      <c r="E3337" s="32">
        <v>326.01214285714201</v>
      </c>
      <c r="F3337" s="32">
        <v>13</v>
      </c>
    </row>
    <row r="3338" spans="1:6" x14ac:dyDescent="0.3">
      <c r="A3338" s="31">
        <v>1000020160</v>
      </c>
      <c r="B3338" s="31" t="s">
        <v>408</v>
      </c>
      <c r="C3338" s="31" t="s">
        <v>4</v>
      </c>
      <c r="D3338" s="31" t="s">
        <v>2218</v>
      </c>
      <c r="E3338" s="32">
        <v>325.74</v>
      </c>
      <c r="F3338" s="32">
        <v>2</v>
      </c>
    </row>
    <row r="3339" spans="1:6" x14ac:dyDescent="0.3">
      <c r="A3339" s="31">
        <v>1000017009</v>
      </c>
      <c r="B3339" s="31" t="s">
        <v>3993</v>
      </c>
      <c r="C3339" s="31" t="s">
        <v>4</v>
      </c>
      <c r="D3339" s="31" t="s">
        <v>3274</v>
      </c>
      <c r="E3339" s="32">
        <v>325</v>
      </c>
      <c r="F3339" s="32">
        <v>50</v>
      </c>
    </row>
    <row r="3340" spans="1:6" x14ac:dyDescent="0.3">
      <c r="A3340" s="31">
        <v>1000109023</v>
      </c>
      <c r="B3340" s="31" t="s">
        <v>3994</v>
      </c>
      <c r="C3340" s="31" t="s">
        <v>4</v>
      </c>
      <c r="D3340" s="31" t="s">
        <v>2056</v>
      </c>
      <c r="E3340" s="32">
        <v>324.74</v>
      </c>
      <c r="F3340" s="32">
        <v>70</v>
      </c>
    </row>
    <row r="3341" spans="1:6" x14ac:dyDescent="0.3">
      <c r="A3341" s="31">
        <v>1000111135</v>
      </c>
      <c r="B3341" s="31" t="s">
        <v>3995</v>
      </c>
      <c r="C3341" s="31" t="s">
        <v>4</v>
      </c>
      <c r="D3341" s="31" t="s">
        <v>2090</v>
      </c>
      <c r="E3341" s="32">
        <v>323.55</v>
      </c>
      <c r="F3341" s="32">
        <v>2</v>
      </c>
    </row>
    <row r="3342" spans="1:6" x14ac:dyDescent="0.3">
      <c r="A3342" s="31">
        <v>1000020281</v>
      </c>
      <c r="B3342" s="31" t="s">
        <v>517</v>
      </c>
      <c r="C3342" s="31" t="s">
        <v>4</v>
      </c>
      <c r="D3342" s="31" t="s">
        <v>2090</v>
      </c>
      <c r="E3342" s="32">
        <v>323.5</v>
      </c>
      <c r="F3342" s="32">
        <v>10</v>
      </c>
    </row>
    <row r="3343" spans="1:6" x14ac:dyDescent="0.3">
      <c r="A3343" s="31">
        <v>1000021036</v>
      </c>
      <c r="B3343" s="31" t="s">
        <v>1207</v>
      </c>
      <c r="C3343" s="31" t="s">
        <v>4</v>
      </c>
      <c r="D3343" s="31" t="s">
        <v>2090</v>
      </c>
      <c r="E3343" s="32">
        <v>322.64</v>
      </c>
      <c r="F3343" s="32">
        <v>2</v>
      </c>
    </row>
    <row r="3344" spans="1:6" x14ac:dyDescent="0.3">
      <c r="A3344" s="31">
        <v>1000020982</v>
      </c>
      <c r="B3344" s="31" t="s">
        <v>1156</v>
      </c>
      <c r="C3344" s="31" t="s">
        <v>4</v>
      </c>
      <c r="D3344" s="31" t="s">
        <v>2090</v>
      </c>
      <c r="E3344" s="32">
        <v>322.3125</v>
      </c>
      <c r="F3344" s="32">
        <v>3</v>
      </c>
    </row>
    <row r="3345" spans="1:6" x14ac:dyDescent="0.3">
      <c r="A3345" s="31">
        <v>1000098461</v>
      </c>
      <c r="B3345" s="31" t="s">
        <v>1536</v>
      </c>
      <c r="C3345" s="31" t="s">
        <v>4</v>
      </c>
      <c r="D3345" s="31" t="s">
        <v>2090</v>
      </c>
      <c r="E3345" s="32">
        <v>322.10000000000002</v>
      </c>
      <c r="F3345" s="32">
        <v>5</v>
      </c>
    </row>
    <row r="3346" spans="1:6" x14ac:dyDescent="0.3">
      <c r="A3346" s="31">
        <v>1000107110</v>
      </c>
      <c r="B3346" s="31" t="s">
        <v>1893</v>
      </c>
      <c r="C3346" s="31" t="s">
        <v>4</v>
      </c>
      <c r="D3346" s="31" t="s">
        <v>2056</v>
      </c>
      <c r="E3346" s="32">
        <v>321.3</v>
      </c>
      <c r="F3346" s="32">
        <v>20</v>
      </c>
    </row>
    <row r="3347" spans="1:6" x14ac:dyDescent="0.3">
      <c r="A3347" s="31">
        <v>1000109796</v>
      </c>
      <c r="B3347" s="31" t="s">
        <v>3996</v>
      </c>
      <c r="C3347" s="31" t="s">
        <v>4</v>
      </c>
      <c r="D3347" s="31" t="s">
        <v>2056</v>
      </c>
      <c r="E3347" s="32">
        <v>320.10000000000002</v>
      </c>
      <c r="F3347" s="32">
        <v>34</v>
      </c>
    </row>
    <row r="3348" spans="1:6" x14ac:dyDescent="0.3">
      <c r="A3348" s="31">
        <v>80000009767</v>
      </c>
      <c r="B3348" s="31" t="s">
        <v>3997</v>
      </c>
      <c r="C3348" s="31" t="s">
        <v>2521</v>
      </c>
      <c r="D3348" s="31" t="s">
        <v>2670</v>
      </c>
      <c r="E3348" s="32">
        <v>320</v>
      </c>
      <c r="F3348" s="32">
        <v>400</v>
      </c>
    </row>
    <row r="3349" spans="1:6" x14ac:dyDescent="0.3">
      <c r="A3349" s="31">
        <v>2200002701</v>
      </c>
      <c r="B3349" s="31" t="s">
        <v>184</v>
      </c>
      <c r="C3349" s="31" t="s">
        <v>2037</v>
      </c>
      <c r="D3349" s="31" t="s">
        <v>2038</v>
      </c>
      <c r="E3349" s="32">
        <v>319.64999999999998</v>
      </c>
      <c r="F3349" s="32">
        <v>21</v>
      </c>
    </row>
    <row r="3350" spans="1:6" x14ac:dyDescent="0.3">
      <c r="A3350" s="31">
        <v>1000021392</v>
      </c>
      <c r="B3350" s="31" t="s">
        <v>1470</v>
      </c>
      <c r="C3350" s="31" t="s">
        <v>4</v>
      </c>
      <c r="D3350" s="31" t="s">
        <v>2090</v>
      </c>
      <c r="E3350" s="32">
        <v>319.18402380952301</v>
      </c>
      <c r="F3350" s="32">
        <v>8</v>
      </c>
    </row>
    <row r="3351" spans="1:6" x14ac:dyDescent="0.3">
      <c r="A3351" s="31">
        <v>1000093495</v>
      </c>
      <c r="B3351" s="31" t="s">
        <v>3998</v>
      </c>
      <c r="C3351" s="31" t="s">
        <v>2109</v>
      </c>
      <c r="D3351" s="31" t="s">
        <v>2070</v>
      </c>
      <c r="E3351" s="32">
        <v>319.17500000000001</v>
      </c>
      <c r="F3351" s="32">
        <v>1</v>
      </c>
    </row>
    <row r="3352" spans="1:6" x14ac:dyDescent="0.3">
      <c r="A3352" s="31">
        <v>1000096123</v>
      </c>
      <c r="B3352" s="31" t="s">
        <v>3999</v>
      </c>
      <c r="C3352" s="31" t="s">
        <v>4</v>
      </c>
      <c r="D3352" s="31" t="s">
        <v>2056</v>
      </c>
      <c r="E3352" s="32">
        <v>318.75</v>
      </c>
      <c r="F3352" s="32">
        <v>50</v>
      </c>
    </row>
    <row r="3353" spans="1:6" x14ac:dyDescent="0.3">
      <c r="A3353" s="31">
        <v>1000096176</v>
      </c>
      <c r="B3353" s="31" t="s">
        <v>4000</v>
      </c>
      <c r="C3353" s="31" t="s">
        <v>2257</v>
      </c>
      <c r="D3353" s="31" t="s">
        <v>4001</v>
      </c>
      <c r="E3353" s="32">
        <v>318.38</v>
      </c>
      <c r="F3353" s="32">
        <v>1</v>
      </c>
    </row>
    <row r="3354" spans="1:6" x14ac:dyDescent="0.3">
      <c r="A3354" s="31">
        <v>1000020506</v>
      </c>
      <c r="B3354" s="31" t="s">
        <v>729</v>
      </c>
      <c r="C3354" s="31" t="s">
        <v>4</v>
      </c>
      <c r="D3354" s="31" t="s">
        <v>2090</v>
      </c>
      <c r="E3354" s="32">
        <v>318.16627956989203</v>
      </c>
      <c r="F3354" s="32">
        <v>4</v>
      </c>
    </row>
    <row r="3355" spans="1:6" x14ac:dyDescent="0.3">
      <c r="A3355" s="31">
        <v>1000020993</v>
      </c>
      <c r="B3355" s="31" t="s">
        <v>1167</v>
      </c>
      <c r="C3355" s="31" t="s">
        <v>4</v>
      </c>
      <c r="D3355" s="31" t="s">
        <v>2090</v>
      </c>
      <c r="E3355" s="32">
        <v>318.02999999999997</v>
      </c>
      <c r="F3355" s="32">
        <v>1</v>
      </c>
    </row>
    <row r="3356" spans="1:6" x14ac:dyDescent="0.3">
      <c r="A3356" s="31">
        <v>80000009982</v>
      </c>
      <c r="B3356" s="31" t="s">
        <v>4002</v>
      </c>
      <c r="C3356" s="31" t="s">
        <v>2521</v>
      </c>
      <c r="D3356" s="31" t="s">
        <v>3289</v>
      </c>
      <c r="E3356" s="32">
        <v>318</v>
      </c>
      <c r="F3356" s="32">
        <v>12</v>
      </c>
    </row>
    <row r="3357" spans="1:6" x14ac:dyDescent="0.3">
      <c r="A3357" s="31">
        <v>2700000174</v>
      </c>
      <c r="B3357" s="31" t="s">
        <v>278</v>
      </c>
      <c r="C3357" s="31" t="s">
        <v>2037</v>
      </c>
      <c r="D3357" s="31" t="s">
        <v>2038</v>
      </c>
      <c r="E3357" s="32">
        <v>317.96516666666599</v>
      </c>
      <c r="F3357" s="32">
        <v>1</v>
      </c>
    </row>
    <row r="3358" spans="1:6" x14ac:dyDescent="0.3">
      <c r="A3358" s="31">
        <v>1000021095</v>
      </c>
      <c r="B3358" s="31" t="s">
        <v>1257</v>
      </c>
      <c r="C3358" s="31" t="s">
        <v>4</v>
      </c>
      <c r="D3358" s="31" t="s">
        <v>2090</v>
      </c>
      <c r="E3358" s="32">
        <v>317.43</v>
      </c>
      <c r="F3358" s="32">
        <v>3</v>
      </c>
    </row>
    <row r="3359" spans="1:6" x14ac:dyDescent="0.3">
      <c r="A3359" s="31">
        <v>1000098542</v>
      </c>
      <c r="B3359" s="31" t="s">
        <v>1573</v>
      </c>
      <c r="C3359" s="31" t="s">
        <v>4</v>
      </c>
      <c r="D3359" s="31" t="s">
        <v>2090</v>
      </c>
      <c r="E3359" s="32">
        <v>317.23</v>
      </c>
      <c r="F3359" s="32">
        <v>2</v>
      </c>
    </row>
    <row r="3360" spans="1:6" x14ac:dyDescent="0.3">
      <c r="A3360" s="31">
        <v>1000094203</v>
      </c>
      <c r="B3360" s="31" t="s">
        <v>4003</v>
      </c>
      <c r="C3360" s="31" t="s">
        <v>4</v>
      </c>
      <c r="D3360" s="31" t="s">
        <v>2056</v>
      </c>
      <c r="E3360" s="32">
        <v>316.8</v>
      </c>
      <c r="F3360" s="32">
        <v>2400</v>
      </c>
    </row>
    <row r="3361" spans="1:6" x14ac:dyDescent="0.3">
      <c r="A3361" s="31">
        <v>1000099488</v>
      </c>
      <c r="B3361" s="31" t="s">
        <v>4004</v>
      </c>
      <c r="C3361" s="31" t="s">
        <v>4</v>
      </c>
      <c r="D3361" s="31" t="s">
        <v>2090</v>
      </c>
      <c r="E3361" s="32">
        <v>315.375</v>
      </c>
      <c r="F3361" s="32">
        <v>5</v>
      </c>
    </row>
    <row r="3362" spans="1:6" x14ac:dyDescent="0.3">
      <c r="A3362" s="31">
        <v>1000096817</v>
      </c>
      <c r="B3362" s="31" t="s">
        <v>4005</v>
      </c>
      <c r="C3362" s="31" t="s">
        <v>4</v>
      </c>
      <c r="D3362" s="31" t="s">
        <v>2056</v>
      </c>
      <c r="E3362" s="32">
        <v>315.06</v>
      </c>
      <c r="F3362" s="32">
        <v>49</v>
      </c>
    </row>
    <row r="3363" spans="1:6" x14ac:dyDescent="0.3">
      <c r="A3363" s="31">
        <v>2500008695</v>
      </c>
      <c r="B3363" s="31" t="s">
        <v>3671</v>
      </c>
      <c r="C3363" s="31" t="s">
        <v>1996</v>
      </c>
      <c r="D3363" s="31" t="s">
        <v>2025</v>
      </c>
      <c r="E3363" s="32">
        <v>315</v>
      </c>
      <c r="F3363" s="32">
        <v>2</v>
      </c>
    </row>
    <row r="3364" spans="1:6" x14ac:dyDescent="0.3">
      <c r="A3364" s="31">
        <v>2500001780</v>
      </c>
      <c r="B3364" s="31" t="s">
        <v>4006</v>
      </c>
      <c r="C3364" s="31" t="s">
        <v>1996</v>
      </c>
      <c r="D3364" s="31" t="s">
        <v>2025</v>
      </c>
      <c r="E3364" s="32">
        <v>313.61500000000001</v>
      </c>
      <c r="F3364" s="32">
        <v>2</v>
      </c>
    </row>
    <row r="3365" spans="1:6" x14ac:dyDescent="0.3">
      <c r="A3365" s="31">
        <v>1000015132</v>
      </c>
      <c r="B3365" s="31" t="s">
        <v>4007</v>
      </c>
      <c r="C3365" s="31" t="s">
        <v>4</v>
      </c>
      <c r="D3365" s="31" t="s">
        <v>2043</v>
      </c>
      <c r="E3365" s="32">
        <v>313.326115984289</v>
      </c>
      <c r="F3365" s="32">
        <v>5</v>
      </c>
    </row>
    <row r="3366" spans="1:6" x14ac:dyDescent="0.3">
      <c r="A3366" s="31">
        <v>1000020780</v>
      </c>
      <c r="B3366" s="31" t="s">
        <v>984</v>
      </c>
      <c r="C3366" s="31" t="s">
        <v>4</v>
      </c>
      <c r="D3366" s="31" t="s">
        <v>2090</v>
      </c>
      <c r="E3366" s="32">
        <v>313.3</v>
      </c>
      <c r="F3366" s="32">
        <v>5</v>
      </c>
    </row>
    <row r="3367" spans="1:6" x14ac:dyDescent="0.3">
      <c r="A3367" s="31">
        <v>1000096819</v>
      </c>
      <c r="B3367" s="31" t="s">
        <v>4008</v>
      </c>
      <c r="C3367" s="31" t="s">
        <v>4</v>
      </c>
      <c r="D3367" s="31" t="s">
        <v>2056</v>
      </c>
      <c r="E3367" s="32">
        <v>312.31885057471197</v>
      </c>
      <c r="F3367" s="32">
        <v>23</v>
      </c>
    </row>
    <row r="3368" spans="1:6" x14ac:dyDescent="0.3">
      <c r="A3368" s="31">
        <v>1000098454</v>
      </c>
      <c r="B3368" s="31" t="s">
        <v>1531</v>
      </c>
      <c r="C3368" s="31" t="s">
        <v>4</v>
      </c>
      <c r="D3368" s="31" t="s">
        <v>2090</v>
      </c>
      <c r="E3368" s="32">
        <v>311.61</v>
      </c>
      <c r="F3368" s="32">
        <v>10</v>
      </c>
    </row>
    <row r="3369" spans="1:6" x14ac:dyDescent="0.3">
      <c r="A3369" s="31">
        <v>1000020044</v>
      </c>
      <c r="B3369" s="31" t="s">
        <v>4009</v>
      </c>
      <c r="C3369" s="31" t="s">
        <v>4</v>
      </c>
      <c r="D3369" s="31" t="s">
        <v>2090</v>
      </c>
      <c r="E3369" s="32">
        <v>311.25</v>
      </c>
      <c r="F3369" s="32">
        <v>5</v>
      </c>
    </row>
    <row r="3370" spans="1:6" x14ac:dyDescent="0.3">
      <c r="A3370" s="31">
        <v>1000109795</v>
      </c>
      <c r="B3370" s="31" t="s">
        <v>4010</v>
      </c>
      <c r="C3370" s="31" t="s">
        <v>4</v>
      </c>
      <c r="D3370" s="31" t="s">
        <v>2056</v>
      </c>
      <c r="E3370" s="32">
        <v>311.083529411764</v>
      </c>
      <c r="F3370" s="32">
        <v>34</v>
      </c>
    </row>
    <row r="3371" spans="1:6" x14ac:dyDescent="0.3">
      <c r="A3371" s="31">
        <v>1000091716</v>
      </c>
      <c r="B3371" s="31" t="s">
        <v>4011</v>
      </c>
      <c r="C3371" s="31" t="s">
        <v>2027</v>
      </c>
      <c r="D3371" s="31" t="s">
        <v>2399</v>
      </c>
      <c r="E3371" s="32">
        <v>310.08</v>
      </c>
      <c r="F3371" s="32">
        <v>1</v>
      </c>
    </row>
    <row r="3372" spans="1:6" x14ac:dyDescent="0.3">
      <c r="A3372" s="31">
        <v>2200000566</v>
      </c>
      <c r="B3372" s="31" t="s">
        <v>171</v>
      </c>
      <c r="C3372" s="31" t="s">
        <v>2037</v>
      </c>
      <c r="D3372" s="31" t="s">
        <v>2038</v>
      </c>
      <c r="E3372" s="32">
        <v>309.39999999999998</v>
      </c>
      <c r="F3372" s="32">
        <v>2</v>
      </c>
    </row>
    <row r="3373" spans="1:6" x14ac:dyDescent="0.3">
      <c r="A3373" s="31">
        <v>1000103527</v>
      </c>
      <c r="B3373" s="31" t="s">
        <v>1829</v>
      </c>
      <c r="C3373" s="31" t="s">
        <v>4</v>
      </c>
      <c r="D3373" s="31" t="s">
        <v>2090</v>
      </c>
      <c r="E3373" s="32">
        <v>309.38</v>
      </c>
      <c r="F3373" s="32">
        <v>3</v>
      </c>
    </row>
    <row r="3374" spans="1:6" x14ac:dyDescent="0.3">
      <c r="A3374" s="31">
        <v>1000098572</v>
      </c>
      <c r="B3374" s="31" t="s">
        <v>1581</v>
      </c>
      <c r="C3374" s="31" t="s">
        <v>4</v>
      </c>
      <c r="D3374" s="31" t="s">
        <v>2090</v>
      </c>
      <c r="E3374" s="32">
        <v>308.99</v>
      </c>
      <c r="F3374" s="32">
        <v>50</v>
      </c>
    </row>
    <row r="3375" spans="1:6" x14ac:dyDescent="0.3">
      <c r="A3375" s="31">
        <v>1000020221</v>
      </c>
      <c r="B3375" s="31" t="s">
        <v>461</v>
      </c>
      <c r="C3375" s="31" t="s">
        <v>4</v>
      </c>
      <c r="D3375" s="31" t="s">
        <v>2090</v>
      </c>
      <c r="E3375" s="32">
        <v>308.26665552584598</v>
      </c>
      <c r="F3375" s="32">
        <v>50</v>
      </c>
    </row>
    <row r="3376" spans="1:6" x14ac:dyDescent="0.3">
      <c r="A3376" s="31">
        <v>1000020227</v>
      </c>
      <c r="B3376" s="31" t="s">
        <v>467</v>
      </c>
      <c r="C3376" s="31" t="s">
        <v>4</v>
      </c>
      <c r="D3376" s="31" t="s">
        <v>2090</v>
      </c>
      <c r="E3376" s="32">
        <v>308</v>
      </c>
      <c r="F3376" s="32">
        <v>50</v>
      </c>
    </row>
    <row r="3377" spans="1:6" x14ac:dyDescent="0.3">
      <c r="A3377" s="31">
        <v>2700000134</v>
      </c>
      <c r="B3377" s="31" t="s">
        <v>263</v>
      </c>
      <c r="C3377" s="31" t="s">
        <v>2037</v>
      </c>
      <c r="D3377" s="31" t="s">
        <v>2038</v>
      </c>
      <c r="E3377" s="32">
        <v>307.90750000000003</v>
      </c>
      <c r="F3377" s="32">
        <v>1</v>
      </c>
    </row>
    <row r="3378" spans="1:6" x14ac:dyDescent="0.3">
      <c r="A3378" s="31">
        <v>2500009518</v>
      </c>
      <c r="B3378" s="31" t="s">
        <v>4012</v>
      </c>
      <c r="C3378" s="31" t="s">
        <v>1996</v>
      </c>
      <c r="D3378" s="31" t="s">
        <v>2289</v>
      </c>
      <c r="E3378" s="32">
        <v>307.5</v>
      </c>
      <c r="F3378" s="32">
        <v>1</v>
      </c>
    </row>
    <row r="3379" spans="1:6" x14ac:dyDescent="0.3">
      <c r="A3379" s="31">
        <v>1000100318</v>
      </c>
      <c r="B3379" s="31" t="s">
        <v>4013</v>
      </c>
      <c r="C3379" s="31" t="s">
        <v>4</v>
      </c>
      <c r="D3379" s="31" t="s">
        <v>2090</v>
      </c>
      <c r="E3379" s="32">
        <v>307.35000000000002</v>
      </c>
      <c r="F3379" s="32">
        <v>2</v>
      </c>
    </row>
    <row r="3380" spans="1:6" x14ac:dyDescent="0.3">
      <c r="A3380" s="31">
        <v>1000020762</v>
      </c>
      <c r="B3380" s="31" t="s">
        <v>967</v>
      </c>
      <c r="C3380" s="31" t="s">
        <v>4</v>
      </c>
      <c r="D3380" s="31" t="s">
        <v>2090</v>
      </c>
      <c r="E3380" s="32">
        <v>306.55</v>
      </c>
      <c r="F3380" s="32">
        <v>5</v>
      </c>
    </row>
    <row r="3381" spans="1:6" x14ac:dyDescent="0.3">
      <c r="A3381" s="31">
        <v>1000095025</v>
      </c>
      <c r="B3381" s="31" t="s">
        <v>4014</v>
      </c>
      <c r="C3381" s="31" t="s">
        <v>2257</v>
      </c>
      <c r="D3381" s="31" t="s">
        <v>4015</v>
      </c>
      <c r="E3381" s="32">
        <v>306</v>
      </c>
      <c r="F3381" s="32">
        <v>1</v>
      </c>
    </row>
    <row r="3382" spans="1:6" x14ac:dyDescent="0.3">
      <c r="A3382" s="31">
        <v>80000009698</v>
      </c>
      <c r="B3382" s="31" t="s">
        <v>4016</v>
      </c>
      <c r="C3382" s="31" t="s">
        <v>2521</v>
      </c>
      <c r="D3382" s="31" t="s">
        <v>2670</v>
      </c>
      <c r="E3382" s="32">
        <v>305.883896657668</v>
      </c>
      <c r="F3382" s="32">
        <v>151</v>
      </c>
    </row>
    <row r="3383" spans="1:6" x14ac:dyDescent="0.3">
      <c r="A3383" s="31">
        <v>1000104943</v>
      </c>
      <c r="B3383" s="31" t="s">
        <v>4017</v>
      </c>
      <c r="C3383" s="31" t="s">
        <v>2257</v>
      </c>
      <c r="D3383" s="31" t="s">
        <v>2399</v>
      </c>
      <c r="E3383" s="32">
        <v>304.41000000000003</v>
      </c>
      <c r="F3383" s="32">
        <v>1</v>
      </c>
    </row>
    <row r="3384" spans="1:6" x14ac:dyDescent="0.3">
      <c r="A3384" s="31">
        <v>1000020834</v>
      </c>
      <c r="B3384" s="31" t="s">
        <v>1029</v>
      </c>
      <c r="C3384" s="31" t="s">
        <v>4</v>
      </c>
      <c r="D3384" s="31" t="s">
        <v>2090</v>
      </c>
      <c r="E3384" s="32">
        <v>304.3125</v>
      </c>
      <c r="F3384" s="32">
        <v>3</v>
      </c>
    </row>
    <row r="3385" spans="1:6" x14ac:dyDescent="0.3">
      <c r="A3385" s="31">
        <v>1000020186</v>
      </c>
      <c r="B3385" s="31" t="s">
        <v>428</v>
      </c>
      <c r="C3385" s="31" t="s">
        <v>4</v>
      </c>
      <c r="D3385" s="31" t="s">
        <v>2090</v>
      </c>
      <c r="E3385" s="32">
        <v>304.23</v>
      </c>
      <c r="F3385" s="32">
        <v>3</v>
      </c>
    </row>
    <row r="3386" spans="1:6" x14ac:dyDescent="0.3">
      <c r="A3386" s="31">
        <v>1000020241</v>
      </c>
      <c r="B3386" s="31" t="s">
        <v>480</v>
      </c>
      <c r="C3386" s="31" t="s">
        <v>4</v>
      </c>
      <c r="D3386" s="31" t="s">
        <v>2090</v>
      </c>
      <c r="E3386" s="32">
        <v>304.21805128205102</v>
      </c>
      <c r="F3386" s="32">
        <v>69</v>
      </c>
    </row>
    <row r="3387" spans="1:6" x14ac:dyDescent="0.3">
      <c r="A3387" s="31">
        <v>1000102832</v>
      </c>
      <c r="B3387" s="31" t="s">
        <v>1861</v>
      </c>
      <c r="C3387" s="31" t="s">
        <v>4</v>
      </c>
      <c r="D3387" s="31" t="s">
        <v>2056</v>
      </c>
      <c r="E3387" s="32">
        <v>303.68</v>
      </c>
      <c r="F3387" s="32">
        <v>100</v>
      </c>
    </row>
    <row r="3388" spans="1:6" x14ac:dyDescent="0.3">
      <c r="A3388" s="31">
        <v>1000020480</v>
      </c>
      <c r="B3388" s="31" t="s">
        <v>706</v>
      </c>
      <c r="C3388" s="31" t="s">
        <v>4</v>
      </c>
      <c r="D3388" s="31" t="s">
        <v>2090</v>
      </c>
      <c r="E3388" s="32">
        <v>303.60000000000002</v>
      </c>
      <c r="F3388" s="32">
        <v>8</v>
      </c>
    </row>
    <row r="3389" spans="1:6" x14ac:dyDescent="0.3">
      <c r="A3389" s="31">
        <v>1000020613</v>
      </c>
      <c r="B3389" s="31" t="s">
        <v>829</v>
      </c>
      <c r="C3389" s="31" t="s">
        <v>4</v>
      </c>
      <c r="D3389" s="31" t="s">
        <v>2090</v>
      </c>
      <c r="E3389" s="32">
        <v>303.60000000000002</v>
      </c>
      <c r="F3389" s="32">
        <v>44</v>
      </c>
    </row>
    <row r="3390" spans="1:6" x14ac:dyDescent="0.3">
      <c r="A3390" s="31">
        <v>1000020956</v>
      </c>
      <c r="B3390" s="31" t="s">
        <v>1134</v>
      </c>
      <c r="C3390" s="31" t="s">
        <v>4</v>
      </c>
      <c r="D3390" s="31" t="s">
        <v>2090</v>
      </c>
      <c r="E3390" s="32">
        <v>303.20999999999998</v>
      </c>
      <c r="F3390" s="32">
        <v>1</v>
      </c>
    </row>
    <row r="3391" spans="1:6" x14ac:dyDescent="0.3">
      <c r="A3391" s="31">
        <v>1000020949</v>
      </c>
      <c r="B3391" s="31" t="s">
        <v>1127</v>
      </c>
      <c r="C3391" s="31" t="s">
        <v>4</v>
      </c>
      <c r="D3391" s="31" t="s">
        <v>2090</v>
      </c>
      <c r="E3391" s="32">
        <v>302.8</v>
      </c>
      <c r="F3391" s="32">
        <v>2</v>
      </c>
    </row>
    <row r="3392" spans="1:6" x14ac:dyDescent="0.3">
      <c r="A3392" s="31">
        <v>1000101570</v>
      </c>
      <c r="B3392" s="31" t="s">
        <v>1753</v>
      </c>
      <c r="C3392" s="31" t="s">
        <v>4</v>
      </c>
      <c r="D3392" s="31" t="s">
        <v>2090</v>
      </c>
      <c r="E3392" s="32">
        <v>302.44</v>
      </c>
      <c r="F3392" s="32">
        <v>1</v>
      </c>
    </row>
    <row r="3393" spans="1:6" x14ac:dyDescent="0.3">
      <c r="A3393" s="31">
        <v>1000096104</v>
      </c>
      <c r="B3393" s="31" t="s">
        <v>4018</v>
      </c>
      <c r="C3393" s="31" t="s">
        <v>4</v>
      </c>
      <c r="D3393" s="31" t="s">
        <v>2161</v>
      </c>
      <c r="E3393" s="32">
        <v>302.11933333333297</v>
      </c>
      <c r="F3393" s="32">
        <v>1</v>
      </c>
    </row>
    <row r="3394" spans="1:6" x14ac:dyDescent="0.3">
      <c r="A3394" s="31">
        <v>1000100323</v>
      </c>
      <c r="B3394" s="31" t="s">
        <v>4019</v>
      </c>
      <c r="C3394" s="31" t="s">
        <v>4</v>
      </c>
      <c r="D3394" s="31" t="s">
        <v>2090</v>
      </c>
      <c r="E3394" s="32">
        <v>302.07</v>
      </c>
      <c r="F3394" s="32">
        <v>20</v>
      </c>
    </row>
    <row r="3395" spans="1:6" x14ac:dyDescent="0.3">
      <c r="A3395" s="31">
        <v>1000095431</v>
      </c>
      <c r="B3395" s="31" t="s">
        <v>4020</v>
      </c>
      <c r="C3395" s="31" t="s">
        <v>4</v>
      </c>
      <c r="D3395" s="31" t="s">
        <v>2090</v>
      </c>
      <c r="E3395" s="32">
        <v>301.274</v>
      </c>
      <c r="F3395" s="32">
        <v>1</v>
      </c>
    </row>
    <row r="3396" spans="1:6" x14ac:dyDescent="0.3">
      <c r="A3396" s="31">
        <v>1000020391</v>
      </c>
      <c r="B3396" s="31" t="s">
        <v>621</v>
      </c>
      <c r="C3396" s="31" t="s">
        <v>4</v>
      </c>
      <c r="D3396" s="31" t="s">
        <v>2090</v>
      </c>
      <c r="E3396" s="32">
        <v>301.16000000000003</v>
      </c>
      <c r="F3396" s="32">
        <v>4</v>
      </c>
    </row>
    <row r="3397" spans="1:6" x14ac:dyDescent="0.3">
      <c r="A3397" s="31">
        <v>2500008856</v>
      </c>
      <c r="B3397" s="31" t="s">
        <v>4021</v>
      </c>
      <c r="C3397" s="31" t="s">
        <v>1996</v>
      </c>
      <c r="D3397" s="31" t="s">
        <v>2117</v>
      </c>
      <c r="E3397" s="32">
        <v>300</v>
      </c>
      <c r="F3397" s="32">
        <v>1</v>
      </c>
    </row>
    <row r="3398" spans="1:6" x14ac:dyDescent="0.3">
      <c r="A3398" s="31">
        <v>2500009406</v>
      </c>
      <c r="B3398" s="31" t="s">
        <v>4022</v>
      </c>
      <c r="C3398" s="31" t="s">
        <v>1996</v>
      </c>
      <c r="D3398" s="31" t="s">
        <v>2289</v>
      </c>
      <c r="E3398" s="32">
        <v>300</v>
      </c>
      <c r="F3398" s="32">
        <v>8</v>
      </c>
    </row>
    <row r="3399" spans="1:6" x14ac:dyDescent="0.3">
      <c r="A3399" s="31">
        <v>80000009980</v>
      </c>
      <c r="B3399" s="31" t="s">
        <v>4023</v>
      </c>
      <c r="C3399" s="31" t="s">
        <v>2521</v>
      </c>
      <c r="D3399" s="31" t="s">
        <v>3289</v>
      </c>
      <c r="E3399" s="32">
        <v>300</v>
      </c>
      <c r="F3399" s="32">
        <v>15</v>
      </c>
    </row>
    <row r="3400" spans="1:6" x14ac:dyDescent="0.3">
      <c r="A3400" s="31">
        <v>80000009764</v>
      </c>
      <c r="B3400" s="31" t="s">
        <v>4024</v>
      </c>
      <c r="C3400" s="31" t="s">
        <v>2521</v>
      </c>
      <c r="D3400" s="31" t="s">
        <v>2670</v>
      </c>
      <c r="E3400" s="32">
        <v>300</v>
      </c>
      <c r="F3400" s="32">
        <v>400</v>
      </c>
    </row>
    <row r="3401" spans="1:6" x14ac:dyDescent="0.3">
      <c r="A3401" s="31">
        <v>80000009701</v>
      </c>
      <c r="B3401" s="31" t="s">
        <v>4025</v>
      </c>
      <c r="C3401" s="31" t="s">
        <v>2755</v>
      </c>
      <c r="D3401" s="31" t="s">
        <v>2670</v>
      </c>
      <c r="E3401" s="32">
        <v>300</v>
      </c>
      <c r="F3401" s="32">
        <v>1200</v>
      </c>
    </row>
    <row r="3402" spans="1:6" x14ac:dyDescent="0.3">
      <c r="A3402" s="31">
        <v>1000100366</v>
      </c>
      <c r="B3402" s="31" t="s">
        <v>1706</v>
      </c>
      <c r="C3402" s="31" t="s">
        <v>4</v>
      </c>
      <c r="D3402" s="31" t="s">
        <v>2090</v>
      </c>
      <c r="E3402" s="32">
        <v>299.14333333333298</v>
      </c>
      <c r="F3402" s="32">
        <v>6</v>
      </c>
    </row>
    <row r="3403" spans="1:6" x14ac:dyDescent="0.3">
      <c r="A3403" s="31">
        <v>2300010097</v>
      </c>
      <c r="B3403" s="31" t="s">
        <v>4026</v>
      </c>
      <c r="C3403" s="31" t="s">
        <v>2030</v>
      </c>
      <c r="D3403" s="31" t="s">
        <v>2031</v>
      </c>
      <c r="E3403" s="32">
        <v>298.82159999999999</v>
      </c>
      <c r="F3403" s="32">
        <v>1</v>
      </c>
    </row>
    <row r="3404" spans="1:6" x14ac:dyDescent="0.3">
      <c r="A3404" s="31">
        <v>1000020609</v>
      </c>
      <c r="B3404" s="31" t="s">
        <v>825</v>
      </c>
      <c r="C3404" s="31" t="s">
        <v>4</v>
      </c>
      <c r="D3404" s="31" t="s">
        <v>2090</v>
      </c>
      <c r="E3404" s="32">
        <v>298.02</v>
      </c>
      <c r="F3404" s="32">
        <v>42</v>
      </c>
    </row>
    <row r="3405" spans="1:6" x14ac:dyDescent="0.3">
      <c r="A3405" s="31">
        <v>1000103526</v>
      </c>
      <c r="B3405" s="31" t="s">
        <v>1828</v>
      </c>
      <c r="C3405" s="31" t="s">
        <v>4</v>
      </c>
      <c r="D3405" s="31" t="s">
        <v>2090</v>
      </c>
      <c r="E3405" s="32">
        <v>297.94</v>
      </c>
      <c r="F3405" s="32">
        <v>5</v>
      </c>
    </row>
    <row r="3406" spans="1:6" x14ac:dyDescent="0.3">
      <c r="A3406" s="31">
        <v>2500008437</v>
      </c>
      <c r="B3406" s="31" t="s">
        <v>4027</v>
      </c>
      <c r="C3406" s="31" t="s">
        <v>1996</v>
      </c>
      <c r="D3406" s="31" t="s">
        <v>2025</v>
      </c>
      <c r="E3406" s="32">
        <v>297</v>
      </c>
      <c r="F3406" s="32">
        <v>1</v>
      </c>
    </row>
    <row r="3407" spans="1:6" x14ac:dyDescent="0.3">
      <c r="A3407" s="31">
        <v>1000020446</v>
      </c>
      <c r="B3407" s="31" t="s">
        <v>673</v>
      </c>
      <c r="C3407" s="31" t="s">
        <v>4</v>
      </c>
      <c r="D3407" s="31" t="s">
        <v>2090</v>
      </c>
      <c r="E3407" s="32">
        <v>296.952826666666</v>
      </c>
      <c r="F3407" s="32">
        <v>12</v>
      </c>
    </row>
    <row r="3408" spans="1:6" x14ac:dyDescent="0.3">
      <c r="A3408" s="31">
        <v>1000020781</v>
      </c>
      <c r="B3408" s="31" t="s">
        <v>985</v>
      </c>
      <c r="C3408" s="31" t="s">
        <v>4</v>
      </c>
      <c r="D3408" s="31" t="s">
        <v>2090</v>
      </c>
      <c r="E3408" s="32">
        <v>296.94</v>
      </c>
      <c r="F3408" s="32">
        <v>3</v>
      </c>
    </row>
    <row r="3409" spans="1:6" x14ac:dyDescent="0.3">
      <c r="A3409" s="31">
        <v>1000020544</v>
      </c>
      <c r="B3409" s="31" t="s">
        <v>764</v>
      </c>
      <c r="C3409" s="31" t="s">
        <v>4</v>
      </c>
      <c r="D3409" s="31" t="s">
        <v>2090</v>
      </c>
      <c r="E3409" s="32">
        <v>296.77</v>
      </c>
      <c r="F3409" s="32">
        <v>1</v>
      </c>
    </row>
    <row r="3410" spans="1:6" x14ac:dyDescent="0.3">
      <c r="A3410" s="31">
        <v>1000098538</v>
      </c>
      <c r="B3410" s="31" t="s">
        <v>1569</v>
      </c>
      <c r="C3410" s="31" t="s">
        <v>4</v>
      </c>
      <c r="D3410" s="31" t="s">
        <v>2090</v>
      </c>
      <c r="E3410" s="32">
        <v>295.88</v>
      </c>
      <c r="F3410" s="32">
        <v>10</v>
      </c>
    </row>
    <row r="3411" spans="1:6" x14ac:dyDescent="0.3">
      <c r="A3411" s="31">
        <v>1000098532</v>
      </c>
      <c r="B3411" s="31" t="s">
        <v>1566</v>
      </c>
      <c r="C3411" s="31" t="s">
        <v>4</v>
      </c>
      <c r="D3411" s="31" t="s">
        <v>2090</v>
      </c>
      <c r="E3411" s="32">
        <v>295.36</v>
      </c>
      <c r="F3411" s="32">
        <v>2</v>
      </c>
    </row>
    <row r="3412" spans="1:6" x14ac:dyDescent="0.3">
      <c r="A3412" s="31">
        <v>1000092603</v>
      </c>
      <c r="B3412" s="31" t="s">
        <v>2704</v>
      </c>
      <c r="C3412" s="31" t="s">
        <v>2257</v>
      </c>
      <c r="D3412" s="31" t="s">
        <v>2399</v>
      </c>
      <c r="E3412" s="32">
        <v>295.26124242424203</v>
      </c>
      <c r="F3412" s="32">
        <v>1</v>
      </c>
    </row>
    <row r="3413" spans="1:6" x14ac:dyDescent="0.3">
      <c r="A3413" s="31">
        <v>1000108220</v>
      </c>
      <c r="B3413" s="31" t="s">
        <v>107</v>
      </c>
      <c r="C3413" s="31" t="s">
        <v>4</v>
      </c>
      <c r="D3413" s="31" t="s">
        <v>2043</v>
      </c>
      <c r="E3413" s="32">
        <v>295.2</v>
      </c>
      <c r="F3413" s="32">
        <v>20</v>
      </c>
    </row>
    <row r="3414" spans="1:6" x14ac:dyDescent="0.3">
      <c r="A3414" s="31">
        <v>1000020368</v>
      </c>
      <c r="B3414" s="31" t="s">
        <v>600</v>
      </c>
      <c r="C3414" s="31" t="s">
        <v>4</v>
      </c>
      <c r="D3414" s="31" t="s">
        <v>2090</v>
      </c>
      <c r="E3414" s="32">
        <v>295.18</v>
      </c>
      <c r="F3414" s="32">
        <v>2</v>
      </c>
    </row>
    <row r="3415" spans="1:6" x14ac:dyDescent="0.3">
      <c r="A3415" s="31">
        <v>2500008885</v>
      </c>
      <c r="B3415" s="31" t="s">
        <v>4028</v>
      </c>
      <c r="C3415" s="31" t="s">
        <v>1996</v>
      </c>
      <c r="D3415" s="31" t="s">
        <v>2025</v>
      </c>
      <c r="E3415" s="32">
        <v>294.88285714285701</v>
      </c>
      <c r="F3415" s="32">
        <v>6</v>
      </c>
    </row>
    <row r="3416" spans="1:6" x14ac:dyDescent="0.3">
      <c r="A3416" s="31">
        <v>1000020546</v>
      </c>
      <c r="B3416" s="31" t="s">
        <v>765</v>
      </c>
      <c r="C3416" s="31" t="s">
        <v>4</v>
      </c>
      <c r="D3416" s="31" t="s">
        <v>2090</v>
      </c>
      <c r="E3416" s="32">
        <v>294.85987179487103</v>
      </c>
      <c r="F3416" s="32">
        <v>1</v>
      </c>
    </row>
    <row r="3417" spans="1:6" x14ac:dyDescent="0.3">
      <c r="A3417" s="31">
        <v>1000020205</v>
      </c>
      <c r="B3417" s="31" t="s">
        <v>445</v>
      </c>
      <c r="C3417" s="31" t="s">
        <v>4</v>
      </c>
      <c r="D3417" s="31" t="s">
        <v>2090</v>
      </c>
      <c r="E3417" s="32">
        <v>294.83999999999997</v>
      </c>
      <c r="F3417" s="32">
        <v>4</v>
      </c>
    </row>
    <row r="3418" spans="1:6" x14ac:dyDescent="0.3">
      <c r="A3418" s="31">
        <v>2500008239</v>
      </c>
      <c r="B3418" s="31" t="s">
        <v>1922</v>
      </c>
      <c r="C3418" s="31" t="s">
        <v>1996</v>
      </c>
      <c r="D3418" s="31" t="s">
        <v>2025</v>
      </c>
      <c r="E3418" s="32">
        <v>294.63799999999998</v>
      </c>
      <c r="F3418" s="32">
        <v>1</v>
      </c>
    </row>
    <row r="3419" spans="1:6" x14ac:dyDescent="0.3">
      <c r="A3419" s="31">
        <v>1000020502</v>
      </c>
      <c r="B3419" s="31" t="s">
        <v>727</v>
      </c>
      <c r="C3419" s="31" t="s">
        <v>4</v>
      </c>
      <c r="D3419" s="31" t="s">
        <v>2090</v>
      </c>
      <c r="E3419" s="32">
        <v>294.22666666666601</v>
      </c>
      <c r="F3419" s="32">
        <v>4</v>
      </c>
    </row>
    <row r="3420" spans="1:6" x14ac:dyDescent="0.3">
      <c r="A3420" s="31">
        <v>1000107037</v>
      </c>
      <c r="B3420" s="31" t="s">
        <v>4029</v>
      </c>
      <c r="C3420" s="31" t="s">
        <v>4</v>
      </c>
      <c r="D3420" s="31" t="s">
        <v>2056</v>
      </c>
      <c r="E3420" s="32">
        <v>293.76100000000002</v>
      </c>
      <c r="F3420" s="32">
        <v>15</v>
      </c>
    </row>
    <row r="3421" spans="1:6" x14ac:dyDescent="0.3">
      <c r="A3421" s="31">
        <v>1000098473</v>
      </c>
      <c r="B3421" s="31" t="s">
        <v>1547</v>
      </c>
      <c r="C3421" s="31" t="s">
        <v>4</v>
      </c>
      <c r="D3421" s="31" t="s">
        <v>2090</v>
      </c>
      <c r="E3421" s="32">
        <v>293.40800000000002</v>
      </c>
      <c r="F3421" s="32">
        <v>2</v>
      </c>
    </row>
    <row r="3422" spans="1:6" x14ac:dyDescent="0.3">
      <c r="A3422" s="31">
        <v>1000098523</v>
      </c>
      <c r="B3422" s="31" t="s">
        <v>1557</v>
      </c>
      <c r="C3422" s="31" t="s">
        <v>4</v>
      </c>
      <c r="D3422" s="31" t="s">
        <v>2090</v>
      </c>
      <c r="E3422" s="32">
        <v>292.88</v>
      </c>
      <c r="F3422" s="32">
        <v>5</v>
      </c>
    </row>
    <row r="3423" spans="1:6" x14ac:dyDescent="0.3">
      <c r="A3423" s="31">
        <v>2500008599</v>
      </c>
      <c r="B3423" s="31" t="s">
        <v>1943</v>
      </c>
      <c r="C3423" s="31" t="s">
        <v>1996</v>
      </c>
      <c r="D3423" s="31" t="s">
        <v>2025</v>
      </c>
      <c r="E3423" s="32">
        <v>292.5</v>
      </c>
      <c r="F3423" s="32">
        <v>2</v>
      </c>
    </row>
    <row r="3424" spans="1:6" x14ac:dyDescent="0.3">
      <c r="A3424" s="31">
        <v>2500009078</v>
      </c>
      <c r="B3424" s="31" t="s">
        <v>4030</v>
      </c>
      <c r="C3424" s="31" t="s">
        <v>1996</v>
      </c>
      <c r="D3424" s="31" t="s">
        <v>2289</v>
      </c>
      <c r="E3424" s="32">
        <v>292.5</v>
      </c>
      <c r="F3424" s="32">
        <v>3</v>
      </c>
    </row>
    <row r="3425" spans="1:6" x14ac:dyDescent="0.3">
      <c r="A3425" s="31">
        <v>1000097196</v>
      </c>
      <c r="B3425" s="31" t="s">
        <v>1850</v>
      </c>
      <c r="C3425" s="31" t="s">
        <v>4</v>
      </c>
      <c r="D3425" s="31" t="s">
        <v>2056</v>
      </c>
      <c r="E3425" s="32">
        <v>292.237879598662</v>
      </c>
      <c r="F3425" s="32">
        <v>37</v>
      </c>
    </row>
    <row r="3426" spans="1:6" x14ac:dyDescent="0.3">
      <c r="A3426" s="31">
        <v>2500008559</v>
      </c>
      <c r="B3426" s="31" t="s">
        <v>4031</v>
      </c>
      <c r="C3426" s="31" t="s">
        <v>1996</v>
      </c>
      <c r="D3426" s="31" t="s">
        <v>2025</v>
      </c>
      <c r="E3426" s="32">
        <v>290</v>
      </c>
      <c r="F3426" s="32">
        <v>4</v>
      </c>
    </row>
    <row r="3427" spans="1:6" x14ac:dyDescent="0.3">
      <c r="A3427" s="31">
        <v>1000020990</v>
      </c>
      <c r="B3427" s="31" t="s">
        <v>1164</v>
      </c>
      <c r="C3427" s="31" t="s">
        <v>4</v>
      </c>
      <c r="D3427" s="31" t="s">
        <v>2090</v>
      </c>
      <c r="E3427" s="32">
        <v>289.98</v>
      </c>
      <c r="F3427" s="32">
        <v>3</v>
      </c>
    </row>
    <row r="3428" spans="1:6" x14ac:dyDescent="0.3">
      <c r="A3428" s="31">
        <v>1000020909</v>
      </c>
      <c r="B3428" s="31" t="s">
        <v>1089</v>
      </c>
      <c r="C3428" s="31" t="s">
        <v>4</v>
      </c>
      <c r="D3428" s="31" t="s">
        <v>2090</v>
      </c>
      <c r="E3428" s="32">
        <v>289.98</v>
      </c>
      <c r="F3428" s="32">
        <v>1</v>
      </c>
    </row>
    <row r="3429" spans="1:6" x14ac:dyDescent="0.3">
      <c r="A3429" s="31">
        <v>2700000239</v>
      </c>
      <c r="B3429" s="31" t="s">
        <v>4032</v>
      </c>
      <c r="C3429" s="31" t="s">
        <v>2037</v>
      </c>
      <c r="D3429" s="31" t="s">
        <v>2038</v>
      </c>
      <c r="E3429" s="32">
        <v>289.96952727492101</v>
      </c>
      <c r="F3429" s="32">
        <v>21</v>
      </c>
    </row>
    <row r="3430" spans="1:6" x14ac:dyDescent="0.3">
      <c r="A3430" s="31">
        <v>1000020662</v>
      </c>
      <c r="B3430" s="31" t="s">
        <v>875</v>
      </c>
      <c r="C3430" s="31" t="s">
        <v>4</v>
      </c>
      <c r="D3430" s="31" t="s">
        <v>2090</v>
      </c>
      <c r="E3430" s="32">
        <v>289.682894736842</v>
      </c>
      <c r="F3430" s="32">
        <v>8</v>
      </c>
    </row>
    <row r="3431" spans="1:6" x14ac:dyDescent="0.3">
      <c r="A3431" s="31">
        <v>1000010113</v>
      </c>
      <c r="B3431" s="31" t="s">
        <v>4033</v>
      </c>
      <c r="C3431" s="31" t="s">
        <v>4</v>
      </c>
      <c r="D3431" s="31" t="s">
        <v>2161</v>
      </c>
      <c r="E3431" s="32">
        <v>289.34399999999999</v>
      </c>
      <c r="F3431" s="32">
        <v>8</v>
      </c>
    </row>
    <row r="3432" spans="1:6" x14ac:dyDescent="0.3">
      <c r="A3432" s="31">
        <v>1000021149</v>
      </c>
      <c r="B3432" s="31" t="s">
        <v>1300</v>
      </c>
      <c r="C3432" s="31" t="s">
        <v>4</v>
      </c>
      <c r="D3432" s="31" t="s">
        <v>2090</v>
      </c>
      <c r="E3432" s="32">
        <v>289.33999999999997</v>
      </c>
      <c r="F3432" s="32">
        <v>2</v>
      </c>
    </row>
    <row r="3433" spans="1:6" x14ac:dyDescent="0.3">
      <c r="A3433" s="31">
        <v>1000020267</v>
      </c>
      <c r="B3433" s="31" t="s">
        <v>505</v>
      </c>
      <c r="C3433" s="31" t="s">
        <v>4</v>
      </c>
      <c r="D3433" s="31" t="s">
        <v>2090</v>
      </c>
      <c r="E3433" s="32">
        <v>289.19074999999998</v>
      </c>
      <c r="F3433" s="32">
        <v>11</v>
      </c>
    </row>
    <row r="3434" spans="1:6" x14ac:dyDescent="0.3">
      <c r="A3434" s="31">
        <v>1000098641</v>
      </c>
      <c r="B3434" s="31" t="s">
        <v>1619</v>
      </c>
      <c r="C3434" s="31" t="s">
        <v>4</v>
      </c>
      <c r="D3434" s="31" t="s">
        <v>2090</v>
      </c>
      <c r="E3434" s="32">
        <v>289.14</v>
      </c>
      <c r="F3434" s="32">
        <v>5</v>
      </c>
    </row>
    <row r="3435" spans="1:6" x14ac:dyDescent="0.3">
      <c r="A3435" s="31">
        <v>1000103023</v>
      </c>
      <c r="B3435" s="31" t="s">
        <v>4034</v>
      </c>
      <c r="C3435" s="31" t="s">
        <v>4</v>
      </c>
      <c r="D3435" s="31" t="s">
        <v>2090</v>
      </c>
      <c r="E3435" s="32">
        <v>289.01</v>
      </c>
      <c r="F3435" s="32">
        <v>1</v>
      </c>
    </row>
    <row r="3436" spans="1:6" x14ac:dyDescent="0.3">
      <c r="A3436" s="31">
        <v>1000020030</v>
      </c>
      <c r="B3436" s="31" t="s">
        <v>4035</v>
      </c>
      <c r="C3436" s="31" t="s">
        <v>4</v>
      </c>
      <c r="D3436" s="31" t="s">
        <v>2090</v>
      </c>
      <c r="E3436" s="32">
        <v>288.512</v>
      </c>
      <c r="F3436" s="32">
        <v>8</v>
      </c>
    </row>
    <row r="3437" spans="1:6" x14ac:dyDescent="0.3">
      <c r="A3437" s="31">
        <v>2200012299</v>
      </c>
      <c r="B3437" s="31" t="s">
        <v>4036</v>
      </c>
      <c r="C3437" s="31" t="s">
        <v>2037</v>
      </c>
      <c r="D3437" s="31" t="s">
        <v>2038</v>
      </c>
      <c r="E3437" s="32">
        <v>288.36</v>
      </c>
      <c r="F3437" s="32">
        <v>2</v>
      </c>
    </row>
    <row r="3438" spans="1:6" x14ac:dyDescent="0.3">
      <c r="A3438" s="31">
        <v>1000095665</v>
      </c>
      <c r="B3438" s="31" t="s">
        <v>4037</v>
      </c>
      <c r="C3438" s="31" t="s">
        <v>4</v>
      </c>
      <c r="D3438" s="31" t="s">
        <v>2056</v>
      </c>
      <c r="E3438" s="32">
        <v>287.96499999999997</v>
      </c>
      <c r="F3438" s="32">
        <v>1</v>
      </c>
    </row>
    <row r="3439" spans="1:6" x14ac:dyDescent="0.3">
      <c r="A3439" s="31">
        <v>2500005726</v>
      </c>
      <c r="B3439" s="31" t="s">
        <v>4038</v>
      </c>
      <c r="C3439" s="31" t="s">
        <v>1996</v>
      </c>
      <c r="D3439" s="31" t="s">
        <v>2025</v>
      </c>
      <c r="E3439" s="32">
        <v>287.84482758620601</v>
      </c>
      <c r="F3439" s="32">
        <v>6</v>
      </c>
    </row>
    <row r="3440" spans="1:6" x14ac:dyDescent="0.3">
      <c r="A3440" s="31">
        <v>1000106059</v>
      </c>
      <c r="B3440" s="31" t="s">
        <v>4039</v>
      </c>
      <c r="C3440" s="31" t="s">
        <v>4</v>
      </c>
      <c r="D3440" s="31" t="s">
        <v>2161</v>
      </c>
      <c r="E3440" s="32">
        <v>287.7</v>
      </c>
      <c r="F3440" s="32">
        <v>2</v>
      </c>
    </row>
    <row r="3441" spans="1:6" x14ac:dyDescent="0.3">
      <c r="A3441" s="31">
        <v>1000096577</v>
      </c>
      <c r="B3441" s="31" t="s">
        <v>4040</v>
      </c>
      <c r="C3441" s="31" t="s">
        <v>4</v>
      </c>
      <c r="D3441" s="31" t="s">
        <v>2090</v>
      </c>
      <c r="E3441" s="32">
        <v>285.54500000000002</v>
      </c>
      <c r="F3441" s="32">
        <v>1</v>
      </c>
    </row>
    <row r="3442" spans="1:6" x14ac:dyDescent="0.3">
      <c r="A3442" s="31">
        <v>1000094565</v>
      </c>
      <c r="B3442" s="31" t="s">
        <v>4041</v>
      </c>
      <c r="C3442" s="31" t="s">
        <v>2257</v>
      </c>
      <c r="D3442" s="31" t="s">
        <v>2399</v>
      </c>
      <c r="E3442" s="32">
        <v>285.12</v>
      </c>
      <c r="F3442" s="32">
        <v>1</v>
      </c>
    </row>
    <row r="3443" spans="1:6" x14ac:dyDescent="0.3">
      <c r="A3443" s="31">
        <v>2500009484</v>
      </c>
      <c r="B3443" s="31" t="s">
        <v>4042</v>
      </c>
      <c r="C3443" s="31" t="s">
        <v>1996</v>
      </c>
      <c r="D3443" s="31" t="s">
        <v>2289</v>
      </c>
      <c r="E3443" s="32">
        <v>285</v>
      </c>
      <c r="F3443" s="32">
        <v>4</v>
      </c>
    </row>
    <row r="3444" spans="1:6" x14ac:dyDescent="0.3">
      <c r="A3444" s="31">
        <v>1000104227</v>
      </c>
      <c r="B3444" s="31" t="s">
        <v>4043</v>
      </c>
      <c r="C3444" s="31" t="s">
        <v>4</v>
      </c>
      <c r="D3444" s="31" t="s">
        <v>2090</v>
      </c>
      <c r="E3444" s="32">
        <v>284.27815068493101</v>
      </c>
      <c r="F3444" s="32">
        <v>3</v>
      </c>
    </row>
    <row r="3445" spans="1:6" x14ac:dyDescent="0.3">
      <c r="A3445" s="31">
        <v>1000103429</v>
      </c>
      <c r="B3445" s="31" t="s">
        <v>4044</v>
      </c>
      <c r="C3445" s="31" t="s">
        <v>4</v>
      </c>
      <c r="D3445" s="31" t="s">
        <v>2090</v>
      </c>
      <c r="E3445" s="32">
        <v>282.56</v>
      </c>
      <c r="F3445" s="32">
        <v>5</v>
      </c>
    </row>
    <row r="3446" spans="1:6" x14ac:dyDescent="0.3">
      <c r="A3446" s="31">
        <v>1000010122</v>
      </c>
      <c r="B3446" s="31" t="s">
        <v>4045</v>
      </c>
      <c r="C3446" s="31" t="s">
        <v>4</v>
      </c>
      <c r="D3446" s="31" t="s">
        <v>2161</v>
      </c>
      <c r="E3446" s="32">
        <v>282.10399999999998</v>
      </c>
      <c r="F3446" s="32">
        <v>2</v>
      </c>
    </row>
    <row r="3447" spans="1:6" x14ac:dyDescent="0.3">
      <c r="A3447" s="31">
        <v>1000020142</v>
      </c>
      <c r="B3447" s="31" t="s">
        <v>395</v>
      </c>
      <c r="C3447" s="31" t="s">
        <v>4</v>
      </c>
      <c r="D3447" s="31" t="s">
        <v>2090</v>
      </c>
      <c r="E3447" s="32">
        <v>281.60000000000002</v>
      </c>
      <c r="F3447" s="32">
        <v>5</v>
      </c>
    </row>
    <row r="3448" spans="1:6" x14ac:dyDescent="0.3">
      <c r="A3448" s="31">
        <v>1000098462</v>
      </c>
      <c r="B3448" s="31" t="s">
        <v>1537</v>
      </c>
      <c r="C3448" s="31" t="s">
        <v>4</v>
      </c>
      <c r="D3448" s="31" t="s">
        <v>2090</v>
      </c>
      <c r="E3448" s="32">
        <v>281.57</v>
      </c>
      <c r="F3448" s="32">
        <v>2</v>
      </c>
    </row>
    <row r="3449" spans="1:6" x14ac:dyDescent="0.3">
      <c r="A3449" s="31">
        <v>1000021226</v>
      </c>
      <c r="B3449" s="31" t="s">
        <v>1372</v>
      </c>
      <c r="C3449" s="31" t="s">
        <v>4</v>
      </c>
      <c r="D3449" s="31" t="s">
        <v>2090</v>
      </c>
      <c r="E3449" s="32">
        <v>281.25</v>
      </c>
      <c r="F3449" s="32">
        <v>3</v>
      </c>
    </row>
    <row r="3450" spans="1:6" x14ac:dyDescent="0.3">
      <c r="A3450" s="31">
        <v>2500008855</v>
      </c>
      <c r="B3450" s="31" t="s">
        <v>4046</v>
      </c>
      <c r="C3450" s="31" t="s">
        <v>1996</v>
      </c>
      <c r="D3450" s="31" t="s">
        <v>2117</v>
      </c>
      <c r="E3450" s="32">
        <v>281.25</v>
      </c>
      <c r="F3450" s="32">
        <v>1</v>
      </c>
    </row>
    <row r="3451" spans="1:6" x14ac:dyDescent="0.3">
      <c r="A3451" s="31">
        <v>2500009480</v>
      </c>
      <c r="B3451" s="31" t="s">
        <v>4047</v>
      </c>
      <c r="C3451" s="31" t="s">
        <v>1996</v>
      </c>
      <c r="D3451" s="31" t="s">
        <v>2289</v>
      </c>
      <c r="E3451" s="32">
        <v>281.25</v>
      </c>
      <c r="F3451" s="32">
        <v>1</v>
      </c>
    </row>
    <row r="3452" spans="1:6" x14ac:dyDescent="0.3">
      <c r="A3452" s="31">
        <v>2500008366</v>
      </c>
      <c r="B3452" s="31" t="s">
        <v>4048</v>
      </c>
      <c r="C3452" s="31" t="s">
        <v>1996</v>
      </c>
      <c r="D3452" s="31" t="s">
        <v>2025</v>
      </c>
      <c r="E3452" s="32">
        <v>281.25</v>
      </c>
      <c r="F3452" s="32">
        <v>15</v>
      </c>
    </row>
    <row r="3453" spans="1:6" x14ac:dyDescent="0.3">
      <c r="A3453" s="31">
        <v>2500009516</v>
      </c>
      <c r="B3453" s="31" t="s">
        <v>4049</v>
      </c>
      <c r="C3453" s="31" t="s">
        <v>1996</v>
      </c>
      <c r="D3453" s="31" t="s">
        <v>2289</v>
      </c>
      <c r="E3453" s="32">
        <v>281.25</v>
      </c>
      <c r="F3453" s="32">
        <v>1</v>
      </c>
    </row>
    <row r="3454" spans="1:6" x14ac:dyDescent="0.3">
      <c r="A3454" s="31">
        <v>1000021024</v>
      </c>
      <c r="B3454" s="31" t="s">
        <v>1196</v>
      </c>
      <c r="C3454" s="31" t="s">
        <v>4</v>
      </c>
      <c r="D3454" s="31" t="s">
        <v>2090</v>
      </c>
      <c r="E3454" s="32">
        <v>280.79000000000002</v>
      </c>
      <c r="F3454" s="32">
        <v>1</v>
      </c>
    </row>
    <row r="3455" spans="1:6" x14ac:dyDescent="0.3">
      <c r="A3455" s="31">
        <v>2500008219</v>
      </c>
      <c r="B3455" s="31" t="s">
        <v>4050</v>
      </c>
      <c r="C3455" s="31" t="s">
        <v>1996</v>
      </c>
      <c r="D3455" s="31" t="s">
        <v>2025</v>
      </c>
      <c r="E3455" s="32">
        <v>280.62266666666602</v>
      </c>
      <c r="F3455" s="32">
        <v>2</v>
      </c>
    </row>
    <row r="3456" spans="1:6" x14ac:dyDescent="0.3">
      <c r="A3456" s="31">
        <v>1000020453</v>
      </c>
      <c r="B3456" s="31" t="s">
        <v>679</v>
      </c>
      <c r="C3456" s="31" t="s">
        <v>4</v>
      </c>
      <c r="D3456" s="31" t="s">
        <v>2090</v>
      </c>
      <c r="E3456" s="32">
        <v>280.48</v>
      </c>
      <c r="F3456" s="32">
        <v>16</v>
      </c>
    </row>
    <row r="3457" spans="1:6" x14ac:dyDescent="0.3">
      <c r="A3457" s="31">
        <v>1000017022</v>
      </c>
      <c r="B3457" s="31" t="s">
        <v>4051</v>
      </c>
      <c r="C3457" s="31" t="s">
        <v>4</v>
      </c>
      <c r="D3457" s="31" t="s">
        <v>3274</v>
      </c>
      <c r="E3457" s="32">
        <v>280</v>
      </c>
      <c r="F3457" s="32">
        <v>100</v>
      </c>
    </row>
    <row r="3458" spans="1:6" x14ac:dyDescent="0.3">
      <c r="A3458" s="31">
        <v>1000017016</v>
      </c>
      <c r="B3458" s="31" t="s">
        <v>4052</v>
      </c>
      <c r="C3458" s="31" t="s">
        <v>4</v>
      </c>
      <c r="D3458" s="31" t="s">
        <v>3274</v>
      </c>
      <c r="E3458" s="32">
        <v>280</v>
      </c>
      <c r="F3458" s="32">
        <v>10</v>
      </c>
    </row>
    <row r="3459" spans="1:6" x14ac:dyDescent="0.3">
      <c r="A3459" s="31">
        <v>80000009826</v>
      </c>
      <c r="B3459" s="31" t="s">
        <v>4053</v>
      </c>
      <c r="C3459" s="31" t="s">
        <v>2521</v>
      </c>
      <c r="D3459" s="31" t="s">
        <v>2670</v>
      </c>
      <c r="E3459" s="32">
        <v>280</v>
      </c>
      <c r="F3459" s="32">
        <v>20</v>
      </c>
    </row>
    <row r="3460" spans="1:6" x14ac:dyDescent="0.3">
      <c r="A3460" s="31">
        <v>80000009771</v>
      </c>
      <c r="B3460" s="31" t="s">
        <v>3951</v>
      </c>
      <c r="C3460" s="31" t="s">
        <v>2755</v>
      </c>
      <c r="D3460" s="31" t="s">
        <v>2670</v>
      </c>
      <c r="E3460" s="32">
        <v>280</v>
      </c>
      <c r="F3460" s="32">
        <v>20</v>
      </c>
    </row>
    <row r="3461" spans="1:6" x14ac:dyDescent="0.3">
      <c r="A3461" s="31">
        <v>1000101489</v>
      </c>
      <c r="B3461" s="31" t="s">
        <v>4054</v>
      </c>
      <c r="C3461" s="31" t="s">
        <v>4</v>
      </c>
      <c r="D3461" s="31" t="s">
        <v>2056</v>
      </c>
      <c r="E3461" s="32">
        <v>279.75</v>
      </c>
      <c r="F3461" s="32">
        <v>25</v>
      </c>
    </row>
    <row r="3462" spans="1:6" x14ac:dyDescent="0.3">
      <c r="A3462" s="31">
        <v>1000010157</v>
      </c>
      <c r="B3462" s="31" t="s">
        <v>4055</v>
      </c>
      <c r="C3462" s="31" t="s">
        <v>4</v>
      </c>
      <c r="D3462" s="31" t="s">
        <v>2161</v>
      </c>
      <c r="E3462" s="32">
        <v>278.80500000000001</v>
      </c>
      <c r="F3462" s="32">
        <v>1</v>
      </c>
    </row>
    <row r="3463" spans="1:6" x14ac:dyDescent="0.3">
      <c r="A3463" s="31">
        <v>1000102370</v>
      </c>
      <c r="B3463" s="31" t="s">
        <v>4056</v>
      </c>
      <c r="C3463" s="31" t="s">
        <v>4</v>
      </c>
      <c r="D3463" s="31" t="s">
        <v>2161</v>
      </c>
      <c r="E3463" s="32">
        <v>278.66399999999999</v>
      </c>
      <c r="F3463" s="32">
        <v>2</v>
      </c>
    </row>
    <row r="3464" spans="1:6" x14ac:dyDescent="0.3">
      <c r="A3464" s="31">
        <v>1000091439</v>
      </c>
      <c r="B3464" s="31" t="s">
        <v>4057</v>
      </c>
      <c r="C3464" s="31" t="s">
        <v>2257</v>
      </c>
      <c r="D3464" s="31" t="s">
        <v>2399</v>
      </c>
      <c r="E3464" s="32">
        <v>278.39999999999998</v>
      </c>
      <c r="F3464" s="32">
        <v>1</v>
      </c>
    </row>
    <row r="3465" spans="1:6" x14ac:dyDescent="0.3">
      <c r="A3465" s="31">
        <v>1000020597</v>
      </c>
      <c r="B3465" s="31" t="s">
        <v>813</v>
      </c>
      <c r="C3465" s="31" t="s">
        <v>4</v>
      </c>
      <c r="D3465" s="31" t="s">
        <v>2090</v>
      </c>
      <c r="E3465" s="32">
        <v>278</v>
      </c>
      <c r="F3465" s="32">
        <v>50</v>
      </c>
    </row>
    <row r="3466" spans="1:6" x14ac:dyDescent="0.3">
      <c r="A3466" s="31">
        <v>1000020145</v>
      </c>
      <c r="B3466" s="31" t="s">
        <v>398</v>
      </c>
      <c r="C3466" s="31" t="s">
        <v>4</v>
      </c>
      <c r="D3466" s="31" t="s">
        <v>2090</v>
      </c>
      <c r="E3466" s="32">
        <v>277.94</v>
      </c>
      <c r="F3466" s="32">
        <v>2</v>
      </c>
    </row>
    <row r="3467" spans="1:6" x14ac:dyDescent="0.3">
      <c r="A3467" s="31">
        <v>2500008432</v>
      </c>
      <c r="B3467" s="31" t="s">
        <v>4058</v>
      </c>
      <c r="C3467" s="31" t="s">
        <v>1996</v>
      </c>
      <c r="D3467" s="31" t="s">
        <v>2025</v>
      </c>
      <c r="E3467" s="32">
        <v>277.31</v>
      </c>
      <c r="F3467" s="32">
        <v>2</v>
      </c>
    </row>
    <row r="3468" spans="1:6" x14ac:dyDescent="0.3">
      <c r="A3468" s="31">
        <v>1000021081</v>
      </c>
      <c r="B3468" s="31" t="s">
        <v>1243</v>
      </c>
      <c r="C3468" s="31" t="s">
        <v>4</v>
      </c>
      <c r="D3468" s="31" t="s">
        <v>2090</v>
      </c>
      <c r="E3468" s="32">
        <v>276.8</v>
      </c>
      <c r="F3468" s="32">
        <v>4</v>
      </c>
    </row>
    <row r="3469" spans="1:6" x14ac:dyDescent="0.3">
      <c r="A3469" s="31">
        <v>1000103069</v>
      </c>
      <c r="B3469" s="31" t="s">
        <v>4059</v>
      </c>
      <c r="C3469" s="31" t="s">
        <v>4</v>
      </c>
      <c r="D3469" s="31" t="s">
        <v>2090</v>
      </c>
      <c r="E3469" s="32">
        <v>275.85000000000002</v>
      </c>
      <c r="F3469" s="32">
        <v>21</v>
      </c>
    </row>
    <row r="3470" spans="1:6" x14ac:dyDescent="0.3">
      <c r="A3470" s="31">
        <v>1000020318</v>
      </c>
      <c r="B3470" s="31" t="s">
        <v>552</v>
      </c>
      <c r="C3470" s="31" t="s">
        <v>4</v>
      </c>
      <c r="D3470" s="31" t="s">
        <v>2090</v>
      </c>
      <c r="E3470" s="32">
        <v>275.76</v>
      </c>
      <c r="F3470" s="32">
        <v>2</v>
      </c>
    </row>
    <row r="3471" spans="1:6" x14ac:dyDescent="0.3">
      <c r="A3471" s="31">
        <v>1000020795</v>
      </c>
      <c r="B3471" s="31" t="s">
        <v>999</v>
      </c>
      <c r="C3471" s="31" t="s">
        <v>4</v>
      </c>
      <c r="D3471" s="31" t="s">
        <v>2090</v>
      </c>
      <c r="E3471" s="32">
        <v>275.20400000000001</v>
      </c>
      <c r="F3471" s="32">
        <v>4</v>
      </c>
    </row>
    <row r="3472" spans="1:6" x14ac:dyDescent="0.3">
      <c r="A3472" s="31">
        <v>1000020999</v>
      </c>
      <c r="B3472" s="31" t="s">
        <v>1172</v>
      </c>
      <c r="C3472" s="31" t="s">
        <v>4</v>
      </c>
      <c r="D3472" s="31" t="s">
        <v>2090</v>
      </c>
      <c r="E3472" s="32">
        <v>274.7</v>
      </c>
      <c r="F3472" s="32">
        <v>2</v>
      </c>
    </row>
    <row r="3473" spans="1:6" x14ac:dyDescent="0.3">
      <c r="A3473" s="31">
        <v>2500008215</v>
      </c>
      <c r="B3473" s="31" t="s">
        <v>4060</v>
      </c>
      <c r="C3473" s="31" t="s">
        <v>1996</v>
      </c>
      <c r="D3473" s="31" t="s">
        <v>2025</v>
      </c>
      <c r="E3473" s="32">
        <v>274.5</v>
      </c>
      <c r="F3473" s="32">
        <v>5</v>
      </c>
    </row>
    <row r="3474" spans="1:6" x14ac:dyDescent="0.3">
      <c r="A3474" s="31">
        <v>1000100741</v>
      </c>
      <c r="B3474" s="31" t="s">
        <v>1748</v>
      </c>
      <c r="C3474" s="31" t="s">
        <v>4</v>
      </c>
      <c r="D3474" s="31" t="s">
        <v>2218</v>
      </c>
      <c r="E3474" s="32">
        <v>274.27499999999998</v>
      </c>
      <c r="F3474" s="32">
        <v>3</v>
      </c>
    </row>
    <row r="3475" spans="1:6" x14ac:dyDescent="0.3">
      <c r="A3475" s="31">
        <v>1000020090</v>
      </c>
      <c r="B3475" s="31" t="s">
        <v>349</v>
      </c>
      <c r="C3475" s="31" t="s">
        <v>4</v>
      </c>
      <c r="D3475" s="31" t="s">
        <v>2090</v>
      </c>
      <c r="E3475" s="32">
        <v>274</v>
      </c>
      <c r="F3475" s="32">
        <v>2</v>
      </c>
    </row>
    <row r="3476" spans="1:6" x14ac:dyDescent="0.3">
      <c r="A3476" s="31">
        <v>1000020091</v>
      </c>
      <c r="B3476" s="31" t="s">
        <v>350</v>
      </c>
      <c r="C3476" s="31" t="s">
        <v>4</v>
      </c>
      <c r="D3476" s="31" t="s">
        <v>2090</v>
      </c>
      <c r="E3476" s="32">
        <v>274</v>
      </c>
      <c r="F3476" s="32">
        <v>2</v>
      </c>
    </row>
    <row r="3477" spans="1:6" x14ac:dyDescent="0.3">
      <c r="A3477" s="31">
        <v>2500009519</v>
      </c>
      <c r="B3477" s="31" t="s">
        <v>4061</v>
      </c>
      <c r="C3477" s="31" t="s">
        <v>1996</v>
      </c>
      <c r="D3477" s="31" t="s">
        <v>2289</v>
      </c>
      <c r="E3477" s="32">
        <v>273.75</v>
      </c>
      <c r="F3477" s="32">
        <v>1</v>
      </c>
    </row>
    <row r="3478" spans="1:6" x14ac:dyDescent="0.3">
      <c r="A3478" s="31">
        <v>2300000011</v>
      </c>
      <c r="B3478" s="31" t="s">
        <v>322</v>
      </c>
      <c r="C3478" s="31" t="s">
        <v>2017</v>
      </c>
      <c r="D3478" s="31" t="s">
        <v>2063</v>
      </c>
      <c r="E3478" s="32">
        <v>273.23316452991401</v>
      </c>
      <c r="F3478" s="32">
        <v>1</v>
      </c>
    </row>
    <row r="3479" spans="1:6" x14ac:dyDescent="0.3">
      <c r="A3479" s="31">
        <v>1000098593</v>
      </c>
      <c r="B3479" s="31" t="s">
        <v>1599</v>
      </c>
      <c r="C3479" s="31" t="s">
        <v>4</v>
      </c>
      <c r="D3479" s="31" t="s">
        <v>2090</v>
      </c>
      <c r="E3479" s="32">
        <v>272.07666666666597</v>
      </c>
      <c r="F3479" s="32">
        <v>1</v>
      </c>
    </row>
    <row r="3480" spans="1:6" x14ac:dyDescent="0.3">
      <c r="A3480" s="31">
        <v>1000017002</v>
      </c>
      <c r="B3480" s="31" t="s">
        <v>4062</v>
      </c>
      <c r="C3480" s="31" t="s">
        <v>4</v>
      </c>
      <c r="D3480" s="31" t="s">
        <v>3274</v>
      </c>
      <c r="E3480" s="32">
        <v>272</v>
      </c>
      <c r="F3480" s="32">
        <v>34</v>
      </c>
    </row>
    <row r="3481" spans="1:6" x14ac:dyDescent="0.3">
      <c r="A3481" s="31">
        <v>1000097895</v>
      </c>
      <c r="B3481" s="31" t="s">
        <v>79</v>
      </c>
      <c r="C3481" s="31" t="s">
        <v>4</v>
      </c>
      <c r="D3481" s="31" t="s">
        <v>4063</v>
      </c>
      <c r="E3481" s="32">
        <v>271.76434124876499</v>
      </c>
      <c r="F3481" s="32">
        <v>38</v>
      </c>
    </row>
    <row r="3482" spans="1:6" x14ac:dyDescent="0.3">
      <c r="A3482" s="31">
        <v>1000021415</v>
      </c>
      <c r="B3482" s="31" t="s">
        <v>1477</v>
      </c>
      <c r="C3482" s="31" t="s">
        <v>4</v>
      </c>
      <c r="D3482" s="31" t="s">
        <v>2090</v>
      </c>
      <c r="E3482" s="32">
        <v>271.73599999999999</v>
      </c>
      <c r="F3482" s="32">
        <v>1</v>
      </c>
    </row>
    <row r="3483" spans="1:6" x14ac:dyDescent="0.3">
      <c r="A3483" s="31">
        <v>1000021084</v>
      </c>
      <c r="B3483" s="31" t="s">
        <v>1246</v>
      </c>
      <c r="C3483" s="31" t="s">
        <v>4</v>
      </c>
      <c r="D3483" s="31" t="s">
        <v>2090</v>
      </c>
      <c r="E3483" s="32">
        <v>271.58999999999997</v>
      </c>
      <c r="F3483" s="32">
        <v>3</v>
      </c>
    </row>
    <row r="3484" spans="1:6" x14ac:dyDescent="0.3">
      <c r="A3484" s="31">
        <v>1000020995</v>
      </c>
      <c r="B3484" s="31" t="s">
        <v>1169</v>
      </c>
      <c r="C3484" s="31" t="s">
        <v>4</v>
      </c>
      <c r="D3484" s="31" t="s">
        <v>2090</v>
      </c>
      <c r="E3484" s="32">
        <v>271.58999999999997</v>
      </c>
      <c r="F3484" s="32">
        <v>3</v>
      </c>
    </row>
    <row r="3485" spans="1:6" x14ac:dyDescent="0.3">
      <c r="A3485" s="31">
        <v>1000020195</v>
      </c>
      <c r="B3485" s="31" t="s">
        <v>436</v>
      </c>
      <c r="C3485" s="31" t="s">
        <v>4</v>
      </c>
      <c r="D3485" s="31" t="s">
        <v>2090</v>
      </c>
      <c r="E3485" s="32">
        <v>271.18</v>
      </c>
      <c r="F3485" s="32">
        <v>2</v>
      </c>
    </row>
    <row r="3486" spans="1:6" x14ac:dyDescent="0.3">
      <c r="A3486" s="31">
        <v>1000020612</v>
      </c>
      <c r="B3486" s="31" t="s">
        <v>828</v>
      </c>
      <c r="C3486" s="31" t="s">
        <v>4</v>
      </c>
      <c r="D3486" s="31" t="s">
        <v>2090</v>
      </c>
      <c r="E3486" s="32">
        <v>271.06188571428498</v>
      </c>
      <c r="F3486" s="32">
        <v>34</v>
      </c>
    </row>
    <row r="3487" spans="1:6" x14ac:dyDescent="0.3">
      <c r="A3487" s="31">
        <v>2200000565</v>
      </c>
      <c r="B3487" s="31" t="s">
        <v>170</v>
      </c>
      <c r="C3487" s="31" t="s">
        <v>2037</v>
      </c>
      <c r="D3487" s="31" t="s">
        <v>2038</v>
      </c>
      <c r="E3487" s="32">
        <v>270.24613333333298</v>
      </c>
      <c r="F3487" s="32">
        <v>8</v>
      </c>
    </row>
    <row r="3488" spans="1:6" x14ac:dyDescent="0.3">
      <c r="A3488" s="31">
        <v>2500008333</v>
      </c>
      <c r="B3488" s="31" t="s">
        <v>4064</v>
      </c>
      <c r="C3488" s="31" t="s">
        <v>1996</v>
      </c>
      <c r="D3488" s="31" t="s">
        <v>2025</v>
      </c>
      <c r="E3488" s="32">
        <v>270</v>
      </c>
      <c r="F3488" s="32">
        <v>3</v>
      </c>
    </row>
    <row r="3489" spans="1:6" x14ac:dyDescent="0.3">
      <c r="A3489" s="31">
        <v>2500009143</v>
      </c>
      <c r="B3489" s="31" t="s">
        <v>4065</v>
      </c>
      <c r="C3489" s="31" t="s">
        <v>1996</v>
      </c>
      <c r="D3489" s="31" t="s">
        <v>2025</v>
      </c>
      <c r="E3489" s="32">
        <v>270</v>
      </c>
      <c r="F3489" s="32">
        <v>10</v>
      </c>
    </row>
    <row r="3490" spans="1:6" x14ac:dyDescent="0.3">
      <c r="A3490" s="31">
        <v>1000110102</v>
      </c>
      <c r="B3490" s="31" t="s">
        <v>4066</v>
      </c>
      <c r="C3490" s="31" t="s">
        <v>2257</v>
      </c>
      <c r="D3490" s="31" t="s">
        <v>2070</v>
      </c>
      <c r="E3490" s="32">
        <v>270</v>
      </c>
      <c r="F3490" s="32">
        <v>30</v>
      </c>
    </row>
    <row r="3491" spans="1:6" x14ac:dyDescent="0.3">
      <c r="A3491" s="31">
        <v>1000021383</v>
      </c>
      <c r="B3491" s="31" t="s">
        <v>1466</v>
      </c>
      <c r="C3491" s="31" t="s">
        <v>4</v>
      </c>
      <c r="D3491" s="31" t="s">
        <v>2090</v>
      </c>
      <c r="E3491" s="32">
        <v>269.214</v>
      </c>
      <c r="F3491" s="32">
        <v>3</v>
      </c>
    </row>
    <row r="3492" spans="1:6" x14ac:dyDescent="0.3">
      <c r="A3492" s="31">
        <v>1000103738</v>
      </c>
      <c r="B3492" s="31" t="s">
        <v>1878</v>
      </c>
      <c r="C3492" s="31" t="s">
        <v>4</v>
      </c>
      <c r="D3492" s="31" t="s">
        <v>2056</v>
      </c>
      <c r="E3492" s="32">
        <v>269.20999999999998</v>
      </c>
      <c r="F3492" s="32">
        <v>50</v>
      </c>
    </row>
    <row r="3493" spans="1:6" x14ac:dyDescent="0.3">
      <c r="A3493" s="31">
        <v>1000020143</v>
      </c>
      <c r="B3493" s="31" t="s">
        <v>396</v>
      </c>
      <c r="C3493" s="31" t="s">
        <v>4</v>
      </c>
      <c r="D3493" s="31" t="s">
        <v>2090</v>
      </c>
      <c r="E3493" s="32">
        <v>268.8</v>
      </c>
      <c r="F3493" s="32">
        <v>4</v>
      </c>
    </row>
    <row r="3494" spans="1:6" x14ac:dyDescent="0.3">
      <c r="A3494" s="31">
        <v>1000020355</v>
      </c>
      <c r="B3494" s="31" t="s">
        <v>587</v>
      </c>
      <c r="C3494" s="31" t="s">
        <v>4</v>
      </c>
      <c r="D3494" s="31" t="s">
        <v>2090</v>
      </c>
      <c r="E3494" s="32">
        <v>268.75</v>
      </c>
      <c r="F3494" s="32">
        <v>5</v>
      </c>
    </row>
    <row r="3495" spans="1:6" x14ac:dyDescent="0.3">
      <c r="A3495" s="31">
        <v>1000094819</v>
      </c>
      <c r="B3495" s="31" t="s">
        <v>4067</v>
      </c>
      <c r="C3495" s="31" t="s">
        <v>4</v>
      </c>
      <c r="D3495" s="31" t="s">
        <v>2161</v>
      </c>
      <c r="E3495" s="32">
        <v>267.47541666666598</v>
      </c>
      <c r="F3495" s="32">
        <v>2</v>
      </c>
    </row>
    <row r="3496" spans="1:6" x14ac:dyDescent="0.3">
      <c r="A3496" s="31">
        <v>1000095831</v>
      </c>
      <c r="B3496" s="31" t="s">
        <v>4068</v>
      </c>
      <c r="C3496" s="31" t="s">
        <v>4</v>
      </c>
      <c r="D3496" s="31" t="s">
        <v>2056</v>
      </c>
      <c r="E3496" s="32">
        <v>267.27247706422003</v>
      </c>
      <c r="F3496" s="32">
        <v>19</v>
      </c>
    </row>
    <row r="3497" spans="1:6" x14ac:dyDescent="0.3">
      <c r="A3497" s="31">
        <v>1000020257</v>
      </c>
      <c r="B3497" s="31" t="s">
        <v>496</v>
      </c>
      <c r="C3497" s="31" t="s">
        <v>4</v>
      </c>
      <c r="D3497" s="31" t="s">
        <v>2090</v>
      </c>
      <c r="E3497" s="32">
        <v>266.93299444444398</v>
      </c>
      <c r="F3497" s="32">
        <v>24</v>
      </c>
    </row>
    <row r="3498" spans="1:6" x14ac:dyDescent="0.3">
      <c r="A3498" s="31">
        <v>1000020464</v>
      </c>
      <c r="B3498" s="31" t="s">
        <v>690</v>
      </c>
      <c r="C3498" s="31" t="s">
        <v>4</v>
      </c>
      <c r="D3498" s="31" t="s">
        <v>2090</v>
      </c>
      <c r="E3498" s="32">
        <v>266.81</v>
      </c>
      <c r="F3498" s="32">
        <v>5</v>
      </c>
    </row>
    <row r="3499" spans="1:6" x14ac:dyDescent="0.3">
      <c r="A3499" s="31">
        <v>1000021244</v>
      </c>
      <c r="B3499" s="31" t="s">
        <v>1389</v>
      </c>
      <c r="C3499" s="31" t="s">
        <v>4</v>
      </c>
      <c r="D3499" s="31" t="s">
        <v>2090</v>
      </c>
      <c r="E3499" s="32">
        <v>266.26</v>
      </c>
      <c r="F3499" s="32">
        <v>2</v>
      </c>
    </row>
    <row r="3500" spans="1:6" x14ac:dyDescent="0.3">
      <c r="A3500" s="31">
        <v>1000108922</v>
      </c>
      <c r="B3500" s="31" t="s">
        <v>4069</v>
      </c>
      <c r="C3500" s="31" t="s">
        <v>4</v>
      </c>
      <c r="D3500" s="31" t="s">
        <v>2043</v>
      </c>
      <c r="E3500" s="32">
        <v>266.075247524752</v>
      </c>
      <c r="F3500" s="32">
        <v>12</v>
      </c>
    </row>
    <row r="3501" spans="1:6" x14ac:dyDescent="0.3">
      <c r="A3501" s="31">
        <v>2700000001</v>
      </c>
      <c r="B3501" s="31" t="s">
        <v>211</v>
      </c>
      <c r="C3501" s="31" t="s">
        <v>2037</v>
      </c>
      <c r="D3501" s="31" t="s">
        <v>2038</v>
      </c>
      <c r="E3501" s="32">
        <v>265.86</v>
      </c>
      <c r="F3501" s="32">
        <v>9</v>
      </c>
    </row>
    <row r="3502" spans="1:6" x14ac:dyDescent="0.3">
      <c r="A3502" s="31">
        <v>1000097687</v>
      </c>
      <c r="B3502" s="31" t="s">
        <v>4070</v>
      </c>
      <c r="C3502" s="31" t="s">
        <v>4</v>
      </c>
      <c r="D3502" s="31" t="s">
        <v>2056</v>
      </c>
      <c r="E3502" s="32">
        <v>265.52999999999997</v>
      </c>
      <c r="F3502" s="32">
        <v>1440</v>
      </c>
    </row>
    <row r="3503" spans="1:6" x14ac:dyDescent="0.3">
      <c r="A3503" s="31">
        <v>2200003381</v>
      </c>
      <c r="B3503" s="31" t="s">
        <v>4071</v>
      </c>
      <c r="C3503" s="31" t="s">
        <v>2037</v>
      </c>
      <c r="D3503" s="31" t="s">
        <v>2067</v>
      </c>
      <c r="E3503" s="32">
        <v>264.435</v>
      </c>
      <c r="F3503" s="32">
        <v>1</v>
      </c>
    </row>
    <row r="3504" spans="1:6" x14ac:dyDescent="0.3">
      <c r="A3504" s="31">
        <v>1000021032</v>
      </c>
      <c r="B3504" s="31" t="s">
        <v>1203</v>
      </c>
      <c r="C3504" s="31" t="s">
        <v>4</v>
      </c>
      <c r="D3504" s="31" t="s">
        <v>2090</v>
      </c>
      <c r="E3504" s="32">
        <v>264.14</v>
      </c>
      <c r="F3504" s="32">
        <v>2</v>
      </c>
    </row>
    <row r="3505" spans="1:6" x14ac:dyDescent="0.3">
      <c r="A3505" s="31">
        <v>80000009769</v>
      </c>
      <c r="B3505" s="31" t="s">
        <v>3904</v>
      </c>
      <c r="C3505" s="31" t="s">
        <v>2521</v>
      </c>
      <c r="D3505" s="31" t="s">
        <v>2670</v>
      </c>
      <c r="E3505" s="32">
        <v>264</v>
      </c>
      <c r="F3505" s="32">
        <v>120</v>
      </c>
    </row>
    <row r="3506" spans="1:6" x14ac:dyDescent="0.3">
      <c r="A3506" s="31">
        <v>1000099506</v>
      </c>
      <c r="B3506" s="31" t="s">
        <v>4072</v>
      </c>
      <c r="C3506" s="31" t="s">
        <v>4</v>
      </c>
      <c r="D3506" s="31" t="s">
        <v>2090</v>
      </c>
      <c r="E3506" s="32">
        <v>263.8175</v>
      </c>
      <c r="F3506" s="32">
        <v>7</v>
      </c>
    </row>
    <row r="3507" spans="1:6" x14ac:dyDescent="0.3">
      <c r="A3507" s="31">
        <v>1000020083</v>
      </c>
      <c r="B3507" s="31" t="s">
        <v>342</v>
      </c>
      <c r="C3507" s="31" t="s">
        <v>4</v>
      </c>
      <c r="D3507" s="31" t="s">
        <v>2090</v>
      </c>
      <c r="E3507" s="32">
        <v>263.44</v>
      </c>
      <c r="F3507" s="32">
        <v>2</v>
      </c>
    </row>
    <row r="3508" spans="1:6" x14ac:dyDescent="0.3">
      <c r="A3508" s="31">
        <v>1000094868</v>
      </c>
      <c r="B3508" s="31" t="s">
        <v>4073</v>
      </c>
      <c r="C3508" s="31" t="s">
        <v>4</v>
      </c>
      <c r="D3508" s="31" t="s">
        <v>2056</v>
      </c>
      <c r="E3508" s="32">
        <v>263.229166666666</v>
      </c>
      <c r="F3508" s="32">
        <v>95</v>
      </c>
    </row>
    <row r="3509" spans="1:6" x14ac:dyDescent="0.3">
      <c r="A3509" s="31">
        <v>1000020229</v>
      </c>
      <c r="B3509" s="31" t="s">
        <v>469</v>
      </c>
      <c r="C3509" s="31" t="s">
        <v>4</v>
      </c>
      <c r="D3509" s="31" t="s">
        <v>2090</v>
      </c>
      <c r="E3509" s="32">
        <v>263.08080000000001</v>
      </c>
      <c r="F3509" s="32">
        <v>36</v>
      </c>
    </row>
    <row r="3510" spans="1:6" x14ac:dyDescent="0.3">
      <c r="A3510" s="31">
        <v>1000110836</v>
      </c>
      <c r="B3510" s="31" t="s">
        <v>4074</v>
      </c>
      <c r="C3510" s="31" t="s">
        <v>4</v>
      </c>
      <c r="D3510" s="31" t="s">
        <v>2090</v>
      </c>
      <c r="E3510" s="32">
        <v>262.83749999999998</v>
      </c>
      <c r="F3510" s="32">
        <v>1</v>
      </c>
    </row>
    <row r="3511" spans="1:6" x14ac:dyDescent="0.3">
      <c r="A3511" s="31">
        <v>2500009662</v>
      </c>
      <c r="B3511" s="31" t="s">
        <v>4075</v>
      </c>
      <c r="C3511" s="31" t="s">
        <v>1996</v>
      </c>
      <c r="D3511" s="31" t="s">
        <v>2025</v>
      </c>
      <c r="E3511" s="32">
        <v>262.5</v>
      </c>
      <c r="F3511" s="32">
        <v>1</v>
      </c>
    </row>
    <row r="3512" spans="1:6" x14ac:dyDescent="0.3">
      <c r="A3512" s="31">
        <v>2500009482</v>
      </c>
      <c r="B3512" s="31" t="s">
        <v>4076</v>
      </c>
      <c r="C3512" s="31" t="s">
        <v>1996</v>
      </c>
      <c r="D3512" s="31" t="s">
        <v>2289</v>
      </c>
      <c r="E3512" s="32">
        <v>262.5</v>
      </c>
      <c r="F3512" s="32">
        <v>10</v>
      </c>
    </row>
    <row r="3513" spans="1:6" x14ac:dyDescent="0.3">
      <c r="A3513" s="31">
        <v>2500008357</v>
      </c>
      <c r="B3513" s="31" t="s">
        <v>1930</v>
      </c>
      <c r="C3513" s="31" t="s">
        <v>1996</v>
      </c>
      <c r="D3513" s="31" t="s">
        <v>2811</v>
      </c>
      <c r="E3513" s="32">
        <v>262.5</v>
      </c>
      <c r="F3513" s="32">
        <v>2</v>
      </c>
    </row>
    <row r="3514" spans="1:6" x14ac:dyDescent="0.3">
      <c r="A3514" s="31">
        <v>80000009841</v>
      </c>
      <c r="B3514" s="31" t="s">
        <v>4077</v>
      </c>
      <c r="C3514" s="31" t="s">
        <v>2521</v>
      </c>
      <c r="D3514" s="31" t="s">
        <v>2670</v>
      </c>
      <c r="E3514" s="32">
        <v>262.5</v>
      </c>
      <c r="F3514" s="32">
        <v>75</v>
      </c>
    </row>
    <row r="3515" spans="1:6" x14ac:dyDescent="0.3">
      <c r="A3515" s="31">
        <v>1000020906</v>
      </c>
      <c r="B3515" s="31" t="s">
        <v>1087</v>
      </c>
      <c r="C3515" s="31" t="s">
        <v>4</v>
      </c>
      <c r="D3515" s="31" t="s">
        <v>2090</v>
      </c>
      <c r="E3515" s="32">
        <v>261.57</v>
      </c>
      <c r="F3515" s="32">
        <v>1</v>
      </c>
    </row>
    <row r="3516" spans="1:6" x14ac:dyDescent="0.3">
      <c r="A3516" s="31">
        <v>1000020224</v>
      </c>
      <c r="B3516" s="31" t="s">
        <v>464</v>
      </c>
      <c r="C3516" s="31" t="s">
        <v>4</v>
      </c>
      <c r="D3516" s="31" t="s">
        <v>2090</v>
      </c>
      <c r="E3516" s="32">
        <v>260.5</v>
      </c>
      <c r="F3516" s="32">
        <v>50</v>
      </c>
    </row>
    <row r="3517" spans="1:6" x14ac:dyDescent="0.3">
      <c r="A3517" s="31">
        <v>1000104555</v>
      </c>
      <c r="B3517" s="31" t="s">
        <v>4078</v>
      </c>
      <c r="C3517" s="31" t="s">
        <v>4</v>
      </c>
      <c r="D3517" s="31" t="s">
        <v>2056</v>
      </c>
      <c r="E3517" s="32">
        <v>260.39999999999998</v>
      </c>
      <c r="F3517" s="32">
        <v>5</v>
      </c>
    </row>
    <row r="3518" spans="1:6" x14ac:dyDescent="0.3">
      <c r="A3518" s="31">
        <v>1000102356</v>
      </c>
      <c r="B3518" s="31" t="s">
        <v>4079</v>
      </c>
      <c r="C3518" s="31" t="s">
        <v>4</v>
      </c>
      <c r="D3518" s="31" t="s">
        <v>2056</v>
      </c>
      <c r="E3518" s="32">
        <v>260.15413793103397</v>
      </c>
      <c r="F3518" s="32">
        <v>31</v>
      </c>
    </row>
    <row r="3519" spans="1:6" x14ac:dyDescent="0.3">
      <c r="A3519" s="31">
        <v>1000015042</v>
      </c>
      <c r="B3519" s="31" t="s">
        <v>45</v>
      </c>
      <c r="C3519" s="31" t="s">
        <v>4</v>
      </c>
      <c r="D3519" s="31" t="s">
        <v>2043</v>
      </c>
      <c r="E3519" s="32">
        <v>260.02</v>
      </c>
      <c r="F3519" s="32">
        <v>2</v>
      </c>
    </row>
    <row r="3520" spans="1:6" x14ac:dyDescent="0.3">
      <c r="A3520" s="31">
        <v>80000009706</v>
      </c>
      <c r="B3520" s="31" t="s">
        <v>4080</v>
      </c>
      <c r="C3520" s="31" t="s">
        <v>2755</v>
      </c>
      <c r="D3520" s="31" t="s">
        <v>2670</v>
      </c>
      <c r="E3520" s="32">
        <v>260</v>
      </c>
      <c r="F3520" s="32">
        <v>20</v>
      </c>
    </row>
    <row r="3521" spans="1:6" x14ac:dyDescent="0.3">
      <c r="A3521" s="31">
        <v>80000009707</v>
      </c>
      <c r="B3521" s="31" t="s">
        <v>3899</v>
      </c>
      <c r="C3521" s="31" t="s">
        <v>2755</v>
      </c>
      <c r="D3521" s="31" t="s">
        <v>2670</v>
      </c>
      <c r="E3521" s="32">
        <v>260</v>
      </c>
      <c r="F3521" s="32">
        <v>20</v>
      </c>
    </row>
    <row r="3522" spans="1:6" x14ac:dyDescent="0.3">
      <c r="A3522" s="31">
        <v>2500008652</v>
      </c>
      <c r="B3522" s="31" t="s">
        <v>4081</v>
      </c>
      <c r="C3522" s="31" t="s">
        <v>1996</v>
      </c>
      <c r="D3522" s="31" t="s">
        <v>2025</v>
      </c>
      <c r="E3522" s="32">
        <v>259.88</v>
      </c>
      <c r="F3522" s="32">
        <v>2</v>
      </c>
    </row>
    <row r="3523" spans="1:6" x14ac:dyDescent="0.3">
      <c r="A3523" s="31">
        <v>1000020204</v>
      </c>
      <c r="B3523" s="31" t="s">
        <v>444</v>
      </c>
      <c r="C3523" s="31" t="s">
        <v>4</v>
      </c>
      <c r="D3523" s="31" t="s">
        <v>2090</v>
      </c>
      <c r="E3523" s="32">
        <v>259.76</v>
      </c>
      <c r="F3523" s="32">
        <v>4</v>
      </c>
    </row>
    <row r="3524" spans="1:6" x14ac:dyDescent="0.3">
      <c r="A3524" s="31">
        <v>1000020423</v>
      </c>
      <c r="B3524" s="31" t="s">
        <v>651</v>
      </c>
      <c r="C3524" s="31" t="s">
        <v>4</v>
      </c>
      <c r="D3524" s="31" t="s">
        <v>2218</v>
      </c>
      <c r="E3524" s="32">
        <v>258.87258364430397</v>
      </c>
      <c r="F3524" s="32">
        <v>33</v>
      </c>
    </row>
    <row r="3525" spans="1:6" x14ac:dyDescent="0.3">
      <c r="A3525" s="31">
        <v>2700000140</v>
      </c>
      <c r="B3525" s="31" t="s">
        <v>266</v>
      </c>
      <c r="C3525" s="31" t="s">
        <v>2037</v>
      </c>
      <c r="D3525" s="31" t="s">
        <v>2038</v>
      </c>
      <c r="E3525" s="32">
        <v>258.69</v>
      </c>
      <c r="F3525" s="32">
        <v>14</v>
      </c>
    </row>
    <row r="3526" spans="1:6" x14ac:dyDescent="0.3">
      <c r="A3526" s="31">
        <v>1000097146</v>
      </c>
      <c r="B3526" s="31" t="s">
        <v>4082</v>
      </c>
      <c r="C3526" s="31" t="s">
        <v>4</v>
      </c>
      <c r="D3526" s="31" t="s">
        <v>2090</v>
      </c>
      <c r="E3526" s="32">
        <v>258.43</v>
      </c>
      <c r="F3526" s="32">
        <v>5</v>
      </c>
    </row>
    <row r="3527" spans="1:6" x14ac:dyDescent="0.3">
      <c r="A3527" s="31">
        <v>1000098487</v>
      </c>
      <c r="B3527" s="31" t="s">
        <v>4083</v>
      </c>
      <c r="C3527" s="31" t="s">
        <v>2109</v>
      </c>
      <c r="D3527" s="31" t="s">
        <v>2070</v>
      </c>
      <c r="E3527" s="32">
        <v>258</v>
      </c>
      <c r="F3527" s="32">
        <v>2</v>
      </c>
    </row>
    <row r="3528" spans="1:6" x14ac:dyDescent="0.3">
      <c r="A3528" s="31">
        <v>1000020282</v>
      </c>
      <c r="B3528" s="31" t="s">
        <v>518</v>
      </c>
      <c r="C3528" s="31" t="s">
        <v>4</v>
      </c>
      <c r="D3528" s="31" t="s">
        <v>2090</v>
      </c>
      <c r="E3528" s="32">
        <v>257.58</v>
      </c>
      <c r="F3528" s="32">
        <v>9</v>
      </c>
    </row>
    <row r="3529" spans="1:6" x14ac:dyDescent="0.3">
      <c r="A3529" s="31">
        <v>1000101411</v>
      </c>
      <c r="B3529" s="31" t="s">
        <v>1752</v>
      </c>
      <c r="C3529" s="31" t="s">
        <v>4</v>
      </c>
      <c r="D3529" s="31" t="s">
        <v>2090</v>
      </c>
      <c r="E3529" s="32">
        <v>257.38631578947297</v>
      </c>
      <c r="F3529" s="32">
        <v>18</v>
      </c>
    </row>
    <row r="3530" spans="1:6" x14ac:dyDescent="0.3">
      <c r="A3530" s="31">
        <v>1000097017</v>
      </c>
      <c r="B3530" s="31" t="s">
        <v>4084</v>
      </c>
      <c r="C3530" s="31" t="s">
        <v>4</v>
      </c>
      <c r="D3530" s="31" t="s">
        <v>2639</v>
      </c>
      <c r="E3530" s="32">
        <v>257.25034754179302</v>
      </c>
      <c r="F3530" s="32">
        <v>33</v>
      </c>
    </row>
    <row r="3531" spans="1:6" x14ac:dyDescent="0.3">
      <c r="A3531" s="31">
        <v>2500008151</v>
      </c>
      <c r="B3531" s="31" t="s">
        <v>4085</v>
      </c>
      <c r="C3531" s="31" t="s">
        <v>1996</v>
      </c>
      <c r="D3531" s="31" t="s">
        <v>2025</v>
      </c>
      <c r="E3531" s="32">
        <v>256.875</v>
      </c>
      <c r="F3531" s="32">
        <v>4</v>
      </c>
    </row>
    <row r="3532" spans="1:6" x14ac:dyDescent="0.3">
      <c r="A3532" s="31">
        <v>2500008358</v>
      </c>
      <c r="B3532" s="31" t="s">
        <v>1931</v>
      </c>
      <c r="C3532" s="31" t="s">
        <v>1996</v>
      </c>
      <c r="D3532" s="31" t="s">
        <v>2811</v>
      </c>
      <c r="E3532" s="32">
        <v>256.60000000000002</v>
      </c>
      <c r="F3532" s="32">
        <v>2</v>
      </c>
    </row>
    <row r="3533" spans="1:6" x14ac:dyDescent="0.3">
      <c r="A3533" s="31">
        <v>1000095552</v>
      </c>
      <c r="B3533" s="31" t="s">
        <v>4086</v>
      </c>
      <c r="C3533" s="31" t="s">
        <v>4</v>
      </c>
      <c r="D3533" s="31" t="s">
        <v>2161</v>
      </c>
      <c r="E3533" s="32">
        <v>256.47199999999998</v>
      </c>
      <c r="F3533" s="32">
        <v>4</v>
      </c>
    </row>
    <row r="3534" spans="1:6" x14ac:dyDescent="0.3">
      <c r="A3534" s="31">
        <v>1000020354</v>
      </c>
      <c r="B3534" s="31" t="s">
        <v>586</v>
      </c>
      <c r="C3534" s="31" t="s">
        <v>4</v>
      </c>
      <c r="D3534" s="31" t="s">
        <v>2090</v>
      </c>
      <c r="E3534" s="32">
        <v>256.45</v>
      </c>
      <c r="F3534" s="32">
        <v>5</v>
      </c>
    </row>
    <row r="3535" spans="1:6" x14ac:dyDescent="0.3">
      <c r="A3535" s="31">
        <v>1000098471</v>
      </c>
      <c r="B3535" s="31" t="s">
        <v>1545</v>
      </c>
      <c r="C3535" s="31" t="s">
        <v>4</v>
      </c>
      <c r="D3535" s="31" t="s">
        <v>2090</v>
      </c>
      <c r="E3535" s="32">
        <v>256.33</v>
      </c>
      <c r="F3535" s="32">
        <v>2</v>
      </c>
    </row>
    <row r="3536" spans="1:6" x14ac:dyDescent="0.3">
      <c r="A3536" s="31">
        <v>80000009796</v>
      </c>
      <c r="B3536" s="31" t="s">
        <v>4087</v>
      </c>
      <c r="C3536" s="31" t="s">
        <v>2521</v>
      </c>
      <c r="D3536" s="31" t="s">
        <v>2670</v>
      </c>
      <c r="E3536" s="32">
        <v>256.2</v>
      </c>
      <c r="F3536" s="32">
        <v>122</v>
      </c>
    </row>
    <row r="3537" spans="1:6" x14ac:dyDescent="0.3">
      <c r="A3537" s="31">
        <v>1000020236</v>
      </c>
      <c r="B3537" s="31" t="s">
        <v>475</v>
      </c>
      <c r="C3537" s="31" t="s">
        <v>4</v>
      </c>
      <c r="D3537" s="31" t="s">
        <v>2090</v>
      </c>
      <c r="E3537" s="32">
        <v>255.87</v>
      </c>
      <c r="F3537" s="32">
        <v>36</v>
      </c>
    </row>
    <row r="3538" spans="1:6" x14ac:dyDescent="0.3">
      <c r="A3538" s="31">
        <v>1000100394</v>
      </c>
      <c r="B3538" s="31" t="s">
        <v>1723</v>
      </c>
      <c r="C3538" s="31" t="s">
        <v>4</v>
      </c>
      <c r="D3538" s="31" t="s">
        <v>2090</v>
      </c>
      <c r="E3538" s="32">
        <v>255.75</v>
      </c>
      <c r="F3538" s="32">
        <v>2</v>
      </c>
    </row>
    <row r="3539" spans="1:6" x14ac:dyDescent="0.3">
      <c r="A3539" s="31">
        <v>1000104339</v>
      </c>
      <c r="B3539" s="31" t="s">
        <v>4088</v>
      </c>
      <c r="C3539" s="31" t="s">
        <v>4</v>
      </c>
      <c r="D3539" s="31" t="s">
        <v>2090</v>
      </c>
      <c r="E3539" s="32">
        <v>255.6</v>
      </c>
      <c r="F3539" s="32">
        <v>48</v>
      </c>
    </row>
    <row r="3540" spans="1:6" x14ac:dyDescent="0.3">
      <c r="A3540" s="31">
        <v>1000101390</v>
      </c>
      <c r="B3540" s="31" t="s">
        <v>1751</v>
      </c>
      <c r="C3540" s="31" t="s">
        <v>4</v>
      </c>
      <c r="D3540" s="31" t="s">
        <v>2090</v>
      </c>
      <c r="E3540" s="32">
        <v>255.45</v>
      </c>
      <c r="F3540" s="32">
        <v>1</v>
      </c>
    </row>
    <row r="3541" spans="1:6" x14ac:dyDescent="0.3">
      <c r="A3541" s="31">
        <v>2500009165</v>
      </c>
      <c r="B3541" s="31" t="s">
        <v>4089</v>
      </c>
      <c r="C3541" s="31" t="s">
        <v>1996</v>
      </c>
      <c r="D3541" s="31" t="s">
        <v>2025</v>
      </c>
      <c r="E3541" s="32">
        <v>255.15</v>
      </c>
      <c r="F3541" s="32">
        <v>3</v>
      </c>
    </row>
    <row r="3542" spans="1:6" x14ac:dyDescent="0.3">
      <c r="A3542" s="31">
        <v>1000095522</v>
      </c>
      <c r="B3542" s="31" t="s">
        <v>4090</v>
      </c>
      <c r="C3542" s="31" t="s">
        <v>4</v>
      </c>
      <c r="D3542" s="31" t="s">
        <v>2056</v>
      </c>
      <c r="E3542" s="32">
        <v>255</v>
      </c>
      <c r="F3542" s="32">
        <v>1</v>
      </c>
    </row>
    <row r="3543" spans="1:6" x14ac:dyDescent="0.3">
      <c r="A3543" s="31">
        <v>2500008245</v>
      </c>
      <c r="B3543" s="31" t="s">
        <v>4091</v>
      </c>
      <c r="C3543" s="31" t="s">
        <v>1996</v>
      </c>
      <c r="D3543" s="31" t="s">
        <v>2643</v>
      </c>
      <c r="E3543" s="32">
        <v>255</v>
      </c>
      <c r="F3543" s="32">
        <v>2</v>
      </c>
    </row>
    <row r="3544" spans="1:6" x14ac:dyDescent="0.3">
      <c r="A3544" s="31">
        <v>1000107208</v>
      </c>
      <c r="B3544" s="31" t="s">
        <v>4092</v>
      </c>
      <c r="C3544" s="31" t="s">
        <v>4</v>
      </c>
      <c r="D3544" s="31" t="s">
        <v>2161</v>
      </c>
      <c r="E3544" s="32">
        <v>254.328</v>
      </c>
      <c r="F3544" s="32">
        <v>1</v>
      </c>
    </row>
    <row r="3545" spans="1:6" x14ac:dyDescent="0.3">
      <c r="A3545" s="31">
        <v>1000020010</v>
      </c>
      <c r="B3545" s="31" t="s">
        <v>4093</v>
      </c>
      <c r="C3545" s="31" t="s">
        <v>4</v>
      </c>
      <c r="D3545" s="31" t="s">
        <v>2090</v>
      </c>
      <c r="E3545" s="32">
        <v>253.8</v>
      </c>
      <c r="F3545" s="32">
        <v>5</v>
      </c>
    </row>
    <row r="3546" spans="1:6" x14ac:dyDescent="0.3">
      <c r="A3546" s="31">
        <v>1000096396</v>
      </c>
      <c r="B3546" s="31" t="s">
        <v>4094</v>
      </c>
      <c r="C3546" s="31" t="s">
        <v>4</v>
      </c>
      <c r="D3546" s="31" t="s">
        <v>2056</v>
      </c>
      <c r="E3546" s="32">
        <v>253.7</v>
      </c>
      <c r="F3546" s="32">
        <v>20</v>
      </c>
    </row>
    <row r="3547" spans="1:6" x14ac:dyDescent="0.3">
      <c r="A3547" s="31">
        <v>1000020194</v>
      </c>
      <c r="B3547" s="31" t="s">
        <v>435</v>
      </c>
      <c r="C3547" s="31" t="s">
        <v>4</v>
      </c>
      <c r="D3547" s="31" t="s">
        <v>2090</v>
      </c>
      <c r="E3547" s="32">
        <v>253.52</v>
      </c>
      <c r="F3547" s="32">
        <v>2</v>
      </c>
    </row>
    <row r="3548" spans="1:6" x14ac:dyDescent="0.3">
      <c r="A3548" s="31">
        <v>1000021034</v>
      </c>
      <c r="B3548" s="31" t="s">
        <v>1205</v>
      </c>
      <c r="C3548" s="31" t="s">
        <v>4</v>
      </c>
      <c r="D3548" s="31" t="s">
        <v>2090</v>
      </c>
      <c r="E3548" s="32">
        <v>252.96</v>
      </c>
      <c r="F3548" s="32">
        <v>2</v>
      </c>
    </row>
    <row r="3549" spans="1:6" x14ac:dyDescent="0.3">
      <c r="A3549" s="31">
        <v>2500003544</v>
      </c>
      <c r="B3549" s="31" t="s">
        <v>1901</v>
      </c>
      <c r="C3549" s="31" t="s">
        <v>1996</v>
      </c>
      <c r="D3549" s="31" t="s">
        <v>2025</v>
      </c>
      <c r="E3549" s="32">
        <v>252.81523809523799</v>
      </c>
      <c r="F3549" s="32">
        <v>3</v>
      </c>
    </row>
    <row r="3550" spans="1:6" x14ac:dyDescent="0.3">
      <c r="A3550" s="31">
        <v>1000108595</v>
      </c>
      <c r="B3550" s="31" t="s">
        <v>1838</v>
      </c>
      <c r="C3550" s="31" t="s">
        <v>4</v>
      </c>
      <c r="D3550" s="31" t="s">
        <v>2090</v>
      </c>
      <c r="E3550" s="32">
        <v>252.5625</v>
      </c>
      <c r="F3550" s="32">
        <v>1</v>
      </c>
    </row>
    <row r="3551" spans="1:6" x14ac:dyDescent="0.3">
      <c r="A3551" s="31">
        <v>1000020029</v>
      </c>
      <c r="B3551" s="31" t="s">
        <v>4095</v>
      </c>
      <c r="C3551" s="31" t="s">
        <v>4</v>
      </c>
      <c r="D3551" s="31" t="s">
        <v>2090</v>
      </c>
      <c r="E3551" s="32">
        <v>252.48599999999999</v>
      </c>
      <c r="F3551" s="32">
        <v>3</v>
      </c>
    </row>
    <row r="3552" spans="1:6" x14ac:dyDescent="0.3">
      <c r="A3552" s="31">
        <v>1000020520</v>
      </c>
      <c r="B3552" s="31" t="s">
        <v>742</v>
      </c>
      <c r="C3552" s="31" t="s">
        <v>4</v>
      </c>
      <c r="D3552" s="31" t="s">
        <v>2090</v>
      </c>
      <c r="E3552" s="32">
        <v>252.36428571428499</v>
      </c>
      <c r="F3552" s="32">
        <v>3</v>
      </c>
    </row>
    <row r="3553" spans="1:6" x14ac:dyDescent="0.3">
      <c r="A3553" s="31">
        <v>1000096825</v>
      </c>
      <c r="B3553" s="31" t="s">
        <v>4096</v>
      </c>
      <c r="C3553" s="31" t="s">
        <v>4</v>
      </c>
      <c r="D3553" s="31" t="s">
        <v>2161</v>
      </c>
      <c r="E3553" s="32">
        <v>251.9288</v>
      </c>
      <c r="F3553" s="32">
        <v>2</v>
      </c>
    </row>
    <row r="3554" spans="1:6" x14ac:dyDescent="0.3">
      <c r="A3554" s="31">
        <v>1000098472</v>
      </c>
      <c r="B3554" s="31" t="s">
        <v>1546</v>
      </c>
      <c r="C3554" s="31" t="s">
        <v>4</v>
      </c>
      <c r="D3554" s="31" t="s">
        <v>2090</v>
      </c>
      <c r="E3554" s="32">
        <v>251.46</v>
      </c>
      <c r="F3554" s="32">
        <v>2</v>
      </c>
    </row>
    <row r="3555" spans="1:6" x14ac:dyDescent="0.3">
      <c r="A3555" s="31">
        <v>2500009331</v>
      </c>
      <c r="B3555" s="31" t="s">
        <v>4097</v>
      </c>
      <c r="C3555" s="31" t="s">
        <v>1996</v>
      </c>
      <c r="D3555" s="31" t="s">
        <v>2289</v>
      </c>
      <c r="E3555" s="32">
        <v>251.25</v>
      </c>
      <c r="F3555" s="32">
        <v>1</v>
      </c>
    </row>
    <row r="3556" spans="1:6" x14ac:dyDescent="0.3">
      <c r="A3556" s="31">
        <v>1000020978</v>
      </c>
      <c r="B3556" s="31" t="s">
        <v>1152</v>
      </c>
      <c r="C3556" s="31" t="s">
        <v>4</v>
      </c>
      <c r="D3556" s="31" t="s">
        <v>2090</v>
      </c>
      <c r="E3556" s="32">
        <v>250.26</v>
      </c>
      <c r="F3556" s="32">
        <v>6</v>
      </c>
    </row>
    <row r="3557" spans="1:6" x14ac:dyDescent="0.3">
      <c r="A3557" s="31">
        <v>1000021164</v>
      </c>
      <c r="B3557" s="31" t="s">
        <v>1312</v>
      </c>
      <c r="C3557" s="31" t="s">
        <v>4</v>
      </c>
      <c r="D3557" s="31" t="s">
        <v>2090</v>
      </c>
      <c r="E3557" s="32">
        <v>249.9</v>
      </c>
      <c r="F3557" s="32">
        <v>5</v>
      </c>
    </row>
    <row r="3558" spans="1:6" x14ac:dyDescent="0.3">
      <c r="A3558" s="31">
        <v>1000102592</v>
      </c>
      <c r="B3558" s="31" t="s">
        <v>4098</v>
      </c>
      <c r="C3558" s="31" t="s">
        <v>4</v>
      </c>
      <c r="D3558" s="31" t="s">
        <v>2056</v>
      </c>
      <c r="E3558" s="32">
        <v>249.73</v>
      </c>
      <c r="F3558" s="32">
        <v>2</v>
      </c>
    </row>
    <row r="3559" spans="1:6" x14ac:dyDescent="0.3">
      <c r="A3559" s="31">
        <v>2200000382</v>
      </c>
      <c r="B3559" s="31" t="s">
        <v>4099</v>
      </c>
      <c r="C3559" s="31" t="s">
        <v>2088</v>
      </c>
      <c r="D3559" s="31" t="s">
        <v>2038</v>
      </c>
      <c r="E3559" s="32">
        <v>249.69499999999999</v>
      </c>
      <c r="F3559" s="32">
        <v>1</v>
      </c>
    </row>
    <row r="3560" spans="1:6" x14ac:dyDescent="0.3">
      <c r="A3560" s="31">
        <v>1000098586</v>
      </c>
      <c r="B3560" s="31" t="s">
        <v>1593</v>
      </c>
      <c r="C3560" s="31" t="s">
        <v>4</v>
      </c>
      <c r="D3560" s="31" t="s">
        <v>2090</v>
      </c>
      <c r="E3560" s="32">
        <v>249.44</v>
      </c>
      <c r="F3560" s="32">
        <v>2</v>
      </c>
    </row>
    <row r="3561" spans="1:6" x14ac:dyDescent="0.3">
      <c r="A3561" s="31">
        <v>1000108051</v>
      </c>
      <c r="B3561" s="31" t="s">
        <v>4100</v>
      </c>
      <c r="C3561" s="31" t="s">
        <v>4</v>
      </c>
      <c r="D3561" s="31" t="s">
        <v>2056</v>
      </c>
      <c r="E3561" s="32">
        <v>249.07</v>
      </c>
      <c r="F3561" s="32">
        <v>9</v>
      </c>
    </row>
    <row r="3562" spans="1:6" x14ac:dyDescent="0.3">
      <c r="A3562" s="31">
        <v>1000101344</v>
      </c>
      <c r="B3562" s="31" t="s">
        <v>4101</v>
      </c>
      <c r="C3562" s="31" t="s">
        <v>4</v>
      </c>
      <c r="D3562" s="31" t="s">
        <v>2056</v>
      </c>
      <c r="E3562" s="32">
        <v>248.993168</v>
      </c>
      <c r="F3562" s="32">
        <v>200</v>
      </c>
    </row>
    <row r="3563" spans="1:6" x14ac:dyDescent="0.3">
      <c r="A3563" s="31">
        <v>1000020278</v>
      </c>
      <c r="B3563" s="31" t="s">
        <v>514</v>
      </c>
      <c r="C3563" s="31" t="s">
        <v>4</v>
      </c>
      <c r="D3563" s="31" t="s">
        <v>2090</v>
      </c>
      <c r="E3563" s="32">
        <v>248.9</v>
      </c>
      <c r="F3563" s="32">
        <v>10</v>
      </c>
    </row>
    <row r="3564" spans="1:6" x14ac:dyDescent="0.3">
      <c r="A3564" s="31">
        <v>1000095548</v>
      </c>
      <c r="B3564" s="31" t="s">
        <v>4102</v>
      </c>
      <c r="C3564" s="31" t="s">
        <v>4</v>
      </c>
      <c r="D3564" s="31" t="s">
        <v>2090</v>
      </c>
      <c r="E3564" s="32">
        <v>248.63499999999999</v>
      </c>
      <c r="F3564" s="32">
        <v>6</v>
      </c>
    </row>
    <row r="3565" spans="1:6" x14ac:dyDescent="0.3">
      <c r="A3565" s="31">
        <v>1000093604</v>
      </c>
      <c r="B3565" s="31" t="s">
        <v>4103</v>
      </c>
      <c r="C3565" s="31" t="s">
        <v>4</v>
      </c>
      <c r="D3565" s="31" t="s">
        <v>2056</v>
      </c>
      <c r="E3565" s="32">
        <v>247.91844003447</v>
      </c>
      <c r="F3565" s="32">
        <v>1672</v>
      </c>
    </row>
    <row r="3566" spans="1:6" x14ac:dyDescent="0.3">
      <c r="A3566" s="31">
        <v>2500008397</v>
      </c>
      <c r="B3566" s="31" t="s">
        <v>4104</v>
      </c>
      <c r="C3566" s="31" t="s">
        <v>1996</v>
      </c>
      <c r="D3566" s="31" t="s">
        <v>2025</v>
      </c>
      <c r="E3566" s="32">
        <v>247.83</v>
      </c>
      <c r="F3566" s="32">
        <v>2</v>
      </c>
    </row>
    <row r="3567" spans="1:6" x14ac:dyDescent="0.3">
      <c r="A3567" s="31">
        <v>1000020086</v>
      </c>
      <c r="B3567" s="31" t="s">
        <v>345</v>
      </c>
      <c r="C3567" s="31" t="s">
        <v>4</v>
      </c>
      <c r="D3567" s="31" t="s">
        <v>2090</v>
      </c>
      <c r="E3567" s="32">
        <v>247.8</v>
      </c>
      <c r="F3567" s="32">
        <v>2</v>
      </c>
    </row>
    <row r="3568" spans="1:6" x14ac:dyDescent="0.3">
      <c r="A3568" s="31">
        <v>2500008246</v>
      </c>
      <c r="B3568" s="31" t="s">
        <v>4105</v>
      </c>
      <c r="C3568" s="31" t="s">
        <v>1996</v>
      </c>
      <c r="D3568" s="31" t="s">
        <v>2643</v>
      </c>
      <c r="E3568" s="32">
        <v>247.5</v>
      </c>
      <c r="F3568" s="32">
        <v>2</v>
      </c>
    </row>
    <row r="3569" spans="1:6" x14ac:dyDescent="0.3">
      <c r="A3569" s="31">
        <v>2500009119</v>
      </c>
      <c r="B3569" s="31" t="s">
        <v>1976</v>
      </c>
      <c r="C3569" s="31" t="s">
        <v>1996</v>
      </c>
      <c r="D3569" s="31" t="s">
        <v>2289</v>
      </c>
      <c r="E3569" s="32">
        <v>247.5</v>
      </c>
      <c r="F3569" s="32">
        <v>12</v>
      </c>
    </row>
    <row r="3570" spans="1:6" x14ac:dyDescent="0.3">
      <c r="A3570" s="31">
        <v>1000097306</v>
      </c>
      <c r="B3570" s="31" t="s">
        <v>1507</v>
      </c>
      <c r="C3570" s="31" t="s">
        <v>4</v>
      </c>
      <c r="D3570" s="31" t="s">
        <v>2090</v>
      </c>
      <c r="E3570" s="32">
        <v>247.19</v>
      </c>
      <c r="F3570" s="32">
        <v>8</v>
      </c>
    </row>
    <row r="3571" spans="1:6" x14ac:dyDescent="0.3">
      <c r="A3571" s="31">
        <v>1000100387</v>
      </c>
      <c r="B3571" s="31" t="s">
        <v>1717</v>
      </c>
      <c r="C3571" s="31" t="s">
        <v>4</v>
      </c>
      <c r="D3571" s="31" t="s">
        <v>2090</v>
      </c>
      <c r="E3571" s="32">
        <v>246.23</v>
      </c>
      <c r="F3571" s="32">
        <v>2</v>
      </c>
    </row>
    <row r="3572" spans="1:6" x14ac:dyDescent="0.3">
      <c r="A3572" s="31">
        <v>2500008821</v>
      </c>
      <c r="B3572" s="31" t="s">
        <v>4106</v>
      </c>
      <c r="C3572" s="31" t="s">
        <v>1996</v>
      </c>
      <c r="D3572" s="31" t="s">
        <v>2875</v>
      </c>
      <c r="E3572" s="32">
        <v>245.91111111111101</v>
      </c>
      <c r="F3572" s="32">
        <v>2</v>
      </c>
    </row>
    <row r="3573" spans="1:6" x14ac:dyDescent="0.3">
      <c r="A3573" s="31">
        <v>1000020042</v>
      </c>
      <c r="B3573" s="31" t="s">
        <v>4107</v>
      </c>
      <c r="C3573" s="31" t="s">
        <v>4</v>
      </c>
      <c r="D3573" s="31" t="s">
        <v>2090</v>
      </c>
      <c r="E3573" s="32">
        <v>245.89</v>
      </c>
      <c r="F3573" s="32">
        <v>3</v>
      </c>
    </row>
    <row r="3574" spans="1:6" x14ac:dyDescent="0.3">
      <c r="A3574" s="31">
        <v>1000020352</v>
      </c>
      <c r="B3574" s="31" t="s">
        <v>584</v>
      </c>
      <c r="C3574" s="31" t="s">
        <v>4</v>
      </c>
      <c r="D3574" s="31" t="s">
        <v>2090</v>
      </c>
      <c r="E3574" s="32">
        <v>245.85</v>
      </c>
      <c r="F3574" s="32">
        <v>5</v>
      </c>
    </row>
    <row r="3575" spans="1:6" x14ac:dyDescent="0.3">
      <c r="A3575" s="31">
        <v>1000021486</v>
      </c>
      <c r="B3575" s="31" t="s">
        <v>1495</v>
      </c>
      <c r="C3575" s="31" t="s">
        <v>4</v>
      </c>
      <c r="D3575" s="31" t="s">
        <v>2090</v>
      </c>
      <c r="E3575" s="32">
        <v>245.69</v>
      </c>
      <c r="F3575" s="32">
        <v>5</v>
      </c>
    </row>
    <row r="3576" spans="1:6" x14ac:dyDescent="0.3">
      <c r="A3576" s="31">
        <v>1000098691</v>
      </c>
      <c r="B3576" s="31" t="s">
        <v>4108</v>
      </c>
      <c r="C3576" s="31" t="s">
        <v>4</v>
      </c>
      <c r="D3576" s="31" t="s">
        <v>2090</v>
      </c>
      <c r="E3576" s="32">
        <v>245.47</v>
      </c>
      <c r="F3576" s="32">
        <v>2</v>
      </c>
    </row>
    <row r="3577" spans="1:6" x14ac:dyDescent="0.3">
      <c r="A3577" s="31">
        <v>1000020211</v>
      </c>
      <c r="B3577" s="31" t="s">
        <v>451</v>
      </c>
      <c r="C3577" s="31" t="s">
        <v>4</v>
      </c>
      <c r="D3577" s="31" t="s">
        <v>2090</v>
      </c>
      <c r="E3577" s="32">
        <v>245.2</v>
      </c>
      <c r="F3577" s="32">
        <v>1</v>
      </c>
    </row>
    <row r="3578" spans="1:6" x14ac:dyDescent="0.3">
      <c r="A3578" s="31">
        <v>1000093290</v>
      </c>
      <c r="B3578" s="31" t="s">
        <v>4109</v>
      </c>
      <c r="C3578" s="31" t="s">
        <v>4</v>
      </c>
      <c r="D3578" s="31" t="s">
        <v>2161</v>
      </c>
      <c r="E3578" s="32">
        <v>245.036742063492</v>
      </c>
      <c r="F3578" s="32">
        <v>1</v>
      </c>
    </row>
    <row r="3579" spans="1:6" x14ac:dyDescent="0.3">
      <c r="A3579" s="31">
        <v>80000009752</v>
      </c>
      <c r="B3579" s="31" t="s">
        <v>3371</v>
      </c>
      <c r="C3579" s="31" t="s">
        <v>2521</v>
      </c>
      <c r="D3579" s="31" t="s">
        <v>2670</v>
      </c>
      <c r="E3579" s="32">
        <v>245</v>
      </c>
      <c r="F3579" s="32">
        <v>5</v>
      </c>
    </row>
    <row r="3580" spans="1:6" x14ac:dyDescent="0.3">
      <c r="A3580" s="31">
        <v>1000010097</v>
      </c>
      <c r="B3580" s="31" t="s">
        <v>116</v>
      </c>
      <c r="C3580" s="31" t="s">
        <v>4</v>
      </c>
      <c r="D3580" s="31" t="s">
        <v>2161</v>
      </c>
      <c r="E3580" s="32">
        <v>243.75</v>
      </c>
      <c r="F3580" s="32">
        <v>10</v>
      </c>
    </row>
    <row r="3581" spans="1:6" x14ac:dyDescent="0.3">
      <c r="A3581" s="31">
        <v>1000020928</v>
      </c>
      <c r="B3581" s="31" t="s">
        <v>1108</v>
      </c>
      <c r="C3581" s="31" t="s">
        <v>4</v>
      </c>
      <c r="D3581" s="31" t="s">
        <v>2090</v>
      </c>
      <c r="E3581" s="32">
        <v>243.58</v>
      </c>
      <c r="F3581" s="32">
        <v>2</v>
      </c>
    </row>
    <row r="3582" spans="1:6" x14ac:dyDescent="0.3">
      <c r="A3582" s="31">
        <v>1000098571</v>
      </c>
      <c r="B3582" s="31" t="s">
        <v>1580</v>
      </c>
      <c r="C3582" s="31" t="s">
        <v>4</v>
      </c>
      <c r="D3582" s="31" t="s">
        <v>2090</v>
      </c>
      <c r="E3582" s="32">
        <v>243.45</v>
      </c>
      <c r="F3582" s="32">
        <v>50</v>
      </c>
    </row>
    <row r="3583" spans="1:6" x14ac:dyDescent="0.3">
      <c r="A3583" s="31">
        <v>80000009801</v>
      </c>
      <c r="B3583" s="31" t="s">
        <v>4110</v>
      </c>
      <c r="C3583" s="31" t="s">
        <v>2521</v>
      </c>
      <c r="D3583" s="31" t="s">
        <v>2670</v>
      </c>
      <c r="E3583" s="32">
        <v>242.245835134506</v>
      </c>
      <c r="F3583" s="32">
        <v>54</v>
      </c>
    </row>
    <row r="3584" spans="1:6" x14ac:dyDescent="0.3">
      <c r="A3584" s="31">
        <v>1000020961</v>
      </c>
      <c r="B3584" s="31" t="s">
        <v>1138</v>
      </c>
      <c r="C3584" s="31" t="s">
        <v>4</v>
      </c>
      <c r="D3584" s="31" t="s">
        <v>2090</v>
      </c>
      <c r="E3584" s="32">
        <v>241.82</v>
      </c>
      <c r="F3584" s="32">
        <v>1</v>
      </c>
    </row>
    <row r="3585" spans="1:6" x14ac:dyDescent="0.3">
      <c r="A3585" s="31">
        <v>1000020451</v>
      </c>
      <c r="B3585" s="31" t="s">
        <v>677</v>
      </c>
      <c r="C3585" s="31" t="s">
        <v>4</v>
      </c>
      <c r="D3585" s="31" t="s">
        <v>2090</v>
      </c>
      <c r="E3585" s="32">
        <v>241.8</v>
      </c>
      <c r="F3585" s="32">
        <v>10</v>
      </c>
    </row>
    <row r="3586" spans="1:6" x14ac:dyDescent="0.3">
      <c r="A3586" s="31">
        <v>1000098588</v>
      </c>
      <c r="B3586" s="31" t="s">
        <v>1595</v>
      </c>
      <c r="C3586" s="31" t="s">
        <v>4</v>
      </c>
      <c r="D3586" s="31" t="s">
        <v>2090</v>
      </c>
      <c r="E3586" s="32">
        <v>240.52</v>
      </c>
      <c r="F3586" s="32">
        <v>2</v>
      </c>
    </row>
    <row r="3587" spans="1:6" x14ac:dyDescent="0.3">
      <c r="A3587" s="31">
        <v>1000102571</v>
      </c>
      <c r="B3587" s="31" t="s">
        <v>4111</v>
      </c>
      <c r="C3587" s="31" t="s">
        <v>4</v>
      </c>
      <c r="D3587" s="31" t="s">
        <v>2090</v>
      </c>
      <c r="E3587" s="32">
        <v>240.11250000000001</v>
      </c>
      <c r="F3587" s="32">
        <v>19</v>
      </c>
    </row>
    <row r="3588" spans="1:6" x14ac:dyDescent="0.3">
      <c r="A3588" s="31">
        <v>1000020923</v>
      </c>
      <c r="B3588" s="31" t="s">
        <v>1103</v>
      </c>
      <c r="C3588" s="31" t="s">
        <v>4</v>
      </c>
      <c r="D3588" s="31" t="s">
        <v>2090</v>
      </c>
      <c r="E3588" s="32">
        <v>240.1</v>
      </c>
      <c r="F3588" s="32">
        <v>1</v>
      </c>
    </row>
    <row r="3589" spans="1:6" x14ac:dyDescent="0.3">
      <c r="A3589" s="31">
        <v>2500005581</v>
      </c>
      <c r="B3589" s="31" t="s">
        <v>1905</v>
      </c>
      <c r="C3589" s="31" t="s">
        <v>1996</v>
      </c>
      <c r="D3589" s="31" t="s">
        <v>2025</v>
      </c>
      <c r="E3589" s="32">
        <v>240</v>
      </c>
      <c r="F3589" s="32">
        <v>16</v>
      </c>
    </row>
    <row r="3590" spans="1:6" x14ac:dyDescent="0.3">
      <c r="A3590" s="31">
        <v>1000104023</v>
      </c>
      <c r="B3590" s="31" t="s">
        <v>4112</v>
      </c>
      <c r="C3590" s="31" t="s">
        <v>2109</v>
      </c>
      <c r="D3590" s="31" t="s">
        <v>2070</v>
      </c>
      <c r="E3590" s="32">
        <v>240</v>
      </c>
      <c r="F3590" s="32">
        <v>4</v>
      </c>
    </row>
    <row r="3591" spans="1:6" x14ac:dyDescent="0.3">
      <c r="A3591" s="31">
        <v>1000020251</v>
      </c>
      <c r="B3591" s="31" t="s">
        <v>490</v>
      </c>
      <c r="C3591" s="31" t="s">
        <v>4</v>
      </c>
      <c r="D3591" s="31" t="s">
        <v>2090</v>
      </c>
      <c r="E3591" s="32">
        <v>239.7</v>
      </c>
      <c r="F3591" s="32">
        <v>30</v>
      </c>
    </row>
    <row r="3592" spans="1:6" x14ac:dyDescent="0.3">
      <c r="A3592" s="31">
        <v>1000020372</v>
      </c>
      <c r="B3592" s="31" t="s">
        <v>604</v>
      </c>
      <c r="C3592" s="31" t="s">
        <v>4</v>
      </c>
      <c r="D3592" s="31" t="s">
        <v>2090</v>
      </c>
      <c r="E3592" s="32">
        <v>239.01</v>
      </c>
      <c r="F3592" s="32">
        <v>1</v>
      </c>
    </row>
    <row r="3593" spans="1:6" x14ac:dyDescent="0.3">
      <c r="A3593" s="31">
        <v>1000020322</v>
      </c>
      <c r="B3593" s="31" t="s">
        <v>556</v>
      </c>
      <c r="C3593" s="31" t="s">
        <v>4</v>
      </c>
      <c r="D3593" s="31" t="s">
        <v>2090</v>
      </c>
      <c r="E3593" s="32">
        <v>238.83</v>
      </c>
      <c r="F3593" s="32">
        <v>1</v>
      </c>
    </row>
    <row r="3594" spans="1:6" x14ac:dyDescent="0.3">
      <c r="A3594" s="31">
        <v>2500008210</v>
      </c>
      <c r="B3594" s="31" t="s">
        <v>4113</v>
      </c>
      <c r="C3594" s="31" t="s">
        <v>1996</v>
      </c>
      <c r="D3594" s="31" t="s">
        <v>2025</v>
      </c>
      <c r="E3594" s="32">
        <v>238.5</v>
      </c>
      <c r="F3594" s="32">
        <v>1</v>
      </c>
    </row>
    <row r="3595" spans="1:6" x14ac:dyDescent="0.3">
      <c r="A3595" s="31">
        <v>1000021175</v>
      </c>
      <c r="B3595" s="31" t="s">
        <v>1322</v>
      </c>
      <c r="C3595" s="31" t="s">
        <v>4</v>
      </c>
      <c r="D3595" s="31" t="s">
        <v>2090</v>
      </c>
      <c r="E3595" s="32">
        <v>237.6</v>
      </c>
      <c r="F3595" s="32">
        <v>3</v>
      </c>
    </row>
    <row r="3596" spans="1:6" x14ac:dyDescent="0.3">
      <c r="A3596" s="31">
        <v>2500009336</v>
      </c>
      <c r="B3596" s="31" t="s">
        <v>4114</v>
      </c>
      <c r="C3596" s="31" t="s">
        <v>1996</v>
      </c>
      <c r="D3596" s="31" t="s">
        <v>2289</v>
      </c>
      <c r="E3596" s="32">
        <v>236.25</v>
      </c>
      <c r="F3596" s="32">
        <v>23</v>
      </c>
    </row>
    <row r="3597" spans="1:6" x14ac:dyDescent="0.3">
      <c r="A3597" s="31">
        <v>2500008076</v>
      </c>
      <c r="B3597" s="31" t="s">
        <v>4115</v>
      </c>
      <c r="C3597" s="31" t="s">
        <v>1996</v>
      </c>
      <c r="D3597" s="31" t="s">
        <v>2025</v>
      </c>
      <c r="E3597" s="32">
        <v>235.33110047846799</v>
      </c>
      <c r="F3597" s="32">
        <v>4</v>
      </c>
    </row>
    <row r="3598" spans="1:6" x14ac:dyDescent="0.3">
      <c r="A3598" s="31">
        <v>1000098732</v>
      </c>
      <c r="B3598" s="31" t="s">
        <v>4116</v>
      </c>
      <c r="C3598" s="31" t="s">
        <v>4</v>
      </c>
      <c r="D3598" s="31" t="s">
        <v>2090</v>
      </c>
      <c r="E3598" s="32">
        <v>235.172</v>
      </c>
      <c r="F3598" s="32">
        <v>7</v>
      </c>
    </row>
    <row r="3599" spans="1:6" x14ac:dyDescent="0.3">
      <c r="A3599" s="31">
        <v>1000021086</v>
      </c>
      <c r="B3599" s="31" t="s">
        <v>1248</v>
      </c>
      <c r="C3599" s="31" t="s">
        <v>4</v>
      </c>
      <c r="D3599" s="31" t="s">
        <v>2090</v>
      </c>
      <c r="E3599" s="32">
        <v>235.08</v>
      </c>
      <c r="F3599" s="32">
        <v>3</v>
      </c>
    </row>
    <row r="3600" spans="1:6" x14ac:dyDescent="0.3">
      <c r="A3600" s="31">
        <v>1000096424</v>
      </c>
      <c r="B3600" s="31" t="s">
        <v>4117</v>
      </c>
      <c r="C3600" s="31" t="s">
        <v>4</v>
      </c>
      <c r="D3600" s="31" t="s">
        <v>2056</v>
      </c>
      <c r="E3600" s="32">
        <v>234.8</v>
      </c>
      <c r="F3600" s="32">
        <v>10</v>
      </c>
    </row>
    <row r="3601" spans="1:6" x14ac:dyDescent="0.3">
      <c r="A3601" s="31">
        <v>1000100413</v>
      </c>
      <c r="B3601" s="31" t="s">
        <v>1727</v>
      </c>
      <c r="C3601" s="31" t="s">
        <v>4</v>
      </c>
      <c r="D3601" s="31" t="s">
        <v>2090</v>
      </c>
      <c r="E3601" s="32">
        <v>234.23</v>
      </c>
      <c r="F3601" s="32">
        <v>2</v>
      </c>
    </row>
    <row r="3602" spans="1:6" x14ac:dyDescent="0.3">
      <c r="A3602" s="31">
        <v>1000020336</v>
      </c>
      <c r="B3602" s="31" t="s">
        <v>568</v>
      </c>
      <c r="C3602" s="31" t="s">
        <v>4</v>
      </c>
      <c r="D3602" s="31" t="s">
        <v>2090</v>
      </c>
      <c r="E3602" s="32">
        <v>234</v>
      </c>
      <c r="F3602" s="32">
        <v>50</v>
      </c>
    </row>
    <row r="3603" spans="1:6" x14ac:dyDescent="0.3">
      <c r="A3603" s="31">
        <v>1000021434</v>
      </c>
      <c r="B3603" s="31" t="s">
        <v>1480</v>
      </c>
      <c r="C3603" s="31" t="s">
        <v>4</v>
      </c>
      <c r="D3603" s="31" t="s">
        <v>2090</v>
      </c>
      <c r="E3603" s="32">
        <v>233.41176470588201</v>
      </c>
      <c r="F3603" s="32">
        <v>40</v>
      </c>
    </row>
    <row r="3604" spans="1:6" x14ac:dyDescent="0.3">
      <c r="A3604" s="31">
        <v>1000109953</v>
      </c>
      <c r="B3604" s="31" t="s">
        <v>4118</v>
      </c>
      <c r="C3604" s="31" t="s">
        <v>4</v>
      </c>
      <c r="D3604" s="31" t="s">
        <v>2056</v>
      </c>
      <c r="E3604" s="32">
        <v>233.387</v>
      </c>
      <c r="F3604" s="32">
        <v>2</v>
      </c>
    </row>
    <row r="3605" spans="1:6" x14ac:dyDescent="0.3">
      <c r="A3605" s="31">
        <v>2500008394</v>
      </c>
      <c r="B3605" s="31" t="s">
        <v>4119</v>
      </c>
      <c r="C3605" s="31" t="s">
        <v>1996</v>
      </c>
      <c r="D3605" s="31" t="s">
        <v>2025</v>
      </c>
      <c r="E3605" s="32">
        <v>232.5</v>
      </c>
      <c r="F3605" s="32">
        <v>1</v>
      </c>
    </row>
    <row r="3606" spans="1:6" x14ac:dyDescent="0.3">
      <c r="A3606" s="31">
        <v>1000098455</v>
      </c>
      <c r="B3606" s="31" t="s">
        <v>1532</v>
      </c>
      <c r="C3606" s="31" t="s">
        <v>4</v>
      </c>
      <c r="D3606" s="31" t="s">
        <v>2090</v>
      </c>
      <c r="E3606" s="32">
        <v>232.36</v>
      </c>
      <c r="F3606" s="32">
        <v>2</v>
      </c>
    </row>
    <row r="3607" spans="1:6" x14ac:dyDescent="0.3">
      <c r="A3607" s="31">
        <v>80000008624</v>
      </c>
      <c r="B3607" s="31" t="s">
        <v>4120</v>
      </c>
      <c r="C3607" s="31" t="s">
        <v>2521</v>
      </c>
      <c r="D3607" s="31" t="s">
        <v>2670</v>
      </c>
      <c r="E3607" s="32">
        <v>232</v>
      </c>
      <c r="F3607" s="32">
        <v>8</v>
      </c>
    </row>
    <row r="3608" spans="1:6" x14ac:dyDescent="0.3">
      <c r="A3608" s="31">
        <v>1000021120</v>
      </c>
      <c r="B3608" s="31" t="s">
        <v>1279</v>
      </c>
      <c r="C3608" s="31" t="s">
        <v>4</v>
      </c>
      <c r="D3608" s="31" t="s">
        <v>2090</v>
      </c>
      <c r="E3608" s="32">
        <v>231.96666666666599</v>
      </c>
      <c r="F3608" s="32">
        <v>1</v>
      </c>
    </row>
    <row r="3609" spans="1:6" x14ac:dyDescent="0.3">
      <c r="A3609" s="31">
        <v>1000095823</v>
      </c>
      <c r="B3609" s="31" t="s">
        <v>4121</v>
      </c>
      <c r="C3609" s="31" t="s">
        <v>4</v>
      </c>
      <c r="D3609" s="31" t="s">
        <v>2056</v>
      </c>
      <c r="E3609" s="32">
        <v>231.96215784753301</v>
      </c>
      <c r="F3609" s="32">
        <v>54</v>
      </c>
    </row>
    <row r="3610" spans="1:6" x14ac:dyDescent="0.3">
      <c r="A3610" s="31">
        <v>1000020602</v>
      </c>
      <c r="B3610" s="31" t="s">
        <v>818</v>
      </c>
      <c r="C3610" s="31" t="s">
        <v>4</v>
      </c>
      <c r="D3610" s="31" t="s">
        <v>2090</v>
      </c>
      <c r="E3610" s="32">
        <v>231.6</v>
      </c>
      <c r="F3610" s="32">
        <v>10</v>
      </c>
    </row>
    <row r="3611" spans="1:6" x14ac:dyDescent="0.3">
      <c r="A3611" s="31">
        <v>1000109812</v>
      </c>
      <c r="B3611" s="31" t="s">
        <v>4122</v>
      </c>
      <c r="C3611" s="31" t="s">
        <v>2109</v>
      </c>
      <c r="D3611" s="31" t="s">
        <v>4123</v>
      </c>
      <c r="E3611" s="32">
        <v>231.6</v>
      </c>
      <c r="F3611" s="32">
        <v>2</v>
      </c>
    </row>
    <row r="3612" spans="1:6" x14ac:dyDescent="0.3">
      <c r="A3612" s="31">
        <v>2200012031</v>
      </c>
      <c r="B3612" s="31" t="s">
        <v>4124</v>
      </c>
      <c r="C3612" s="31" t="s">
        <v>2037</v>
      </c>
      <c r="D3612" s="31" t="s">
        <v>2038</v>
      </c>
      <c r="E3612" s="32">
        <v>231.17162500000001</v>
      </c>
      <c r="F3612" s="32">
        <v>1</v>
      </c>
    </row>
    <row r="3613" spans="1:6" x14ac:dyDescent="0.3">
      <c r="A3613" s="31">
        <v>1000094257</v>
      </c>
      <c r="B3613" s="31" t="s">
        <v>2181</v>
      </c>
      <c r="C3613" s="31" t="s">
        <v>4</v>
      </c>
      <c r="D3613" s="31" t="s">
        <v>2056</v>
      </c>
      <c r="E3613" s="32">
        <v>231</v>
      </c>
      <c r="F3613" s="32">
        <v>70</v>
      </c>
    </row>
    <row r="3614" spans="1:6" x14ac:dyDescent="0.3">
      <c r="A3614" s="31">
        <v>80000002604</v>
      </c>
      <c r="B3614" s="31" t="s">
        <v>4125</v>
      </c>
      <c r="C3614" s="31" t="s">
        <v>2521</v>
      </c>
      <c r="D3614" s="31" t="s">
        <v>2670</v>
      </c>
      <c r="E3614" s="32">
        <v>230</v>
      </c>
      <c r="F3614" s="32">
        <v>10</v>
      </c>
    </row>
    <row r="3615" spans="1:6" x14ac:dyDescent="0.3">
      <c r="A3615" s="31">
        <v>1000021299</v>
      </c>
      <c r="B3615" s="31" t="s">
        <v>1434</v>
      </c>
      <c r="C3615" s="31" t="s">
        <v>4</v>
      </c>
      <c r="D3615" s="31" t="s">
        <v>2090</v>
      </c>
      <c r="E3615" s="32">
        <v>229.78</v>
      </c>
      <c r="F3615" s="32">
        <v>2</v>
      </c>
    </row>
    <row r="3616" spans="1:6" x14ac:dyDescent="0.3">
      <c r="A3616" s="31">
        <v>2500008710</v>
      </c>
      <c r="B3616" s="31" t="s">
        <v>4126</v>
      </c>
      <c r="C3616" s="31" t="s">
        <v>1996</v>
      </c>
      <c r="D3616" s="31" t="s">
        <v>2025</v>
      </c>
      <c r="E3616" s="32">
        <v>229.5</v>
      </c>
      <c r="F3616" s="32">
        <v>4</v>
      </c>
    </row>
    <row r="3617" spans="1:6" x14ac:dyDescent="0.3">
      <c r="A3617" s="31">
        <v>1000095549</v>
      </c>
      <c r="B3617" s="31" t="s">
        <v>4127</v>
      </c>
      <c r="C3617" s="31" t="s">
        <v>4</v>
      </c>
      <c r="D3617" s="31" t="s">
        <v>2090</v>
      </c>
      <c r="E3617" s="32">
        <v>229.42500000000001</v>
      </c>
      <c r="F3617" s="32">
        <v>1</v>
      </c>
    </row>
    <row r="3618" spans="1:6" x14ac:dyDescent="0.3">
      <c r="A3618" s="31">
        <v>1000020557</v>
      </c>
      <c r="B3618" s="31" t="s">
        <v>775</v>
      </c>
      <c r="C3618" s="31" t="s">
        <v>4</v>
      </c>
      <c r="D3618" s="31" t="s">
        <v>2090</v>
      </c>
      <c r="E3618" s="32">
        <v>229.2</v>
      </c>
      <c r="F3618" s="32">
        <v>8</v>
      </c>
    </row>
    <row r="3619" spans="1:6" x14ac:dyDescent="0.3">
      <c r="A3619" s="31">
        <v>1000110631</v>
      </c>
      <c r="B3619" s="31" t="s">
        <v>4128</v>
      </c>
      <c r="C3619" s="31" t="s">
        <v>4</v>
      </c>
      <c r="D3619" s="31" t="s">
        <v>2390</v>
      </c>
      <c r="E3619" s="32">
        <v>229.14</v>
      </c>
      <c r="F3619" s="32">
        <v>6</v>
      </c>
    </row>
    <row r="3620" spans="1:6" x14ac:dyDescent="0.3">
      <c r="A3620" s="31">
        <v>1000020596</v>
      </c>
      <c r="B3620" s="31" t="s">
        <v>812</v>
      </c>
      <c r="C3620" s="31" t="s">
        <v>4</v>
      </c>
      <c r="D3620" s="31" t="s">
        <v>2090</v>
      </c>
      <c r="E3620" s="32">
        <v>229</v>
      </c>
      <c r="F3620" s="32">
        <v>50</v>
      </c>
    </row>
    <row r="3621" spans="1:6" x14ac:dyDescent="0.3">
      <c r="A3621" s="31">
        <v>1000020290</v>
      </c>
      <c r="B3621" s="31" t="s">
        <v>526</v>
      </c>
      <c r="C3621" s="31" t="s">
        <v>4</v>
      </c>
      <c r="D3621" s="31" t="s">
        <v>2090</v>
      </c>
      <c r="E3621" s="32">
        <v>229</v>
      </c>
      <c r="F3621" s="32">
        <v>5</v>
      </c>
    </row>
    <row r="3622" spans="1:6" x14ac:dyDescent="0.3">
      <c r="A3622" s="31">
        <v>2200000562</v>
      </c>
      <c r="B3622" s="31" t="s">
        <v>169</v>
      </c>
      <c r="C3622" s="31" t="s">
        <v>2037</v>
      </c>
      <c r="D3622" s="31" t="s">
        <v>2038</v>
      </c>
      <c r="E3622" s="32">
        <v>228.96</v>
      </c>
      <c r="F3622" s="32">
        <v>2</v>
      </c>
    </row>
    <row r="3623" spans="1:6" x14ac:dyDescent="0.3">
      <c r="A3623" s="31">
        <v>2500009091</v>
      </c>
      <c r="B3623" s="31" t="s">
        <v>4129</v>
      </c>
      <c r="C3623" s="31" t="s">
        <v>1996</v>
      </c>
      <c r="D3623" s="31" t="s">
        <v>2289</v>
      </c>
      <c r="E3623" s="32">
        <v>228.75</v>
      </c>
      <c r="F3623" s="32">
        <v>1</v>
      </c>
    </row>
    <row r="3624" spans="1:6" x14ac:dyDescent="0.3">
      <c r="A3624" s="31">
        <v>2700000234</v>
      </c>
      <c r="B3624" s="31" t="s">
        <v>295</v>
      </c>
      <c r="C3624" s="31" t="s">
        <v>2037</v>
      </c>
      <c r="D3624" s="31" t="s">
        <v>2038</v>
      </c>
      <c r="E3624" s="32">
        <v>227.84795</v>
      </c>
      <c r="F3624" s="32">
        <v>3</v>
      </c>
    </row>
    <row r="3625" spans="1:6" x14ac:dyDescent="0.3">
      <c r="A3625" s="31">
        <v>2500008159</v>
      </c>
      <c r="B3625" s="31" t="s">
        <v>4130</v>
      </c>
      <c r="C3625" s="31" t="s">
        <v>1996</v>
      </c>
      <c r="D3625" s="31" t="s">
        <v>2025</v>
      </c>
      <c r="E3625" s="32">
        <v>226.845</v>
      </c>
      <c r="F3625" s="32">
        <v>2</v>
      </c>
    </row>
    <row r="3626" spans="1:6" x14ac:dyDescent="0.3">
      <c r="A3626" s="31">
        <v>1000021063</v>
      </c>
      <c r="B3626" s="31" t="s">
        <v>1228</v>
      </c>
      <c r="C3626" s="31" t="s">
        <v>4</v>
      </c>
      <c r="D3626" s="31" t="s">
        <v>2090</v>
      </c>
      <c r="E3626" s="32">
        <v>225.84</v>
      </c>
      <c r="F3626" s="32">
        <v>2</v>
      </c>
    </row>
    <row r="3627" spans="1:6" x14ac:dyDescent="0.3">
      <c r="A3627" s="31">
        <v>2200010454</v>
      </c>
      <c r="B3627" s="31" t="s">
        <v>4131</v>
      </c>
      <c r="C3627" s="31" t="s">
        <v>2037</v>
      </c>
      <c r="D3627" s="31" t="s">
        <v>2067</v>
      </c>
      <c r="E3627" s="32">
        <v>225.42</v>
      </c>
      <c r="F3627" s="32">
        <v>1</v>
      </c>
    </row>
    <row r="3628" spans="1:6" x14ac:dyDescent="0.3">
      <c r="A3628" s="31">
        <v>1000103258</v>
      </c>
      <c r="B3628" s="31" t="s">
        <v>99</v>
      </c>
      <c r="C3628" s="31" t="s">
        <v>4</v>
      </c>
      <c r="D3628" s="31" t="s">
        <v>2043</v>
      </c>
      <c r="E3628" s="32">
        <v>225</v>
      </c>
      <c r="F3628" s="32">
        <v>3</v>
      </c>
    </row>
    <row r="3629" spans="1:6" x14ac:dyDescent="0.3">
      <c r="A3629" s="31">
        <v>2500009645</v>
      </c>
      <c r="B3629" s="31" t="s">
        <v>4132</v>
      </c>
      <c r="C3629" s="31" t="s">
        <v>1996</v>
      </c>
      <c r="D3629" s="31" t="s">
        <v>2025</v>
      </c>
      <c r="E3629" s="32">
        <v>225</v>
      </c>
      <c r="F3629" s="32">
        <v>3</v>
      </c>
    </row>
    <row r="3630" spans="1:6" x14ac:dyDescent="0.3">
      <c r="A3630" s="31">
        <v>80000002581</v>
      </c>
      <c r="B3630" s="31" t="s">
        <v>4133</v>
      </c>
      <c r="C3630" s="31" t="s">
        <v>2521</v>
      </c>
      <c r="D3630" s="31" t="s">
        <v>2670</v>
      </c>
      <c r="E3630" s="32">
        <v>225</v>
      </c>
      <c r="F3630" s="32">
        <v>150</v>
      </c>
    </row>
    <row r="3631" spans="1:6" x14ac:dyDescent="0.3">
      <c r="A3631" s="31">
        <v>2500009023</v>
      </c>
      <c r="B3631" s="31" t="s">
        <v>1959</v>
      </c>
      <c r="C3631" s="31" t="s">
        <v>1996</v>
      </c>
      <c r="D3631" s="31" t="s">
        <v>2025</v>
      </c>
      <c r="E3631" s="32">
        <v>224.72727272727201</v>
      </c>
      <c r="F3631" s="32">
        <v>4</v>
      </c>
    </row>
    <row r="3632" spans="1:6" x14ac:dyDescent="0.3">
      <c r="A3632" s="31">
        <v>1000020888</v>
      </c>
      <c r="B3632" s="31" t="s">
        <v>1070</v>
      </c>
      <c r="C3632" s="31" t="s">
        <v>4</v>
      </c>
      <c r="D3632" s="31" t="s">
        <v>2090</v>
      </c>
      <c r="E3632" s="32">
        <v>223.88</v>
      </c>
      <c r="F3632" s="32">
        <v>4</v>
      </c>
    </row>
    <row r="3633" spans="1:6" x14ac:dyDescent="0.3">
      <c r="A3633" s="31">
        <v>1000015013</v>
      </c>
      <c r="B3633" s="31" t="s">
        <v>4134</v>
      </c>
      <c r="C3633" s="31" t="s">
        <v>4</v>
      </c>
      <c r="D3633" s="31" t="s">
        <v>2043</v>
      </c>
      <c r="E3633" s="32">
        <v>223.36</v>
      </c>
      <c r="F3633" s="32">
        <v>4</v>
      </c>
    </row>
    <row r="3634" spans="1:6" x14ac:dyDescent="0.3">
      <c r="A3634" s="31">
        <v>1000091853</v>
      </c>
      <c r="B3634" s="31" t="s">
        <v>4135</v>
      </c>
      <c r="C3634" s="31" t="s">
        <v>2109</v>
      </c>
      <c r="D3634" s="31" t="s">
        <v>2070</v>
      </c>
      <c r="E3634" s="32">
        <v>223.346248491062</v>
      </c>
      <c r="F3634" s="32">
        <v>2</v>
      </c>
    </row>
    <row r="3635" spans="1:6" x14ac:dyDescent="0.3">
      <c r="A3635" s="31">
        <v>1000020373</v>
      </c>
      <c r="B3635" s="31" t="s">
        <v>605</v>
      </c>
      <c r="C3635" s="31" t="s">
        <v>4</v>
      </c>
      <c r="D3635" s="31" t="s">
        <v>2090</v>
      </c>
      <c r="E3635" s="32">
        <v>223.2</v>
      </c>
      <c r="F3635" s="32">
        <v>1</v>
      </c>
    </row>
    <row r="3636" spans="1:6" x14ac:dyDescent="0.3">
      <c r="A3636" s="31">
        <v>2300010098</v>
      </c>
      <c r="B3636" s="31" t="s">
        <v>4136</v>
      </c>
      <c r="C3636" s="31" t="s">
        <v>2030</v>
      </c>
      <c r="D3636" s="31" t="s">
        <v>2031</v>
      </c>
      <c r="E3636" s="32">
        <v>222.82919999999999</v>
      </c>
      <c r="F3636" s="32">
        <v>1</v>
      </c>
    </row>
    <row r="3637" spans="1:6" x14ac:dyDescent="0.3">
      <c r="A3637" s="31">
        <v>1000098453</v>
      </c>
      <c r="B3637" s="31" t="s">
        <v>1530</v>
      </c>
      <c r="C3637" s="31" t="s">
        <v>4</v>
      </c>
      <c r="D3637" s="31" t="s">
        <v>2090</v>
      </c>
      <c r="E3637" s="32">
        <v>222.47399999999999</v>
      </c>
      <c r="F3637" s="32">
        <v>3</v>
      </c>
    </row>
    <row r="3638" spans="1:6" x14ac:dyDescent="0.3">
      <c r="A3638" s="31">
        <v>1000021044</v>
      </c>
      <c r="B3638" s="31" t="s">
        <v>1214</v>
      </c>
      <c r="C3638" s="31" t="s">
        <v>4</v>
      </c>
      <c r="D3638" s="31" t="s">
        <v>2090</v>
      </c>
      <c r="E3638" s="32">
        <v>222.18</v>
      </c>
      <c r="F3638" s="32">
        <v>1</v>
      </c>
    </row>
    <row r="3639" spans="1:6" x14ac:dyDescent="0.3">
      <c r="A3639" s="31">
        <v>1000102434</v>
      </c>
      <c r="B3639" s="31" t="s">
        <v>1797</v>
      </c>
      <c r="C3639" s="31" t="s">
        <v>4</v>
      </c>
      <c r="D3639" s="31" t="s">
        <v>2090</v>
      </c>
      <c r="E3639" s="32">
        <v>222.15</v>
      </c>
      <c r="F3639" s="32">
        <v>2</v>
      </c>
    </row>
    <row r="3640" spans="1:6" x14ac:dyDescent="0.3">
      <c r="A3640" s="31">
        <v>1000098580</v>
      </c>
      <c r="B3640" s="31" t="s">
        <v>1589</v>
      </c>
      <c r="C3640" s="31" t="s">
        <v>4</v>
      </c>
      <c r="D3640" s="31" t="s">
        <v>2090</v>
      </c>
      <c r="E3640" s="32">
        <v>220.97</v>
      </c>
      <c r="F3640" s="32">
        <v>25</v>
      </c>
    </row>
    <row r="3641" spans="1:6" x14ac:dyDescent="0.3">
      <c r="A3641" s="31">
        <v>1000090828</v>
      </c>
      <c r="B3641" s="31" t="s">
        <v>29</v>
      </c>
      <c r="C3641" s="31" t="s">
        <v>2257</v>
      </c>
      <c r="D3641" s="31" t="s">
        <v>2070</v>
      </c>
      <c r="E3641" s="32">
        <v>220.71185185185101</v>
      </c>
      <c r="F3641" s="32">
        <v>27</v>
      </c>
    </row>
    <row r="3642" spans="1:6" x14ac:dyDescent="0.3">
      <c r="A3642" s="31">
        <v>1000100305</v>
      </c>
      <c r="B3642" s="31" t="s">
        <v>1694</v>
      </c>
      <c r="C3642" s="31" t="s">
        <v>4</v>
      </c>
      <c r="D3642" s="31" t="s">
        <v>2090</v>
      </c>
      <c r="E3642" s="32">
        <v>220.65</v>
      </c>
      <c r="F3642" s="32">
        <v>2</v>
      </c>
    </row>
    <row r="3643" spans="1:6" x14ac:dyDescent="0.3">
      <c r="A3643" s="31">
        <v>1000020517</v>
      </c>
      <c r="B3643" s="31" t="s">
        <v>739</v>
      </c>
      <c r="C3643" s="31" t="s">
        <v>4</v>
      </c>
      <c r="D3643" s="31" t="s">
        <v>2090</v>
      </c>
      <c r="E3643" s="32">
        <v>220.42</v>
      </c>
      <c r="F3643" s="32">
        <v>2</v>
      </c>
    </row>
    <row r="3644" spans="1:6" x14ac:dyDescent="0.3">
      <c r="A3644" s="31">
        <v>80000009833</v>
      </c>
      <c r="B3644" s="31" t="s">
        <v>4137</v>
      </c>
      <c r="C3644" s="31" t="s">
        <v>2521</v>
      </c>
      <c r="D3644" s="31" t="s">
        <v>2670</v>
      </c>
      <c r="E3644" s="32">
        <v>220</v>
      </c>
      <c r="F3644" s="32">
        <v>22</v>
      </c>
    </row>
    <row r="3645" spans="1:6" x14ac:dyDescent="0.3">
      <c r="A3645" s="31">
        <v>1000020295</v>
      </c>
      <c r="B3645" s="31" t="s">
        <v>531</v>
      </c>
      <c r="C3645" s="31" t="s">
        <v>4</v>
      </c>
      <c r="D3645" s="31" t="s">
        <v>2090</v>
      </c>
      <c r="E3645" s="32">
        <v>219.71250000000001</v>
      </c>
      <c r="F3645" s="32">
        <v>3</v>
      </c>
    </row>
    <row r="3646" spans="1:6" x14ac:dyDescent="0.3">
      <c r="A3646" s="31">
        <v>1000101099</v>
      </c>
      <c r="B3646" s="31" t="s">
        <v>4138</v>
      </c>
      <c r="C3646" s="31" t="s">
        <v>4</v>
      </c>
      <c r="D3646" s="31" t="s">
        <v>2284</v>
      </c>
      <c r="E3646" s="32">
        <v>219.56</v>
      </c>
      <c r="F3646" s="32">
        <v>1</v>
      </c>
    </row>
    <row r="3647" spans="1:6" x14ac:dyDescent="0.3">
      <c r="A3647" s="31">
        <v>1000096308</v>
      </c>
      <c r="B3647" s="31" t="s">
        <v>4139</v>
      </c>
      <c r="C3647" s="31" t="s">
        <v>4</v>
      </c>
      <c r="D3647" s="31" t="s">
        <v>2090</v>
      </c>
      <c r="E3647" s="32">
        <v>218.95124999999999</v>
      </c>
      <c r="F3647" s="32">
        <v>7</v>
      </c>
    </row>
    <row r="3648" spans="1:6" x14ac:dyDescent="0.3">
      <c r="A3648" s="31">
        <v>1000020303</v>
      </c>
      <c r="B3648" s="31" t="s">
        <v>539</v>
      </c>
      <c r="C3648" s="31" t="s">
        <v>4</v>
      </c>
      <c r="D3648" s="31" t="s">
        <v>2090</v>
      </c>
      <c r="E3648" s="32">
        <v>218.74</v>
      </c>
      <c r="F3648" s="32">
        <v>2</v>
      </c>
    </row>
    <row r="3649" spans="1:6" x14ac:dyDescent="0.3">
      <c r="A3649" s="31">
        <v>1000020361</v>
      </c>
      <c r="B3649" s="31" t="s">
        <v>593</v>
      </c>
      <c r="C3649" s="31" t="s">
        <v>4</v>
      </c>
      <c r="D3649" s="31" t="s">
        <v>2090</v>
      </c>
      <c r="E3649" s="32">
        <v>218.32</v>
      </c>
      <c r="F3649" s="32">
        <v>2</v>
      </c>
    </row>
    <row r="3650" spans="1:6" x14ac:dyDescent="0.3">
      <c r="A3650" s="31">
        <v>1000020570</v>
      </c>
      <c r="B3650" s="31" t="s">
        <v>787</v>
      </c>
      <c r="C3650" s="31" t="s">
        <v>4</v>
      </c>
      <c r="D3650" s="31" t="s">
        <v>2090</v>
      </c>
      <c r="E3650" s="32">
        <v>218.32</v>
      </c>
      <c r="F3650" s="32">
        <v>2</v>
      </c>
    </row>
    <row r="3651" spans="1:6" x14ac:dyDescent="0.3">
      <c r="A3651" s="31">
        <v>1000020415</v>
      </c>
      <c r="B3651" s="31" t="s">
        <v>644</v>
      </c>
      <c r="C3651" s="31" t="s">
        <v>4</v>
      </c>
      <c r="D3651" s="31" t="s">
        <v>2090</v>
      </c>
      <c r="E3651" s="32">
        <v>217.5</v>
      </c>
      <c r="F3651" s="32">
        <v>30</v>
      </c>
    </row>
    <row r="3652" spans="1:6" x14ac:dyDescent="0.3">
      <c r="A3652" s="31">
        <v>2200000415</v>
      </c>
      <c r="B3652" s="31" t="s">
        <v>4140</v>
      </c>
      <c r="C3652" s="31" t="s">
        <v>2088</v>
      </c>
      <c r="D3652" s="31" t="s">
        <v>2038</v>
      </c>
      <c r="E3652" s="32">
        <v>216.65</v>
      </c>
      <c r="F3652" s="32">
        <v>1</v>
      </c>
    </row>
    <row r="3653" spans="1:6" x14ac:dyDescent="0.3">
      <c r="A3653" s="31">
        <v>1000107034</v>
      </c>
      <c r="B3653" s="31" t="s">
        <v>4141</v>
      </c>
      <c r="C3653" s="31" t="s">
        <v>4</v>
      </c>
      <c r="D3653" s="31" t="s">
        <v>2056</v>
      </c>
      <c r="E3653" s="32">
        <v>216.01</v>
      </c>
      <c r="F3653" s="32">
        <v>10</v>
      </c>
    </row>
    <row r="3654" spans="1:6" x14ac:dyDescent="0.3">
      <c r="A3654" s="31">
        <v>2500009308</v>
      </c>
      <c r="B3654" s="31" t="s">
        <v>4142</v>
      </c>
      <c r="C3654" s="31" t="s">
        <v>1996</v>
      </c>
      <c r="D3654" s="31" t="s">
        <v>2025</v>
      </c>
      <c r="E3654" s="32">
        <v>216</v>
      </c>
      <c r="F3654" s="32">
        <v>1</v>
      </c>
    </row>
    <row r="3655" spans="1:6" x14ac:dyDescent="0.3">
      <c r="A3655" s="31">
        <v>80000007521</v>
      </c>
      <c r="B3655" s="31" t="s">
        <v>4143</v>
      </c>
      <c r="C3655" s="31" t="s">
        <v>2521</v>
      </c>
      <c r="D3655" s="31" t="s">
        <v>3624</v>
      </c>
      <c r="E3655" s="32">
        <v>216</v>
      </c>
      <c r="F3655" s="32">
        <v>24</v>
      </c>
    </row>
    <row r="3656" spans="1:6" x14ac:dyDescent="0.3">
      <c r="A3656" s="31">
        <v>1000020807</v>
      </c>
      <c r="B3656" s="31" t="s">
        <v>1011</v>
      </c>
      <c r="C3656" s="31" t="s">
        <v>4</v>
      </c>
      <c r="D3656" s="31" t="s">
        <v>2090</v>
      </c>
      <c r="E3656" s="32">
        <v>215.71</v>
      </c>
      <c r="F3656" s="32">
        <v>1</v>
      </c>
    </row>
    <row r="3657" spans="1:6" x14ac:dyDescent="0.3">
      <c r="A3657" s="31">
        <v>1000010219</v>
      </c>
      <c r="B3657" s="31" t="s">
        <v>4144</v>
      </c>
      <c r="C3657" s="31" t="s">
        <v>4</v>
      </c>
      <c r="D3657" s="31" t="s">
        <v>2161</v>
      </c>
      <c r="E3657" s="32">
        <v>215.671875</v>
      </c>
      <c r="F3657" s="32">
        <v>5</v>
      </c>
    </row>
    <row r="3658" spans="1:6" x14ac:dyDescent="0.3">
      <c r="A3658" s="31">
        <v>2500009356</v>
      </c>
      <c r="B3658" s="31" t="s">
        <v>4145</v>
      </c>
      <c r="C3658" s="31" t="s">
        <v>1996</v>
      </c>
      <c r="D3658" s="31" t="s">
        <v>2025</v>
      </c>
      <c r="E3658" s="32">
        <v>215.03</v>
      </c>
      <c r="F3658" s="32">
        <v>1</v>
      </c>
    </row>
    <row r="3659" spans="1:6" x14ac:dyDescent="0.3">
      <c r="A3659" s="31">
        <v>1000099641</v>
      </c>
      <c r="B3659" s="31" t="s">
        <v>4146</v>
      </c>
      <c r="C3659" s="31" t="s">
        <v>2257</v>
      </c>
      <c r="D3659" s="31" t="s">
        <v>2878</v>
      </c>
      <c r="E3659" s="32">
        <v>214.2</v>
      </c>
      <c r="F3659" s="32">
        <v>1</v>
      </c>
    </row>
    <row r="3660" spans="1:6" x14ac:dyDescent="0.3">
      <c r="A3660" s="31">
        <v>2500009649</v>
      </c>
      <c r="B3660" s="31" t="s">
        <v>4147</v>
      </c>
      <c r="C3660" s="31" t="s">
        <v>1996</v>
      </c>
      <c r="D3660" s="31" t="s">
        <v>2025</v>
      </c>
      <c r="E3660" s="32">
        <v>213.75</v>
      </c>
      <c r="F3660" s="32">
        <v>2</v>
      </c>
    </row>
    <row r="3661" spans="1:6" x14ac:dyDescent="0.3">
      <c r="A3661" s="31">
        <v>1000020269</v>
      </c>
      <c r="B3661" s="31" t="s">
        <v>507</v>
      </c>
      <c r="C3661" s="31" t="s">
        <v>4</v>
      </c>
      <c r="D3661" s="31" t="s">
        <v>2090</v>
      </c>
      <c r="E3661" s="32">
        <v>213.73</v>
      </c>
      <c r="F3661" s="32">
        <v>11</v>
      </c>
    </row>
    <row r="3662" spans="1:6" x14ac:dyDescent="0.3">
      <c r="A3662" s="31">
        <v>1000100865</v>
      </c>
      <c r="B3662" s="31" t="s">
        <v>4148</v>
      </c>
      <c r="C3662" s="31" t="s">
        <v>4</v>
      </c>
      <c r="D3662" s="31" t="s">
        <v>2056</v>
      </c>
      <c r="E3662" s="32">
        <v>213.64</v>
      </c>
      <c r="F3662" s="32">
        <v>25</v>
      </c>
    </row>
    <row r="3663" spans="1:6" x14ac:dyDescent="0.3">
      <c r="A3663" s="31">
        <v>1000020406</v>
      </c>
      <c r="B3663" s="31" t="s">
        <v>636</v>
      </c>
      <c r="C3663" s="31" t="s">
        <v>4</v>
      </c>
      <c r="D3663" s="31" t="s">
        <v>2090</v>
      </c>
      <c r="E3663" s="32">
        <v>213.14409937888101</v>
      </c>
      <c r="F3663" s="32">
        <v>39</v>
      </c>
    </row>
    <row r="3664" spans="1:6" x14ac:dyDescent="0.3">
      <c r="A3664" s="31">
        <v>2500008796</v>
      </c>
      <c r="B3664" s="31" t="s">
        <v>4149</v>
      </c>
      <c r="C3664" s="31" t="s">
        <v>1996</v>
      </c>
      <c r="D3664" s="31" t="s">
        <v>2025</v>
      </c>
      <c r="E3664" s="32">
        <v>212.625</v>
      </c>
      <c r="F3664" s="32">
        <v>1</v>
      </c>
    </row>
    <row r="3665" spans="1:6" x14ac:dyDescent="0.3">
      <c r="A3665" s="31">
        <v>1000020371</v>
      </c>
      <c r="B3665" s="31" t="s">
        <v>603</v>
      </c>
      <c r="C3665" s="31" t="s">
        <v>4</v>
      </c>
      <c r="D3665" s="31" t="s">
        <v>2090</v>
      </c>
      <c r="E3665" s="32">
        <v>212.57</v>
      </c>
      <c r="F3665" s="32">
        <v>1</v>
      </c>
    </row>
    <row r="3666" spans="1:6" x14ac:dyDescent="0.3">
      <c r="A3666" s="31">
        <v>2200002355</v>
      </c>
      <c r="B3666" s="31" t="s">
        <v>4150</v>
      </c>
      <c r="C3666" s="31" t="s">
        <v>2030</v>
      </c>
      <c r="D3666" s="31" t="s">
        <v>2038</v>
      </c>
      <c r="E3666" s="32">
        <v>212.52</v>
      </c>
      <c r="F3666" s="32">
        <v>3</v>
      </c>
    </row>
    <row r="3667" spans="1:6" x14ac:dyDescent="0.3">
      <c r="A3667" s="31">
        <v>1000102786</v>
      </c>
      <c r="B3667" s="31" t="s">
        <v>4151</v>
      </c>
      <c r="C3667" s="31" t="s">
        <v>4</v>
      </c>
      <c r="D3667" s="31" t="s">
        <v>2056</v>
      </c>
      <c r="E3667" s="32">
        <v>212.03</v>
      </c>
      <c r="F3667" s="32">
        <v>7</v>
      </c>
    </row>
    <row r="3668" spans="1:6" x14ac:dyDescent="0.3">
      <c r="A3668" s="31">
        <v>1000021052</v>
      </c>
      <c r="B3668" s="31" t="s">
        <v>1219</v>
      </c>
      <c r="C3668" s="31" t="s">
        <v>4</v>
      </c>
      <c r="D3668" s="31" t="s">
        <v>2090</v>
      </c>
      <c r="E3668" s="32">
        <v>211.73</v>
      </c>
      <c r="F3668" s="32">
        <v>1</v>
      </c>
    </row>
    <row r="3669" spans="1:6" x14ac:dyDescent="0.3">
      <c r="A3669" s="31">
        <v>2500009022</v>
      </c>
      <c r="B3669" s="31" t="s">
        <v>1958</v>
      </c>
      <c r="C3669" s="31" t="s">
        <v>1996</v>
      </c>
      <c r="D3669" s="31" t="s">
        <v>2025</v>
      </c>
      <c r="E3669" s="32">
        <v>211.5</v>
      </c>
      <c r="F3669" s="32">
        <v>4</v>
      </c>
    </row>
    <row r="3670" spans="1:6" x14ac:dyDescent="0.3">
      <c r="A3670" s="31">
        <v>1000020786</v>
      </c>
      <c r="B3670" s="31" t="s">
        <v>990</v>
      </c>
      <c r="C3670" s="31" t="s">
        <v>4</v>
      </c>
      <c r="D3670" s="31" t="s">
        <v>2090</v>
      </c>
      <c r="E3670" s="32">
        <v>210.92</v>
      </c>
      <c r="F3670" s="32">
        <v>4</v>
      </c>
    </row>
    <row r="3671" spans="1:6" x14ac:dyDescent="0.3">
      <c r="A3671" s="31">
        <v>1000020573</v>
      </c>
      <c r="B3671" s="31" t="s">
        <v>790</v>
      </c>
      <c r="C3671" s="31" t="s">
        <v>4</v>
      </c>
      <c r="D3671" s="31" t="s">
        <v>2090</v>
      </c>
      <c r="E3671" s="32">
        <v>210.81</v>
      </c>
      <c r="F3671" s="32">
        <v>1</v>
      </c>
    </row>
    <row r="3672" spans="1:6" x14ac:dyDescent="0.3">
      <c r="A3672" s="31">
        <v>1000020450</v>
      </c>
      <c r="B3672" s="31" t="s">
        <v>676</v>
      </c>
      <c r="C3672" s="31" t="s">
        <v>4</v>
      </c>
      <c r="D3672" s="31" t="s">
        <v>2090</v>
      </c>
      <c r="E3672" s="32">
        <v>210.49552071154099</v>
      </c>
      <c r="F3672" s="32">
        <v>15</v>
      </c>
    </row>
    <row r="3673" spans="1:6" x14ac:dyDescent="0.3">
      <c r="A3673" s="31">
        <v>1000102207</v>
      </c>
      <c r="B3673" s="31" t="s">
        <v>336</v>
      </c>
      <c r="C3673" s="31" t="s">
        <v>4</v>
      </c>
      <c r="D3673" s="31" t="s">
        <v>2090</v>
      </c>
      <c r="E3673" s="32">
        <v>210.38</v>
      </c>
      <c r="F3673" s="32">
        <v>30</v>
      </c>
    </row>
    <row r="3674" spans="1:6" x14ac:dyDescent="0.3">
      <c r="A3674" s="31">
        <v>1000020216</v>
      </c>
      <c r="B3674" s="31" t="s">
        <v>456</v>
      </c>
      <c r="C3674" s="31" t="s">
        <v>4</v>
      </c>
      <c r="D3674" s="31" t="s">
        <v>2090</v>
      </c>
      <c r="E3674" s="32">
        <v>209.65</v>
      </c>
      <c r="F3674" s="32">
        <v>1</v>
      </c>
    </row>
    <row r="3675" spans="1:6" x14ac:dyDescent="0.3">
      <c r="A3675" s="31">
        <v>2500008169</v>
      </c>
      <c r="B3675" s="31" t="s">
        <v>4152</v>
      </c>
      <c r="C3675" s="31" t="s">
        <v>1996</v>
      </c>
      <c r="D3675" s="31" t="s">
        <v>2025</v>
      </c>
      <c r="E3675" s="32">
        <v>209.54729166666601</v>
      </c>
      <c r="F3675" s="32">
        <v>1</v>
      </c>
    </row>
    <row r="3676" spans="1:6" x14ac:dyDescent="0.3">
      <c r="A3676" s="31">
        <v>1000108219</v>
      </c>
      <c r="B3676" s="31" t="s">
        <v>4153</v>
      </c>
      <c r="C3676" s="31" t="s">
        <v>4</v>
      </c>
      <c r="D3676" s="31" t="s">
        <v>2043</v>
      </c>
      <c r="E3676" s="32">
        <v>209.38</v>
      </c>
      <c r="F3676" s="32">
        <v>29</v>
      </c>
    </row>
    <row r="3677" spans="1:6" x14ac:dyDescent="0.3">
      <c r="A3677" s="31">
        <v>1000021201</v>
      </c>
      <c r="B3677" s="31" t="s">
        <v>1347</v>
      </c>
      <c r="C3677" s="31" t="s">
        <v>4</v>
      </c>
      <c r="D3677" s="31" t="s">
        <v>2090</v>
      </c>
      <c r="E3677" s="32">
        <v>209.22</v>
      </c>
      <c r="F3677" s="32">
        <v>2</v>
      </c>
    </row>
    <row r="3678" spans="1:6" x14ac:dyDescent="0.3">
      <c r="A3678" s="31">
        <v>1000020979</v>
      </c>
      <c r="B3678" s="31" t="s">
        <v>1153</v>
      </c>
      <c r="C3678" s="31" t="s">
        <v>4</v>
      </c>
      <c r="D3678" s="31" t="s">
        <v>2090</v>
      </c>
      <c r="E3678" s="32">
        <v>208.55</v>
      </c>
      <c r="F3678" s="32">
        <v>5</v>
      </c>
    </row>
    <row r="3679" spans="1:6" x14ac:dyDescent="0.3">
      <c r="A3679" s="31">
        <v>1000101331</v>
      </c>
      <c r="B3679" s="31" t="s">
        <v>90</v>
      </c>
      <c r="C3679" s="31" t="s">
        <v>4</v>
      </c>
      <c r="D3679" s="31" t="s">
        <v>2043</v>
      </c>
      <c r="E3679" s="32">
        <v>208</v>
      </c>
      <c r="F3679" s="32">
        <v>4</v>
      </c>
    </row>
    <row r="3680" spans="1:6" x14ac:dyDescent="0.3">
      <c r="A3680" s="31">
        <v>1000020154</v>
      </c>
      <c r="B3680" s="31" t="s">
        <v>405</v>
      </c>
      <c r="C3680" s="31" t="s">
        <v>4</v>
      </c>
      <c r="D3680" s="31" t="s">
        <v>2090</v>
      </c>
      <c r="E3680" s="32">
        <v>207.76</v>
      </c>
      <c r="F3680" s="32">
        <v>2</v>
      </c>
    </row>
    <row r="3681" spans="1:6" x14ac:dyDescent="0.3">
      <c r="A3681" s="31">
        <v>1000020370</v>
      </c>
      <c r="B3681" s="31" t="s">
        <v>602</v>
      </c>
      <c r="C3681" s="31" t="s">
        <v>4</v>
      </c>
      <c r="D3681" s="31" t="s">
        <v>2090</v>
      </c>
      <c r="E3681" s="32">
        <v>207.61</v>
      </c>
      <c r="F3681" s="32">
        <v>1</v>
      </c>
    </row>
    <row r="3682" spans="1:6" x14ac:dyDescent="0.3">
      <c r="A3682" s="31">
        <v>80000009714</v>
      </c>
      <c r="B3682" s="31" t="s">
        <v>4154</v>
      </c>
      <c r="C3682" s="31" t="s">
        <v>2521</v>
      </c>
      <c r="D3682" s="31" t="s">
        <v>2670</v>
      </c>
      <c r="E3682" s="32">
        <v>207.5</v>
      </c>
      <c r="F3682" s="32">
        <v>83</v>
      </c>
    </row>
    <row r="3683" spans="1:6" x14ac:dyDescent="0.3">
      <c r="A3683" s="31">
        <v>1000108816</v>
      </c>
      <c r="B3683" s="31" t="s">
        <v>1894</v>
      </c>
      <c r="C3683" s="31" t="s">
        <v>4</v>
      </c>
      <c r="D3683" s="31" t="s">
        <v>2056</v>
      </c>
      <c r="E3683" s="32">
        <v>206.92405309090901</v>
      </c>
      <c r="F3683" s="32">
        <v>20</v>
      </c>
    </row>
    <row r="3684" spans="1:6" x14ac:dyDescent="0.3">
      <c r="A3684" s="31">
        <v>2500008410</v>
      </c>
      <c r="B3684" s="31" t="s">
        <v>4155</v>
      </c>
      <c r="C3684" s="31" t="s">
        <v>1996</v>
      </c>
      <c r="D3684" s="31" t="s">
        <v>2025</v>
      </c>
      <c r="E3684" s="32">
        <v>206.9</v>
      </c>
      <c r="F3684" s="32">
        <v>1</v>
      </c>
    </row>
    <row r="3685" spans="1:6" x14ac:dyDescent="0.3">
      <c r="A3685" s="31">
        <v>1000110379</v>
      </c>
      <c r="B3685" s="31" t="s">
        <v>4156</v>
      </c>
      <c r="C3685" s="31" t="s">
        <v>4</v>
      </c>
      <c r="D3685" s="31" t="s">
        <v>2056</v>
      </c>
      <c r="E3685" s="32">
        <v>206.8</v>
      </c>
      <c r="F3685" s="32">
        <v>4</v>
      </c>
    </row>
    <row r="3686" spans="1:6" x14ac:dyDescent="0.3">
      <c r="A3686" s="31">
        <v>1000020793</v>
      </c>
      <c r="B3686" s="31" t="s">
        <v>997</v>
      </c>
      <c r="C3686" s="31" t="s">
        <v>4</v>
      </c>
      <c r="D3686" s="31" t="s">
        <v>2090</v>
      </c>
      <c r="E3686" s="32">
        <v>206.7</v>
      </c>
      <c r="F3686" s="32">
        <v>4</v>
      </c>
    </row>
    <row r="3687" spans="1:6" x14ac:dyDescent="0.3">
      <c r="A3687" s="31">
        <v>1000098576</v>
      </c>
      <c r="B3687" s="31" t="s">
        <v>1585</v>
      </c>
      <c r="C3687" s="31" t="s">
        <v>4</v>
      </c>
      <c r="D3687" s="31" t="s">
        <v>2090</v>
      </c>
      <c r="E3687" s="32">
        <v>206.63</v>
      </c>
      <c r="F3687" s="32">
        <v>3</v>
      </c>
    </row>
    <row r="3688" spans="1:6" x14ac:dyDescent="0.3">
      <c r="A3688" s="31">
        <v>1000020259</v>
      </c>
      <c r="B3688" s="31" t="s">
        <v>498</v>
      </c>
      <c r="C3688" s="31" t="s">
        <v>4</v>
      </c>
      <c r="D3688" s="31" t="s">
        <v>2090</v>
      </c>
      <c r="E3688" s="32">
        <v>206.4</v>
      </c>
      <c r="F3688" s="32">
        <v>15</v>
      </c>
    </row>
    <row r="3689" spans="1:6" x14ac:dyDescent="0.3">
      <c r="A3689" s="31">
        <v>1000106038</v>
      </c>
      <c r="B3689" s="31" t="s">
        <v>4157</v>
      </c>
      <c r="C3689" s="31" t="s">
        <v>4</v>
      </c>
      <c r="D3689" s="31" t="s">
        <v>2161</v>
      </c>
      <c r="E3689" s="32">
        <v>205.57816</v>
      </c>
      <c r="F3689" s="32">
        <v>3</v>
      </c>
    </row>
    <row r="3690" spans="1:6" x14ac:dyDescent="0.3">
      <c r="A3690" s="31">
        <v>1000021108</v>
      </c>
      <c r="B3690" s="31" t="s">
        <v>1269</v>
      </c>
      <c r="C3690" s="31" t="s">
        <v>4</v>
      </c>
      <c r="D3690" s="31" t="s">
        <v>2090</v>
      </c>
      <c r="E3690" s="32">
        <v>205.53</v>
      </c>
      <c r="F3690" s="32">
        <v>1</v>
      </c>
    </row>
    <row r="3691" spans="1:6" x14ac:dyDescent="0.3">
      <c r="A3691" s="31">
        <v>1000098537</v>
      </c>
      <c r="B3691" s="31" t="s">
        <v>1568</v>
      </c>
      <c r="C3691" s="31" t="s">
        <v>4</v>
      </c>
      <c r="D3691" s="31" t="s">
        <v>2090</v>
      </c>
      <c r="E3691" s="32">
        <v>205.24</v>
      </c>
      <c r="F3691" s="32">
        <v>10</v>
      </c>
    </row>
    <row r="3692" spans="1:6" x14ac:dyDescent="0.3">
      <c r="A3692" s="31">
        <v>1000020176</v>
      </c>
      <c r="B3692" s="31" t="s">
        <v>420</v>
      </c>
      <c r="C3692" s="31" t="s">
        <v>4</v>
      </c>
      <c r="D3692" s="31" t="s">
        <v>2090</v>
      </c>
      <c r="E3692" s="32">
        <v>205.24</v>
      </c>
      <c r="F3692" s="32">
        <v>7</v>
      </c>
    </row>
    <row r="3693" spans="1:6" x14ac:dyDescent="0.3">
      <c r="A3693" s="31">
        <v>1000020179</v>
      </c>
      <c r="B3693" s="31" t="s">
        <v>423</v>
      </c>
      <c r="C3693" s="31" t="s">
        <v>4</v>
      </c>
      <c r="D3693" s="31" t="s">
        <v>2090</v>
      </c>
      <c r="E3693" s="32">
        <v>204.44</v>
      </c>
      <c r="F3693" s="32">
        <v>4</v>
      </c>
    </row>
    <row r="3694" spans="1:6" x14ac:dyDescent="0.3">
      <c r="A3694" s="31">
        <v>1000020156</v>
      </c>
      <c r="B3694" s="31" t="s">
        <v>406</v>
      </c>
      <c r="C3694" s="31" t="s">
        <v>4</v>
      </c>
      <c r="D3694" s="31" t="s">
        <v>2090</v>
      </c>
      <c r="E3694" s="32">
        <v>203.77</v>
      </c>
      <c r="F3694" s="32">
        <v>1</v>
      </c>
    </row>
    <row r="3695" spans="1:6" x14ac:dyDescent="0.3">
      <c r="A3695" s="31">
        <v>1000103067</v>
      </c>
      <c r="B3695" s="31" t="s">
        <v>1801</v>
      </c>
      <c r="C3695" s="31" t="s">
        <v>4</v>
      </c>
      <c r="D3695" s="31" t="s">
        <v>2090</v>
      </c>
      <c r="E3695" s="32">
        <v>203.71</v>
      </c>
      <c r="F3695" s="32">
        <v>9</v>
      </c>
    </row>
    <row r="3696" spans="1:6" x14ac:dyDescent="0.3">
      <c r="A3696" s="31">
        <v>1000100237</v>
      </c>
      <c r="B3696" s="31" t="s">
        <v>4158</v>
      </c>
      <c r="C3696" s="31" t="s">
        <v>4</v>
      </c>
      <c r="D3696" s="31" t="s">
        <v>2090</v>
      </c>
      <c r="E3696" s="32">
        <v>202.91110574601601</v>
      </c>
      <c r="F3696" s="32">
        <v>104</v>
      </c>
    </row>
    <row r="3697" spans="1:6" x14ac:dyDescent="0.3">
      <c r="A3697" s="31">
        <v>1000100404</v>
      </c>
      <c r="B3697" s="31" t="s">
        <v>4159</v>
      </c>
      <c r="C3697" s="31" t="s">
        <v>4</v>
      </c>
      <c r="D3697" s="31" t="s">
        <v>2090</v>
      </c>
      <c r="E3697" s="32">
        <v>202.574285714285</v>
      </c>
      <c r="F3697" s="32">
        <v>6</v>
      </c>
    </row>
    <row r="3698" spans="1:6" x14ac:dyDescent="0.3">
      <c r="A3698" s="31">
        <v>2500009076</v>
      </c>
      <c r="B3698" s="31" t="s">
        <v>4160</v>
      </c>
      <c r="C3698" s="31" t="s">
        <v>1996</v>
      </c>
      <c r="D3698" s="31" t="s">
        <v>2289</v>
      </c>
      <c r="E3698" s="32">
        <v>202.5</v>
      </c>
      <c r="F3698" s="32">
        <v>3</v>
      </c>
    </row>
    <row r="3699" spans="1:6" x14ac:dyDescent="0.3">
      <c r="A3699" s="31">
        <v>2500009121</v>
      </c>
      <c r="B3699" s="31" t="s">
        <v>4161</v>
      </c>
      <c r="C3699" s="31" t="s">
        <v>1996</v>
      </c>
      <c r="D3699" s="31" t="s">
        <v>2289</v>
      </c>
      <c r="E3699" s="32">
        <v>202.5</v>
      </c>
      <c r="F3699" s="32">
        <v>18</v>
      </c>
    </row>
    <row r="3700" spans="1:6" x14ac:dyDescent="0.3">
      <c r="A3700" s="31">
        <v>2500009021</v>
      </c>
      <c r="B3700" s="31" t="s">
        <v>1957</v>
      </c>
      <c r="C3700" s="31" t="s">
        <v>1996</v>
      </c>
      <c r="D3700" s="31" t="s">
        <v>2025</v>
      </c>
      <c r="E3700" s="32">
        <v>202.5</v>
      </c>
      <c r="F3700" s="32">
        <v>1</v>
      </c>
    </row>
    <row r="3701" spans="1:6" x14ac:dyDescent="0.3">
      <c r="A3701" s="31">
        <v>1000099024</v>
      </c>
      <c r="B3701" s="31" t="s">
        <v>4162</v>
      </c>
      <c r="C3701" s="31" t="s">
        <v>4</v>
      </c>
      <c r="D3701" s="31" t="s">
        <v>2090</v>
      </c>
      <c r="E3701" s="32">
        <v>201.98</v>
      </c>
      <c r="F3701" s="32">
        <v>1</v>
      </c>
    </row>
    <row r="3702" spans="1:6" x14ac:dyDescent="0.3">
      <c r="A3702" s="31">
        <v>1000010178</v>
      </c>
      <c r="B3702" s="31" t="s">
        <v>4163</v>
      </c>
      <c r="C3702" s="31" t="s">
        <v>4</v>
      </c>
      <c r="D3702" s="31" t="s">
        <v>2161</v>
      </c>
      <c r="E3702" s="32">
        <v>201.09666666666601</v>
      </c>
      <c r="F3702" s="32">
        <v>1</v>
      </c>
    </row>
    <row r="3703" spans="1:6" x14ac:dyDescent="0.3">
      <c r="A3703" s="31">
        <v>1000020675</v>
      </c>
      <c r="B3703" s="31" t="s">
        <v>888</v>
      </c>
      <c r="C3703" s="31" t="s">
        <v>4</v>
      </c>
      <c r="D3703" s="31" t="s">
        <v>2090</v>
      </c>
      <c r="E3703" s="32">
        <v>201.08</v>
      </c>
      <c r="F3703" s="32">
        <v>4</v>
      </c>
    </row>
    <row r="3704" spans="1:6" x14ac:dyDescent="0.3">
      <c r="A3704" s="31">
        <v>80000009833</v>
      </c>
      <c r="B3704" s="31" t="s">
        <v>4137</v>
      </c>
      <c r="C3704" s="31" t="s">
        <v>2755</v>
      </c>
      <c r="D3704" s="31" t="s">
        <v>2670</v>
      </c>
      <c r="E3704" s="32">
        <v>200</v>
      </c>
      <c r="F3704" s="32">
        <v>20</v>
      </c>
    </row>
    <row r="3705" spans="1:6" x14ac:dyDescent="0.3">
      <c r="A3705" s="31">
        <v>80000009753</v>
      </c>
      <c r="B3705" s="31" t="s">
        <v>3984</v>
      </c>
      <c r="C3705" s="31" t="s">
        <v>2755</v>
      </c>
      <c r="D3705" s="31" t="s">
        <v>2670</v>
      </c>
      <c r="E3705" s="32">
        <v>200</v>
      </c>
      <c r="F3705" s="32">
        <v>8</v>
      </c>
    </row>
    <row r="3706" spans="1:6" x14ac:dyDescent="0.3">
      <c r="A3706" s="31">
        <v>1000020198</v>
      </c>
      <c r="B3706" s="31" t="s">
        <v>439</v>
      </c>
      <c r="C3706" s="31" t="s">
        <v>4</v>
      </c>
      <c r="D3706" s="31" t="s">
        <v>2090</v>
      </c>
      <c r="E3706" s="32">
        <v>199.83</v>
      </c>
      <c r="F3706" s="32">
        <v>1</v>
      </c>
    </row>
    <row r="3707" spans="1:6" x14ac:dyDescent="0.3">
      <c r="A3707" s="31">
        <v>80000009719</v>
      </c>
      <c r="B3707" s="31" t="s">
        <v>4164</v>
      </c>
      <c r="C3707" s="31" t="s">
        <v>2521</v>
      </c>
      <c r="D3707" s="31" t="s">
        <v>2670</v>
      </c>
      <c r="E3707" s="32">
        <v>199.8</v>
      </c>
      <c r="F3707" s="32">
        <v>111</v>
      </c>
    </row>
    <row r="3708" spans="1:6" x14ac:dyDescent="0.3">
      <c r="A3708" s="31">
        <v>1000021176</v>
      </c>
      <c r="B3708" s="31" t="s">
        <v>1323</v>
      </c>
      <c r="C3708" s="31" t="s">
        <v>4</v>
      </c>
      <c r="D3708" s="31" t="s">
        <v>2090</v>
      </c>
      <c r="E3708" s="32">
        <v>199.26</v>
      </c>
      <c r="F3708" s="32">
        <v>3</v>
      </c>
    </row>
    <row r="3709" spans="1:6" x14ac:dyDescent="0.3">
      <c r="A3709" s="31">
        <v>1000020053</v>
      </c>
      <c r="B3709" s="31" t="s">
        <v>4165</v>
      </c>
      <c r="C3709" s="31" t="s">
        <v>4</v>
      </c>
      <c r="D3709" s="31" t="s">
        <v>2090</v>
      </c>
      <c r="E3709" s="32">
        <v>199.2</v>
      </c>
      <c r="F3709" s="32">
        <v>25</v>
      </c>
    </row>
    <row r="3710" spans="1:6" x14ac:dyDescent="0.3">
      <c r="A3710" s="31">
        <v>1000100201</v>
      </c>
      <c r="B3710" s="31" t="s">
        <v>4166</v>
      </c>
      <c r="C3710" s="31" t="s">
        <v>4</v>
      </c>
      <c r="D3710" s="31" t="s">
        <v>2090</v>
      </c>
      <c r="E3710" s="32">
        <v>198.76932330827</v>
      </c>
      <c r="F3710" s="32">
        <v>127</v>
      </c>
    </row>
    <row r="3711" spans="1:6" x14ac:dyDescent="0.3">
      <c r="A3711" s="31">
        <v>1000102781</v>
      </c>
      <c r="B3711" s="31" t="s">
        <v>1858</v>
      </c>
      <c r="C3711" s="31" t="s">
        <v>4</v>
      </c>
      <c r="D3711" s="31" t="s">
        <v>2056</v>
      </c>
      <c r="E3711" s="32">
        <v>198.57599999999999</v>
      </c>
      <c r="F3711" s="32">
        <v>70</v>
      </c>
    </row>
    <row r="3712" spans="1:6" x14ac:dyDescent="0.3">
      <c r="A3712" s="31">
        <v>1000098829</v>
      </c>
      <c r="B3712" s="31" t="s">
        <v>4167</v>
      </c>
      <c r="C3712" s="31" t="s">
        <v>4</v>
      </c>
      <c r="D3712" s="31" t="s">
        <v>2090</v>
      </c>
      <c r="E3712" s="32">
        <v>198.1875</v>
      </c>
      <c r="F3712" s="32">
        <v>1</v>
      </c>
    </row>
    <row r="3713" spans="1:6" x14ac:dyDescent="0.3">
      <c r="A3713" s="31">
        <v>1000098735</v>
      </c>
      <c r="B3713" s="31" t="s">
        <v>1675</v>
      </c>
      <c r="C3713" s="31" t="s">
        <v>4</v>
      </c>
      <c r="D3713" s="31" t="s">
        <v>2090</v>
      </c>
      <c r="E3713" s="32">
        <v>197.9</v>
      </c>
      <c r="F3713" s="32">
        <v>2</v>
      </c>
    </row>
    <row r="3714" spans="1:6" x14ac:dyDescent="0.3">
      <c r="A3714" s="31">
        <v>1000020420</v>
      </c>
      <c r="B3714" s="31" t="s">
        <v>649</v>
      </c>
      <c r="C3714" s="31" t="s">
        <v>4</v>
      </c>
      <c r="D3714" s="31" t="s">
        <v>2090</v>
      </c>
      <c r="E3714" s="32">
        <v>197.34399999999999</v>
      </c>
      <c r="F3714" s="32">
        <v>28</v>
      </c>
    </row>
    <row r="3715" spans="1:6" x14ac:dyDescent="0.3">
      <c r="A3715" s="31">
        <v>1000021094</v>
      </c>
      <c r="B3715" s="31" t="s">
        <v>1256</v>
      </c>
      <c r="C3715" s="31" t="s">
        <v>4</v>
      </c>
      <c r="D3715" s="31" t="s">
        <v>2090</v>
      </c>
      <c r="E3715" s="32">
        <v>196.94333333333299</v>
      </c>
      <c r="F3715" s="32">
        <v>2</v>
      </c>
    </row>
    <row r="3716" spans="1:6" x14ac:dyDescent="0.3">
      <c r="A3716" s="31">
        <v>1000100382</v>
      </c>
      <c r="B3716" s="31" t="s">
        <v>1712</v>
      </c>
      <c r="C3716" s="31" t="s">
        <v>4</v>
      </c>
      <c r="D3716" s="31" t="s">
        <v>2090</v>
      </c>
      <c r="E3716" s="32">
        <v>196</v>
      </c>
      <c r="F3716" s="32">
        <v>28</v>
      </c>
    </row>
    <row r="3717" spans="1:6" x14ac:dyDescent="0.3">
      <c r="A3717" s="31">
        <v>1000021222</v>
      </c>
      <c r="B3717" s="31" t="s">
        <v>1368</v>
      </c>
      <c r="C3717" s="31" t="s">
        <v>4</v>
      </c>
      <c r="D3717" s="31" t="s">
        <v>2090</v>
      </c>
      <c r="E3717" s="32">
        <v>195.82</v>
      </c>
      <c r="F3717" s="32">
        <v>1</v>
      </c>
    </row>
    <row r="3718" spans="1:6" x14ac:dyDescent="0.3">
      <c r="A3718" s="31">
        <v>1000096705</v>
      </c>
      <c r="B3718" s="31" t="s">
        <v>4168</v>
      </c>
      <c r="C3718" s="31" t="s">
        <v>4</v>
      </c>
      <c r="D3718" s="31" t="s">
        <v>2056</v>
      </c>
      <c r="E3718" s="32">
        <v>195.67</v>
      </c>
      <c r="F3718" s="32">
        <v>100</v>
      </c>
    </row>
    <row r="3719" spans="1:6" x14ac:dyDescent="0.3">
      <c r="A3719" s="31">
        <v>1000095695</v>
      </c>
      <c r="B3719" s="31" t="s">
        <v>1504</v>
      </c>
      <c r="C3719" s="31" t="s">
        <v>4</v>
      </c>
      <c r="D3719" s="31" t="s">
        <v>2090</v>
      </c>
      <c r="E3719" s="32">
        <v>194.88</v>
      </c>
      <c r="F3719" s="32">
        <v>6</v>
      </c>
    </row>
    <row r="3720" spans="1:6" x14ac:dyDescent="0.3">
      <c r="A3720" s="31">
        <v>1000107233</v>
      </c>
      <c r="B3720" s="31" t="s">
        <v>4169</v>
      </c>
      <c r="C3720" s="31" t="s">
        <v>4</v>
      </c>
      <c r="D3720" s="31" t="s">
        <v>2056</v>
      </c>
      <c r="E3720" s="32">
        <v>193.62</v>
      </c>
      <c r="F3720" s="32">
        <v>4</v>
      </c>
    </row>
    <row r="3721" spans="1:6" x14ac:dyDescent="0.3">
      <c r="A3721" s="31">
        <v>1000106505</v>
      </c>
      <c r="B3721" s="31" t="s">
        <v>4170</v>
      </c>
      <c r="C3721" s="31" t="s">
        <v>4</v>
      </c>
      <c r="D3721" s="31" t="s">
        <v>2056</v>
      </c>
      <c r="E3721" s="32">
        <v>193.37263157894699</v>
      </c>
      <c r="F3721" s="32">
        <v>16</v>
      </c>
    </row>
    <row r="3722" spans="1:6" x14ac:dyDescent="0.3">
      <c r="A3722" s="31">
        <v>1000020684</v>
      </c>
      <c r="B3722" s="31" t="s">
        <v>897</v>
      </c>
      <c r="C3722" s="31" t="s">
        <v>4</v>
      </c>
      <c r="D3722" s="31" t="s">
        <v>2090</v>
      </c>
      <c r="E3722" s="32">
        <v>193.1</v>
      </c>
      <c r="F3722" s="32">
        <v>2</v>
      </c>
    </row>
    <row r="3723" spans="1:6" x14ac:dyDescent="0.3">
      <c r="A3723" s="31">
        <v>1000090937</v>
      </c>
      <c r="B3723" s="31" t="s">
        <v>4171</v>
      </c>
      <c r="C3723" s="31" t="s">
        <v>2027</v>
      </c>
      <c r="D3723" s="31" t="s">
        <v>2399</v>
      </c>
      <c r="E3723" s="32">
        <v>192.85</v>
      </c>
      <c r="F3723" s="32">
        <v>2</v>
      </c>
    </row>
    <row r="3724" spans="1:6" x14ac:dyDescent="0.3">
      <c r="A3724" s="31">
        <v>1000020359</v>
      </c>
      <c r="B3724" s="31" t="s">
        <v>591</v>
      </c>
      <c r="C3724" s="31" t="s">
        <v>4</v>
      </c>
      <c r="D3724" s="31" t="s">
        <v>2090</v>
      </c>
      <c r="E3724" s="32">
        <v>192.4</v>
      </c>
      <c r="F3724" s="32">
        <v>2</v>
      </c>
    </row>
    <row r="3725" spans="1:6" x14ac:dyDescent="0.3">
      <c r="A3725" s="31">
        <v>1000020528</v>
      </c>
      <c r="B3725" s="31" t="s">
        <v>749</v>
      </c>
      <c r="C3725" s="31" t="s">
        <v>4</v>
      </c>
      <c r="D3725" s="31" t="s">
        <v>2090</v>
      </c>
      <c r="E3725" s="32">
        <v>192.35560606060599</v>
      </c>
      <c r="F3725" s="32">
        <v>1</v>
      </c>
    </row>
    <row r="3726" spans="1:6" x14ac:dyDescent="0.3">
      <c r="A3726" s="31">
        <v>1000096773</v>
      </c>
      <c r="B3726" s="31" t="s">
        <v>4172</v>
      </c>
      <c r="C3726" s="31" t="s">
        <v>4</v>
      </c>
      <c r="D3726" s="31" t="s">
        <v>2056</v>
      </c>
      <c r="E3726" s="32">
        <v>192.35</v>
      </c>
      <c r="F3726" s="32">
        <v>72</v>
      </c>
    </row>
    <row r="3727" spans="1:6" x14ac:dyDescent="0.3">
      <c r="A3727" s="31">
        <v>1000017001</v>
      </c>
      <c r="B3727" s="31" t="s">
        <v>4173</v>
      </c>
      <c r="C3727" s="31" t="s">
        <v>4</v>
      </c>
      <c r="D3727" s="31" t="s">
        <v>3274</v>
      </c>
      <c r="E3727" s="32">
        <v>192</v>
      </c>
      <c r="F3727" s="32">
        <v>48</v>
      </c>
    </row>
    <row r="3728" spans="1:6" x14ac:dyDescent="0.3">
      <c r="A3728" s="31">
        <v>1000020572</v>
      </c>
      <c r="B3728" s="31" t="s">
        <v>789</v>
      </c>
      <c r="C3728" s="31" t="s">
        <v>4</v>
      </c>
      <c r="D3728" s="31" t="s">
        <v>2090</v>
      </c>
      <c r="E3728" s="32">
        <v>191.91</v>
      </c>
      <c r="F3728" s="32">
        <v>1</v>
      </c>
    </row>
    <row r="3729" spans="1:6" x14ac:dyDescent="0.3">
      <c r="A3729" s="31">
        <v>1000020403</v>
      </c>
      <c r="B3729" s="31" t="s">
        <v>633</v>
      </c>
      <c r="C3729" s="31" t="s">
        <v>4</v>
      </c>
      <c r="D3729" s="31" t="s">
        <v>2090</v>
      </c>
      <c r="E3729" s="32">
        <v>191.36</v>
      </c>
      <c r="F3729" s="32">
        <v>32</v>
      </c>
    </row>
    <row r="3730" spans="1:6" x14ac:dyDescent="0.3">
      <c r="A3730" s="31">
        <v>2500008395</v>
      </c>
      <c r="B3730" s="31" t="s">
        <v>4174</v>
      </c>
      <c r="C3730" s="31" t="s">
        <v>1996</v>
      </c>
      <c r="D3730" s="31" t="s">
        <v>2025</v>
      </c>
      <c r="E3730" s="32">
        <v>191.25333333333299</v>
      </c>
      <c r="F3730" s="32">
        <v>4</v>
      </c>
    </row>
    <row r="3731" spans="1:6" x14ac:dyDescent="0.3">
      <c r="A3731" s="31">
        <v>1000106504</v>
      </c>
      <c r="B3731" s="31" t="s">
        <v>4175</v>
      </c>
      <c r="C3731" s="31" t="s">
        <v>4</v>
      </c>
      <c r="D3731" s="31" t="s">
        <v>2056</v>
      </c>
      <c r="E3731" s="32">
        <v>191.15850347540899</v>
      </c>
      <c r="F3731" s="32">
        <v>22</v>
      </c>
    </row>
    <row r="3732" spans="1:6" x14ac:dyDescent="0.3">
      <c r="A3732" s="31">
        <v>1000020784</v>
      </c>
      <c r="B3732" s="31" t="s">
        <v>988</v>
      </c>
      <c r="C3732" s="31" t="s">
        <v>4</v>
      </c>
      <c r="D3732" s="31" t="s">
        <v>2090</v>
      </c>
      <c r="E3732" s="32">
        <v>190.45</v>
      </c>
      <c r="F3732" s="32">
        <v>5</v>
      </c>
    </row>
    <row r="3733" spans="1:6" x14ac:dyDescent="0.3">
      <c r="A3733" s="31">
        <v>1000098437</v>
      </c>
      <c r="B3733" s="31" t="s">
        <v>1517</v>
      </c>
      <c r="C3733" s="31" t="s">
        <v>4</v>
      </c>
      <c r="D3733" s="31" t="s">
        <v>2090</v>
      </c>
      <c r="E3733" s="32">
        <v>190.45</v>
      </c>
      <c r="F3733" s="32">
        <v>5</v>
      </c>
    </row>
    <row r="3734" spans="1:6" x14ac:dyDescent="0.3">
      <c r="A3734" s="31">
        <v>1000020899</v>
      </c>
      <c r="B3734" s="31" t="s">
        <v>1081</v>
      </c>
      <c r="C3734" s="31" t="s">
        <v>4</v>
      </c>
      <c r="D3734" s="31" t="s">
        <v>2090</v>
      </c>
      <c r="E3734" s="32">
        <v>190.26</v>
      </c>
      <c r="F3734" s="32">
        <v>1</v>
      </c>
    </row>
    <row r="3735" spans="1:6" x14ac:dyDescent="0.3">
      <c r="A3735" s="31">
        <v>1000020202</v>
      </c>
      <c r="B3735" s="31" t="s">
        <v>442</v>
      </c>
      <c r="C3735" s="31" t="s">
        <v>4</v>
      </c>
      <c r="D3735" s="31" t="s">
        <v>2090</v>
      </c>
      <c r="E3735" s="32">
        <v>189.64</v>
      </c>
      <c r="F3735" s="32">
        <v>4</v>
      </c>
    </row>
    <row r="3736" spans="1:6" x14ac:dyDescent="0.3">
      <c r="A3736" s="31">
        <v>80000009728</v>
      </c>
      <c r="B3736" s="31" t="s">
        <v>4176</v>
      </c>
      <c r="C3736" s="31" t="s">
        <v>2521</v>
      </c>
      <c r="D3736" s="31" t="s">
        <v>2670</v>
      </c>
      <c r="E3736" s="32">
        <v>189.6</v>
      </c>
      <c r="F3736" s="32">
        <v>474</v>
      </c>
    </row>
    <row r="3737" spans="1:6" x14ac:dyDescent="0.3">
      <c r="A3737" s="31">
        <v>1000099480</v>
      </c>
      <c r="B3737" s="31" t="s">
        <v>2055</v>
      </c>
      <c r="C3737" s="31" t="s">
        <v>4</v>
      </c>
      <c r="D3737" s="31" t="s">
        <v>2056</v>
      </c>
      <c r="E3737" s="32">
        <v>189.2</v>
      </c>
      <c r="F3737" s="32">
        <v>2</v>
      </c>
    </row>
    <row r="3738" spans="1:6" x14ac:dyDescent="0.3">
      <c r="A3738" s="31">
        <v>80000008426</v>
      </c>
      <c r="B3738" s="31" t="s">
        <v>3167</v>
      </c>
      <c r="C3738" s="31" t="s">
        <v>2521</v>
      </c>
      <c r="D3738" s="31" t="s">
        <v>2670</v>
      </c>
      <c r="E3738" s="32">
        <v>189.146585411991</v>
      </c>
      <c r="F3738" s="32">
        <v>35</v>
      </c>
    </row>
    <row r="3739" spans="1:6" x14ac:dyDescent="0.3">
      <c r="A3739" s="31">
        <v>1000097612</v>
      </c>
      <c r="B3739" s="31" t="s">
        <v>4177</v>
      </c>
      <c r="C3739" s="31" t="s">
        <v>4</v>
      </c>
      <c r="D3739" s="31" t="s">
        <v>2090</v>
      </c>
      <c r="E3739" s="32">
        <v>188.98671999999999</v>
      </c>
      <c r="F3739" s="32">
        <v>4</v>
      </c>
    </row>
    <row r="3740" spans="1:6" x14ac:dyDescent="0.3">
      <c r="A3740" s="31">
        <v>1000096236</v>
      </c>
      <c r="B3740" s="31" t="s">
        <v>4178</v>
      </c>
      <c r="C3740" s="31" t="s">
        <v>4</v>
      </c>
      <c r="D3740" s="31" t="s">
        <v>2056</v>
      </c>
      <c r="E3740" s="32">
        <v>188.7925625</v>
      </c>
      <c r="F3740" s="32">
        <v>4</v>
      </c>
    </row>
    <row r="3741" spans="1:6" x14ac:dyDescent="0.3">
      <c r="A3741" s="31">
        <v>1000021171</v>
      </c>
      <c r="B3741" s="31" t="s">
        <v>1318</v>
      </c>
      <c r="C3741" s="31" t="s">
        <v>4</v>
      </c>
      <c r="D3741" s="31" t="s">
        <v>2090</v>
      </c>
      <c r="E3741" s="32">
        <v>188.52</v>
      </c>
      <c r="F3741" s="32">
        <v>4</v>
      </c>
    </row>
    <row r="3742" spans="1:6" x14ac:dyDescent="0.3">
      <c r="A3742" s="31">
        <v>1000021031</v>
      </c>
      <c r="B3742" s="31" t="s">
        <v>1202</v>
      </c>
      <c r="C3742" s="31" t="s">
        <v>4</v>
      </c>
      <c r="D3742" s="31" t="s">
        <v>2090</v>
      </c>
      <c r="E3742" s="32">
        <v>188.49</v>
      </c>
      <c r="F3742" s="32">
        <v>3</v>
      </c>
    </row>
    <row r="3743" spans="1:6" x14ac:dyDescent="0.3">
      <c r="A3743" s="31">
        <v>1000020285</v>
      </c>
      <c r="B3743" s="31" t="s">
        <v>521</v>
      </c>
      <c r="C3743" s="31" t="s">
        <v>4</v>
      </c>
      <c r="D3743" s="31" t="s">
        <v>2090</v>
      </c>
      <c r="E3743" s="32">
        <v>188.25</v>
      </c>
      <c r="F3743" s="32">
        <v>1</v>
      </c>
    </row>
    <row r="3744" spans="1:6" x14ac:dyDescent="0.3">
      <c r="A3744" s="31">
        <v>1000020901</v>
      </c>
      <c r="B3744" s="31" t="s">
        <v>1083</v>
      </c>
      <c r="C3744" s="31" t="s">
        <v>4</v>
      </c>
      <c r="D3744" s="31" t="s">
        <v>2090</v>
      </c>
      <c r="E3744" s="32">
        <v>188.21</v>
      </c>
      <c r="F3744" s="32">
        <v>1</v>
      </c>
    </row>
    <row r="3745" spans="1:6" x14ac:dyDescent="0.3">
      <c r="A3745" s="31">
        <v>2500008443</v>
      </c>
      <c r="B3745" s="31" t="s">
        <v>4179</v>
      </c>
      <c r="C3745" s="31" t="s">
        <v>1996</v>
      </c>
      <c r="D3745" s="31" t="s">
        <v>2025</v>
      </c>
      <c r="E3745" s="32">
        <v>188.06</v>
      </c>
      <c r="F3745" s="32">
        <v>2</v>
      </c>
    </row>
    <row r="3746" spans="1:6" x14ac:dyDescent="0.3">
      <c r="A3746" s="31">
        <v>1000020785</v>
      </c>
      <c r="B3746" s="31" t="s">
        <v>989</v>
      </c>
      <c r="C3746" s="31" t="s">
        <v>4</v>
      </c>
      <c r="D3746" s="31" t="s">
        <v>2090</v>
      </c>
      <c r="E3746" s="32">
        <v>187.96</v>
      </c>
      <c r="F3746" s="32">
        <v>4</v>
      </c>
    </row>
    <row r="3747" spans="1:6" x14ac:dyDescent="0.3">
      <c r="A3747" s="31">
        <v>1000020393</v>
      </c>
      <c r="B3747" s="31" t="s">
        <v>623</v>
      </c>
      <c r="C3747" s="31" t="s">
        <v>4</v>
      </c>
      <c r="D3747" s="31" t="s">
        <v>2090</v>
      </c>
      <c r="E3747" s="32">
        <v>187.9</v>
      </c>
      <c r="F3747" s="32">
        <v>2</v>
      </c>
    </row>
    <row r="3748" spans="1:6" x14ac:dyDescent="0.3">
      <c r="A3748" s="31">
        <v>1000020293</v>
      </c>
      <c r="B3748" s="31" t="s">
        <v>529</v>
      </c>
      <c r="C3748" s="31" t="s">
        <v>4</v>
      </c>
      <c r="D3748" s="31" t="s">
        <v>2090</v>
      </c>
      <c r="E3748" s="32">
        <v>187.86</v>
      </c>
      <c r="F3748" s="32">
        <v>3</v>
      </c>
    </row>
    <row r="3749" spans="1:6" x14ac:dyDescent="0.3">
      <c r="A3749" s="31">
        <v>2500009109</v>
      </c>
      <c r="B3749" s="31" t="s">
        <v>4180</v>
      </c>
      <c r="C3749" s="31" t="s">
        <v>1996</v>
      </c>
      <c r="D3749" s="31" t="s">
        <v>2289</v>
      </c>
      <c r="E3749" s="32">
        <v>187.5</v>
      </c>
      <c r="F3749" s="32">
        <v>1</v>
      </c>
    </row>
    <row r="3750" spans="1:6" x14ac:dyDescent="0.3">
      <c r="A3750" s="31">
        <v>1000093563</v>
      </c>
      <c r="B3750" s="31" t="s">
        <v>4181</v>
      </c>
      <c r="C3750" s="31" t="s">
        <v>4</v>
      </c>
      <c r="D3750" s="31" t="s">
        <v>2056</v>
      </c>
      <c r="E3750" s="32">
        <v>187.33035764705801</v>
      </c>
      <c r="F3750" s="32">
        <v>280</v>
      </c>
    </row>
    <row r="3751" spans="1:6" x14ac:dyDescent="0.3">
      <c r="A3751" s="31">
        <v>1000020240</v>
      </c>
      <c r="B3751" s="31" t="s">
        <v>479</v>
      </c>
      <c r="C3751" s="31" t="s">
        <v>4</v>
      </c>
      <c r="D3751" s="31" t="s">
        <v>2090</v>
      </c>
      <c r="E3751" s="32">
        <v>187.2</v>
      </c>
      <c r="F3751" s="32">
        <v>26</v>
      </c>
    </row>
    <row r="3752" spans="1:6" x14ac:dyDescent="0.3">
      <c r="A3752" s="31">
        <v>1000101487</v>
      </c>
      <c r="B3752" s="31" t="s">
        <v>1853</v>
      </c>
      <c r="C3752" s="31" t="s">
        <v>4</v>
      </c>
      <c r="D3752" s="31" t="s">
        <v>2056</v>
      </c>
      <c r="E3752" s="32">
        <v>187.04159999999999</v>
      </c>
      <c r="F3752" s="32">
        <v>2000</v>
      </c>
    </row>
    <row r="3753" spans="1:6" x14ac:dyDescent="0.3">
      <c r="A3753" s="31">
        <v>1000100422</v>
      </c>
      <c r="B3753" s="31" t="s">
        <v>1734</v>
      </c>
      <c r="C3753" s="31" t="s">
        <v>4</v>
      </c>
      <c r="D3753" s="31" t="s">
        <v>2090</v>
      </c>
      <c r="E3753" s="32">
        <v>186.97499999999999</v>
      </c>
      <c r="F3753" s="32">
        <v>2</v>
      </c>
    </row>
    <row r="3754" spans="1:6" x14ac:dyDescent="0.3">
      <c r="A3754" s="31">
        <v>1000020608</v>
      </c>
      <c r="B3754" s="31" t="s">
        <v>824</v>
      </c>
      <c r="C3754" s="31" t="s">
        <v>4</v>
      </c>
      <c r="D3754" s="31" t="s">
        <v>2090</v>
      </c>
      <c r="E3754" s="32">
        <v>186.84</v>
      </c>
      <c r="F3754" s="32">
        <v>4</v>
      </c>
    </row>
    <row r="3755" spans="1:6" x14ac:dyDescent="0.3">
      <c r="A3755" s="31">
        <v>1000106064</v>
      </c>
      <c r="B3755" s="31" t="s">
        <v>4182</v>
      </c>
      <c r="C3755" s="31" t="s">
        <v>4</v>
      </c>
      <c r="D3755" s="31" t="s">
        <v>2161</v>
      </c>
      <c r="E3755" s="32">
        <v>186.34</v>
      </c>
      <c r="F3755" s="32">
        <v>2</v>
      </c>
    </row>
    <row r="3756" spans="1:6" x14ac:dyDescent="0.3">
      <c r="A3756" s="31">
        <v>1000106058</v>
      </c>
      <c r="B3756" s="31" t="s">
        <v>4183</v>
      </c>
      <c r="C3756" s="31" t="s">
        <v>4</v>
      </c>
      <c r="D3756" s="31" t="s">
        <v>2161</v>
      </c>
      <c r="E3756" s="32">
        <v>185.85</v>
      </c>
      <c r="F3756" s="32">
        <v>3</v>
      </c>
    </row>
    <row r="3757" spans="1:6" x14ac:dyDescent="0.3">
      <c r="A3757" s="31">
        <v>1000020387</v>
      </c>
      <c r="B3757" s="31" t="s">
        <v>617</v>
      </c>
      <c r="C3757" s="31" t="s">
        <v>4</v>
      </c>
      <c r="D3757" s="31" t="s">
        <v>2090</v>
      </c>
      <c r="E3757" s="32">
        <v>185.7</v>
      </c>
      <c r="F3757" s="32">
        <v>5</v>
      </c>
    </row>
    <row r="3758" spans="1:6" x14ac:dyDescent="0.3">
      <c r="A3758" s="31">
        <v>2500008146</v>
      </c>
      <c r="B3758" s="31" t="s">
        <v>4184</v>
      </c>
      <c r="C3758" s="31" t="s">
        <v>1996</v>
      </c>
      <c r="D3758" s="31" t="s">
        <v>2025</v>
      </c>
      <c r="E3758" s="32">
        <v>185.62666666666601</v>
      </c>
      <c r="F3758" s="32">
        <v>1</v>
      </c>
    </row>
    <row r="3759" spans="1:6" x14ac:dyDescent="0.3">
      <c r="A3759" s="31">
        <v>1000020321</v>
      </c>
      <c r="B3759" s="31" t="s">
        <v>555</v>
      </c>
      <c r="C3759" s="31" t="s">
        <v>4</v>
      </c>
      <c r="D3759" s="31" t="s">
        <v>2090</v>
      </c>
      <c r="E3759" s="32">
        <v>185.61</v>
      </c>
      <c r="F3759" s="32">
        <v>1</v>
      </c>
    </row>
    <row r="3760" spans="1:6" x14ac:dyDescent="0.3">
      <c r="A3760" s="31">
        <v>1000107109</v>
      </c>
      <c r="B3760" s="31" t="s">
        <v>1892</v>
      </c>
      <c r="C3760" s="31" t="s">
        <v>4</v>
      </c>
      <c r="D3760" s="31" t="s">
        <v>2056</v>
      </c>
      <c r="E3760" s="32">
        <v>185.49</v>
      </c>
      <c r="F3760" s="32">
        <v>20</v>
      </c>
    </row>
    <row r="3761" spans="1:6" x14ac:dyDescent="0.3">
      <c r="A3761" s="31">
        <v>1000020326</v>
      </c>
      <c r="B3761" s="31" t="s">
        <v>560</v>
      </c>
      <c r="C3761" s="31" t="s">
        <v>4</v>
      </c>
      <c r="D3761" s="31" t="s">
        <v>2090</v>
      </c>
      <c r="E3761" s="32">
        <v>185.26</v>
      </c>
      <c r="F3761" s="32">
        <v>1</v>
      </c>
    </row>
    <row r="3762" spans="1:6" x14ac:dyDescent="0.3">
      <c r="A3762" s="31">
        <v>1000021195</v>
      </c>
      <c r="B3762" s="31" t="s">
        <v>1342</v>
      </c>
      <c r="C3762" s="31" t="s">
        <v>4</v>
      </c>
      <c r="D3762" s="31" t="s">
        <v>2090</v>
      </c>
      <c r="E3762" s="32">
        <v>185.02</v>
      </c>
      <c r="F3762" s="32">
        <v>2</v>
      </c>
    </row>
    <row r="3763" spans="1:6" x14ac:dyDescent="0.3">
      <c r="A3763" s="31">
        <v>2500009197</v>
      </c>
      <c r="B3763" s="31" t="s">
        <v>1986</v>
      </c>
      <c r="C3763" s="31" t="s">
        <v>1996</v>
      </c>
      <c r="D3763" s="31" t="s">
        <v>2025</v>
      </c>
      <c r="E3763" s="32">
        <v>184.69</v>
      </c>
      <c r="F3763" s="32">
        <v>2</v>
      </c>
    </row>
    <row r="3764" spans="1:6" x14ac:dyDescent="0.3">
      <c r="A3764" s="31">
        <v>2500008819</v>
      </c>
      <c r="B3764" s="31" t="s">
        <v>4185</v>
      </c>
      <c r="C3764" s="31" t="s">
        <v>1996</v>
      </c>
      <c r="D3764" s="31" t="s">
        <v>2875</v>
      </c>
      <c r="E3764" s="32">
        <v>184.5</v>
      </c>
      <c r="F3764" s="32">
        <v>10</v>
      </c>
    </row>
    <row r="3765" spans="1:6" x14ac:dyDescent="0.3">
      <c r="A3765" s="31">
        <v>1000100415</v>
      </c>
      <c r="B3765" s="31" t="s">
        <v>1729</v>
      </c>
      <c r="C3765" s="31" t="s">
        <v>4</v>
      </c>
      <c r="D3765" s="31" t="s">
        <v>2090</v>
      </c>
      <c r="E3765" s="32">
        <v>184.428</v>
      </c>
      <c r="F3765" s="32">
        <v>1</v>
      </c>
    </row>
    <row r="3766" spans="1:6" x14ac:dyDescent="0.3">
      <c r="A3766" s="31">
        <v>1000020801</v>
      </c>
      <c r="B3766" s="31" t="s">
        <v>1005</v>
      </c>
      <c r="C3766" s="31" t="s">
        <v>4</v>
      </c>
      <c r="D3766" s="31" t="s">
        <v>2090</v>
      </c>
      <c r="E3766" s="32">
        <v>184.24</v>
      </c>
      <c r="F3766" s="32">
        <v>2</v>
      </c>
    </row>
    <row r="3767" spans="1:6" x14ac:dyDescent="0.3">
      <c r="A3767" s="31">
        <v>1000020799</v>
      </c>
      <c r="B3767" s="31" t="s">
        <v>1003</v>
      </c>
      <c r="C3767" s="31" t="s">
        <v>4</v>
      </c>
      <c r="D3767" s="31" t="s">
        <v>2090</v>
      </c>
      <c r="E3767" s="32">
        <v>183.88</v>
      </c>
      <c r="F3767" s="32">
        <v>2</v>
      </c>
    </row>
    <row r="3768" spans="1:6" x14ac:dyDescent="0.3">
      <c r="A3768" s="31">
        <v>2000019699</v>
      </c>
      <c r="B3768" s="31" t="s">
        <v>4186</v>
      </c>
      <c r="C3768" s="31" t="s">
        <v>2017</v>
      </c>
      <c r="D3768" s="31" t="s">
        <v>2072</v>
      </c>
      <c r="E3768" s="32">
        <v>183.75</v>
      </c>
      <c r="F3768" s="32">
        <v>1</v>
      </c>
    </row>
    <row r="3769" spans="1:6" x14ac:dyDescent="0.3">
      <c r="A3769" s="31">
        <v>1000020174</v>
      </c>
      <c r="B3769" s="31" t="s">
        <v>418</v>
      </c>
      <c r="C3769" s="31" t="s">
        <v>4</v>
      </c>
      <c r="D3769" s="31" t="s">
        <v>2090</v>
      </c>
      <c r="E3769" s="32">
        <v>182.82</v>
      </c>
      <c r="F3769" s="32">
        <v>2</v>
      </c>
    </row>
    <row r="3770" spans="1:6" x14ac:dyDescent="0.3">
      <c r="A3770" s="31">
        <v>1000020761</v>
      </c>
      <c r="B3770" s="31" t="s">
        <v>966</v>
      </c>
      <c r="C3770" s="31" t="s">
        <v>4</v>
      </c>
      <c r="D3770" s="31" t="s">
        <v>2090</v>
      </c>
      <c r="E3770" s="32">
        <v>182.28</v>
      </c>
      <c r="F3770" s="32">
        <v>3</v>
      </c>
    </row>
    <row r="3771" spans="1:6" x14ac:dyDescent="0.3">
      <c r="A3771" s="31">
        <v>2500008689</v>
      </c>
      <c r="B3771" s="31" t="s">
        <v>4187</v>
      </c>
      <c r="C3771" s="31" t="s">
        <v>1996</v>
      </c>
      <c r="D3771" s="31" t="s">
        <v>2025</v>
      </c>
      <c r="E3771" s="32">
        <v>182.25</v>
      </c>
      <c r="F3771" s="32">
        <v>3</v>
      </c>
    </row>
    <row r="3772" spans="1:6" x14ac:dyDescent="0.3">
      <c r="A3772" s="31">
        <v>1000107581</v>
      </c>
      <c r="B3772" s="31" t="s">
        <v>4188</v>
      </c>
      <c r="C3772" s="31" t="s">
        <v>4</v>
      </c>
      <c r="D3772" s="31" t="s">
        <v>2056</v>
      </c>
      <c r="E3772" s="32">
        <v>182.23</v>
      </c>
      <c r="F3772" s="32">
        <v>100</v>
      </c>
    </row>
    <row r="3773" spans="1:6" x14ac:dyDescent="0.3">
      <c r="A3773" s="31">
        <v>80000009759</v>
      </c>
      <c r="B3773" s="31" t="s">
        <v>4189</v>
      </c>
      <c r="C3773" s="31" t="s">
        <v>2521</v>
      </c>
      <c r="D3773" s="31" t="s">
        <v>2670</v>
      </c>
      <c r="E3773" s="32">
        <v>181.99628670449701</v>
      </c>
      <c r="F3773" s="32">
        <v>26</v>
      </c>
    </row>
    <row r="3774" spans="1:6" x14ac:dyDescent="0.3">
      <c r="A3774" s="31">
        <v>2500008423</v>
      </c>
      <c r="B3774" s="31" t="s">
        <v>4190</v>
      </c>
      <c r="C3774" s="31" t="s">
        <v>1996</v>
      </c>
      <c r="D3774" s="31" t="s">
        <v>2025</v>
      </c>
      <c r="E3774" s="32">
        <v>181.88</v>
      </c>
      <c r="F3774" s="32">
        <v>1</v>
      </c>
    </row>
    <row r="3775" spans="1:6" x14ac:dyDescent="0.3">
      <c r="A3775" s="31">
        <v>2500008886</v>
      </c>
      <c r="B3775" s="31" t="s">
        <v>4191</v>
      </c>
      <c r="C3775" s="31" t="s">
        <v>1996</v>
      </c>
      <c r="D3775" s="31" t="s">
        <v>2025</v>
      </c>
      <c r="E3775" s="32">
        <v>181.5</v>
      </c>
      <c r="F3775" s="32">
        <v>2</v>
      </c>
    </row>
    <row r="3776" spans="1:6" x14ac:dyDescent="0.3">
      <c r="A3776" s="31">
        <v>1000020050</v>
      </c>
      <c r="B3776" s="31" t="s">
        <v>4192</v>
      </c>
      <c r="C3776" s="31" t="s">
        <v>4</v>
      </c>
      <c r="D3776" s="31" t="s">
        <v>2090</v>
      </c>
      <c r="E3776" s="32">
        <v>181.476566666666</v>
      </c>
      <c r="F3776" s="32">
        <v>7</v>
      </c>
    </row>
    <row r="3777" spans="1:6" x14ac:dyDescent="0.3">
      <c r="A3777" s="31">
        <v>1000106685</v>
      </c>
      <c r="B3777" s="31" t="s">
        <v>4193</v>
      </c>
      <c r="C3777" s="31" t="s">
        <v>4</v>
      </c>
      <c r="D3777" s="31" t="s">
        <v>2056</v>
      </c>
      <c r="E3777" s="32">
        <v>181.3802</v>
      </c>
      <c r="F3777" s="32">
        <v>1</v>
      </c>
    </row>
    <row r="3778" spans="1:6" x14ac:dyDescent="0.3">
      <c r="A3778" s="31">
        <v>1000097613</v>
      </c>
      <c r="B3778" s="31" t="s">
        <v>1510</v>
      </c>
      <c r="C3778" s="31" t="s">
        <v>4</v>
      </c>
      <c r="D3778" s="31" t="s">
        <v>2090</v>
      </c>
      <c r="E3778" s="32">
        <v>179.66</v>
      </c>
      <c r="F3778" s="32">
        <v>1</v>
      </c>
    </row>
    <row r="3779" spans="1:6" x14ac:dyDescent="0.3">
      <c r="A3779" s="31">
        <v>1000020299</v>
      </c>
      <c r="B3779" s="31" t="s">
        <v>535</v>
      </c>
      <c r="C3779" s="31" t="s">
        <v>4</v>
      </c>
      <c r="D3779" s="31" t="s">
        <v>2090</v>
      </c>
      <c r="E3779" s="32">
        <v>179.52</v>
      </c>
      <c r="F3779" s="32">
        <v>2</v>
      </c>
    </row>
    <row r="3780" spans="1:6" x14ac:dyDescent="0.3">
      <c r="A3780" s="31">
        <v>1000095751</v>
      </c>
      <c r="B3780" s="31" t="s">
        <v>1505</v>
      </c>
      <c r="C3780" s="31" t="s">
        <v>4</v>
      </c>
      <c r="D3780" s="31" t="s">
        <v>2090</v>
      </c>
      <c r="E3780" s="32">
        <v>179.19</v>
      </c>
      <c r="F3780" s="32">
        <v>4</v>
      </c>
    </row>
    <row r="3781" spans="1:6" x14ac:dyDescent="0.3">
      <c r="A3781" s="31">
        <v>2200011766</v>
      </c>
      <c r="B3781" s="31" t="s">
        <v>4194</v>
      </c>
      <c r="C3781" s="31" t="s">
        <v>2037</v>
      </c>
      <c r="D3781" s="31" t="s">
        <v>2038</v>
      </c>
      <c r="E3781" s="32">
        <v>178.92693786406599</v>
      </c>
      <c r="F3781" s="32">
        <v>1</v>
      </c>
    </row>
    <row r="3782" spans="1:6" x14ac:dyDescent="0.3">
      <c r="A3782" s="31">
        <v>1000100871</v>
      </c>
      <c r="B3782" s="31" t="s">
        <v>4195</v>
      </c>
      <c r="C3782" s="31" t="s">
        <v>4</v>
      </c>
      <c r="D3782" s="31" t="s">
        <v>2090</v>
      </c>
      <c r="E3782" s="32">
        <v>178.88</v>
      </c>
      <c r="F3782" s="32">
        <v>30</v>
      </c>
    </row>
    <row r="3783" spans="1:6" x14ac:dyDescent="0.3">
      <c r="A3783" s="31">
        <v>1000020789</v>
      </c>
      <c r="B3783" s="31" t="s">
        <v>993</v>
      </c>
      <c r="C3783" s="31" t="s">
        <v>4</v>
      </c>
      <c r="D3783" s="31" t="s">
        <v>2090</v>
      </c>
      <c r="E3783" s="32">
        <v>178.54</v>
      </c>
      <c r="F3783" s="32">
        <v>2</v>
      </c>
    </row>
    <row r="3784" spans="1:6" x14ac:dyDescent="0.3">
      <c r="A3784" s="31">
        <v>1000095004</v>
      </c>
      <c r="B3784" s="31" t="s">
        <v>4196</v>
      </c>
      <c r="C3784" s="31" t="s">
        <v>4</v>
      </c>
      <c r="D3784" s="31" t="s">
        <v>2056</v>
      </c>
      <c r="E3784" s="32">
        <v>178.19</v>
      </c>
      <c r="F3784" s="32">
        <v>8</v>
      </c>
    </row>
    <row r="3785" spans="1:6" x14ac:dyDescent="0.3">
      <c r="A3785" s="31">
        <v>1000020146</v>
      </c>
      <c r="B3785" s="31" t="s">
        <v>399</v>
      </c>
      <c r="C3785" s="31" t="s">
        <v>4</v>
      </c>
      <c r="D3785" s="31" t="s">
        <v>2090</v>
      </c>
      <c r="E3785" s="32">
        <v>178.15</v>
      </c>
      <c r="F3785" s="32">
        <v>7</v>
      </c>
    </row>
    <row r="3786" spans="1:6" x14ac:dyDescent="0.3">
      <c r="A3786" s="31">
        <v>1000020178</v>
      </c>
      <c r="B3786" s="31" t="s">
        <v>422</v>
      </c>
      <c r="C3786" s="31" t="s">
        <v>4</v>
      </c>
      <c r="D3786" s="31" t="s">
        <v>2090</v>
      </c>
      <c r="E3786" s="32">
        <v>178.12</v>
      </c>
      <c r="F3786" s="32">
        <v>4</v>
      </c>
    </row>
    <row r="3787" spans="1:6" x14ac:dyDescent="0.3">
      <c r="A3787" s="31">
        <v>1000099479</v>
      </c>
      <c r="B3787" s="31" t="s">
        <v>2055</v>
      </c>
      <c r="C3787" s="31" t="s">
        <v>4</v>
      </c>
      <c r="D3787" s="31" t="s">
        <v>2056</v>
      </c>
      <c r="E3787" s="32">
        <v>177.07</v>
      </c>
      <c r="F3787" s="32">
        <v>2</v>
      </c>
    </row>
    <row r="3788" spans="1:6" x14ac:dyDescent="0.3">
      <c r="A3788" s="31">
        <v>1000020350</v>
      </c>
      <c r="B3788" s="31" t="s">
        <v>582</v>
      </c>
      <c r="C3788" s="31" t="s">
        <v>4</v>
      </c>
      <c r="D3788" s="31" t="s">
        <v>2090</v>
      </c>
      <c r="E3788" s="32">
        <v>176</v>
      </c>
      <c r="F3788" s="32">
        <v>5</v>
      </c>
    </row>
    <row r="3789" spans="1:6" x14ac:dyDescent="0.3">
      <c r="A3789" s="31">
        <v>1000020569</v>
      </c>
      <c r="B3789" s="31" t="s">
        <v>786</v>
      </c>
      <c r="C3789" s="31" t="s">
        <v>4</v>
      </c>
      <c r="D3789" s="31" t="s">
        <v>2090</v>
      </c>
      <c r="E3789" s="32">
        <v>175.02</v>
      </c>
      <c r="F3789" s="32">
        <v>2</v>
      </c>
    </row>
    <row r="3790" spans="1:6" x14ac:dyDescent="0.3">
      <c r="A3790" s="31">
        <v>1000020958</v>
      </c>
      <c r="B3790" s="31" t="s">
        <v>1136</v>
      </c>
      <c r="C3790" s="31" t="s">
        <v>4</v>
      </c>
      <c r="D3790" s="31" t="s">
        <v>2090</v>
      </c>
      <c r="E3790" s="32">
        <v>174.98</v>
      </c>
      <c r="F3790" s="32">
        <v>1</v>
      </c>
    </row>
    <row r="3791" spans="1:6" x14ac:dyDescent="0.3">
      <c r="A3791" s="31">
        <v>1000020021</v>
      </c>
      <c r="B3791" s="31" t="s">
        <v>4197</v>
      </c>
      <c r="C3791" s="31" t="s">
        <v>4</v>
      </c>
      <c r="D3791" s="31" t="s">
        <v>2090</v>
      </c>
      <c r="E3791" s="32">
        <v>174.55</v>
      </c>
      <c r="F3791" s="32">
        <v>2</v>
      </c>
    </row>
    <row r="3792" spans="1:6" x14ac:dyDescent="0.3">
      <c r="A3792" s="31">
        <v>1000020056</v>
      </c>
      <c r="B3792" s="31" t="s">
        <v>4198</v>
      </c>
      <c r="C3792" s="31" t="s">
        <v>4</v>
      </c>
      <c r="D3792" s="31" t="s">
        <v>2090</v>
      </c>
      <c r="E3792" s="32">
        <v>174.548557037389</v>
      </c>
      <c r="F3792" s="32">
        <v>27</v>
      </c>
    </row>
    <row r="3793" spans="1:6" x14ac:dyDescent="0.3">
      <c r="A3793" s="31">
        <v>1000020353</v>
      </c>
      <c r="B3793" s="31" t="s">
        <v>585</v>
      </c>
      <c r="C3793" s="31" t="s">
        <v>4</v>
      </c>
      <c r="D3793" s="31" t="s">
        <v>2090</v>
      </c>
      <c r="E3793" s="32">
        <v>174.32</v>
      </c>
      <c r="F3793" s="32">
        <v>4</v>
      </c>
    </row>
    <row r="3794" spans="1:6" x14ac:dyDescent="0.3">
      <c r="A3794" s="31">
        <v>1000020409</v>
      </c>
      <c r="B3794" s="31" t="s">
        <v>639</v>
      </c>
      <c r="C3794" s="31" t="s">
        <v>4</v>
      </c>
      <c r="D3794" s="31" t="s">
        <v>2090</v>
      </c>
      <c r="E3794" s="32">
        <v>173.25</v>
      </c>
      <c r="F3794" s="32">
        <v>28</v>
      </c>
    </row>
    <row r="3795" spans="1:6" x14ac:dyDescent="0.3">
      <c r="A3795" s="31">
        <v>1000020078</v>
      </c>
      <c r="B3795" s="31" t="s">
        <v>338</v>
      </c>
      <c r="C3795" s="31" t="s">
        <v>4</v>
      </c>
      <c r="D3795" s="31" t="s">
        <v>2090</v>
      </c>
      <c r="E3795" s="32">
        <v>173.12</v>
      </c>
      <c r="F3795" s="32">
        <v>2</v>
      </c>
    </row>
    <row r="3796" spans="1:6" x14ac:dyDescent="0.3">
      <c r="A3796" s="31">
        <v>1000020710</v>
      </c>
      <c r="B3796" s="31" t="s">
        <v>919</v>
      </c>
      <c r="C3796" s="31" t="s">
        <v>4</v>
      </c>
      <c r="D3796" s="31" t="s">
        <v>2090</v>
      </c>
      <c r="E3796" s="32">
        <v>173.04</v>
      </c>
      <c r="F3796" s="32">
        <v>1</v>
      </c>
    </row>
    <row r="3797" spans="1:6" x14ac:dyDescent="0.3">
      <c r="A3797" s="31">
        <v>1000020929</v>
      </c>
      <c r="B3797" s="31" t="s">
        <v>1109</v>
      </c>
      <c r="C3797" s="31" t="s">
        <v>4</v>
      </c>
      <c r="D3797" s="31" t="s">
        <v>2090</v>
      </c>
      <c r="E3797" s="32">
        <v>173.04</v>
      </c>
      <c r="F3797" s="32">
        <v>1</v>
      </c>
    </row>
    <row r="3798" spans="1:6" x14ac:dyDescent="0.3">
      <c r="A3798" s="31">
        <v>2500008221</v>
      </c>
      <c r="B3798" s="31" t="s">
        <v>4199</v>
      </c>
      <c r="C3798" s="31" t="s">
        <v>1996</v>
      </c>
      <c r="D3798" s="31" t="s">
        <v>2025</v>
      </c>
      <c r="E3798" s="32">
        <v>173</v>
      </c>
      <c r="F3798" s="32">
        <v>2</v>
      </c>
    </row>
    <row r="3799" spans="1:6" x14ac:dyDescent="0.3">
      <c r="A3799" s="31">
        <v>1000020893</v>
      </c>
      <c r="B3799" s="31" t="s">
        <v>1075</v>
      </c>
      <c r="C3799" s="31" t="s">
        <v>4</v>
      </c>
      <c r="D3799" s="31" t="s">
        <v>2090</v>
      </c>
      <c r="E3799" s="32">
        <v>172.98</v>
      </c>
      <c r="F3799" s="32">
        <v>2</v>
      </c>
    </row>
    <row r="3800" spans="1:6" x14ac:dyDescent="0.3">
      <c r="A3800" s="31">
        <v>1000020892</v>
      </c>
      <c r="B3800" s="31" t="s">
        <v>1074</v>
      </c>
      <c r="C3800" s="31" t="s">
        <v>4</v>
      </c>
      <c r="D3800" s="31" t="s">
        <v>2090</v>
      </c>
      <c r="E3800" s="32">
        <v>172.98</v>
      </c>
      <c r="F3800" s="32">
        <v>2</v>
      </c>
    </row>
    <row r="3801" spans="1:6" x14ac:dyDescent="0.3">
      <c r="A3801" s="31">
        <v>1000100385</v>
      </c>
      <c r="B3801" s="31" t="s">
        <v>1715</v>
      </c>
      <c r="C3801" s="31" t="s">
        <v>4</v>
      </c>
      <c r="D3801" s="31" t="s">
        <v>2090</v>
      </c>
      <c r="E3801" s="32">
        <v>172.2</v>
      </c>
      <c r="F3801" s="32">
        <v>1</v>
      </c>
    </row>
    <row r="3802" spans="1:6" x14ac:dyDescent="0.3">
      <c r="A3802" s="31">
        <v>1000020401</v>
      </c>
      <c r="B3802" s="31" t="s">
        <v>631</v>
      </c>
      <c r="C3802" s="31" t="s">
        <v>4</v>
      </c>
      <c r="D3802" s="31" t="s">
        <v>2090</v>
      </c>
      <c r="E3802" s="32">
        <v>172.2</v>
      </c>
      <c r="F3802" s="32">
        <v>30</v>
      </c>
    </row>
    <row r="3803" spans="1:6" x14ac:dyDescent="0.3">
      <c r="A3803" s="31">
        <v>1000101339</v>
      </c>
      <c r="B3803" s="31" t="s">
        <v>4200</v>
      </c>
      <c r="C3803" s="31" t="s">
        <v>4</v>
      </c>
      <c r="D3803" s="31" t="s">
        <v>2056</v>
      </c>
      <c r="E3803" s="32">
        <v>172.13</v>
      </c>
      <c r="F3803" s="32">
        <v>250</v>
      </c>
    </row>
    <row r="3804" spans="1:6" x14ac:dyDescent="0.3">
      <c r="A3804" s="31">
        <v>1000092380</v>
      </c>
      <c r="B3804" s="31" t="s">
        <v>4201</v>
      </c>
      <c r="C3804" s="31" t="s">
        <v>4</v>
      </c>
      <c r="D3804" s="31" t="s">
        <v>2090</v>
      </c>
      <c r="E3804" s="32">
        <v>172.1</v>
      </c>
      <c r="F3804" s="32">
        <v>11</v>
      </c>
    </row>
    <row r="3805" spans="1:6" x14ac:dyDescent="0.3">
      <c r="A3805" s="31">
        <v>1000021033</v>
      </c>
      <c r="B3805" s="31" t="s">
        <v>1204</v>
      </c>
      <c r="C3805" s="31" t="s">
        <v>4</v>
      </c>
      <c r="D3805" s="31" t="s">
        <v>2090</v>
      </c>
      <c r="E3805" s="32">
        <v>172.06</v>
      </c>
      <c r="F3805" s="32">
        <v>2</v>
      </c>
    </row>
    <row r="3806" spans="1:6" x14ac:dyDescent="0.3">
      <c r="A3806" s="31">
        <v>1000098539</v>
      </c>
      <c r="B3806" s="31" t="s">
        <v>1570</v>
      </c>
      <c r="C3806" s="31" t="s">
        <v>4</v>
      </c>
      <c r="D3806" s="31" t="s">
        <v>2090</v>
      </c>
      <c r="E3806" s="32">
        <v>171.54</v>
      </c>
      <c r="F3806" s="32">
        <v>5</v>
      </c>
    </row>
    <row r="3807" spans="1:6" x14ac:dyDescent="0.3">
      <c r="A3807" s="31">
        <v>80000009700</v>
      </c>
      <c r="B3807" s="31" t="s">
        <v>4202</v>
      </c>
      <c r="C3807" s="31" t="s">
        <v>2521</v>
      </c>
      <c r="D3807" s="31" t="s">
        <v>2670</v>
      </c>
      <c r="E3807" s="32">
        <v>171.5</v>
      </c>
      <c r="F3807" s="32">
        <v>49</v>
      </c>
    </row>
    <row r="3808" spans="1:6" x14ac:dyDescent="0.3">
      <c r="A3808" s="31">
        <v>1000020953</v>
      </c>
      <c r="B3808" s="31" t="s">
        <v>1131</v>
      </c>
      <c r="C3808" s="31" t="s">
        <v>4</v>
      </c>
      <c r="D3808" s="31" t="s">
        <v>2090</v>
      </c>
      <c r="E3808" s="32">
        <v>170.94</v>
      </c>
      <c r="F3808" s="32">
        <v>2</v>
      </c>
    </row>
    <row r="3809" spans="1:6" x14ac:dyDescent="0.3">
      <c r="A3809" s="31">
        <v>1000020098</v>
      </c>
      <c r="B3809" s="31" t="s">
        <v>355</v>
      </c>
      <c r="C3809" s="31" t="s">
        <v>4</v>
      </c>
      <c r="D3809" s="31" t="s">
        <v>2090</v>
      </c>
      <c r="E3809" s="32">
        <v>170.54</v>
      </c>
      <c r="F3809" s="32">
        <v>1</v>
      </c>
    </row>
    <row r="3810" spans="1:6" x14ac:dyDescent="0.3">
      <c r="A3810" s="31">
        <v>1000096884</v>
      </c>
      <c r="B3810" s="31" t="s">
        <v>4203</v>
      </c>
      <c r="C3810" s="31" t="s">
        <v>4</v>
      </c>
      <c r="D3810" s="31" t="s">
        <v>2056</v>
      </c>
      <c r="E3810" s="32">
        <v>170</v>
      </c>
      <c r="F3810" s="32">
        <v>2</v>
      </c>
    </row>
    <row r="3811" spans="1:6" x14ac:dyDescent="0.3">
      <c r="A3811" s="31">
        <v>800000008523</v>
      </c>
      <c r="B3811" s="31" t="s">
        <v>4204</v>
      </c>
      <c r="C3811" s="31" t="s">
        <v>2521</v>
      </c>
      <c r="D3811" s="31" t="s">
        <v>2645</v>
      </c>
      <c r="E3811" s="32">
        <v>170</v>
      </c>
      <c r="F3811" s="32">
        <v>17</v>
      </c>
    </row>
    <row r="3812" spans="1:6" x14ac:dyDescent="0.3">
      <c r="A3812" s="31">
        <v>1000021188</v>
      </c>
      <c r="B3812" s="31" t="s">
        <v>1335</v>
      </c>
      <c r="C3812" s="31" t="s">
        <v>4</v>
      </c>
      <c r="D3812" s="31" t="s">
        <v>2090</v>
      </c>
      <c r="E3812" s="32">
        <v>169.98750000000001</v>
      </c>
      <c r="F3812" s="32">
        <v>3</v>
      </c>
    </row>
    <row r="3813" spans="1:6" x14ac:dyDescent="0.3">
      <c r="A3813" s="31">
        <v>1000020203</v>
      </c>
      <c r="B3813" s="31" t="s">
        <v>443</v>
      </c>
      <c r="C3813" s="31" t="s">
        <v>4</v>
      </c>
      <c r="D3813" s="31" t="s">
        <v>2090</v>
      </c>
      <c r="E3813" s="32">
        <v>169.8</v>
      </c>
      <c r="F3813" s="32">
        <v>3</v>
      </c>
    </row>
    <row r="3814" spans="1:6" x14ac:dyDescent="0.3">
      <c r="A3814" s="31">
        <v>80000009789</v>
      </c>
      <c r="B3814" s="31" t="s">
        <v>4205</v>
      </c>
      <c r="C3814" s="31" t="s">
        <v>2521</v>
      </c>
      <c r="D3814" s="31" t="s">
        <v>2670</v>
      </c>
      <c r="E3814" s="32">
        <v>169.39844285269299</v>
      </c>
      <c r="F3814" s="32">
        <v>9</v>
      </c>
    </row>
    <row r="3815" spans="1:6" x14ac:dyDescent="0.3">
      <c r="A3815" s="31">
        <v>1000096395</v>
      </c>
      <c r="B3815" s="31" t="s">
        <v>4206</v>
      </c>
      <c r="C3815" s="31" t="s">
        <v>4</v>
      </c>
      <c r="D3815" s="31" t="s">
        <v>2056</v>
      </c>
      <c r="E3815" s="32">
        <v>169.15</v>
      </c>
      <c r="F3815" s="32">
        <v>20</v>
      </c>
    </row>
    <row r="3816" spans="1:6" x14ac:dyDescent="0.3">
      <c r="A3816" s="31">
        <v>2200000378</v>
      </c>
      <c r="B3816" s="31" t="s">
        <v>150</v>
      </c>
      <c r="C3816" s="31" t="s">
        <v>2037</v>
      </c>
      <c r="D3816" s="31" t="s">
        <v>2038</v>
      </c>
      <c r="E3816" s="32">
        <v>168.91</v>
      </c>
      <c r="F3816" s="32">
        <v>2</v>
      </c>
    </row>
    <row r="3817" spans="1:6" x14ac:dyDescent="0.3">
      <c r="A3817" s="31">
        <v>1000020992</v>
      </c>
      <c r="B3817" s="31" t="s">
        <v>1166</v>
      </c>
      <c r="C3817" s="31" t="s">
        <v>4</v>
      </c>
      <c r="D3817" s="31" t="s">
        <v>2090</v>
      </c>
      <c r="E3817" s="32">
        <v>168.88</v>
      </c>
      <c r="F3817" s="32">
        <v>2</v>
      </c>
    </row>
    <row r="3818" spans="1:6" x14ac:dyDescent="0.3">
      <c r="A3818" s="31">
        <v>2500009120</v>
      </c>
      <c r="B3818" s="31" t="s">
        <v>1977</v>
      </c>
      <c r="C3818" s="31" t="s">
        <v>1996</v>
      </c>
      <c r="D3818" s="31" t="s">
        <v>2289</v>
      </c>
      <c r="E3818" s="32">
        <v>168.75</v>
      </c>
      <c r="F3818" s="32">
        <v>9</v>
      </c>
    </row>
    <row r="3819" spans="1:6" x14ac:dyDescent="0.3">
      <c r="A3819" s="31">
        <v>2500009517</v>
      </c>
      <c r="B3819" s="31" t="s">
        <v>4207</v>
      </c>
      <c r="C3819" s="31" t="s">
        <v>1996</v>
      </c>
      <c r="D3819" s="31" t="s">
        <v>2289</v>
      </c>
      <c r="E3819" s="32">
        <v>168.75</v>
      </c>
      <c r="F3819" s="32">
        <v>1</v>
      </c>
    </row>
    <row r="3820" spans="1:6" x14ac:dyDescent="0.3">
      <c r="A3820" s="31">
        <v>1000020783</v>
      </c>
      <c r="B3820" s="31" t="s">
        <v>987</v>
      </c>
      <c r="C3820" s="31" t="s">
        <v>4</v>
      </c>
      <c r="D3820" s="31" t="s">
        <v>2090</v>
      </c>
      <c r="E3820" s="32">
        <v>168.6</v>
      </c>
      <c r="F3820" s="32">
        <v>5</v>
      </c>
    </row>
    <row r="3821" spans="1:6" x14ac:dyDescent="0.3">
      <c r="A3821" s="31">
        <v>1000020604</v>
      </c>
      <c r="B3821" s="31" t="s">
        <v>820</v>
      </c>
      <c r="C3821" s="31" t="s">
        <v>4</v>
      </c>
      <c r="D3821" s="31" t="s">
        <v>2090</v>
      </c>
      <c r="E3821" s="32">
        <v>168</v>
      </c>
      <c r="F3821" s="32">
        <v>25</v>
      </c>
    </row>
    <row r="3822" spans="1:6" x14ac:dyDescent="0.3">
      <c r="A3822" s="31">
        <v>1000020388</v>
      </c>
      <c r="B3822" s="31" t="s">
        <v>618</v>
      </c>
      <c r="C3822" s="31" t="s">
        <v>4</v>
      </c>
      <c r="D3822" s="31" t="s">
        <v>2090</v>
      </c>
      <c r="E3822" s="32">
        <v>167.2</v>
      </c>
      <c r="F3822" s="32">
        <v>5</v>
      </c>
    </row>
    <row r="3823" spans="1:6" x14ac:dyDescent="0.3">
      <c r="A3823" s="31">
        <v>2500009299</v>
      </c>
      <c r="B3823" s="31" t="s">
        <v>1990</v>
      </c>
      <c r="C3823" s="31" t="s">
        <v>1996</v>
      </c>
      <c r="D3823" s="31" t="s">
        <v>2025</v>
      </c>
      <c r="E3823" s="32">
        <v>167.06</v>
      </c>
      <c r="F3823" s="32">
        <v>1</v>
      </c>
    </row>
    <row r="3824" spans="1:6" x14ac:dyDescent="0.3">
      <c r="A3824" s="31">
        <v>1000104623</v>
      </c>
      <c r="B3824" s="31" t="s">
        <v>4208</v>
      </c>
      <c r="C3824" s="31" t="s">
        <v>4</v>
      </c>
      <c r="D3824" s="31" t="s">
        <v>2043</v>
      </c>
      <c r="E3824" s="32">
        <v>167</v>
      </c>
      <c r="F3824" s="32">
        <v>1</v>
      </c>
    </row>
    <row r="3825" spans="1:6" x14ac:dyDescent="0.3">
      <c r="A3825" s="31">
        <v>1000101105</v>
      </c>
      <c r="B3825" s="31" t="s">
        <v>4209</v>
      </c>
      <c r="C3825" s="31" t="s">
        <v>4</v>
      </c>
      <c r="D3825" s="31" t="s">
        <v>2090</v>
      </c>
      <c r="E3825" s="32">
        <v>166.92</v>
      </c>
      <c r="F3825" s="32">
        <v>5</v>
      </c>
    </row>
    <row r="3826" spans="1:6" x14ac:dyDescent="0.3">
      <c r="A3826" s="31">
        <v>1000110983</v>
      </c>
      <c r="B3826" s="31" t="s">
        <v>4210</v>
      </c>
      <c r="C3826" s="31" t="s">
        <v>4</v>
      </c>
      <c r="D3826" s="31" t="s">
        <v>2090</v>
      </c>
      <c r="E3826" s="32">
        <v>166.875</v>
      </c>
      <c r="F3826" s="32">
        <v>10</v>
      </c>
    </row>
    <row r="3827" spans="1:6" x14ac:dyDescent="0.3">
      <c r="A3827" s="31">
        <v>1000102787</v>
      </c>
      <c r="B3827" s="31" t="s">
        <v>4211</v>
      </c>
      <c r="C3827" s="31" t="s">
        <v>4</v>
      </c>
      <c r="D3827" s="31" t="s">
        <v>2056</v>
      </c>
      <c r="E3827" s="32">
        <v>166.83</v>
      </c>
      <c r="F3827" s="32">
        <v>30</v>
      </c>
    </row>
    <row r="3828" spans="1:6" x14ac:dyDescent="0.3">
      <c r="A3828" s="31">
        <v>1000102581</v>
      </c>
      <c r="B3828" s="31" t="s">
        <v>1798</v>
      </c>
      <c r="C3828" s="31" t="s">
        <v>4</v>
      </c>
      <c r="D3828" s="31" t="s">
        <v>2090</v>
      </c>
      <c r="E3828" s="32">
        <v>166.8</v>
      </c>
      <c r="F3828" s="32">
        <v>1</v>
      </c>
    </row>
    <row r="3829" spans="1:6" x14ac:dyDescent="0.3">
      <c r="A3829" s="31">
        <v>1000110787</v>
      </c>
      <c r="B3829" s="31" t="s">
        <v>4212</v>
      </c>
      <c r="C3829" s="31" t="s">
        <v>4</v>
      </c>
      <c r="D3829" s="31" t="s">
        <v>2090</v>
      </c>
      <c r="E3829" s="32">
        <v>166.8</v>
      </c>
      <c r="F3829" s="32">
        <v>2</v>
      </c>
    </row>
    <row r="3830" spans="1:6" x14ac:dyDescent="0.3">
      <c r="A3830" s="31">
        <v>1000020048</v>
      </c>
      <c r="B3830" s="31" t="s">
        <v>4213</v>
      </c>
      <c r="C3830" s="31" t="s">
        <v>4</v>
      </c>
      <c r="D3830" s="31" t="s">
        <v>2090</v>
      </c>
      <c r="E3830" s="32">
        <v>166.62</v>
      </c>
      <c r="F3830" s="32">
        <v>5</v>
      </c>
    </row>
    <row r="3831" spans="1:6" x14ac:dyDescent="0.3">
      <c r="A3831" s="31">
        <v>1000021039</v>
      </c>
      <c r="B3831" s="31" t="s">
        <v>1210</v>
      </c>
      <c r="C3831" s="31" t="s">
        <v>4</v>
      </c>
      <c r="D3831" s="31" t="s">
        <v>2090</v>
      </c>
      <c r="E3831" s="32">
        <v>166.53</v>
      </c>
      <c r="F3831" s="32">
        <v>1</v>
      </c>
    </row>
    <row r="3832" spans="1:6" x14ac:dyDescent="0.3">
      <c r="A3832" s="31">
        <v>1000021047</v>
      </c>
      <c r="B3832" s="31" t="s">
        <v>1216</v>
      </c>
      <c r="C3832" s="31" t="s">
        <v>4</v>
      </c>
      <c r="D3832" s="31" t="s">
        <v>2090</v>
      </c>
      <c r="E3832" s="32">
        <v>166.39</v>
      </c>
      <c r="F3832" s="32">
        <v>1</v>
      </c>
    </row>
    <row r="3833" spans="1:6" x14ac:dyDescent="0.3">
      <c r="A3833" s="31">
        <v>1000020254</v>
      </c>
      <c r="B3833" s="31" t="s">
        <v>493</v>
      </c>
      <c r="C3833" s="31" t="s">
        <v>4</v>
      </c>
      <c r="D3833" s="31" t="s">
        <v>2090</v>
      </c>
      <c r="E3833" s="32">
        <v>166.35</v>
      </c>
      <c r="F3833" s="32">
        <v>15</v>
      </c>
    </row>
    <row r="3834" spans="1:6" x14ac:dyDescent="0.3">
      <c r="A3834" s="31">
        <v>2500008648</v>
      </c>
      <c r="B3834" s="31" t="s">
        <v>4214</v>
      </c>
      <c r="C3834" s="31" t="s">
        <v>1996</v>
      </c>
      <c r="D3834" s="31" t="s">
        <v>2025</v>
      </c>
      <c r="E3834" s="32">
        <v>165.65625</v>
      </c>
      <c r="F3834" s="32">
        <v>2</v>
      </c>
    </row>
    <row r="3835" spans="1:6" x14ac:dyDescent="0.3">
      <c r="A3835" s="31">
        <v>1000021467</v>
      </c>
      <c r="B3835" s="31" t="s">
        <v>1487</v>
      </c>
      <c r="C3835" s="31" t="s">
        <v>4</v>
      </c>
      <c r="D3835" s="31" t="s">
        <v>2090</v>
      </c>
      <c r="E3835" s="32">
        <v>165.54</v>
      </c>
      <c r="F3835" s="32">
        <v>5</v>
      </c>
    </row>
    <row r="3836" spans="1:6" x14ac:dyDescent="0.3">
      <c r="A3836" s="31">
        <v>1000095898</v>
      </c>
      <c r="B3836" s="31" t="s">
        <v>3315</v>
      </c>
      <c r="C3836" s="31" t="s">
        <v>4</v>
      </c>
      <c r="D3836" s="31" t="s">
        <v>2161</v>
      </c>
      <c r="E3836" s="32">
        <v>165.376</v>
      </c>
      <c r="F3836" s="32">
        <v>1</v>
      </c>
    </row>
    <row r="3837" spans="1:6" x14ac:dyDescent="0.3">
      <c r="A3837" s="31">
        <v>1000017006</v>
      </c>
      <c r="B3837" s="31" t="s">
        <v>4215</v>
      </c>
      <c r="C3837" s="31" t="s">
        <v>4</v>
      </c>
      <c r="D3837" s="31" t="s">
        <v>3274</v>
      </c>
      <c r="E3837" s="32">
        <v>165</v>
      </c>
      <c r="F3837" s="32">
        <v>30</v>
      </c>
    </row>
    <row r="3838" spans="1:6" x14ac:dyDescent="0.3">
      <c r="A3838" s="31">
        <v>2500009403</v>
      </c>
      <c r="B3838" s="31" t="s">
        <v>4216</v>
      </c>
      <c r="C3838" s="31" t="s">
        <v>1996</v>
      </c>
      <c r="D3838" s="31" t="s">
        <v>2289</v>
      </c>
      <c r="E3838" s="32">
        <v>165</v>
      </c>
      <c r="F3838" s="32">
        <v>1</v>
      </c>
    </row>
    <row r="3839" spans="1:6" x14ac:dyDescent="0.3">
      <c r="A3839" s="31">
        <v>1000020985</v>
      </c>
      <c r="B3839" s="31" t="s">
        <v>1159</v>
      </c>
      <c r="C3839" s="31" t="s">
        <v>4</v>
      </c>
      <c r="D3839" s="31" t="s">
        <v>2090</v>
      </c>
      <c r="E3839" s="32">
        <v>164.8</v>
      </c>
      <c r="F3839" s="32">
        <v>2</v>
      </c>
    </row>
    <row r="3840" spans="1:6" x14ac:dyDescent="0.3">
      <c r="A3840" s="31">
        <v>1000098692</v>
      </c>
      <c r="B3840" s="31" t="s">
        <v>1644</v>
      </c>
      <c r="C3840" s="31" t="s">
        <v>4</v>
      </c>
      <c r="D3840" s="31" t="s">
        <v>2090</v>
      </c>
      <c r="E3840" s="32">
        <v>163.55799999999999</v>
      </c>
      <c r="F3840" s="32">
        <v>1</v>
      </c>
    </row>
    <row r="3841" spans="1:6" x14ac:dyDescent="0.3">
      <c r="A3841" s="31">
        <v>1000020645</v>
      </c>
      <c r="B3841" s="31" t="s">
        <v>859</v>
      </c>
      <c r="C3841" s="31" t="s">
        <v>4</v>
      </c>
      <c r="D3841" s="31" t="s">
        <v>2090</v>
      </c>
      <c r="E3841" s="32">
        <v>162.64564285714201</v>
      </c>
      <c r="F3841" s="32">
        <v>7</v>
      </c>
    </row>
    <row r="3842" spans="1:6" x14ac:dyDescent="0.3">
      <c r="A3842" s="31">
        <v>1000098452</v>
      </c>
      <c r="B3842" s="31" t="s">
        <v>1529</v>
      </c>
      <c r="C3842" s="31" t="s">
        <v>4</v>
      </c>
      <c r="D3842" s="31" t="s">
        <v>2090</v>
      </c>
      <c r="E3842" s="32">
        <v>161.91</v>
      </c>
      <c r="F3842" s="32">
        <v>3</v>
      </c>
    </row>
    <row r="3843" spans="1:6" x14ac:dyDescent="0.3">
      <c r="A3843" s="31">
        <v>1000020301</v>
      </c>
      <c r="B3843" s="31" t="s">
        <v>537</v>
      </c>
      <c r="C3843" s="31" t="s">
        <v>4</v>
      </c>
      <c r="D3843" s="31" t="s">
        <v>2090</v>
      </c>
      <c r="E3843" s="32">
        <v>161.84</v>
      </c>
      <c r="F3843" s="32">
        <v>2</v>
      </c>
    </row>
    <row r="3844" spans="1:6" x14ac:dyDescent="0.3">
      <c r="A3844" s="31">
        <v>1000103691</v>
      </c>
      <c r="B3844" s="31" t="s">
        <v>4217</v>
      </c>
      <c r="C3844" s="31" t="s">
        <v>4</v>
      </c>
      <c r="D3844" s="31" t="s">
        <v>2056</v>
      </c>
      <c r="E3844" s="32">
        <v>161.84</v>
      </c>
      <c r="F3844" s="32">
        <v>7</v>
      </c>
    </row>
    <row r="3845" spans="1:6" x14ac:dyDescent="0.3">
      <c r="A3845" s="31">
        <v>1000020149</v>
      </c>
      <c r="B3845" s="31" t="s">
        <v>400</v>
      </c>
      <c r="C3845" s="31" t="s">
        <v>4</v>
      </c>
      <c r="D3845" s="31" t="s">
        <v>2090</v>
      </c>
      <c r="E3845" s="32">
        <v>161.76</v>
      </c>
      <c r="F3845" s="32">
        <v>4</v>
      </c>
    </row>
    <row r="3846" spans="1:6" x14ac:dyDescent="0.3">
      <c r="A3846" s="31">
        <v>2000014599</v>
      </c>
      <c r="B3846" s="31" t="s">
        <v>4218</v>
      </c>
      <c r="C3846" s="31" t="s">
        <v>2017</v>
      </c>
      <c r="D3846" s="31" t="s">
        <v>2072</v>
      </c>
      <c r="E3846" s="32">
        <v>161.25</v>
      </c>
      <c r="F3846" s="32">
        <v>1</v>
      </c>
    </row>
    <row r="3847" spans="1:6" x14ac:dyDescent="0.3">
      <c r="A3847" s="31">
        <v>1000020289</v>
      </c>
      <c r="B3847" s="31" t="s">
        <v>525</v>
      </c>
      <c r="C3847" s="31" t="s">
        <v>4</v>
      </c>
      <c r="D3847" s="31" t="s">
        <v>2090</v>
      </c>
      <c r="E3847" s="32">
        <v>161.04</v>
      </c>
      <c r="F3847" s="32">
        <v>3</v>
      </c>
    </row>
    <row r="3848" spans="1:6" x14ac:dyDescent="0.3">
      <c r="A3848" s="31">
        <v>1000021096</v>
      </c>
      <c r="B3848" s="31" t="s">
        <v>1258</v>
      </c>
      <c r="C3848" s="31" t="s">
        <v>4</v>
      </c>
      <c r="D3848" s="31" t="s">
        <v>2090</v>
      </c>
      <c r="E3848" s="32">
        <v>160.76</v>
      </c>
      <c r="F3848" s="32">
        <v>1</v>
      </c>
    </row>
    <row r="3849" spans="1:6" x14ac:dyDescent="0.3">
      <c r="A3849" s="31">
        <v>1000101064</v>
      </c>
      <c r="B3849" s="31" t="s">
        <v>4219</v>
      </c>
      <c r="C3849" s="31" t="s">
        <v>4</v>
      </c>
      <c r="D3849" s="31" t="s">
        <v>2090</v>
      </c>
      <c r="E3849" s="32">
        <v>160.69</v>
      </c>
      <c r="F3849" s="32">
        <v>1</v>
      </c>
    </row>
    <row r="3850" spans="1:6" x14ac:dyDescent="0.3">
      <c r="A3850" s="31">
        <v>1000020797</v>
      </c>
      <c r="B3850" s="31" t="s">
        <v>1001</v>
      </c>
      <c r="C3850" s="31" t="s">
        <v>4</v>
      </c>
      <c r="D3850" s="31" t="s">
        <v>2090</v>
      </c>
      <c r="E3850" s="32">
        <v>160.52000000000001</v>
      </c>
      <c r="F3850" s="32">
        <v>2</v>
      </c>
    </row>
    <row r="3851" spans="1:6" x14ac:dyDescent="0.3">
      <c r="A3851" s="31">
        <v>1000103147</v>
      </c>
      <c r="B3851" s="31" t="s">
        <v>4220</v>
      </c>
      <c r="C3851" s="31" t="s">
        <v>4</v>
      </c>
      <c r="D3851" s="31" t="s">
        <v>2090</v>
      </c>
      <c r="E3851" s="32">
        <v>160.49</v>
      </c>
      <c r="F3851" s="32">
        <v>3</v>
      </c>
    </row>
    <row r="3852" spans="1:6" x14ac:dyDescent="0.3">
      <c r="A3852" s="31">
        <v>1000103010</v>
      </c>
      <c r="B3852" s="31" t="s">
        <v>4221</v>
      </c>
      <c r="C3852" s="31" t="s">
        <v>4</v>
      </c>
      <c r="D3852" s="31" t="s">
        <v>2090</v>
      </c>
      <c r="E3852" s="32">
        <v>160.43</v>
      </c>
      <c r="F3852" s="32">
        <v>12</v>
      </c>
    </row>
    <row r="3853" spans="1:6" x14ac:dyDescent="0.3">
      <c r="A3853" s="31">
        <v>1000017028</v>
      </c>
      <c r="B3853" s="31" t="s">
        <v>4222</v>
      </c>
      <c r="C3853" s="31" t="s">
        <v>4</v>
      </c>
      <c r="D3853" s="31" t="s">
        <v>3274</v>
      </c>
      <c r="E3853" s="32">
        <v>160</v>
      </c>
      <c r="F3853" s="32">
        <v>80</v>
      </c>
    </row>
    <row r="3854" spans="1:6" x14ac:dyDescent="0.3">
      <c r="A3854" s="31">
        <v>80000009766</v>
      </c>
      <c r="B3854" s="31" t="s">
        <v>4223</v>
      </c>
      <c r="C3854" s="31" t="s">
        <v>2521</v>
      </c>
      <c r="D3854" s="31" t="s">
        <v>2670</v>
      </c>
      <c r="E3854" s="32">
        <v>160</v>
      </c>
      <c r="F3854" s="32">
        <v>200</v>
      </c>
    </row>
    <row r="3855" spans="1:6" x14ac:dyDescent="0.3">
      <c r="A3855" s="31">
        <v>80000009903</v>
      </c>
      <c r="B3855" s="31" t="s">
        <v>4224</v>
      </c>
      <c r="C3855" s="31" t="s">
        <v>2521</v>
      </c>
      <c r="D3855" s="31" t="s">
        <v>3289</v>
      </c>
      <c r="E3855" s="32">
        <v>160</v>
      </c>
      <c r="F3855" s="32">
        <v>8</v>
      </c>
    </row>
    <row r="3856" spans="1:6" x14ac:dyDescent="0.3">
      <c r="A3856" s="31">
        <v>80000009789</v>
      </c>
      <c r="B3856" s="31" t="s">
        <v>4205</v>
      </c>
      <c r="C3856" s="31" t="s">
        <v>2755</v>
      </c>
      <c r="D3856" s="31" t="s">
        <v>2670</v>
      </c>
      <c r="E3856" s="32">
        <v>160</v>
      </c>
      <c r="F3856" s="32">
        <v>8</v>
      </c>
    </row>
    <row r="3857" spans="1:6" x14ac:dyDescent="0.3">
      <c r="A3857" s="31">
        <v>1000020094</v>
      </c>
      <c r="B3857" s="31" t="s">
        <v>352</v>
      </c>
      <c r="C3857" s="31" t="s">
        <v>4</v>
      </c>
      <c r="D3857" s="31" t="s">
        <v>2218</v>
      </c>
      <c r="E3857" s="32">
        <v>159.338333333333</v>
      </c>
      <c r="F3857" s="32">
        <v>1</v>
      </c>
    </row>
    <row r="3858" spans="1:6" x14ac:dyDescent="0.3">
      <c r="A3858" s="31">
        <v>1000101284</v>
      </c>
      <c r="B3858" s="31" t="s">
        <v>1852</v>
      </c>
      <c r="C3858" s="31" t="s">
        <v>4</v>
      </c>
      <c r="D3858" s="31" t="s">
        <v>2056</v>
      </c>
      <c r="E3858" s="32">
        <v>159.2959275</v>
      </c>
      <c r="F3858" s="32">
        <v>15</v>
      </c>
    </row>
    <row r="3859" spans="1:6" x14ac:dyDescent="0.3">
      <c r="A3859" s="31">
        <v>1000020620</v>
      </c>
      <c r="B3859" s="31" t="s">
        <v>836</v>
      </c>
      <c r="C3859" s="31" t="s">
        <v>4</v>
      </c>
      <c r="D3859" s="31" t="s">
        <v>2218</v>
      </c>
      <c r="E3859" s="32">
        <v>158.95881843381801</v>
      </c>
      <c r="F3859" s="32">
        <v>14</v>
      </c>
    </row>
    <row r="3860" spans="1:6" x14ac:dyDescent="0.3">
      <c r="A3860" s="31">
        <v>1000020779</v>
      </c>
      <c r="B3860" s="31" t="s">
        <v>983</v>
      </c>
      <c r="C3860" s="31" t="s">
        <v>4</v>
      </c>
      <c r="D3860" s="31" t="s">
        <v>2090</v>
      </c>
      <c r="E3860" s="32">
        <v>158.94</v>
      </c>
      <c r="F3860" s="32">
        <v>3</v>
      </c>
    </row>
    <row r="3861" spans="1:6" x14ac:dyDescent="0.3">
      <c r="A3861" s="31">
        <v>1000096126</v>
      </c>
      <c r="B3861" s="31" t="s">
        <v>4225</v>
      </c>
      <c r="C3861" s="31" t="s">
        <v>4</v>
      </c>
      <c r="D3861" s="31" t="s">
        <v>2056</v>
      </c>
      <c r="E3861" s="32">
        <v>158.87</v>
      </c>
      <c r="F3861" s="32">
        <v>25</v>
      </c>
    </row>
    <row r="3862" spans="1:6" x14ac:dyDescent="0.3">
      <c r="A3862" s="31">
        <v>1000021380</v>
      </c>
      <c r="B3862" s="31" t="s">
        <v>1464</v>
      </c>
      <c r="C3862" s="31" t="s">
        <v>4</v>
      </c>
      <c r="D3862" s="31" t="s">
        <v>2090</v>
      </c>
      <c r="E3862" s="32">
        <v>158.756</v>
      </c>
      <c r="F3862" s="32">
        <v>2</v>
      </c>
    </row>
    <row r="3863" spans="1:6" x14ac:dyDescent="0.3">
      <c r="A3863" s="31">
        <v>1000020501</v>
      </c>
      <c r="B3863" s="31" t="s">
        <v>726</v>
      </c>
      <c r="C3863" s="31" t="s">
        <v>4</v>
      </c>
      <c r="D3863" s="31" t="s">
        <v>2090</v>
      </c>
      <c r="E3863" s="32">
        <v>157.9</v>
      </c>
      <c r="F3863" s="32">
        <v>2</v>
      </c>
    </row>
    <row r="3864" spans="1:6" x14ac:dyDescent="0.3">
      <c r="A3864" s="31">
        <v>1000098728</v>
      </c>
      <c r="B3864" s="31" t="s">
        <v>1671</v>
      </c>
      <c r="C3864" s="31" t="s">
        <v>4</v>
      </c>
      <c r="D3864" s="31" t="s">
        <v>2090</v>
      </c>
      <c r="E3864" s="32">
        <v>157.75299999999999</v>
      </c>
      <c r="F3864" s="32">
        <v>2</v>
      </c>
    </row>
    <row r="3865" spans="1:6" x14ac:dyDescent="0.3">
      <c r="A3865" s="31">
        <v>1000096776</v>
      </c>
      <c r="B3865" s="31" t="s">
        <v>4226</v>
      </c>
      <c r="C3865" s="31" t="s">
        <v>2844</v>
      </c>
      <c r="D3865" s="31" t="s">
        <v>2056</v>
      </c>
      <c r="E3865" s="32">
        <v>157.72006297358399</v>
      </c>
      <c r="F3865" s="32">
        <v>972</v>
      </c>
    </row>
    <row r="3866" spans="1:6" x14ac:dyDescent="0.3">
      <c r="A3866" s="31">
        <v>1000020012</v>
      </c>
      <c r="B3866" s="31" t="s">
        <v>4227</v>
      </c>
      <c r="C3866" s="31" t="s">
        <v>4</v>
      </c>
      <c r="D3866" s="31" t="s">
        <v>2090</v>
      </c>
      <c r="E3866" s="32">
        <v>157.376</v>
      </c>
      <c r="F3866" s="32">
        <v>8</v>
      </c>
    </row>
    <row r="3867" spans="1:6" x14ac:dyDescent="0.3">
      <c r="A3867" s="31">
        <v>1000092381</v>
      </c>
      <c r="B3867" s="31" t="s">
        <v>4228</v>
      </c>
      <c r="C3867" s="31" t="s">
        <v>4</v>
      </c>
      <c r="D3867" s="31" t="s">
        <v>2218</v>
      </c>
      <c r="E3867" s="32">
        <v>157.02000000000001</v>
      </c>
      <c r="F3867" s="32">
        <v>2</v>
      </c>
    </row>
    <row r="3868" spans="1:6" x14ac:dyDescent="0.3">
      <c r="A3868" s="31">
        <v>1000100235</v>
      </c>
      <c r="B3868" s="31" t="s">
        <v>1692</v>
      </c>
      <c r="C3868" s="31" t="s">
        <v>4</v>
      </c>
      <c r="D3868" s="31" t="s">
        <v>2090</v>
      </c>
      <c r="E3868" s="32">
        <v>156.9468</v>
      </c>
      <c r="F3868" s="32">
        <v>93</v>
      </c>
    </row>
    <row r="3869" spans="1:6" x14ac:dyDescent="0.3">
      <c r="A3869" s="31">
        <v>8000000001</v>
      </c>
      <c r="B3869" s="31" t="s">
        <v>4229</v>
      </c>
      <c r="C3869" s="31" t="s">
        <v>2755</v>
      </c>
      <c r="D3869" s="31" t="s">
        <v>4230</v>
      </c>
      <c r="E3869" s="32">
        <v>156</v>
      </c>
      <c r="F3869" s="32">
        <v>2</v>
      </c>
    </row>
    <row r="3870" spans="1:6" x14ac:dyDescent="0.3">
      <c r="A3870" s="31">
        <v>1000101569</v>
      </c>
      <c r="B3870" s="31" t="s">
        <v>4231</v>
      </c>
      <c r="C3870" s="31" t="s">
        <v>4</v>
      </c>
      <c r="D3870" s="31" t="s">
        <v>2056</v>
      </c>
      <c r="E3870" s="32">
        <v>155.976</v>
      </c>
      <c r="F3870" s="32">
        <v>3</v>
      </c>
    </row>
    <row r="3871" spans="1:6" x14ac:dyDescent="0.3">
      <c r="A3871" s="31">
        <v>1000103011</v>
      </c>
      <c r="B3871" s="31" t="s">
        <v>4232</v>
      </c>
      <c r="C3871" s="31" t="s">
        <v>4</v>
      </c>
      <c r="D3871" s="31" t="s">
        <v>2090</v>
      </c>
      <c r="E3871" s="32">
        <v>155.75933333333299</v>
      </c>
      <c r="F3871" s="32">
        <v>14</v>
      </c>
    </row>
    <row r="3872" spans="1:6" x14ac:dyDescent="0.3">
      <c r="A3872" s="31">
        <v>1000020397</v>
      </c>
      <c r="B3872" s="31" t="s">
        <v>627</v>
      </c>
      <c r="C3872" s="31" t="s">
        <v>4</v>
      </c>
      <c r="D3872" s="31" t="s">
        <v>2090</v>
      </c>
      <c r="E3872" s="32">
        <v>155.41</v>
      </c>
      <c r="F3872" s="32">
        <v>1</v>
      </c>
    </row>
    <row r="3873" spans="1:6" x14ac:dyDescent="0.3">
      <c r="A3873" s="31">
        <v>1000103207</v>
      </c>
      <c r="B3873" s="31" t="s">
        <v>1814</v>
      </c>
      <c r="C3873" s="31" t="s">
        <v>4</v>
      </c>
      <c r="D3873" s="31" t="s">
        <v>2090</v>
      </c>
      <c r="E3873" s="32">
        <v>155.25</v>
      </c>
      <c r="F3873" s="32">
        <v>10</v>
      </c>
    </row>
    <row r="3874" spans="1:6" x14ac:dyDescent="0.3">
      <c r="A3874" s="31">
        <v>1000096394</v>
      </c>
      <c r="B3874" s="31" t="s">
        <v>4233</v>
      </c>
      <c r="C3874" s="31" t="s">
        <v>4</v>
      </c>
      <c r="D3874" s="31" t="s">
        <v>2056</v>
      </c>
      <c r="E3874" s="32">
        <v>154.80000000000001</v>
      </c>
      <c r="F3874" s="32">
        <v>20</v>
      </c>
    </row>
    <row r="3875" spans="1:6" x14ac:dyDescent="0.3">
      <c r="A3875" s="31">
        <v>1000020208</v>
      </c>
      <c r="B3875" s="31" t="s">
        <v>448</v>
      </c>
      <c r="C3875" s="31" t="s">
        <v>4</v>
      </c>
      <c r="D3875" s="31" t="s">
        <v>2090</v>
      </c>
      <c r="E3875" s="32">
        <v>154.63</v>
      </c>
      <c r="F3875" s="32">
        <v>1</v>
      </c>
    </row>
    <row r="3876" spans="1:6" x14ac:dyDescent="0.3">
      <c r="A3876" s="31">
        <v>1000098668</v>
      </c>
      <c r="B3876" s="31" t="s">
        <v>4234</v>
      </c>
      <c r="C3876" s="31" t="s">
        <v>4</v>
      </c>
      <c r="D3876" s="31" t="s">
        <v>2090</v>
      </c>
      <c r="E3876" s="32">
        <v>154.23333333333301</v>
      </c>
      <c r="F3876" s="32">
        <v>1</v>
      </c>
    </row>
    <row r="3877" spans="1:6" x14ac:dyDescent="0.3">
      <c r="A3877" s="31">
        <v>2500009661</v>
      </c>
      <c r="B3877" s="31" t="s">
        <v>4235</v>
      </c>
      <c r="C3877" s="31" t="s">
        <v>1996</v>
      </c>
      <c r="D3877" s="31" t="s">
        <v>2025</v>
      </c>
      <c r="E3877" s="32">
        <v>153.75</v>
      </c>
      <c r="F3877" s="32">
        <v>1</v>
      </c>
    </row>
    <row r="3878" spans="1:6" x14ac:dyDescent="0.3">
      <c r="A3878" s="31">
        <v>1000020900</v>
      </c>
      <c r="B3878" s="31" t="s">
        <v>1082</v>
      </c>
      <c r="C3878" s="31" t="s">
        <v>4</v>
      </c>
      <c r="D3878" s="31" t="s">
        <v>2090</v>
      </c>
      <c r="E3878" s="32">
        <v>153.65</v>
      </c>
      <c r="F3878" s="32">
        <v>1</v>
      </c>
    </row>
    <row r="3879" spans="1:6" x14ac:dyDescent="0.3">
      <c r="A3879" s="31">
        <v>1000020152</v>
      </c>
      <c r="B3879" s="31" t="s">
        <v>403</v>
      </c>
      <c r="C3879" s="31" t="s">
        <v>4</v>
      </c>
      <c r="D3879" s="31" t="s">
        <v>2090</v>
      </c>
      <c r="E3879" s="32">
        <v>153.47999999999999</v>
      </c>
      <c r="F3879" s="32">
        <v>2</v>
      </c>
    </row>
    <row r="3880" spans="1:6" x14ac:dyDescent="0.3">
      <c r="A3880" s="31">
        <v>2500008352</v>
      </c>
      <c r="B3880" s="31" t="s">
        <v>4236</v>
      </c>
      <c r="C3880" s="31" t="s">
        <v>1996</v>
      </c>
      <c r="D3880" s="31" t="s">
        <v>2811</v>
      </c>
      <c r="E3880" s="32">
        <v>153.24</v>
      </c>
      <c r="F3880" s="32">
        <v>1</v>
      </c>
    </row>
    <row r="3881" spans="1:6" x14ac:dyDescent="0.3">
      <c r="A3881" s="31">
        <v>80000253838</v>
      </c>
      <c r="B3881" s="31" t="s">
        <v>4237</v>
      </c>
      <c r="C3881" s="31" t="s">
        <v>2521</v>
      </c>
      <c r="D3881" s="31" t="s">
        <v>3289</v>
      </c>
      <c r="E3881" s="32">
        <v>152</v>
      </c>
      <c r="F3881" s="32">
        <v>1</v>
      </c>
    </row>
    <row r="3882" spans="1:6" x14ac:dyDescent="0.3">
      <c r="A3882" s="31">
        <v>1000021180</v>
      </c>
      <c r="B3882" s="31" t="s">
        <v>1327</v>
      </c>
      <c r="C3882" s="31" t="s">
        <v>4</v>
      </c>
      <c r="D3882" s="31" t="s">
        <v>2090</v>
      </c>
      <c r="E3882" s="32">
        <v>151.63999999999999</v>
      </c>
      <c r="F3882" s="32">
        <v>2</v>
      </c>
    </row>
    <row r="3883" spans="1:6" x14ac:dyDescent="0.3">
      <c r="A3883" s="31">
        <v>1000020467</v>
      </c>
      <c r="B3883" s="31" t="s">
        <v>693</v>
      </c>
      <c r="C3883" s="31" t="s">
        <v>4</v>
      </c>
      <c r="D3883" s="31" t="s">
        <v>2090</v>
      </c>
      <c r="E3883" s="32">
        <v>151.63999999999999</v>
      </c>
      <c r="F3883" s="32">
        <v>4</v>
      </c>
    </row>
    <row r="3884" spans="1:6" x14ac:dyDescent="0.3">
      <c r="A3884" s="31">
        <v>2500008258</v>
      </c>
      <c r="B3884" s="31" t="s">
        <v>4238</v>
      </c>
      <c r="C3884" s="31" t="s">
        <v>1996</v>
      </c>
      <c r="D3884" s="31" t="s">
        <v>2025</v>
      </c>
      <c r="E3884" s="32">
        <v>151.43</v>
      </c>
      <c r="F3884" s="32">
        <v>1</v>
      </c>
    </row>
    <row r="3885" spans="1:6" x14ac:dyDescent="0.3">
      <c r="A3885" s="31">
        <v>2500008077</v>
      </c>
      <c r="B3885" s="31" t="s">
        <v>4239</v>
      </c>
      <c r="C3885" s="31" t="s">
        <v>1996</v>
      </c>
      <c r="D3885" s="31" t="s">
        <v>2025</v>
      </c>
      <c r="E3885" s="32">
        <v>150.64000007499999</v>
      </c>
      <c r="F3885" s="32">
        <v>3</v>
      </c>
    </row>
    <row r="3886" spans="1:6" x14ac:dyDescent="0.3">
      <c r="A3886" s="31">
        <v>1000020478</v>
      </c>
      <c r="B3886" s="31" t="s">
        <v>704</v>
      </c>
      <c r="C3886" s="31" t="s">
        <v>4</v>
      </c>
      <c r="D3886" s="31" t="s">
        <v>2090</v>
      </c>
      <c r="E3886" s="32">
        <v>150.17953125</v>
      </c>
      <c r="F3886" s="32">
        <v>3</v>
      </c>
    </row>
    <row r="3887" spans="1:6" x14ac:dyDescent="0.3">
      <c r="A3887" s="31">
        <v>1000017012</v>
      </c>
      <c r="B3887" s="31" t="s">
        <v>4240</v>
      </c>
      <c r="C3887" s="31" t="s">
        <v>4</v>
      </c>
      <c r="D3887" s="31" t="s">
        <v>3274</v>
      </c>
      <c r="E3887" s="32">
        <v>150</v>
      </c>
      <c r="F3887" s="32">
        <v>50</v>
      </c>
    </row>
    <row r="3888" spans="1:6" x14ac:dyDescent="0.3">
      <c r="A3888" s="31">
        <v>1000095939</v>
      </c>
      <c r="B3888" s="31" t="s">
        <v>4241</v>
      </c>
      <c r="C3888" s="31" t="s">
        <v>4</v>
      </c>
      <c r="D3888" s="31" t="s">
        <v>4242</v>
      </c>
      <c r="E3888" s="32">
        <v>150</v>
      </c>
      <c r="F3888" s="32">
        <v>6</v>
      </c>
    </row>
    <row r="3889" spans="1:6" x14ac:dyDescent="0.3">
      <c r="A3889" s="31">
        <v>1000017013</v>
      </c>
      <c r="B3889" s="31" t="s">
        <v>4243</v>
      </c>
      <c r="C3889" s="31" t="s">
        <v>4</v>
      </c>
      <c r="D3889" s="31" t="s">
        <v>3274</v>
      </c>
      <c r="E3889" s="32">
        <v>150</v>
      </c>
      <c r="F3889" s="32">
        <v>50</v>
      </c>
    </row>
    <row r="3890" spans="1:6" x14ac:dyDescent="0.3">
      <c r="A3890" s="31">
        <v>2500009481</v>
      </c>
      <c r="B3890" s="31" t="s">
        <v>4244</v>
      </c>
      <c r="C3890" s="31" t="s">
        <v>1996</v>
      </c>
      <c r="D3890" s="31" t="s">
        <v>2289</v>
      </c>
      <c r="E3890" s="32">
        <v>150</v>
      </c>
      <c r="F3890" s="32">
        <v>4</v>
      </c>
    </row>
    <row r="3891" spans="1:6" x14ac:dyDescent="0.3">
      <c r="A3891" s="31">
        <v>2500008677</v>
      </c>
      <c r="B3891" s="31" t="s">
        <v>4245</v>
      </c>
      <c r="C3891" s="31" t="s">
        <v>1996</v>
      </c>
      <c r="D3891" s="31" t="s">
        <v>2025</v>
      </c>
      <c r="E3891" s="32">
        <v>150</v>
      </c>
      <c r="F3891" s="32">
        <v>2</v>
      </c>
    </row>
    <row r="3892" spans="1:6" x14ac:dyDescent="0.3">
      <c r="A3892" s="31">
        <v>2500009144</v>
      </c>
      <c r="B3892" s="31" t="s">
        <v>4246</v>
      </c>
      <c r="C3892" s="31" t="s">
        <v>1996</v>
      </c>
      <c r="D3892" s="31" t="s">
        <v>2025</v>
      </c>
      <c r="E3892" s="32">
        <v>150</v>
      </c>
      <c r="F3892" s="32">
        <v>20</v>
      </c>
    </row>
    <row r="3893" spans="1:6" x14ac:dyDescent="0.3">
      <c r="A3893" s="31">
        <v>2500008624</v>
      </c>
      <c r="B3893" s="31" t="s">
        <v>4247</v>
      </c>
      <c r="C3893" s="31" t="s">
        <v>1996</v>
      </c>
      <c r="D3893" s="31" t="s">
        <v>2025</v>
      </c>
      <c r="E3893" s="32">
        <v>150</v>
      </c>
      <c r="F3893" s="32">
        <v>1</v>
      </c>
    </row>
    <row r="3894" spans="1:6" x14ac:dyDescent="0.3">
      <c r="A3894" s="31">
        <v>1000020981</v>
      </c>
      <c r="B3894" s="31" t="s">
        <v>1155</v>
      </c>
      <c r="C3894" s="31" t="s">
        <v>4</v>
      </c>
      <c r="D3894" s="31" t="s">
        <v>2090</v>
      </c>
      <c r="E3894" s="32">
        <v>149.52000000000001</v>
      </c>
      <c r="F3894" s="32">
        <v>3</v>
      </c>
    </row>
    <row r="3895" spans="1:6" x14ac:dyDescent="0.3">
      <c r="A3895" s="31">
        <v>2700000045</v>
      </c>
      <c r="B3895" s="31" t="s">
        <v>237</v>
      </c>
      <c r="C3895" s="31" t="s">
        <v>2037</v>
      </c>
      <c r="D3895" s="31" t="s">
        <v>2038</v>
      </c>
      <c r="E3895" s="32">
        <v>148.94270370370299</v>
      </c>
      <c r="F3895" s="32">
        <v>1</v>
      </c>
    </row>
    <row r="3896" spans="1:6" x14ac:dyDescent="0.3">
      <c r="A3896" s="31">
        <v>1000107189</v>
      </c>
      <c r="B3896" s="31" t="s">
        <v>4248</v>
      </c>
      <c r="C3896" s="31" t="s">
        <v>4</v>
      </c>
      <c r="D3896" s="31" t="s">
        <v>2056</v>
      </c>
      <c r="E3896" s="32">
        <v>148.9</v>
      </c>
      <c r="F3896" s="32">
        <v>720</v>
      </c>
    </row>
    <row r="3897" spans="1:6" x14ac:dyDescent="0.3">
      <c r="A3897" s="31">
        <v>1000020351</v>
      </c>
      <c r="B3897" s="31" t="s">
        <v>583</v>
      </c>
      <c r="C3897" s="31" t="s">
        <v>4</v>
      </c>
      <c r="D3897" s="31" t="s">
        <v>2090</v>
      </c>
      <c r="E3897" s="32">
        <v>148.9</v>
      </c>
      <c r="F3897" s="32">
        <v>5</v>
      </c>
    </row>
    <row r="3898" spans="1:6" x14ac:dyDescent="0.3">
      <c r="A3898" s="31">
        <v>1000021187</v>
      </c>
      <c r="B3898" s="31" t="s">
        <v>1334</v>
      </c>
      <c r="C3898" s="31" t="s">
        <v>4</v>
      </c>
      <c r="D3898" s="31" t="s">
        <v>2090</v>
      </c>
      <c r="E3898" s="32">
        <v>148.86000000000001</v>
      </c>
      <c r="F3898" s="32">
        <v>1</v>
      </c>
    </row>
    <row r="3899" spans="1:6" x14ac:dyDescent="0.3">
      <c r="A3899" s="31">
        <v>2500008466</v>
      </c>
      <c r="B3899" s="31" t="s">
        <v>4249</v>
      </c>
      <c r="C3899" s="31" t="s">
        <v>1996</v>
      </c>
      <c r="D3899" s="31" t="s">
        <v>2025</v>
      </c>
      <c r="E3899" s="32">
        <v>148.5</v>
      </c>
      <c r="F3899" s="32">
        <v>3</v>
      </c>
    </row>
    <row r="3900" spans="1:6" x14ac:dyDescent="0.3">
      <c r="A3900" s="31">
        <v>80000009801</v>
      </c>
      <c r="B3900" s="31" t="s">
        <v>4110</v>
      </c>
      <c r="C3900" s="31" t="s">
        <v>2755</v>
      </c>
      <c r="D3900" s="31" t="s">
        <v>2670</v>
      </c>
      <c r="E3900" s="32">
        <v>148.5</v>
      </c>
      <c r="F3900" s="32">
        <v>33</v>
      </c>
    </row>
    <row r="3901" spans="1:6" x14ac:dyDescent="0.3">
      <c r="A3901" s="31">
        <v>1000103788</v>
      </c>
      <c r="B3901" s="31" t="s">
        <v>4250</v>
      </c>
      <c r="C3901" s="31" t="s">
        <v>4</v>
      </c>
      <c r="D3901" s="31" t="s">
        <v>2056</v>
      </c>
      <c r="E3901" s="32">
        <v>148.38</v>
      </c>
      <c r="F3901" s="32">
        <v>25</v>
      </c>
    </row>
    <row r="3902" spans="1:6" x14ac:dyDescent="0.3">
      <c r="A3902" s="31">
        <v>1000021504</v>
      </c>
      <c r="B3902" s="31" t="s">
        <v>1499</v>
      </c>
      <c r="C3902" s="31" t="s">
        <v>4</v>
      </c>
      <c r="D3902" s="31" t="s">
        <v>2090</v>
      </c>
      <c r="E3902" s="32">
        <v>148.31399999999999</v>
      </c>
      <c r="F3902" s="32">
        <v>3</v>
      </c>
    </row>
    <row r="3903" spans="1:6" x14ac:dyDescent="0.3">
      <c r="A3903" s="31">
        <v>2500008532</v>
      </c>
      <c r="B3903" s="31" t="s">
        <v>1940</v>
      </c>
      <c r="C3903" s="31" t="s">
        <v>1996</v>
      </c>
      <c r="D3903" s="31" t="s">
        <v>2025</v>
      </c>
      <c r="E3903" s="32">
        <v>147.93103448275801</v>
      </c>
      <c r="F3903" s="32">
        <v>20</v>
      </c>
    </row>
    <row r="3904" spans="1:6" x14ac:dyDescent="0.3">
      <c r="A3904" s="31">
        <v>2700000606</v>
      </c>
      <c r="B3904" s="31" t="s">
        <v>316</v>
      </c>
      <c r="C3904" s="31" t="s">
        <v>2037</v>
      </c>
      <c r="D3904" s="31" t="s">
        <v>2038</v>
      </c>
      <c r="E3904" s="32">
        <v>147.92895454545399</v>
      </c>
      <c r="F3904" s="32">
        <v>1</v>
      </c>
    </row>
    <row r="3905" spans="1:6" x14ac:dyDescent="0.3">
      <c r="A3905" s="31">
        <v>1000110388</v>
      </c>
      <c r="B3905" s="31" t="s">
        <v>4251</v>
      </c>
      <c r="C3905" s="31" t="s">
        <v>4</v>
      </c>
      <c r="D3905" s="31" t="s">
        <v>2056</v>
      </c>
      <c r="E3905" s="32">
        <v>147.84</v>
      </c>
      <c r="F3905" s="32">
        <v>6</v>
      </c>
    </row>
    <row r="3906" spans="1:6" x14ac:dyDescent="0.3">
      <c r="A3906" s="31">
        <v>2500008335</v>
      </c>
      <c r="B3906" s="31" t="s">
        <v>4252</v>
      </c>
      <c r="C3906" s="31" t="s">
        <v>1996</v>
      </c>
      <c r="D3906" s="31" t="s">
        <v>2025</v>
      </c>
      <c r="E3906" s="32">
        <v>147.5</v>
      </c>
      <c r="F3906" s="32">
        <v>2</v>
      </c>
    </row>
    <row r="3907" spans="1:6" x14ac:dyDescent="0.3">
      <c r="A3907" s="31">
        <v>1000098600</v>
      </c>
      <c r="B3907" s="31" t="s">
        <v>1605</v>
      </c>
      <c r="C3907" s="31" t="s">
        <v>4</v>
      </c>
      <c r="D3907" s="31" t="s">
        <v>2090</v>
      </c>
      <c r="E3907" s="32">
        <v>147.07499999999999</v>
      </c>
      <c r="F3907" s="32">
        <v>1</v>
      </c>
    </row>
    <row r="3908" spans="1:6" x14ac:dyDescent="0.3">
      <c r="A3908" s="31">
        <v>80000002605</v>
      </c>
      <c r="B3908" s="31" t="s">
        <v>4253</v>
      </c>
      <c r="C3908" s="31" t="s">
        <v>2521</v>
      </c>
      <c r="D3908" s="31" t="s">
        <v>2670</v>
      </c>
      <c r="E3908" s="32">
        <v>146.81502757352899</v>
      </c>
      <c r="F3908" s="32">
        <v>7</v>
      </c>
    </row>
    <row r="3909" spans="1:6" x14ac:dyDescent="0.3">
      <c r="A3909" s="31">
        <v>1000020172</v>
      </c>
      <c r="B3909" s="31" t="s">
        <v>416</v>
      </c>
      <c r="C3909" s="31" t="s">
        <v>4</v>
      </c>
      <c r="D3909" s="31" t="s">
        <v>2090</v>
      </c>
      <c r="E3909" s="32">
        <v>146.72</v>
      </c>
      <c r="F3909" s="32">
        <v>2</v>
      </c>
    </row>
    <row r="3910" spans="1:6" x14ac:dyDescent="0.3">
      <c r="A3910" s="31">
        <v>1000020231</v>
      </c>
      <c r="B3910" s="31" t="s">
        <v>471</v>
      </c>
      <c r="C3910" s="31" t="s">
        <v>4</v>
      </c>
      <c r="D3910" s="31" t="s">
        <v>2090</v>
      </c>
      <c r="E3910" s="32">
        <v>146.356394864414</v>
      </c>
      <c r="F3910" s="32">
        <v>25</v>
      </c>
    </row>
    <row r="3911" spans="1:6" x14ac:dyDescent="0.3">
      <c r="A3911" s="31">
        <v>1000020313</v>
      </c>
      <c r="B3911" s="31" t="s">
        <v>548</v>
      </c>
      <c r="C3911" s="31" t="s">
        <v>4</v>
      </c>
      <c r="D3911" s="31" t="s">
        <v>2090</v>
      </c>
      <c r="E3911" s="32">
        <v>145.47999999999999</v>
      </c>
      <c r="F3911" s="32">
        <v>1</v>
      </c>
    </row>
    <row r="3912" spans="1:6" x14ac:dyDescent="0.3">
      <c r="A3912" s="31">
        <v>1000021213</v>
      </c>
      <c r="B3912" s="31" t="s">
        <v>1359</v>
      </c>
      <c r="C3912" s="31" t="s">
        <v>4</v>
      </c>
      <c r="D3912" s="31" t="s">
        <v>2090</v>
      </c>
      <c r="E3912" s="32">
        <v>145.47999999999999</v>
      </c>
      <c r="F3912" s="32">
        <v>1</v>
      </c>
    </row>
    <row r="3913" spans="1:6" x14ac:dyDescent="0.3">
      <c r="A3913" s="31">
        <v>1000020168</v>
      </c>
      <c r="B3913" s="31" t="s">
        <v>414</v>
      </c>
      <c r="C3913" s="31" t="s">
        <v>4</v>
      </c>
      <c r="D3913" s="31" t="s">
        <v>2090</v>
      </c>
      <c r="E3913" s="32">
        <v>144.65</v>
      </c>
      <c r="F3913" s="32">
        <v>5</v>
      </c>
    </row>
    <row r="3914" spans="1:6" x14ac:dyDescent="0.3">
      <c r="A3914" s="31">
        <v>1000021148</v>
      </c>
      <c r="B3914" s="31" t="s">
        <v>1299</v>
      </c>
      <c r="C3914" s="31" t="s">
        <v>4</v>
      </c>
      <c r="D3914" s="31" t="s">
        <v>2090</v>
      </c>
      <c r="E3914" s="32">
        <v>144.34</v>
      </c>
      <c r="F3914" s="32">
        <v>1</v>
      </c>
    </row>
    <row r="3915" spans="1:6" x14ac:dyDescent="0.3">
      <c r="A3915" s="31">
        <v>1000098725</v>
      </c>
      <c r="B3915" s="31" t="s">
        <v>1668</v>
      </c>
      <c r="C3915" s="31" t="s">
        <v>4</v>
      </c>
      <c r="D3915" s="31" t="s">
        <v>2090</v>
      </c>
      <c r="E3915" s="32">
        <v>144.08199999999999</v>
      </c>
      <c r="F3915" s="32">
        <v>1</v>
      </c>
    </row>
    <row r="3916" spans="1:6" x14ac:dyDescent="0.3">
      <c r="A3916" s="31">
        <v>80000009875</v>
      </c>
      <c r="B3916" s="31" t="s">
        <v>4254</v>
      </c>
      <c r="C3916" s="31" t="s">
        <v>2521</v>
      </c>
      <c r="D3916" s="31" t="s">
        <v>3624</v>
      </c>
      <c r="E3916" s="32">
        <v>144</v>
      </c>
      <c r="F3916" s="32">
        <v>24</v>
      </c>
    </row>
    <row r="3917" spans="1:6" x14ac:dyDescent="0.3">
      <c r="A3917" s="31">
        <v>1000021172</v>
      </c>
      <c r="B3917" s="31" t="s">
        <v>1319</v>
      </c>
      <c r="C3917" s="31" t="s">
        <v>4</v>
      </c>
      <c r="D3917" s="31" t="s">
        <v>2090</v>
      </c>
      <c r="E3917" s="32">
        <v>143.82</v>
      </c>
      <c r="F3917" s="32">
        <v>2</v>
      </c>
    </row>
    <row r="3918" spans="1:6" x14ac:dyDescent="0.3">
      <c r="A3918" s="31">
        <v>1000098737</v>
      </c>
      <c r="B3918" s="31" t="s">
        <v>1677</v>
      </c>
      <c r="C3918" s="31" t="s">
        <v>4</v>
      </c>
      <c r="D3918" s="31" t="s">
        <v>2090</v>
      </c>
      <c r="E3918" s="32">
        <v>143.07</v>
      </c>
      <c r="F3918" s="32">
        <v>2</v>
      </c>
    </row>
    <row r="3919" spans="1:6" x14ac:dyDescent="0.3">
      <c r="A3919" s="31">
        <v>1000102901</v>
      </c>
      <c r="B3919" s="31" t="s">
        <v>4255</v>
      </c>
      <c r="C3919" s="31" t="s">
        <v>4</v>
      </c>
      <c r="D3919" s="31" t="s">
        <v>4256</v>
      </c>
      <c r="E3919" s="32">
        <v>142.80000000000001</v>
      </c>
      <c r="F3919" s="32">
        <v>4</v>
      </c>
    </row>
    <row r="3920" spans="1:6" x14ac:dyDescent="0.3">
      <c r="A3920" s="31">
        <v>1000020367</v>
      </c>
      <c r="B3920" s="31" t="s">
        <v>599</v>
      </c>
      <c r="C3920" s="31" t="s">
        <v>4</v>
      </c>
      <c r="D3920" s="31" t="s">
        <v>2090</v>
      </c>
      <c r="E3920" s="32">
        <v>142.56</v>
      </c>
      <c r="F3920" s="32">
        <v>1</v>
      </c>
    </row>
    <row r="3921" spans="1:6" x14ac:dyDescent="0.3">
      <c r="A3921" s="31">
        <v>2500008136</v>
      </c>
      <c r="B3921" s="31" t="s">
        <v>1917</v>
      </c>
      <c r="C3921" s="31" t="s">
        <v>1996</v>
      </c>
      <c r="D3921" s="31" t="s">
        <v>2025</v>
      </c>
      <c r="E3921" s="32">
        <v>142.5</v>
      </c>
      <c r="F3921" s="32">
        <v>2</v>
      </c>
    </row>
    <row r="3922" spans="1:6" x14ac:dyDescent="0.3">
      <c r="A3922" s="31">
        <v>2500009503</v>
      </c>
      <c r="B3922" s="31" t="s">
        <v>4257</v>
      </c>
      <c r="C3922" s="31" t="s">
        <v>1996</v>
      </c>
      <c r="D3922" s="31" t="s">
        <v>2289</v>
      </c>
      <c r="E3922" s="32">
        <v>142.5</v>
      </c>
      <c r="F3922" s="32">
        <v>2</v>
      </c>
    </row>
    <row r="3923" spans="1:6" x14ac:dyDescent="0.3">
      <c r="A3923" s="31">
        <v>1000020581</v>
      </c>
      <c r="B3923" s="31" t="s">
        <v>797</v>
      </c>
      <c r="C3923" s="31" t="s">
        <v>4</v>
      </c>
      <c r="D3923" s="31" t="s">
        <v>2090</v>
      </c>
      <c r="E3923" s="32">
        <v>142.05000000000001</v>
      </c>
      <c r="F3923" s="32">
        <v>5</v>
      </c>
    </row>
    <row r="3924" spans="1:6" x14ac:dyDescent="0.3">
      <c r="A3924" s="31">
        <v>2500008259</v>
      </c>
      <c r="B3924" s="31" t="s">
        <v>4258</v>
      </c>
      <c r="C3924" s="31" t="s">
        <v>1996</v>
      </c>
      <c r="D3924" s="31" t="s">
        <v>2025</v>
      </c>
      <c r="E3924" s="32">
        <v>141.86000000000001</v>
      </c>
      <c r="F3924" s="32">
        <v>1</v>
      </c>
    </row>
    <row r="3925" spans="1:6" x14ac:dyDescent="0.3">
      <c r="A3925" s="31">
        <v>1000098589</v>
      </c>
      <c r="B3925" s="31" t="s">
        <v>1596</v>
      </c>
      <c r="C3925" s="31" t="s">
        <v>4</v>
      </c>
      <c r="D3925" s="31" t="s">
        <v>2090</v>
      </c>
      <c r="E3925" s="32">
        <v>141.34666666666601</v>
      </c>
      <c r="F3925" s="32">
        <v>1</v>
      </c>
    </row>
    <row r="3926" spans="1:6" x14ac:dyDescent="0.3">
      <c r="A3926" s="31">
        <v>1000098960</v>
      </c>
      <c r="B3926" s="31" t="s">
        <v>4259</v>
      </c>
      <c r="C3926" s="31" t="s">
        <v>4</v>
      </c>
      <c r="D3926" s="31" t="s">
        <v>2056</v>
      </c>
      <c r="E3926" s="32">
        <v>140.61820576131601</v>
      </c>
      <c r="F3926" s="32">
        <v>10</v>
      </c>
    </row>
    <row r="3927" spans="1:6" x14ac:dyDescent="0.3">
      <c r="A3927" s="31">
        <v>1000015066</v>
      </c>
      <c r="B3927" s="31" t="s">
        <v>59</v>
      </c>
      <c r="C3927" s="31" t="s">
        <v>4</v>
      </c>
      <c r="D3927" s="31" t="s">
        <v>2043</v>
      </c>
      <c r="E3927" s="32">
        <v>140.08000000000001</v>
      </c>
      <c r="F3927" s="32">
        <v>2</v>
      </c>
    </row>
    <row r="3928" spans="1:6" x14ac:dyDescent="0.3">
      <c r="A3928" s="31">
        <v>80000009768</v>
      </c>
      <c r="B3928" s="31" t="s">
        <v>4260</v>
      </c>
      <c r="C3928" s="31" t="s">
        <v>2521</v>
      </c>
      <c r="D3928" s="31" t="s">
        <v>2670</v>
      </c>
      <c r="E3928" s="32">
        <v>140.03080953919999</v>
      </c>
      <c r="F3928" s="32">
        <v>200</v>
      </c>
    </row>
    <row r="3929" spans="1:6" x14ac:dyDescent="0.3">
      <c r="A3929" s="31">
        <v>80000009826</v>
      </c>
      <c r="B3929" s="31" t="s">
        <v>4053</v>
      </c>
      <c r="C3929" s="31" t="s">
        <v>2755</v>
      </c>
      <c r="D3929" s="31" t="s">
        <v>2670</v>
      </c>
      <c r="E3929" s="32">
        <v>140</v>
      </c>
      <c r="F3929" s="32">
        <v>10</v>
      </c>
    </row>
    <row r="3930" spans="1:6" x14ac:dyDescent="0.3">
      <c r="A3930" s="31">
        <v>1000020668</v>
      </c>
      <c r="B3930" s="31" t="s">
        <v>881</v>
      </c>
      <c r="C3930" s="31" t="s">
        <v>4</v>
      </c>
      <c r="D3930" s="31" t="s">
        <v>2090</v>
      </c>
      <c r="E3930" s="32">
        <v>139.980213732062</v>
      </c>
      <c r="F3930" s="32">
        <v>3</v>
      </c>
    </row>
    <row r="3931" spans="1:6" x14ac:dyDescent="0.3">
      <c r="A3931" s="31">
        <v>1000020385</v>
      </c>
      <c r="B3931" s="31" t="s">
        <v>615</v>
      </c>
      <c r="C3931" s="31" t="s">
        <v>4</v>
      </c>
      <c r="D3931" s="31" t="s">
        <v>2090</v>
      </c>
      <c r="E3931" s="32">
        <v>139.4</v>
      </c>
      <c r="F3931" s="32">
        <v>10</v>
      </c>
    </row>
    <row r="3932" spans="1:6" x14ac:dyDescent="0.3">
      <c r="A3932" s="31">
        <v>2500008250</v>
      </c>
      <c r="B3932" s="31" t="s">
        <v>4261</v>
      </c>
      <c r="C3932" s="31" t="s">
        <v>1996</v>
      </c>
      <c r="D3932" s="31" t="s">
        <v>2025</v>
      </c>
      <c r="E3932" s="32">
        <v>138.6455</v>
      </c>
      <c r="F3932" s="32">
        <v>2</v>
      </c>
    </row>
    <row r="3933" spans="1:6" x14ac:dyDescent="0.3">
      <c r="A3933" s="31">
        <v>1000021082</v>
      </c>
      <c r="B3933" s="31" t="s">
        <v>1244</v>
      </c>
      <c r="C3933" s="31" t="s">
        <v>4</v>
      </c>
      <c r="D3933" s="31" t="s">
        <v>2090</v>
      </c>
      <c r="E3933" s="32">
        <v>138.4</v>
      </c>
      <c r="F3933" s="32">
        <v>2</v>
      </c>
    </row>
    <row r="3934" spans="1:6" x14ac:dyDescent="0.3">
      <c r="A3934" s="31">
        <v>1000020897</v>
      </c>
      <c r="B3934" s="31" t="s">
        <v>1079</v>
      </c>
      <c r="C3934" s="31" t="s">
        <v>4</v>
      </c>
      <c r="D3934" s="31" t="s">
        <v>2090</v>
      </c>
      <c r="E3934" s="32">
        <v>137.35</v>
      </c>
      <c r="F3934" s="32">
        <v>1</v>
      </c>
    </row>
    <row r="3935" spans="1:6" x14ac:dyDescent="0.3">
      <c r="A3935" s="31">
        <v>1000100396</v>
      </c>
      <c r="B3935" s="31" t="s">
        <v>1724</v>
      </c>
      <c r="C3935" s="31" t="s">
        <v>4</v>
      </c>
      <c r="D3935" s="31" t="s">
        <v>2090</v>
      </c>
      <c r="E3935" s="32">
        <v>136.94999999999999</v>
      </c>
      <c r="F3935" s="32">
        <v>1</v>
      </c>
    </row>
    <row r="3936" spans="1:6" x14ac:dyDescent="0.3">
      <c r="A3936" s="31">
        <v>2700000166</v>
      </c>
      <c r="B3936" s="31" t="s">
        <v>275</v>
      </c>
      <c r="C3936" s="31" t="s">
        <v>2037</v>
      </c>
      <c r="D3936" s="31" t="s">
        <v>2038</v>
      </c>
      <c r="E3936" s="32">
        <v>136.71</v>
      </c>
      <c r="F3936" s="32">
        <v>3</v>
      </c>
    </row>
    <row r="3937" spans="1:6" x14ac:dyDescent="0.3">
      <c r="A3937" s="31">
        <v>1000020294</v>
      </c>
      <c r="B3937" s="31" t="s">
        <v>530</v>
      </c>
      <c r="C3937" s="31" t="s">
        <v>4</v>
      </c>
      <c r="D3937" s="31" t="s">
        <v>2090</v>
      </c>
      <c r="E3937" s="32">
        <v>136.22</v>
      </c>
      <c r="F3937" s="32">
        <v>2</v>
      </c>
    </row>
    <row r="3938" spans="1:6" x14ac:dyDescent="0.3">
      <c r="A3938" s="31">
        <v>1000096899</v>
      </c>
      <c r="B3938" s="31" t="s">
        <v>4262</v>
      </c>
      <c r="C3938" s="31" t="s">
        <v>4</v>
      </c>
      <c r="D3938" s="31" t="s">
        <v>2056</v>
      </c>
      <c r="E3938" s="32">
        <v>136</v>
      </c>
      <c r="F3938" s="32">
        <v>1</v>
      </c>
    </row>
    <row r="3939" spans="1:6" x14ac:dyDescent="0.3">
      <c r="A3939" s="31">
        <v>2700000118</v>
      </c>
      <c r="B3939" s="31" t="s">
        <v>259</v>
      </c>
      <c r="C3939" s="31" t="s">
        <v>2088</v>
      </c>
      <c r="D3939" s="31" t="s">
        <v>2038</v>
      </c>
      <c r="E3939" s="32">
        <v>135.89537081747099</v>
      </c>
      <c r="F3939" s="32">
        <v>1</v>
      </c>
    </row>
    <row r="3940" spans="1:6" x14ac:dyDescent="0.3">
      <c r="A3940" s="31">
        <v>1000101739</v>
      </c>
      <c r="B3940" s="31" t="s">
        <v>4263</v>
      </c>
      <c r="C3940" s="31" t="s">
        <v>2027</v>
      </c>
      <c r="D3940" s="31" t="s">
        <v>3562</v>
      </c>
      <c r="E3940" s="32">
        <v>135.4</v>
      </c>
      <c r="F3940" s="32">
        <v>5</v>
      </c>
    </row>
    <row r="3941" spans="1:6" x14ac:dyDescent="0.3">
      <c r="A3941" s="31">
        <v>1000093599</v>
      </c>
      <c r="B3941" s="31" t="s">
        <v>4264</v>
      </c>
      <c r="C3941" s="31" t="s">
        <v>4</v>
      </c>
      <c r="D3941" s="31" t="s">
        <v>2056</v>
      </c>
      <c r="E3941" s="32">
        <v>135.28215720758001</v>
      </c>
      <c r="F3941" s="32">
        <v>4</v>
      </c>
    </row>
    <row r="3942" spans="1:6" x14ac:dyDescent="0.3">
      <c r="A3942" s="31">
        <v>1000109367</v>
      </c>
      <c r="B3942" s="31" t="s">
        <v>4265</v>
      </c>
      <c r="C3942" s="31" t="s">
        <v>4</v>
      </c>
      <c r="D3942" s="31" t="s">
        <v>2043</v>
      </c>
      <c r="E3942" s="32">
        <v>135.24</v>
      </c>
      <c r="F3942" s="32">
        <v>3</v>
      </c>
    </row>
    <row r="3943" spans="1:6" x14ac:dyDescent="0.3">
      <c r="A3943" s="31">
        <v>1000107466</v>
      </c>
      <c r="B3943" s="31" t="s">
        <v>4266</v>
      </c>
      <c r="C3943" s="31" t="s">
        <v>4</v>
      </c>
      <c r="D3943" s="31" t="s">
        <v>2043</v>
      </c>
      <c r="E3943" s="32">
        <v>135.24</v>
      </c>
      <c r="F3943" s="32">
        <v>3</v>
      </c>
    </row>
    <row r="3944" spans="1:6" x14ac:dyDescent="0.3">
      <c r="A3944" s="31">
        <v>1000017027</v>
      </c>
      <c r="B3944" s="31" t="s">
        <v>4222</v>
      </c>
      <c r="C3944" s="31" t="s">
        <v>4</v>
      </c>
      <c r="D3944" s="31" t="s">
        <v>3274</v>
      </c>
      <c r="E3944" s="32">
        <v>135</v>
      </c>
      <c r="F3944" s="32">
        <v>90</v>
      </c>
    </row>
    <row r="3945" spans="1:6" x14ac:dyDescent="0.3">
      <c r="A3945" s="31">
        <v>1000097186</v>
      </c>
      <c r="B3945" s="31" t="s">
        <v>4267</v>
      </c>
      <c r="C3945" s="31" t="s">
        <v>4</v>
      </c>
      <c r="D3945" s="31" t="s">
        <v>2090</v>
      </c>
      <c r="E3945" s="32">
        <v>134.38</v>
      </c>
      <c r="F3945" s="32">
        <v>2</v>
      </c>
    </row>
    <row r="3946" spans="1:6" x14ac:dyDescent="0.3">
      <c r="A3946" s="31">
        <v>1000020027</v>
      </c>
      <c r="B3946" s="31" t="s">
        <v>4268</v>
      </c>
      <c r="C3946" s="31" t="s">
        <v>4</v>
      </c>
      <c r="D3946" s="31" t="s">
        <v>2090</v>
      </c>
      <c r="E3946" s="32">
        <v>134.274</v>
      </c>
      <c r="F3946" s="32">
        <v>15</v>
      </c>
    </row>
    <row r="3947" spans="1:6" x14ac:dyDescent="0.3">
      <c r="A3947" s="31">
        <v>1000096171</v>
      </c>
      <c r="B3947" s="31" t="s">
        <v>4269</v>
      </c>
      <c r="C3947" s="31" t="s">
        <v>4</v>
      </c>
      <c r="D3947" s="31" t="s">
        <v>2090</v>
      </c>
      <c r="E3947" s="32">
        <v>133.97999999999999</v>
      </c>
      <c r="F3947" s="32">
        <v>4</v>
      </c>
    </row>
    <row r="3948" spans="1:6" x14ac:dyDescent="0.3">
      <c r="A3948" s="31">
        <v>1000103747</v>
      </c>
      <c r="B3948" s="31" t="s">
        <v>1885</v>
      </c>
      <c r="C3948" s="31" t="s">
        <v>4</v>
      </c>
      <c r="D3948" s="31" t="s">
        <v>2056</v>
      </c>
      <c r="E3948" s="32">
        <v>133.58000000000001</v>
      </c>
      <c r="F3948" s="32">
        <v>50</v>
      </c>
    </row>
    <row r="3949" spans="1:6" x14ac:dyDescent="0.3">
      <c r="A3949" s="31">
        <v>1000010224</v>
      </c>
      <c r="B3949" s="31" t="s">
        <v>4270</v>
      </c>
      <c r="C3949" s="31" t="s">
        <v>4</v>
      </c>
      <c r="D3949" s="31" t="s">
        <v>2161</v>
      </c>
      <c r="E3949" s="32">
        <v>133.46010000000001</v>
      </c>
      <c r="F3949" s="32">
        <v>3</v>
      </c>
    </row>
    <row r="3950" spans="1:6" x14ac:dyDescent="0.3">
      <c r="A3950" s="31">
        <v>1000096245</v>
      </c>
      <c r="B3950" s="31" t="s">
        <v>4271</v>
      </c>
      <c r="C3950" s="31" t="s">
        <v>4</v>
      </c>
      <c r="D3950" s="31" t="s">
        <v>2090</v>
      </c>
      <c r="E3950" s="32">
        <v>133.40600000000001</v>
      </c>
      <c r="F3950" s="32">
        <v>13</v>
      </c>
    </row>
    <row r="3951" spans="1:6" x14ac:dyDescent="0.3">
      <c r="A3951" s="31">
        <v>1000020366</v>
      </c>
      <c r="B3951" s="31" t="s">
        <v>598</v>
      </c>
      <c r="C3951" s="31" t="s">
        <v>4</v>
      </c>
      <c r="D3951" s="31" t="s">
        <v>2090</v>
      </c>
      <c r="E3951" s="32">
        <v>133.37</v>
      </c>
      <c r="F3951" s="32">
        <v>1</v>
      </c>
    </row>
    <row r="3952" spans="1:6" x14ac:dyDescent="0.3">
      <c r="A3952" s="31">
        <v>1000107652</v>
      </c>
      <c r="B3952" s="31" t="s">
        <v>4272</v>
      </c>
      <c r="C3952" s="31" t="s">
        <v>4</v>
      </c>
      <c r="D3952" s="31" t="s">
        <v>2056</v>
      </c>
      <c r="E3952" s="32">
        <v>133</v>
      </c>
      <c r="F3952" s="32">
        <v>25</v>
      </c>
    </row>
    <row r="3953" spans="1:6" x14ac:dyDescent="0.3">
      <c r="A3953" s="31">
        <v>1000097873</v>
      </c>
      <c r="B3953" s="31" t="s">
        <v>4273</v>
      </c>
      <c r="C3953" s="31" t="s">
        <v>2257</v>
      </c>
      <c r="D3953" s="31" t="s">
        <v>2070</v>
      </c>
      <c r="E3953" s="32">
        <v>132.79872222222201</v>
      </c>
      <c r="F3953" s="32">
        <v>12</v>
      </c>
    </row>
    <row r="3954" spans="1:6" x14ac:dyDescent="0.3">
      <c r="A3954" s="31">
        <v>1000020439</v>
      </c>
      <c r="B3954" s="31" t="s">
        <v>666</v>
      </c>
      <c r="C3954" s="31" t="s">
        <v>4</v>
      </c>
      <c r="D3954" s="31" t="s">
        <v>2090</v>
      </c>
      <c r="E3954" s="32">
        <v>132.71250000000001</v>
      </c>
      <c r="F3954" s="32">
        <v>11</v>
      </c>
    </row>
    <row r="3955" spans="1:6" x14ac:dyDescent="0.3">
      <c r="A3955" s="31">
        <v>1000100350</v>
      </c>
      <c r="B3955" s="31" t="s">
        <v>4274</v>
      </c>
      <c r="C3955" s="31" t="s">
        <v>4</v>
      </c>
      <c r="D3955" s="31" t="s">
        <v>2090</v>
      </c>
      <c r="E3955" s="32">
        <v>132.30000000000001</v>
      </c>
      <c r="F3955" s="32">
        <v>4</v>
      </c>
    </row>
    <row r="3956" spans="1:6" x14ac:dyDescent="0.3">
      <c r="A3956" s="31">
        <v>1000020594</v>
      </c>
      <c r="B3956" s="31" t="s">
        <v>810</v>
      </c>
      <c r="C3956" s="31" t="s">
        <v>4</v>
      </c>
      <c r="D3956" s="31" t="s">
        <v>2090</v>
      </c>
      <c r="E3956" s="32">
        <v>132</v>
      </c>
      <c r="F3956" s="32">
        <v>25</v>
      </c>
    </row>
    <row r="3957" spans="1:6" x14ac:dyDescent="0.3">
      <c r="A3957" s="31">
        <v>1000020588</v>
      </c>
      <c r="B3957" s="31" t="s">
        <v>804</v>
      </c>
      <c r="C3957" s="31" t="s">
        <v>4</v>
      </c>
      <c r="D3957" s="31" t="s">
        <v>2090</v>
      </c>
      <c r="E3957" s="32">
        <v>132</v>
      </c>
      <c r="F3957" s="32">
        <v>25</v>
      </c>
    </row>
    <row r="3958" spans="1:6" x14ac:dyDescent="0.3">
      <c r="A3958" s="31">
        <v>80000009770</v>
      </c>
      <c r="B3958" s="31" t="s">
        <v>4275</v>
      </c>
      <c r="C3958" s="31" t="s">
        <v>2755</v>
      </c>
      <c r="D3958" s="31" t="s">
        <v>2670</v>
      </c>
      <c r="E3958" s="32">
        <v>132</v>
      </c>
      <c r="F3958" s="32">
        <v>60</v>
      </c>
    </row>
    <row r="3959" spans="1:6" x14ac:dyDescent="0.3">
      <c r="A3959" s="31">
        <v>1000100383</v>
      </c>
      <c r="B3959" s="31" t="s">
        <v>1713</v>
      </c>
      <c r="C3959" s="31" t="s">
        <v>4</v>
      </c>
      <c r="D3959" s="31" t="s">
        <v>2090</v>
      </c>
      <c r="E3959" s="32">
        <v>131.95966666666601</v>
      </c>
      <c r="F3959" s="32">
        <v>29</v>
      </c>
    </row>
    <row r="3960" spans="1:6" x14ac:dyDescent="0.3">
      <c r="A3960" s="31">
        <v>1000020307</v>
      </c>
      <c r="B3960" s="31" t="s">
        <v>543</v>
      </c>
      <c r="C3960" s="31" t="s">
        <v>4</v>
      </c>
      <c r="D3960" s="31" t="s">
        <v>2090</v>
      </c>
      <c r="E3960" s="32">
        <v>131.92500000000001</v>
      </c>
      <c r="F3960" s="32">
        <v>1</v>
      </c>
    </row>
    <row r="3961" spans="1:6" x14ac:dyDescent="0.3">
      <c r="A3961" s="31">
        <v>2700000255</v>
      </c>
      <c r="B3961" s="31" t="s">
        <v>302</v>
      </c>
      <c r="C3961" s="31" t="s">
        <v>2037</v>
      </c>
      <c r="D3961" s="31" t="s">
        <v>2038</v>
      </c>
      <c r="E3961" s="32">
        <v>131.58000000000001</v>
      </c>
      <c r="F3961" s="32">
        <v>1</v>
      </c>
    </row>
    <row r="3962" spans="1:6" x14ac:dyDescent="0.3">
      <c r="A3962" s="31">
        <v>1000020469</v>
      </c>
      <c r="B3962" s="31" t="s">
        <v>695</v>
      </c>
      <c r="C3962" s="31" t="s">
        <v>4</v>
      </c>
      <c r="D3962" s="31" t="s">
        <v>2090</v>
      </c>
      <c r="E3962" s="32">
        <v>131.52000000000001</v>
      </c>
      <c r="F3962" s="32">
        <v>4</v>
      </c>
    </row>
    <row r="3963" spans="1:6" x14ac:dyDescent="0.3">
      <c r="A3963" s="31">
        <v>1000021100</v>
      </c>
      <c r="B3963" s="31" t="s">
        <v>1261</v>
      </c>
      <c r="C3963" s="31" t="s">
        <v>4</v>
      </c>
      <c r="D3963" s="31" t="s">
        <v>2090</v>
      </c>
      <c r="E3963" s="32">
        <v>131.26</v>
      </c>
      <c r="F3963" s="32">
        <v>1</v>
      </c>
    </row>
    <row r="3964" spans="1:6" x14ac:dyDescent="0.3">
      <c r="A3964" s="31">
        <v>1000020672</v>
      </c>
      <c r="B3964" s="31" t="s">
        <v>885</v>
      </c>
      <c r="C3964" s="31" t="s">
        <v>4</v>
      </c>
      <c r="D3964" s="31" t="s">
        <v>2090</v>
      </c>
      <c r="E3964" s="32">
        <v>131.25</v>
      </c>
      <c r="F3964" s="32">
        <v>3</v>
      </c>
    </row>
    <row r="3965" spans="1:6" x14ac:dyDescent="0.3">
      <c r="A3965" s="31">
        <v>1000097873</v>
      </c>
      <c r="B3965" s="31" t="s">
        <v>4273</v>
      </c>
      <c r="C3965" s="31" t="s">
        <v>2109</v>
      </c>
      <c r="D3965" s="31" t="s">
        <v>2070</v>
      </c>
      <c r="E3965" s="32">
        <v>131.02500000000001</v>
      </c>
      <c r="F3965" s="32">
        <v>5</v>
      </c>
    </row>
    <row r="3966" spans="1:6" x14ac:dyDescent="0.3">
      <c r="A3966" s="31">
        <v>1000110824</v>
      </c>
      <c r="B3966" s="31" t="s">
        <v>4276</v>
      </c>
      <c r="C3966" s="31" t="s">
        <v>4</v>
      </c>
      <c r="D3966" s="31" t="s">
        <v>2056</v>
      </c>
      <c r="E3966" s="32">
        <v>130.07320000000001</v>
      </c>
      <c r="F3966" s="32">
        <v>4</v>
      </c>
    </row>
    <row r="3967" spans="1:6" x14ac:dyDescent="0.3">
      <c r="A3967" s="31">
        <v>2500008456</v>
      </c>
      <c r="B3967" s="31" t="s">
        <v>4277</v>
      </c>
      <c r="C3967" s="31" t="s">
        <v>1996</v>
      </c>
      <c r="D3967" s="31" t="s">
        <v>2025</v>
      </c>
      <c r="E3967" s="32">
        <v>129.9375</v>
      </c>
      <c r="F3967" s="32">
        <v>1</v>
      </c>
    </row>
    <row r="3968" spans="1:6" x14ac:dyDescent="0.3">
      <c r="A3968" s="31">
        <v>1000099505</v>
      </c>
      <c r="B3968" s="31" t="s">
        <v>4278</v>
      </c>
      <c r="C3968" s="31" t="s">
        <v>4</v>
      </c>
      <c r="D3968" s="31" t="s">
        <v>2090</v>
      </c>
      <c r="E3968" s="32">
        <v>129.88</v>
      </c>
      <c r="F3968" s="32">
        <v>29</v>
      </c>
    </row>
    <row r="3969" spans="1:6" x14ac:dyDescent="0.3">
      <c r="A3969" s="31">
        <v>1000020997</v>
      </c>
      <c r="B3969" s="31" t="s">
        <v>1170</v>
      </c>
      <c r="C3969" s="31" t="s">
        <v>4</v>
      </c>
      <c r="D3969" s="31" t="s">
        <v>2090</v>
      </c>
      <c r="E3969" s="32">
        <v>129.47615384615301</v>
      </c>
      <c r="F3969" s="32">
        <v>1</v>
      </c>
    </row>
    <row r="3970" spans="1:6" x14ac:dyDescent="0.3">
      <c r="A3970" s="31">
        <v>1000020921</v>
      </c>
      <c r="B3970" s="31" t="s">
        <v>1101</v>
      </c>
      <c r="C3970" s="31" t="s">
        <v>4</v>
      </c>
      <c r="D3970" s="31" t="s">
        <v>2090</v>
      </c>
      <c r="E3970" s="32">
        <v>129.22</v>
      </c>
      <c r="F3970" s="32">
        <v>1</v>
      </c>
    </row>
    <row r="3971" spans="1:6" x14ac:dyDescent="0.3">
      <c r="A3971" s="31">
        <v>1000100311</v>
      </c>
      <c r="B3971" s="31" t="s">
        <v>4279</v>
      </c>
      <c r="C3971" s="31" t="s">
        <v>4</v>
      </c>
      <c r="D3971" s="31" t="s">
        <v>2090</v>
      </c>
      <c r="E3971" s="32">
        <v>129.15</v>
      </c>
      <c r="F3971" s="32">
        <v>12</v>
      </c>
    </row>
    <row r="3972" spans="1:6" x14ac:dyDescent="0.3">
      <c r="A3972" s="31">
        <v>2500008446</v>
      </c>
      <c r="B3972" s="31" t="s">
        <v>4280</v>
      </c>
      <c r="C3972" s="31" t="s">
        <v>1996</v>
      </c>
      <c r="D3972" s="31" t="s">
        <v>2025</v>
      </c>
      <c r="E3972" s="32">
        <v>129.107143169642</v>
      </c>
      <c r="F3972" s="32">
        <v>5</v>
      </c>
    </row>
    <row r="3973" spans="1:6" x14ac:dyDescent="0.3">
      <c r="A3973" s="31">
        <v>1000096411</v>
      </c>
      <c r="B3973" s="31" t="s">
        <v>4281</v>
      </c>
      <c r="C3973" s="31" t="s">
        <v>4</v>
      </c>
      <c r="D3973" s="31" t="s">
        <v>2056</v>
      </c>
      <c r="E3973" s="32">
        <v>128.69</v>
      </c>
      <c r="F3973" s="32">
        <v>1</v>
      </c>
    </row>
    <row r="3974" spans="1:6" x14ac:dyDescent="0.3">
      <c r="A3974" s="31">
        <v>1000020226</v>
      </c>
      <c r="B3974" s="31" t="s">
        <v>466</v>
      </c>
      <c r="C3974" s="31" t="s">
        <v>4</v>
      </c>
      <c r="D3974" s="31" t="s">
        <v>2090</v>
      </c>
      <c r="E3974" s="32">
        <v>127.84</v>
      </c>
      <c r="F3974" s="32">
        <v>20</v>
      </c>
    </row>
    <row r="3975" spans="1:6" x14ac:dyDescent="0.3">
      <c r="A3975" s="31">
        <v>1000099723</v>
      </c>
      <c r="B3975" s="31" t="s">
        <v>4282</v>
      </c>
      <c r="C3975" s="31" t="s">
        <v>4</v>
      </c>
      <c r="D3975" s="31" t="s">
        <v>2090</v>
      </c>
      <c r="E3975" s="32">
        <v>127.84</v>
      </c>
      <c r="F3975" s="32">
        <v>1</v>
      </c>
    </row>
    <row r="3976" spans="1:6" x14ac:dyDescent="0.3">
      <c r="A3976" s="31">
        <v>2500008371</v>
      </c>
      <c r="B3976" s="31" t="s">
        <v>4283</v>
      </c>
      <c r="C3976" s="31" t="s">
        <v>1996</v>
      </c>
      <c r="D3976" s="31" t="s">
        <v>2025</v>
      </c>
      <c r="E3976" s="32">
        <v>127.67</v>
      </c>
      <c r="F3976" s="32">
        <v>2</v>
      </c>
    </row>
    <row r="3977" spans="1:6" x14ac:dyDescent="0.3">
      <c r="A3977" s="31">
        <v>1000095832</v>
      </c>
      <c r="B3977" s="31" t="s">
        <v>4284</v>
      </c>
      <c r="C3977" s="31" t="s">
        <v>4</v>
      </c>
      <c r="D3977" s="31" t="s">
        <v>2056</v>
      </c>
      <c r="E3977" s="32">
        <v>127.5</v>
      </c>
      <c r="F3977" s="32">
        <v>1</v>
      </c>
    </row>
    <row r="3978" spans="1:6" x14ac:dyDescent="0.3">
      <c r="A3978" s="31">
        <v>2500009420</v>
      </c>
      <c r="B3978" s="31" t="s">
        <v>4285</v>
      </c>
      <c r="C3978" s="31" t="s">
        <v>1996</v>
      </c>
      <c r="D3978" s="31" t="s">
        <v>2289</v>
      </c>
      <c r="E3978" s="32">
        <v>127.5</v>
      </c>
      <c r="F3978" s="32">
        <v>1</v>
      </c>
    </row>
    <row r="3979" spans="1:6" x14ac:dyDescent="0.3">
      <c r="A3979" s="31">
        <v>2500009113</v>
      </c>
      <c r="B3979" s="31" t="s">
        <v>4286</v>
      </c>
      <c r="C3979" s="31" t="s">
        <v>1996</v>
      </c>
      <c r="D3979" s="31" t="s">
        <v>2289</v>
      </c>
      <c r="E3979" s="32">
        <v>127.5</v>
      </c>
      <c r="F3979" s="32">
        <v>1</v>
      </c>
    </row>
    <row r="3980" spans="1:6" x14ac:dyDescent="0.3">
      <c r="A3980" s="31">
        <v>2500009340</v>
      </c>
      <c r="B3980" s="31" t="s">
        <v>4287</v>
      </c>
      <c r="C3980" s="31" t="s">
        <v>1996</v>
      </c>
      <c r="D3980" s="31" t="s">
        <v>2289</v>
      </c>
      <c r="E3980" s="32">
        <v>127.5</v>
      </c>
      <c r="F3980" s="32">
        <v>2</v>
      </c>
    </row>
    <row r="3981" spans="1:6" x14ac:dyDescent="0.3">
      <c r="A3981" s="31">
        <v>80000009755</v>
      </c>
      <c r="B3981" s="31" t="s">
        <v>4288</v>
      </c>
      <c r="C3981" s="31" t="s">
        <v>2755</v>
      </c>
      <c r="D3981" s="31" t="s">
        <v>2670</v>
      </c>
      <c r="E3981" s="32">
        <v>127.5</v>
      </c>
      <c r="F3981" s="32">
        <v>17</v>
      </c>
    </row>
    <row r="3982" spans="1:6" x14ac:dyDescent="0.3">
      <c r="A3982" s="31">
        <v>1000095771</v>
      </c>
      <c r="B3982" s="31" t="s">
        <v>4289</v>
      </c>
      <c r="C3982" s="31" t="s">
        <v>4</v>
      </c>
      <c r="D3982" s="31" t="s">
        <v>2056</v>
      </c>
      <c r="E3982" s="32">
        <v>127.49</v>
      </c>
      <c r="F3982" s="32">
        <v>50</v>
      </c>
    </row>
    <row r="3983" spans="1:6" x14ac:dyDescent="0.3">
      <c r="A3983" s="31">
        <v>1000110661</v>
      </c>
      <c r="B3983" s="31" t="s">
        <v>4290</v>
      </c>
      <c r="C3983" s="31" t="s">
        <v>4</v>
      </c>
      <c r="D3983" s="31" t="s">
        <v>2090</v>
      </c>
      <c r="E3983" s="32">
        <v>126.9</v>
      </c>
      <c r="F3983" s="32">
        <v>6</v>
      </c>
    </row>
    <row r="3984" spans="1:6" x14ac:dyDescent="0.3">
      <c r="A3984" s="31">
        <v>1000020057</v>
      </c>
      <c r="B3984" s="31" t="s">
        <v>4291</v>
      </c>
      <c r="C3984" s="31" t="s">
        <v>4</v>
      </c>
      <c r="D3984" s="31" t="s">
        <v>2090</v>
      </c>
      <c r="E3984" s="32">
        <v>126.627519230769</v>
      </c>
      <c r="F3984" s="32">
        <v>9</v>
      </c>
    </row>
    <row r="3985" spans="1:6" x14ac:dyDescent="0.3">
      <c r="A3985" s="31">
        <v>1000096300</v>
      </c>
      <c r="B3985" s="31" t="s">
        <v>4292</v>
      </c>
      <c r="C3985" s="31" t="s">
        <v>4</v>
      </c>
      <c r="D3985" s="31" t="s">
        <v>2056</v>
      </c>
      <c r="E3985" s="32">
        <v>126.0252</v>
      </c>
      <c r="F3985" s="32">
        <v>9</v>
      </c>
    </row>
    <row r="3986" spans="1:6" x14ac:dyDescent="0.3">
      <c r="A3986" s="31">
        <v>80000009816</v>
      </c>
      <c r="B3986" s="31" t="s">
        <v>4293</v>
      </c>
      <c r="C3986" s="31" t="s">
        <v>2521</v>
      </c>
      <c r="D3986" s="31" t="s">
        <v>2670</v>
      </c>
      <c r="E3986" s="32">
        <v>126</v>
      </c>
      <c r="F3986" s="32">
        <v>21</v>
      </c>
    </row>
    <row r="3987" spans="1:6" x14ac:dyDescent="0.3">
      <c r="A3987" s="31">
        <v>1000020167</v>
      </c>
      <c r="B3987" s="31" t="s">
        <v>413</v>
      </c>
      <c r="C3987" s="31" t="s">
        <v>4</v>
      </c>
      <c r="D3987" s="31" t="s">
        <v>2090</v>
      </c>
      <c r="E3987" s="32">
        <v>125.85</v>
      </c>
      <c r="F3987" s="32">
        <v>5</v>
      </c>
    </row>
    <row r="3988" spans="1:6" x14ac:dyDescent="0.3">
      <c r="A3988" s="31">
        <v>1000102228</v>
      </c>
      <c r="B3988" s="31" t="s">
        <v>1780</v>
      </c>
      <c r="C3988" s="31" t="s">
        <v>4</v>
      </c>
      <c r="D3988" s="31" t="s">
        <v>2090</v>
      </c>
      <c r="E3988" s="32">
        <v>125.85</v>
      </c>
      <c r="F3988" s="32">
        <v>6</v>
      </c>
    </row>
    <row r="3989" spans="1:6" x14ac:dyDescent="0.3">
      <c r="A3989" s="31">
        <v>1000020466</v>
      </c>
      <c r="B3989" s="31" t="s">
        <v>692</v>
      </c>
      <c r="C3989" s="31" t="s">
        <v>4</v>
      </c>
      <c r="D3989" s="31" t="s">
        <v>2090</v>
      </c>
      <c r="E3989" s="32">
        <v>125.67</v>
      </c>
      <c r="F3989" s="32">
        <v>3</v>
      </c>
    </row>
    <row r="3990" spans="1:6" x14ac:dyDescent="0.3">
      <c r="A3990" s="31">
        <v>1000020787</v>
      </c>
      <c r="B3990" s="31" t="s">
        <v>991</v>
      </c>
      <c r="C3990" s="31" t="s">
        <v>4</v>
      </c>
      <c r="D3990" s="31" t="s">
        <v>2090</v>
      </c>
      <c r="E3990" s="32">
        <v>125.46</v>
      </c>
      <c r="F3990" s="32">
        <v>2</v>
      </c>
    </row>
    <row r="3991" spans="1:6" x14ac:dyDescent="0.3">
      <c r="A3991" s="31">
        <v>1000020364</v>
      </c>
      <c r="B3991" s="31" t="s">
        <v>596</v>
      </c>
      <c r="C3991" s="31" t="s">
        <v>4</v>
      </c>
      <c r="D3991" s="31" t="s">
        <v>2090</v>
      </c>
      <c r="E3991" s="32">
        <v>124.89</v>
      </c>
      <c r="F3991" s="32">
        <v>1</v>
      </c>
    </row>
    <row r="3992" spans="1:6" x14ac:dyDescent="0.3">
      <c r="A3992" s="31">
        <v>2500009163</v>
      </c>
      <c r="B3992" s="31" t="s">
        <v>1982</v>
      </c>
      <c r="C3992" s="31" t="s">
        <v>1996</v>
      </c>
      <c r="D3992" s="31" t="s">
        <v>2025</v>
      </c>
      <c r="E3992" s="32">
        <v>124.88</v>
      </c>
      <c r="F3992" s="32">
        <v>1</v>
      </c>
    </row>
    <row r="3993" spans="1:6" x14ac:dyDescent="0.3">
      <c r="A3993" s="31">
        <v>1000020651</v>
      </c>
      <c r="B3993" s="31" t="s">
        <v>865</v>
      </c>
      <c r="C3993" s="31" t="s">
        <v>4</v>
      </c>
      <c r="D3993" s="31" t="s">
        <v>2090</v>
      </c>
      <c r="E3993" s="32">
        <v>124.76</v>
      </c>
      <c r="F3993" s="32">
        <v>4</v>
      </c>
    </row>
    <row r="3994" spans="1:6" x14ac:dyDescent="0.3">
      <c r="A3994" s="31">
        <v>2200001952</v>
      </c>
      <c r="B3994" s="31" t="s">
        <v>4294</v>
      </c>
      <c r="C3994" s="31" t="s">
        <v>2037</v>
      </c>
      <c r="D3994" s="31" t="s">
        <v>2038</v>
      </c>
      <c r="E3994" s="32">
        <v>124.74</v>
      </c>
      <c r="F3994" s="32">
        <v>5</v>
      </c>
    </row>
    <row r="3995" spans="1:6" x14ac:dyDescent="0.3">
      <c r="A3995" s="31">
        <v>1000020348</v>
      </c>
      <c r="B3995" s="31" t="s">
        <v>580</v>
      </c>
      <c r="C3995" s="31" t="s">
        <v>4</v>
      </c>
      <c r="D3995" s="31" t="s">
        <v>2090</v>
      </c>
      <c r="E3995" s="32">
        <v>124.25</v>
      </c>
      <c r="F3995" s="32">
        <v>5</v>
      </c>
    </row>
    <row r="3996" spans="1:6" x14ac:dyDescent="0.3">
      <c r="A3996" s="31">
        <v>1000094819</v>
      </c>
      <c r="B3996" s="31" t="s">
        <v>4067</v>
      </c>
      <c r="C3996" s="31" t="s">
        <v>2844</v>
      </c>
      <c r="D3996" s="31" t="s">
        <v>2161</v>
      </c>
      <c r="E3996" s="32">
        <v>123.92462500000001</v>
      </c>
      <c r="F3996" s="32">
        <v>1</v>
      </c>
    </row>
    <row r="3997" spans="1:6" x14ac:dyDescent="0.3">
      <c r="A3997" s="31">
        <v>1000095005</v>
      </c>
      <c r="B3997" s="31" t="s">
        <v>4295</v>
      </c>
      <c r="C3997" s="31" t="s">
        <v>4</v>
      </c>
      <c r="D3997" s="31" t="s">
        <v>2056</v>
      </c>
      <c r="E3997" s="32">
        <v>123.84</v>
      </c>
      <c r="F3997" s="32">
        <v>8</v>
      </c>
    </row>
    <row r="3998" spans="1:6" x14ac:dyDescent="0.3">
      <c r="A3998" s="31">
        <v>2500009090</v>
      </c>
      <c r="B3998" s="31" t="s">
        <v>4296</v>
      </c>
      <c r="C3998" s="31" t="s">
        <v>1996</v>
      </c>
      <c r="D3998" s="31" t="s">
        <v>2289</v>
      </c>
      <c r="E3998" s="32">
        <v>123.75</v>
      </c>
      <c r="F3998" s="32">
        <v>1</v>
      </c>
    </row>
    <row r="3999" spans="1:6" x14ac:dyDescent="0.3">
      <c r="A3999" s="31">
        <v>2500009525</v>
      </c>
      <c r="B3999" s="31" t="s">
        <v>4297</v>
      </c>
      <c r="C3999" s="31" t="s">
        <v>1996</v>
      </c>
      <c r="D3999" s="31" t="s">
        <v>2289</v>
      </c>
      <c r="E3999" s="32">
        <v>123.75</v>
      </c>
      <c r="F3999" s="32">
        <v>1</v>
      </c>
    </row>
    <row r="4000" spans="1:6" x14ac:dyDescent="0.3">
      <c r="A4000" s="31">
        <v>2500009476</v>
      </c>
      <c r="B4000" s="31" t="s">
        <v>4298</v>
      </c>
      <c r="C4000" s="31" t="s">
        <v>1996</v>
      </c>
      <c r="D4000" s="31" t="s">
        <v>2289</v>
      </c>
      <c r="E4000" s="32">
        <v>123.75</v>
      </c>
      <c r="F4000" s="32">
        <v>1</v>
      </c>
    </row>
    <row r="4001" spans="1:6" x14ac:dyDescent="0.3">
      <c r="A4001" s="31">
        <v>2500009092</v>
      </c>
      <c r="B4001" s="31" t="s">
        <v>4299</v>
      </c>
      <c r="C4001" s="31" t="s">
        <v>1996</v>
      </c>
      <c r="D4001" s="31" t="s">
        <v>2289</v>
      </c>
      <c r="E4001" s="32">
        <v>123.75</v>
      </c>
      <c r="F4001" s="32">
        <v>1</v>
      </c>
    </row>
    <row r="4002" spans="1:6" x14ac:dyDescent="0.3">
      <c r="A4002" s="31">
        <v>1000103740</v>
      </c>
      <c r="B4002" s="31" t="s">
        <v>1880</v>
      </c>
      <c r="C4002" s="31" t="s">
        <v>4</v>
      </c>
      <c r="D4002" s="31" t="s">
        <v>2056</v>
      </c>
      <c r="E4002" s="32">
        <v>123.65600000000001</v>
      </c>
      <c r="F4002" s="32">
        <v>8</v>
      </c>
    </row>
    <row r="4003" spans="1:6" x14ac:dyDescent="0.3">
      <c r="A4003" s="31">
        <v>1000020088</v>
      </c>
      <c r="B4003" s="31" t="s">
        <v>347</v>
      </c>
      <c r="C4003" s="31" t="s">
        <v>4</v>
      </c>
      <c r="D4003" s="31" t="s">
        <v>2090</v>
      </c>
      <c r="E4003" s="32">
        <v>123.62</v>
      </c>
      <c r="F4003" s="32">
        <v>1</v>
      </c>
    </row>
    <row r="4004" spans="1:6" x14ac:dyDescent="0.3">
      <c r="A4004" s="31">
        <v>1000001398</v>
      </c>
      <c r="B4004" s="31" t="s">
        <v>9</v>
      </c>
      <c r="C4004" s="31" t="s">
        <v>2109</v>
      </c>
      <c r="D4004" s="31" t="s">
        <v>2070</v>
      </c>
      <c r="E4004" s="32">
        <v>123.42683270944001</v>
      </c>
      <c r="F4004" s="32">
        <v>8</v>
      </c>
    </row>
    <row r="4005" spans="1:6" x14ac:dyDescent="0.3">
      <c r="A4005" s="31">
        <v>1000101493</v>
      </c>
      <c r="B4005" s="31" t="s">
        <v>4300</v>
      </c>
      <c r="C4005" s="31" t="s">
        <v>4</v>
      </c>
      <c r="D4005" s="31" t="s">
        <v>2056</v>
      </c>
      <c r="E4005" s="32">
        <v>123.38581000000001</v>
      </c>
      <c r="F4005" s="32">
        <v>114</v>
      </c>
    </row>
    <row r="4006" spans="1:6" x14ac:dyDescent="0.3">
      <c r="A4006" s="31">
        <v>1000098686</v>
      </c>
      <c r="B4006" s="31" t="s">
        <v>1639</v>
      </c>
      <c r="C4006" s="31" t="s">
        <v>4</v>
      </c>
      <c r="D4006" s="31" t="s">
        <v>2090</v>
      </c>
      <c r="E4006" s="32">
        <v>123.07</v>
      </c>
      <c r="F4006" s="32">
        <v>2</v>
      </c>
    </row>
    <row r="4007" spans="1:6" x14ac:dyDescent="0.3">
      <c r="A4007" s="31">
        <v>2200011918</v>
      </c>
      <c r="B4007" s="31" t="s">
        <v>4301</v>
      </c>
      <c r="C4007" s="31" t="s">
        <v>2037</v>
      </c>
      <c r="D4007" s="31" t="s">
        <v>2038</v>
      </c>
      <c r="E4007" s="32">
        <v>122.474493180076</v>
      </c>
      <c r="F4007" s="32">
        <v>4</v>
      </c>
    </row>
    <row r="4008" spans="1:6" x14ac:dyDescent="0.3">
      <c r="A4008" s="31">
        <v>1000020711</v>
      </c>
      <c r="B4008" s="31" t="s">
        <v>920</v>
      </c>
      <c r="C4008" s="31" t="s">
        <v>4</v>
      </c>
      <c r="D4008" s="31" t="s">
        <v>2090</v>
      </c>
      <c r="E4008" s="32">
        <v>122.411428571428</v>
      </c>
      <c r="F4008" s="32">
        <v>1</v>
      </c>
    </row>
    <row r="4009" spans="1:6" x14ac:dyDescent="0.3">
      <c r="A4009" s="31">
        <v>1000093594</v>
      </c>
      <c r="B4009" s="31" t="s">
        <v>4302</v>
      </c>
      <c r="C4009" s="31" t="s">
        <v>4</v>
      </c>
      <c r="D4009" s="31" t="s">
        <v>2056</v>
      </c>
      <c r="E4009" s="32">
        <v>122.276</v>
      </c>
      <c r="F4009" s="32">
        <v>7</v>
      </c>
    </row>
    <row r="4010" spans="1:6" x14ac:dyDescent="0.3">
      <c r="A4010" s="31">
        <v>1000020599</v>
      </c>
      <c r="B4010" s="31" t="s">
        <v>815</v>
      </c>
      <c r="C4010" s="31" t="s">
        <v>4</v>
      </c>
      <c r="D4010" s="31" t="s">
        <v>2090</v>
      </c>
      <c r="E4010" s="32">
        <v>122.25</v>
      </c>
      <c r="F4010" s="32">
        <v>25</v>
      </c>
    </row>
    <row r="4011" spans="1:6" x14ac:dyDescent="0.3">
      <c r="A4011" s="31">
        <v>1000095225</v>
      </c>
      <c r="B4011" s="31" t="s">
        <v>4303</v>
      </c>
      <c r="C4011" s="31" t="s">
        <v>4</v>
      </c>
      <c r="D4011" s="31" t="s">
        <v>2056</v>
      </c>
      <c r="E4011" s="32">
        <v>122.247</v>
      </c>
      <c r="F4011" s="32">
        <v>204</v>
      </c>
    </row>
    <row r="4012" spans="1:6" x14ac:dyDescent="0.3">
      <c r="A4012" s="31">
        <v>1000020213</v>
      </c>
      <c r="B4012" s="31" t="s">
        <v>453</v>
      </c>
      <c r="C4012" s="31" t="s">
        <v>4</v>
      </c>
      <c r="D4012" s="31" t="s">
        <v>2090</v>
      </c>
      <c r="E4012" s="32">
        <v>121.56</v>
      </c>
      <c r="F4012" s="32">
        <v>3</v>
      </c>
    </row>
    <row r="4013" spans="1:6" x14ac:dyDescent="0.3">
      <c r="A4013" s="31">
        <v>1000097355</v>
      </c>
      <c r="B4013" s="31" t="s">
        <v>1508</v>
      </c>
      <c r="C4013" s="31" t="s">
        <v>4</v>
      </c>
      <c r="D4013" s="31" t="s">
        <v>2090</v>
      </c>
      <c r="E4013" s="32">
        <v>120.600666666666</v>
      </c>
      <c r="F4013" s="32">
        <v>14</v>
      </c>
    </row>
    <row r="4014" spans="1:6" x14ac:dyDescent="0.3">
      <c r="A4014" s="31">
        <v>80000009718</v>
      </c>
      <c r="B4014" s="31" t="s">
        <v>4304</v>
      </c>
      <c r="C4014" s="31" t="s">
        <v>2521</v>
      </c>
      <c r="D4014" s="31" t="s">
        <v>2670</v>
      </c>
      <c r="E4014" s="32">
        <v>120.6</v>
      </c>
      <c r="F4014" s="32">
        <v>67</v>
      </c>
    </row>
    <row r="4015" spans="1:6" x14ac:dyDescent="0.3">
      <c r="A4015" s="31">
        <v>1000020074</v>
      </c>
      <c r="B4015" s="31" t="s">
        <v>4305</v>
      </c>
      <c r="C4015" s="31" t="s">
        <v>4</v>
      </c>
      <c r="D4015" s="31" t="s">
        <v>2090</v>
      </c>
      <c r="E4015" s="32">
        <v>120.534545454545</v>
      </c>
      <c r="F4015" s="32">
        <v>24</v>
      </c>
    </row>
    <row r="4016" spans="1:6" x14ac:dyDescent="0.3">
      <c r="A4016" s="31">
        <v>1000020365</v>
      </c>
      <c r="B4016" s="31" t="s">
        <v>597</v>
      </c>
      <c r="C4016" s="31" t="s">
        <v>4</v>
      </c>
      <c r="D4016" s="31" t="s">
        <v>2090</v>
      </c>
      <c r="E4016" s="32">
        <v>120.24</v>
      </c>
      <c r="F4016" s="32">
        <v>1</v>
      </c>
    </row>
    <row r="4017" spans="1:6" x14ac:dyDescent="0.3">
      <c r="A4017" s="31">
        <v>1000010066</v>
      </c>
      <c r="B4017" s="31" t="s">
        <v>4306</v>
      </c>
      <c r="C4017" s="31" t="s">
        <v>4</v>
      </c>
      <c r="D4017" s="31" t="s">
        <v>2161</v>
      </c>
      <c r="E4017" s="32">
        <v>120.07838333333299</v>
      </c>
      <c r="F4017" s="32">
        <v>1</v>
      </c>
    </row>
    <row r="4018" spans="1:6" x14ac:dyDescent="0.3">
      <c r="A4018" s="31">
        <v>1000020022</v>
      </c>
      <c r="B4018" s="31" t="s">
        <v>4307</v>
      </c>
      <c r="C4018" s="31" t="s">
        <v>4</v>
      </c>
      <c r="D4018" s="31" t="s">
        <v>2090</v>
      </c>
      <c r="E4018" s="32">
        <v>120.028793311999</v>
      </c>
      <c r="F4018" s="32">
        <v>55</v>
      </c>
    </row>
    <row r="4019" spans="1:6" x14ac:dyDescent="0.3">
      <c r="A4019" s="31">
        <v>2500009520</v>
      </c>
      <c r="B4019" s="31" t="s">
        <v>4308</v>
      </c>
      <c r="C4019" s="31" t="s">
        <v>1996</v>
      </c>
      <c r="D4019" s="31" t="s">
        <v>2289</v>
      </c>
      <c r="E4019" s="32">
        <v>120</v>
      </c>
      <c r="F4019" s="32">
        <v>1</v>
      </c>
    </row>
    <row r="4020" spans="1:6" x14ac:dyDescent="0.3">
      <c r="A4020" s="31">
        <v>2500008231</v>
      </c>
      <c r="B4020" s="31" t="s">
        <v>4309</v>
      </c>
      <c r="C4020" s="31" t="s">
        <v>1996</v>
      </c>
      <c r="D4020" s="31" t="s">
        <v>2025</v>
      </c>
      <c r="E4020" s="32">
        <v>120</v>
      </c>
      <c r="F4020" s="32">
        <v>10</v>
      </c>
    </row>
    <row r="4021" spans="1:6" x14ac:dyDescent="0.3">
      <c r="A4021" s="31">
        <v>2500009673</v>
      </c>
      <c r="B4021" s="31" t="s">
        <v>4310</v>
      </c>
      <c r="C4021" s="31" t="s">
        <v>1996</v>
      </c>
      <c r="D4021" s="31" t="s">
        <v>2025</v>
      </c>
      <c r="E4021" s="32">
        <v>120</v>
      </c>
      <c r="F4021" s="32">
        <v>4</v>
      </c>
    </row>
    <row r="4022" spans="1:6" x14ac:dyDescent="0.3">
      <c r="A4022" s="31">
        <v>1000020141</v>
      </c>
      <c r="B4022" s="31" t="s">
        <v>394</v>
      </c>
      <c r="C4022" s="31" t="s">
        <v>4</v>
      </c>
      <c r="D4022" s="31" t="s">
        <v>2090</v>
      </c>
      <c r="E4022" s="32">
        <v>119.85</v>
      </c>
      <c r="F4022" s="32">
        <v>3</v>
      </c>
    </row>
    <row r="4023" spans="1:6" x14ac:dyDescent="0.3">
      <c r="A4023" s="31">
        <v>1000020791</v>
      </c>
      <c r="B4023" s="31" t="s">
        <v>995</v>
      </c>
      <c r="C4023" s="31" t="s">
        <v>4</v>
      </c>
      <c r="D4023" s="31" t="s">
        <v>2090</v>
      </c>
      <c r="E4023" s="32">
        <v>119.46</v>
      </c>
      <c r="F4023" s="32">
        <v>2</v>
      </c>
    </row>
    <row r="4024" spans="1:6" x14ac:dyDescent="0.3">
      <c r="A4024" s="31">
        <v>1000020177</v>
      </c>
      <c r="B4024" s="31" t="s">
        <v>421</v>
      </c>
      <c r="C4024" s="31" t="s">
        <v>4</v>
      </c>
      <c r="D4024" s="31" t="s">
        <v>2090</v>
      </c>
      <c r="E4024" s="32">
        <v>119.34</v>
      </c>
      <c r="F4024" s="32">
        <v>3</v>
      </c>
    </row>
    <row r="4025" spans="1:6" x14ac:dyDescent="0.3">
      <c r="A4025" s="31">
        <v>1000021384</v>
      </c>
      <c r="B4025" s="31" t="s">
        <v>1467</v>
      </c>
      <c r="C4025" s="31" t="s">
        <v>4</v>
      </c>
      <c r="D4025" s="31" t="s">
        <v>2090</v>
      </c>
      <c r="E4025" s="32">
        <v>119.0625</v>
      </c>
      <c r="F4025" s="32">
        <v>5</v>
      </c>
    </row>
    <row r="4026" spans="1:6" x14ac:dyDescent="0.3">
      <c r="A4026" s="31">
        <v>1000021379</v>
      </c>
      <c r="B4026" s="31" t="s">
        <v>1463</v>
      </c>
      <c r="C4026" s="31" t="s">
        <v>4</v>
      </c>
      <c r="D4026" s="31" t="s">
        <v>2090</v>
      </c>
      <c r="E4026" s="32">
        <v>118.6512</v>
      </c>
      <c r="F4026" s="32">
        <v>96</v>
      </c>
    </row>
    <row r="4027" spans="1:6" x14ac:dyDescent="0.3">
      <c r="A4027" s="31">
        <v>1000099434</v>
      </c>
      <c r="B4027" s="31" t="s">
        <v>4311</v>
      </c>
      <c r="C4027" s="31" t="s">
        <v>4</v>
      </c>
      <c r="D4027" s="31" t="s">
        <v>2090</v>
      </c>
      <c r="E4027" s="32">
        <v>118.46</v>
      </c>
      <c r="F4027" s="32">
        <v>3</v>
      </c>
    </row>
    <row r="4028" spans="1:6" x14ac:dyDescent="0.3">
      <c r="A4028" s="31">
        <v>1000102641</v>
      </c>
      <c r="B4028" s="31" t="s">
        <v>4312</v>
      </c>
      <c r="C4028" s="31" t="s">
        <v>4</v>
      </c>
      <c r="D4028" s="31" t="s">
        <v>2056</v>
      </c>
      <c r="E4028" s="32">
        <v>118.36799999999999</v>
      </c>
      <c r="F4028" s="32">
        <v>90</v>
      </c>
    </row>
    <row r="4029" spans="1:6" x14ac:dyDescent="0.3">
      <c r="A4029" s="31">
        <v>1000020984</v>
      </c>
      <c r="B4029" s="31" t="s">
        <v>1158</v>
      </c>
      <c r="C4029" s="31" t="s">
        <v>4</v>
      </c>
      <c r="D4029" s="31" t="s">
        <v>2090</v>
      </c>
      <c r="E4029" s="32">
        <v>118.13</v>
      </c>
      <c r="F4029" s="32">
        <v>2</v>
      </c>
    </row>
    <row r="4030" spans="1:6" x14ac:dyDescent="0.3">
      <c r="A4030" s="31">
        <v>1000020916</v>
      </c>
      <c r="B4030" s="31" t="s">
        <v>1096</v>
      </c>
      <c r="C4030" s="31" t="s">
        <v>4</v>
      </c>
      <c r="D4030" s="31" t="s">
        <v>2090</v>
      </c>
      <c r="E4030" s="32">
        <v>118.03</v>
      </c>
      <c r="F4030" s="32">
        <v>1</v>
      </c>
    </row>
    <row r="4031" spans="1:6" x14ac:dyDescent="0.3">
      <c r="A4031" s="31">
        <v>1000020494</v>
      </c>
      <c r="B4031" s="31" t="s">
        <v>719</v>
      </c>
      <c r="C4031" s="31" t="s">
        <v>4</v>
      </c>
      <c r="D4031" s="31" t="s">
        <v>2090</v>
      </c>
      <c r="E4031" s="32">
        <v>117.97799999999999</v>
      </c>
      <c r="F4031" s="32">
        <v>3</v>
      </c>
    </row>
    <row r="4032" spans="1:6" x14ac:dyDescent="0.3">
      <c r="A4032" s="31">
        <v>1000020268</v>
      </c>
      <c r="B4032" s="31" t="s">
        <v>506</v>
      </c>
      <c r="C4032" s="31" t="s">
        <v>4</v>
      </c>
      <c r="D4032" s="31" t="s">
        <v>2090</v>
      </c>
      <c r="E4032" s="32">
        <v>117.81</v>
      </c>
      <c r="F4032" s="32">
        <v>7</v>
      </c>
    </row>
    <row r="4033" spans="1:6" x14ac:dyDescent="0.3">
      <c r="A4033" s="31">
        <v>1000020473</v>
      </c>
      <c r="B4033" s="31" t="s">
        <v>699</v>
      </c>
      <c r="C4033" s="31" t="s">
        <v>4</v>
      </c>
      <c r="D4033" s="31" t="s">
        <v>2090</v>
      </c>
      <c r="E4033" s="32">
        <v>117.75</v>
      </c>
      <c r="F4033" s="32">
        <v>3</v>
      </c>
    </row>
    <row r="4034" spans="1:6" x14ac:dyDescent="0.3">
      <c r="A4034" s="31">
        <v>1000020917</v>
      </c>
      <c r="B4034" s="31" t="s">
        <v>1097</v>
      </c>
      <c r="C4034" s="31" t="s">
        <v>4</v>
      </c>
      <c r="D4034" s="31" t="s">
        <v>2090</v>
      </c>
      <c r="E4034" s="32">
        <v>117.74</v>
      </c>
      <c r="F4034" s="32">
        <v>1</v>
      </c>
    </row>
    <row r="4035" spans="1:6" x14ac:dyDescent="0.3">
      <c r="A4035" s="31">
        <v>2200011707</v>
      </c>
      <c r="B4035" s="31" t="s">
        <v>4313</v>
      </c>
      <c r="C4035" s="31" t="s">
        <v>2037</v>
      </c>
      <c r="D4035" s="31" t="s">
        <v>2038</v>
      </c>
      <c r="E4035" s="32">
        <v>117.26</v>
      </c>
      <c r="F4035" s="32">
        <v>5</v>
      </c>
    </row>
    <row r="4036" spans="1:6" x14ac:dyDescent="0.3">
      <c r="A4036" s="31">
        <v>1000020165</v>
      </c>
      <c r="B4036" s="31" t="s">
        <v>411</v>
      </c>
      <c r="C4036" s="31" t="s">
        <v>4</v>
      </c>
      <c r="D4036" s="31" t="s">
        <v>2090</v>
      </c>
      <c r="E4036" s="32">
        <v>117.05</v>
      </c>
      <c r="F4036" s="32">
        <v>5</v>
      </c>
    </row>
    <row r="4037" spans="1:6" x14ac:dyDescent="0.3">
      <c r="A4037" s="31">
        <v>1000098614</v>
      </c>
      <c r="B4037" s="31" t="s">
        <v>4314</v>
      </c>
      <c r="C4037" s="31" t="s">
        <v>4</v>
      </c>
      <c r="D4037" s="31" t="s">
        <v>2090</v>
      </c>
      <c r="E4037" s="32">
        <v>117.04</v>
      </c>
      <c r="F4037" s="32">
        <v>1</v>
      </c>
    </row>
    <row r="4038" spans="1:6" x14ac:dyDescent="0.3">
      <c r="A4038" s="31">
        <v>1000020363</v>
      </c>
      <c r="B4038" s="31" t="s">
        <v>595</v>
      </c>
      <c r="C4038" s="31" t="s">
        <v>4</v>
      </c>
      <c r="D4038" s="31" t="s">
        <v>2090</v>
      </c>
      <c r="E4038" s="32">
        <v>116.83</v>
      </c>
      <c r="F4038" s="32">
        <v>1</v>
      </c>
    </row>
    <row r="4039" spans="1:6" x14ac:dyDescent="0.3">
      <c r="A4039" s="31">
        <v>1000102584</v>
      </c>
      <c r="B4039" s="31" t="s">
        <v>4315</v>
      </c>
      <c r="C4039" s="31" t="s">
        <v>4</v>
      </c>
      <c r="D4039" s="31" t="s">
        <v>2090</v>
      </c>
      <c r="E4039" s="32">
        <v>116.77500000000001</v>
      </c>
      <c r="F4039" s="32">
        <v>1</v>
      </c>
    </row>
    <row r="4040" spans="1:6" x14ac:dyDescent="0.3">
      <c r="A4040" s="31">
        <v>1000015081</v>
      </c>
      <c r="B4040" s="31" t="s">
        <v>4316</v>
      </c>
      <c r="C4040" s="31" t="s">
        <v>4</v>
      </c>
      <c r="D4040" s="31" t="s">
        <v>2043</v>
      </c>
      <c r="E4040" s="32">
        <v>116.692838080991</v>
      </c>
      <c r="F4040" s="32">
        <v>11</v>
      </c>
    </row>
    <row r="4041" spans="1:6" x14ac:dyDescent="0.3">
      <c r="A4041" s="31">
        <v>1000093954</v>
      </c>
      <c r="B4041" s="31" t="s">
        <v>4317</v>
      </c>
      <c r="C4041" s="31" t="s">
        <v>4</v>
      </c>
      <c r="D4041" s="31" t="s">
        <v>2090</v>
      </c>
      <c r="E4041" s="32">
        <v>116.506759259259</v>
      </c>
      <c r="F4041" s="32">
        <v>19</v>
      </c>
    </row>
    <row r="4042" spans="1:6" x14ac:dyDescent="0.3">
      <c r="A4042" s="31">
        <v>1000102225</v>
      </c>
      <c r="B4042" s="31" t="s">
        <v>1778</v>
      </c>
      <c r="C4042" s="31" t="s">
        <v>4</v>
      </c>
      <c r="D4042" s="31" t="s">
        <v>2090</v>
      </c>
      <c r="E4042" s="32">
        <v>116.41</v>
      </c>
      <c r="F4042" s="32">
        <v>2</v>
      </c>
    </row>
    <row r="4043" spans="1:6" x14ac:dyDescent="0.3">
      <c r="A4043" s="31">
        <v>1000020642</v>
      </c>
      <c r="B4043" s="31" t="s">
        <v>857</v>
      </c>
      <c r="C4043" s="31" t="s">
        <v>4</v>
      </c>
      <c r="D4043" s="31" t="s">
        <v>2090</v>
      </c>
      <c r="E4043" s="32">
        <v>116.35</v>
      </c>
      <c r="F4043" s="32">
        <v>5</v>
      </c>
    </row>
    <row r="4044" spans="1:6" x14ac:dyDescent="0.3">
      <c r="A4044" s="31">
        <v>1000093095</v>
      </c>
      <c r="B4044" s="31" t="s">
        <v>4318</v>
      </c>
      <c r="C4044" s="31" t="s">
        <v>4</v>
      </c>
      <c r="D4044" s="31" t="s">
        <v>2161</v>
      </c>
      <c r="E4044" s="32">
        <v>115.876</v>
      </c>
      <c r="F4044" s="32">
        <v>1</v>
      </c>
    </row>
    <row r="4045" spans="1:6" x14ac:dyDescent="0.3">
      <c r="A4045" s="31">
        <v>1000099379</v>
      </c>
      <c r="B4045" s="31" t="s">
        <v>4319</v>
      </c>
      <c r="C4045" s="31" t="s">
        <v>4</v>
      </c>
      <c r="D4045" s="31" t="s">
        <v>2090</v>
      </c>
      <c r="E4045" s="32">
        <v>115.65</v>
      </c>
      <c r="F4045" s="32">
        <v>1</v>
      </c>
    </row>
    <row r="4046" spans="1:6" x14ac:dyDescent="0.3">
      <c r="A4046" s="31">
        <v>1000020778</v>
      </c>
      <c r="B4046" s="31" t="s">
        <v>982</v>
      </c>
      <c r="C4046" s="31" t="s">
        <v>4</v>
      </c>
      <c r="D4046" s="31" t="s">
        <v>2090</v>
      </c>
      <c r="E4046" s="32">
        <v>115.32</v>
      </c>
      <c r="F4046" s="32">
        <v>3</v>
      </c>
    </row>
    <row r="4047" spans="1:6" x14ac:dyDescent="0.3">
      <c r="A4047" s="31">
        <v>1000109596</v>
      </c>
      <c r="B4047" s="31" t="s">
        <v>4320</v>
      </c>
      <c r="C4047" s="31" t="s">
        <v>4</v>
      </c>
      <c r="D4047" s="31" t="s">
        <v>2056</v>
      </c>
      <c r="E4047" s="32">
        <v>114.78740000000001</v>
      </c>
      <c r="F4047" s="32">
        <v>49</v>
      </c>
    </row>
    <row r="4048" spans="1:6" x14ac:dyDescent="0.3">
      <c r="A4048" s="31">
        <v>1000020616</v>
      </c>
      <c r="B4048" s="31" t="s">
        <v>832</v>
      </c>
      <c r="C4048" s="31" t="s">
        <v>4</v>
      </c>
      <c r="D4048" s="31" t="s">
        <v>2090</v>
      </c>
      <c r="E4048" s="32">
        <v>114.375</v>
      </c>
      <c r="F4048" s="32">
        <v>10</v>
      </c>
    </row>
    <row r="4049" spans="1:6" x14ac:dyDescent="0.3">
      <c r="A4049" s="31">
        <v>1000020395</v>
      </c>
      <c r="B4049" s="31" t="s">
        <v>625</v>
      </c>
      <c r="C4049" s="31" t="s">
        <v>4</v>
      </c>
      <c r="D4049" s="31" t="s">
        <v>2090</v>
      </c>
      <c r="E4049" s="32">
        <v>114.26</v>
      </c>
      <c r="F4049" s="32">
        <v>1</v>
      </c>
    </row>
    <row r="4050" spans="1:6" x14ac:dyDescent="0.3">
      <c r="A4050" s="31">
        <v>1000020766</v>
      </c>
      <c r="B4050" s="31" t="s">
        <v>970</v>
      </c>
      <c r="C4050" s="31" t="s">
        <v>4</v>
      </c>
      <c r="D4050" s="31" t="s">
        <v>2090</v>
      </c>
      <c r="E4050" s="32">
        <v>114.19</v>
      </c>
      <c r="F4050" s="32">
        <v>1</v>
      </c>
    </row>
    <row r="4051" spans="1:6" x14ac:dyDescent="0.3">
      <c r="A4051" s="31">
        <v>800000013971</v>
      </c>
      <c r="B4051" s="31" t="s">
        <v>3555</v>
      </c>
      <c r="C4051" s="31" t="s">
        <v>2755</v>
      </c>
      <c r="D4051" s="31" t="s">
        <v>3289</v>
      </c>
      <c r="E4051" s="32">
        <v>114</v>
      </c>
      <c r="F4051" s="32">
        <v>1</v>
      </c>
    </row>
    <row r="4052" spans="1:6" x14ac:dyDescent="0.3">
      <c r="A4052" s="31">
        <v>1000092623</v>
      </c>
      <c r="B4052" s="31" t="s">
        <v>4321</v>
      </c>
      <c r="C4052" s="31" t="s">
        <v>4</v>
      </c>
      <c r="D4052" s="31" t="s">
        <v>2161</v>
      </c>
      <c r="E4052" s="32">
        <v>113.812</v>
      </c>
      <c r="F4052" s="32">
        <v>1</v>
      </c>
    </row>
    <row r="4053" spans="1:6" x14ac:dyDescent="0.3">
      <c r="A4053" s="31">
        <v>1000020062</v>
      </c>
      <c r="B4053" s="31" t="s">
        <v>4322</v>
      </c>
      <c r="C4053" s="31" t="s">
        <v>4</v>
      </c>
      <c r="D4053" s="31" t="s">
        <v>2090</v>
      </c>
      <c r="E4053" s="32">
        <v>113.439206349682</v>
      </c>
      <c r="F4053" s="32">
        <v>5</v>
      </c>
    </row>
    <row r="4054" spans="1:6" x14ac:dyDescent="0.3">
      <c r="A4054" s="31">
        <v>1000020952</v>
      </c>
      <c r="B4054" s="31" t="s">
        <v>1130</v>
      </c>
      <c r="C4054" s="31" t="s">
        <v>4</v>
      </c>
      <c r="D4054" s="31" t="s">
        <v>2090</v>
      </c>
      <c r="E4054" s="32">
        <v>113.41</v>
      </c>
      <c r="F4054" s="32">
        <v>1</v>
      </c>
    </row>
    <row r="4055" spans="1:6" x14ac:dyDescent="0.3">
      <c r="A4055" s="31">
        <v>1000020274</v>
      </c>
      <c r="B4055" s="31" t="s">
        <v>511</v>
      </c>
      <c r="C4055" s="31" t="s">
        <v>4</v>
      </c>
      <c r="D4055" s="31" t="s">
        <v>2090</v>
      </c>
      <c r="E4055" s="32">
        <v>113.28</v>
      </c>
      <c r="F4055" s="32">
        <v>2</v>
      </c>
    </row>
    <row r="4056" spans="1:6" x14ac:dyDescent="0.3">
      <c r="A4056" s="31">
        <v>1000020362</v>
      </c>
      <c r="B4056" s="31" t="s">
        <v>594</v>
      </c>
      <c r="C4056" s="31" t="s">
        <v>4</v>
      </c>
      <c r="D4056" s="31" t="s">
        <v>2090</v>
      </c>
      <c r="E4056" s="32">
        <v>113.2</v>
      </c>
      <c r="F4056" s="32">
        <v>1</v>
      </c>
    </row>
    <row r="4057" spans="1:6" x14ac:dyDescent="0.3">
      <c r="A4057" s="31">
        <v>1000095581</v>
      </c>
      <c r="B4057" s="31" t="s">
        <v>4323</v>
      </c>
      <c r="C4057" s="31" t="s">
        <v>4</v>
      </c>
      <c r="D4057" s="31" t="s">
        <v>2090</v>
      </c>
      <c r="E4057" s="32">
        <v>112.8</v>
      </c>
      <c r="F4057" s="32">
        <v>4</v>
      </c>
    </row>
    <row r="4058" spans="1:6" x14ac:dyDescent="0.3">
      <c r="A4058" s="31">
        <v>2500009486</v>
      </c>
      <c r="B4058" s="31" t="s">
        <v>4324</v>
      </c>
      <c r="C4058" s="31" t="s">
        <v>1996</v>
      </c>
      <c r="D4058" s="31" t="s">
        <v>2289</v>
      </c>
      <c r="E4058" s="32">
        <v>112.5</v>
      </c>
      <c r="F4058" s="32">
        <v>10</v>
      </c>
    </row>
    <row r="4059" spans="1:6" x14ac:dyDescent="0.3">
      <c r="A4059" s="31">
        <v>2500009084</v>
      </c>
      <c r="B4059" s="31" t="s">
        <v>1968</v>
      </c>
      <c r="C4059" s="31" t="s">
        <v>1996</v>
      </c>
      <c r="D4059" s="31" t="s">
        <v>2289</v>
      </c>
      <c r="E4059" s="32">
        <v>112.5</v>
      </c>
      <c r="F4059" s="32">
        <v>20</v>
      </c>
    </row>
    <row r="4060" spans="1:6" x14ac:dyDescent="0.3">
      <c r="A4060" s="31">
        <v>2500009493</v>
      </c>
      <c r="B4060" s="31" t="s">
        <v>4325</v>
      </c>
      <c r="C4060" s="31" t="s">
        <v>1996</v>
      </c>
      <c r="D4060" s="31" t="s">
        <v>2289</v>
      </c>
      <c r="E4060" s="32">
        <v>112.5</v>
      </c>
      <c r="F4060" s="32">
        <v>10</v>
      </c>
    </row>
    <row r="4061" spans="1:6" x14ac:dyDescent="0.3">
      <c r="A4061" s="31">
        <v>2500009077</v>
      </c>
      <c r="B4061" s="31" t="s">
        <v>4326</v>
      </c>
      <c r="C4061" s="31" t="s">
        <v>1996</v>
      </c>
      <c r="D4061" s="31" t="s">
        <v>2289</v>
      </c>
      <c r="E4061" s="32">
        <v>112.5</v>
      </c>
      <c r="F4061" s="32">
        <v>3</v>
      </c>
    </row>
    <row r="4062" spans="1:6" x14ac:dyDescent="0.3">
      <c r="A4062" s="31">
        <v>1000104360</v>
      </c>
      <c r="B4062" s="31" t="s">
        <v>4327</v>
      </c>
      <c r="C4062" s="31" t="s">
        <v>4</v>
      </c>
      <c r="D4062" s="31" t="s">
        <v>2090</v>
      </c>
      <c r="E4062" s="32">
        <v>112.2</v>
      </c>
      <c r="F4062" s="32">
        <v>8</v>
      </c>
    </row>
    <row r="4063" spans="1:6" x14ac:dyDescent="0.3">
      <c r="A4063" s="31">
        <v>1000096818</v>
      </c>
      <c r="B4063" s="31" t="s">
        <v>4328</v>
      </c>
      <c r="C4063" s="31" t="s">
        <v>4</v>
      </c>
      <c r="D4063" s="31" t="s">
        <v>2056</v>
      </c>
      <c r="E4063" s="32">
        <v>111.936353515064</v>
      </c>
      <c r="F4063" s="32">
        <v>4</v>
      </c>
    </row>
    <row r="4064" spans="1:6" x14ac:dyDescent="0.3">
      <c r="A4064" s="31">
        <v>1000091854</v>
      </c>
      <c r="B4064" s="31" t="s">
        <v>4329</v>
      </c>
      <c r="C4064" s="31" t="s">
        <v>2109</v>
      </c>
      <c r="D4064" s="31" t="s">
        <v>2070</v>
      </c>
      <c r="E4064" s="32">
        <v>111.709583333333</v>
      </c>
      <c r="F4064" s="32">
        <v>1</v>
      </c>
    </row>
    <row r="4065" spans="1:6" x14ac:dyDescent="0.3">
      <c r="A4065" s="31">
        <v>2200000572</v>
      </c>
      <c r="B4065" s="31" t="s">
        <v>172</v>
      </c>
      <c r="C4065" s="31" t="s">
        <v>2037</v>
      </c>
      <c r="D4065" s="31" t="s">
        <v>2038</v>
      </c>
      <c r="E4065" s="32">
        <v>111.531818181818</v>
      </c>
      <c r="F4065" s="32">
        <v>5</v>
      </c>
    </row>
    <row r="4066" spans="1:6" x14ac:dyDescent="0.3">
      <c r="A4066" s="31">
        <v>1000094702</v>
      </c>
      <c r="B4066" s="31" t="s">
        <v>4330</v>
      </c>
      <c r="C4066" s="31" t="s">
        <v>2109</v>
      </c>
      <c r="D4066" s="31" t="s">
        <v>2070</v>
      </c>
      <c r="E4066" s="32">
        <v>111.05329326923</v>
      </c>
      <c r="F4066" s="32">
        <v>15</v>
      </c>
    </row>
    <row r="4067" spans="1:6" x14ac:dyDescent="0.3">
      <c r="A4067" s="31">
        <v>2700000243</v>
      </c>
      <c r="B4067" s="31" t="s">
        <v>297</v>
      </c>
      <c r="C4067" s="31" t="s">
        <v>2037</v>
      </c>
      <c r="D4067" s="31" t="s">
        <v>2038</v>
      </c>
      <c r="E4067" s="32">
        <v>110.81</v>
      </c>
      <c r="F4067" s="32">
        <v>2</v>
      </c>
    </row>
    <row r="4068" spans="1:6" x14ac:dyDescent="0.3">
      <c r="A4068" s="31">
        <v>1000097022</v>
      </c>
      <c r="B4068" s="31" t="s">
        <v>4331</v>
      </c>
      <c r="C4068" s="31" t="s">
        <v>4</v>
      </c>
      <c r="D4068" s="31" t="s">
        <v>2090</v>
      </c>
      <c r="E4068" s="32">
        <v>110.66500000000001</v>
      </c>
      <c r="F4068" s="32">
        <v>1</v>
      </c>
    </row>
    <row r="4069" spans="1:6" x14ac:dyDescent="0.3">
      <c r="A4069" s="31">
        <v>1000108817</v>
      </c>
      <c r="B4069" s="31" t="s">
        <v>1895</v>
      </c>
      <c r="C4069" s="31" t="s">
        <v>4</v>
      </c>
      <c r="D4069" s="31" t="s">
        <v>2056</v>
      </c>
      <c r="E4069" s="32">
        <v>110.296363636363</v>
      </c>
      <c r="F4069" s="32">
        <v>10</v>
      </c>
    </row>
    <row r="4070" spans="1:6" x14ac:dyDescent="0.3">
      <c r="A4070" s="31">
        <v>2200000393</v>
      </c>
      <c r="B4070" s="31" t="s">
        <v>4332</v>
      </c>
      <c r="C4070" s="31" t="s">
        <v>2088</v>
      </c>
      <c r="D4070" s="31" t="s">
        <v>2038</v>
      </c>
      <c r="E4070" s="32">
        <v>110.16</v>
      </c>
      <c r="F4070" s="32">
        <v>1</v>
      </c>
    </row>
    <row r="4071" spans="1:6" x14ac:dyDescent="0.3">
      <c r="A4071" s="31">
        <v>1000015030</v>
      </c>
      <c r="B4071" s="31" t="s">
        <v>4333</v>
      </c>
      <c r="C4071" s="31" t="s">
        <v>2844</v>
      </c>
      <c r="D4071" s="31" t="s">
        <v>2043</v>
      </c>
      <c r="E4071" s="32">
        <v>110.00162663009</v>
      </c>
      <c r="F4071" s="32">
        <v>1</v>
      </c>
    </row>
    <row r="4072" spans="1:6" x14ac:dyDescent="0.3">
      <c r="A4072" s="31">
        <v>1000020302</v>
      </c>
      <c r="B4072" s="31" t="s">
        <v>538</v>
      </c>
      <c r="C4072" s="31" t="s">
        <v>4</v>
      </c>
      <c r="D4072" s="31" t="s">
        <v>2090</v>
      </c>
      <c r="E4072" s="32">
        <v>109.37</v>
      </c>
      <c r="F4072" s="32">
        <v>1</v>
      </c>
    </row>
    <row r="4073" spans="1:6" x14ac:dyDescent="0.3">
      <c r="A4073" s="31">
        <v>1000102601</v>
      </c>
      <c r="B4073" s="31" t="s">
        <v>4334</v>
      </c>
      <c r="C4073" s="31" t="s">
        <v>4</v>
      </c>
      <c r="D4073" s="31" t="s">
        <v>2056</v>
      </c>
      <c r="E4073" s="32">
        <v>109.11750000000001</v>
      </c>
      <c r="F4073" s="32">
        <v>180</v>
      </c>
    </row>
    <row r="4074" spans="1:6" x14ac:dyDescent="0.3">
      <c r="A4074" s="31">
        <v>1000020891</v>
      </c>
      <c r="B4074" s="31" t="s">
        <v>1073</v>
      </c>
      <c r="C4074" s="31" t="s">
        <v>4</v>
      </c>
      <c r="D4074" s="31" t="s">
        <v>2090</v>
      </c>
      <c r="E4074" s="32">
        <v>108.84</v>
      </c>
      <c r="F4074" s="32">
        <v>1</v>
      </c>
    </row>
    <row r="4075" spans="1:6" x14ac:dyDescent="0.3">
      <c r="A4075" s="31">
        <v>1000020138</v>
      </c>
      <c r="B4075" s="31" t="s">
        <v>392</v>
      </c>
      <c r="C4075" s="31" t="s">
        <v>4</v>
      </c>
      <c r="D4075" s="31" t="s">
        <v>2090</v>
      </c>
      <c r="E4075" s="32">
        <v>108.75</v>
      </c>
      <c r="F4075" s="32">
        <v>5</v>
      </c>
    </row>
    <row r="4076" spans="1:6" x14ac:dyDescent="0.3">
      <c r="A4076" s="31">
        <v>1000098859</v>
      </c>
      <c r="B4076" s="31" t="s">
        <v>4335</v>
      </c>
      <c r="C4076" s="31" t="s">
        <v>2257</v>
      </c>
      <c r="D4076" s="31" t="s">
        <v>2390</v>
      </c>
      <c r="E4076" s="32">
        <v>108.692749432128</v>
      </c>
      <c r="F4076" s="32">
        <v>4</v>
      </c>
    </row>
    <row r="4077" spans="1:6" x14ac:dyDescent="0.3">
      <c r="A4077" s="31">
        <v>1000020551</v>
      </c>
      <c r="B4077" s="31" t="s">
        <v>769</v>
      </c>
      <c r="C4077" s="31" t="s">
        <v>4</v>
      </c>
      <c r="D4077" s="31" t="s">
        <v>2090</v>
      </c>
      <c r="E4077" s="32">
        <v>108.6</v>
      </c>
      <c r="F4077" s="32">
        <v>5</v>
      </c>
    </row>
    <row r="4078" spans="1:6" x14ac:dyDescent="0.3">
      <c r="A4078" s="31">
        <v>1000097117</v>
      </c>
      <c r="B4078" s="31" t="s">
        <v>4336</v>
      </c>
      <c r="C4078" s="31" t="s">
        <v>4</v>
      </c>
      <c r="D4078" s="31" t="s">
        <v>2161</v>
      </c>
      <c r="E4078" s="32">
        <v>108.21</v>
      </c>
      <c r="F4078" s="32">
        <v>5</v>
      </c>
    </row>
    <row r="4079" spans="1:6" x14ac:dyDescent="0.3">
      <c r="A4079" s="31">
        <v>1000102617</v>
      </c>
      <c r="B4079" s="31" t="s">
        <v>4337</v>
      </c>
      <c r="C4079" s="31" t="s">
        <v>4</v>
      </c>
      <c r="D4079" s="31" t="s">
        <v>2056</v>
      </c>
      <c r="E4079" s="32">
        <v>108.2</v>
      </c>
      <c r="F4079" s="32">
        <v>8</v>
      </c>
    </row>
    <row r="4080" spans="1:6" x14ac:dyDescent="0.3">
      <c r="A4080" s="31">
        <v>1000098152</v>
      </c>
      <c r="B4080" s="31" t="s">
        <v>4338</v>
      </c>
      <c r="C4080" s="31" t="s">
        <v>2257</v>
      </c>
      <c r="D4080" s="31" t="s">
        <v>2070</v>
      </c>
      <c r="E4080" s="32">
        <v>108</v>
      </c>
      <c r="F4080" s="32">
        <v>4</v>
      </c>
    </row>
    <row r="4081" spans="1:6" x14ac:dyDescent="0.3">
      <c r="A4081" s="31">
        <v>1000106681</v>
      </c>
      <c r="B4081" s="31" t="s">
        <v>4339</v>
      </c>
      <c r="C4081" s="31" t="s">
        <v>4</v>
      </c>
      <c r="D4081" s="31" t="s">
        <v>2056</v>
      </c>
      <c r="E4081" s="32">
        <v>107.6108</v>
      </c>
      <c r="F4081" s="32">
        <v>2</v>
      </c>
    </row>
    <row r="4082" spans="1:6" x14ac:dyDescent="0.3">
      <c r="A4082" s="31">
        <v>1000094969</v>
      </c>
      <c r="B4082" s="31" t="s">
        <v>4340</v>
      </c>
      <c r="C4082" s="31" t="s">
        <v>2109</v>
      </c>
      <c r="D4082" s="31" t="s">
        <v>2070</v>
      </c>
      <c r="E4082" s="32">
        <v>107.440406999426</v>
      </c>
      <c r="F4082" s="32">
        <v>9</v>
      </c>
    </row>
    <row r="4083" spans="1:6" x14ac:dyDescent="0.3">
      <c r="A4083" s="31">
        <v>1000098463</v>
      </c>
      <c r="B4083" s="31" t="s">
        <v>1538</v>
      </c>
      <c r="C4083" s="31" t="s">
        <v>4</v>
      </c>
      <c r="D4083" s="31" t="s">
        <v>2090</v>
      </c>
      <c r="E4083" s="32">
        <v>107.22799999999999</v>
      </c>
      <c r="F4083" s="32">
        <v>1</v>
      </c>
    </row>
    <row r="4084" spans="1:6" x14ac:dyDescent="0.3">
      <c r="A4084" s="31">
        <v>2500008414</v>
      </c>
      <c r="B4084" s="31" t="s">
        <v>4341</v>
      </c>
      <c r="C4084" s="31" t="s">
        <v>1996</v>
      </c>
      <c r="D4084" s="31" t="s">
        <v>2025</v>
      </c>
      <c r="E4084" s="32">
        <v>107.02</v>
      </c>
      <c r="F4084" s="32">
        <v>2</v>
      </c>
    </row>
    <row r="4085" spans="1:6" x14ac:dyDescent="0.3">
      <c r="A4085" s="31">
        <v>1000021198</v>
      </c>
      <c r="B4085" s="31" t="s">
        <v>1345</v>
      </c>
      <c r="C4085" s="31" t="s">
        <v>4</v>
      </c>
      <c r="D4085" s="31" t="s">
        <v>2090</v>
      </c>
      <c r="E4085" s="32">
        <v>107</v>
      </c>
      <c r="F4085" s="32">
        <v>4</v>
      </c>
    </row>
    <row r="4086" spans="1:6" x14ac:dyDescent="0.3">
      <c r="A4086" s="31">
        <v>1000020794</v>
      </c>
      <c r="B4086" s="31" t="s">
        <v>998</v>
      </c>
      <c r="C4086" s="31" t="s">
        <v>4</v>
      </c>
      <c r="D4086" s="31" t="s">
        <v>2090</v>
      </c>
      <c r="E4086" s="32">
        <v>106.94</v>
      </c>
      <c r="F4086" s="32">
        <v>1</v>
      </c>
    </row>
    <row r="4087" spans="1:6" x14ac:dyDescent="0.3">
      <c r="A4087" s="31">
        <v>1000020957</v>
      </c>
      <c r="B4087" s="31" t="s">
        <v>1135</v>
      </c>
      <c r="C4087" s="31" t="s">
        <v>4</v>
      </c>
      <c r="D4087" s="31" t="s">
        <v>2090</v>
      </c>
      <c r="E4087" s="32">
        <v>106.83</v>
      </c>
      <c r="F4087" s="32">
        <v>1</v>
      </c>
    </row>
    <row r="4088" spans="1:6" x14ac:dyDescent="0.3">
      <c r="A4088" s="31">
        <v>1000020918</v>
      </c>
      <c r="B4088" s="31" t="s">
        <v>1098</v>
      </c>
      <c r="C4088" s="31" t="s">
        <v>4</v>
      </c>
      <c r="D4088" s="31" t="s">
        <v>2090</v>
      </c>
      <c r="E4088" s="32">
        <v>106.83</v>
      </c>
      <c r="F4088" s="32">
        <v>1</v>
      </c>
    </row>
    <row r="4089" spans="1:6" x14ac:dyDescent="0.3">
      <c r="A4089" s="31">
        <v>1000020304</v>
      </c>
      <c r="B4089" s="31" t="s">
        <v>540</v>
      </c>
      <c r="C4089" s="31" t="s">
        <v>4</v>
      </c>
      <c r="D4089" s="31" t="s">
        <v>2090</v>
      </c>
      <c r="E4089" s="32">
        <v>106.48</v>
      </c>
      <c r="F4089" s="32">
        <v>1</v>
      </c>
    </row>
    <row r="4090" spans="1:6" x14ac:dyDescent="0.3">
      <c r="A4090" s="31">
        <v>1000106638</v>
      </c>
      <c r="B4090" s="31" t="s">
        <v>4342</v>
      </c>
      <c r="C4090" s="31" t="s">
        <v>4</v>
      </c>
      <c r="D4090" s="31" t="s">
        <v>2056</v>
      </c>
      <c r="E4090" s="32">
        <v>106.07</v>
      </c>
      <c r="F4090" s="32">
        <v>40</v>
      </c>
    </row>
    <row r="4091" spans="1:6" x14ac:dyDescent="0.3">
      <c r="A4091" s="31">
        <v>1000102211</v>
      </c>
      <c r="B4091" s="31" t="s">
        <v>4343</v>
      </c>
      <c r="C4091" s="31" t="s">
        <v>4</v>
      </c>
      <c r="D4091" s="31" t="s">
        <v>2090</v>
      </c>
      <c r="E4091" s="32">
        <v>105.75</v>
      </c>
      <c r="F4091" s="32">
        <v>1</v>
      </c>
    </row>
    <row r="4092" spans="1:6" x14ac:dyDescent="0.3">
      <c r="A4092" s="31">
        <v>1000098443</v>
      </c>
      <c r="B4092" s="31" t="s">
        <v>1523</v>
      </c>
      <c r="C4092" s="31" t="s">
        <v>4</v>
      </c>
      <c r="D4092" s="31" t="s">
        <v>2090</v>
      </c>
      <c r="E4092" s="32">
        <v>105.39</v>
      </c>
      <c r="F4092" s="32">
        <v>2</v>
      </c>
    </row>
    <row r="4093" spans="1:6" x14ac:dyDescent="0.3">
      <c r="A4093" s="31">
        <v>1000021166</v>
      </c>
      <c r="B4093" s="31" t="s">
        <v>1314</v>
      </c>
      <c r="C4093" s="31" t="s">
        <v>4</v>
      </c>
      <c r="D4093" s="31" t="s">
        <v>2090</v>
      </c>
      <c r="E4093" s="32">
        <v>104.96</v>
      </c>
      <c r="F4093" s="32">
        <v>2</v>
      </c>
    </row>
    <row r="4094" spans="1:6" x14ac:dyDescent="0.3">
      <c r="A4094" s="31">
        <v>1000020591</v>
      </c>
      <c r="B4094" s="31" t="s">
        <v>807</v>
      </c>
      <c r="C4094" s="31" t="s">
        <v>4</v>
      </c>
      <c r="D4094" s="31" t="s">
        <v>2090</v>
      </c>
      <c r="E4094" s="32">
        <v>104.8</v>
      </c>
      <c r="F4094" s="32">
        <v>20</v>
      </c>
    </row>
    <row r="4095" spans="1:6" x14ac:dyDescent="0.3">
      <c r="A4095" s="31">
        <v>80000009717</v>
      </c>
      <c r="B4095" s="31" t="s">
        <v>4344</v>
      </c>
      <c r="C4095" s="31" t="s">
        <v>2521</v>
      </c>
      <c r="D4095" s="31" t="s">
        <v>2670</v>
      </c>
      <c r="E4095" s="32">
        <v>104.4</v>
      </c>
      <c r="F4095" s="32">
        <v>58</v>
      </c>
    </row>
    <row r="4096" spans="1:6" x14ac:dyDescent="0.3">
      <c r="A4096" s="31">
        <v>2200011719</v>
      </c>
      <c r="B4096" s="31" t="s">
        <v>4345</v>
      </c>
      <c r="C4096" s="31" t="s">
        <v>2037</v>
      </c>
      <c r="D4096" s="31" t="s">
        <v>2038</v>
      </c>
      <c r="E4096" s="32">
        <v>104.141525</v>
      </c>
      <c r="F4096" s="32">
        <v>6</v>
      </c>
    </row>
    <row r="4097" spans="1:6" x14ac:dyDescent="0.3">
      <c r="A4097" s="31">
        <v>2200010519</v>
      </c>
      <c r="B4097" s="31" t="s">
        <v>4346</v>
      </c>
      <c r="C4097" s="31" t="s">
        <v>2037</v>
      </c>
      <c r="D4097" s="31" t="s">
        <v>2067</v>
      </c>
      <c r="E4097" s="32">
        <v>104.04</v>
      </c>
      <c r="F4097" s="32">
        <v>2</v>
      </c>
    </row>
    <row r="4098" spans="1:6" x14ac:dyDescent="0.3">
      <c r="A4098" s="31">
        <v>2200010516</v>
      </c>
      <c r="B4098" s="31" t="s">
        <v>4347</v>
      </c>
      <c r="C4098" s="31" t="s">
        <v>2037</v>
      </c>
      <c r="D4098" s="31" t="s">
        <v>2067</v>
      </c>
      <c r="E4098" s="32">
        <v>104.04</v>
      </c>
      <c r="F4098" s="32">
        <v>2</v>
      </c>
    </row>
    <row r="4099" spans="1:6" x14ac:dyDescent="0.3">
      <c r="A4099" s="31">
        <v>1000106274</v>
      </c>
      <c r="B4099" s="31" t="s">
        <v>4348</v>
      </c>
      <c r="C4099" s="31" t="s">
        <v>4</v>
      </c>
      <c r="D4099" s="31" t="s">
        <v>2043</v>
      </c>
      <c r="E4099" s="32">
        <v>104</v>
      </c>
      <c r="F4099" s="32">
        <v>4</v>
      </c>
    </row>
    <row r="4100" spans="1:6" x14ac:dyDescent="0.3">
      <c r="A4100" s="31">
        <v>1000093568</v>
      </c>
      <c r="B4100" s="31" t="s">
        <v>4349</v>
      </c>
      <c r="C4100" s="31" t="s">
        <v>4</v>
      </c>
      <c r="D4100" s="31" t="s">
        <v>2056</v>
      </c>
      <c r="E4100" s="32">
        <v>103.698235294117</v>
      </c>
      <c r="F4100" s="32">
        <v>140</v>
      </c>
    </row>
    <row r="4101" spans="1:6" x14ac:dyDescent="0.3">
      <c r="A4101" s="31">
        <v>1000020220</v>
      </c>
      <c r="B4101" s="31" t="s">
        <v>460</v>
      </c>
      <c r="C4101" s="31" t="s">
        <v>4</v>
      </c>
      <c r="D4101" s="31" t="s">
        <v>2090</v>
      </c>
      <c r="E4101" s="32">
        <v>103.32</v>
      </c>
      <c r="F4101" s="32">
        <v>18</v>
      </c>
    </row>
    <row r="4102" spans="1:6" x14ac:dyDescent="0.3">
      <c r="A4102" s="31">
        <v>1000020382</v>
      </c>
      <c r="B4102" s="31" t="s">
        <v>612</v>
      </c>
      <c r="C4102" s="31" t="s">
        <v>4</v>
      </c>
      <c r="D4102" s="31" t="s">
        <v>2090</v>
      </c>
      <c r="E4102" s="32">
        <v>103.3</v>
      </c>
      <c r="F4102" s="32">
        <v>5</v>
      </c>
    </row>
    <row r="4103" spans="1:6" x14ac:dyDescent="0.3">
      <c r="A4103" s="31">
        <v>1000020381</v>
      </c>
      <c r="B4103" s="31" t="s">
        <v>611</v>
      </c>
      <c r="C4103" s="31" t="s">
        <v>4</v>
      </c>
      <c r="D4103" s="31" t="s">
        <v>2090</v>
      </c>
      <c r="E4103" s="32">
        <v>103.3</v>
      </c>
      <c r="F4103" s="32">
        <v>5</v>
      </c>
    </row>
    <row r="4104" spans="1:6" x14ac:dyDescent="0.3">
      <c r="A4104" s="31">
        <v>1000020360</v>
      </c>
      <c r="B4104" s="31" t="s">
        <v>592</v>
      </c>
      <c r="C4104" s="31" t="s">
        <v>4</v>
      </c>
      <c r="D4104" s="31" t="s">
        <v>2090</v>
      </c>
      <c r="E4104" s="32">
        <v>103.24</v>
      </c>
      <c r="F4104" s="32">
        <v>1</v>
      </c>
    </row>
    <row r="4105" spans="1:6" x14ac:dyDescent="0.3">
      <c r="A4105" s="31">
        <v>1000020035</v>
      </c>
      <c r="B4105" s="31" t="s">
        <v>4350</v>
      </c>
      <c r="C4105" s="31" t="s">
        <v>4</v>
      </c>
      <c r="D4105" s="31" t="s">
        <v>2090</v>
      </c>
      <c r="E4105" s="32">
        <v>102.91840000000001</v>
      </c>
      <c r="F4105" s="32">
        <v>16</v>
      </c>
    </row>
    <row r="4106" spans="1:6" x14ac:dyDescent="0.3">
      <c r="A4106" s="31">
        <v>1000020163</v>
      </c>
      <c r="B4106" s="31" t="s">
        <v>410</v>
      </c>
      <c r="C4106" s="31" t="s">
        <v>4</v>
      </c>
      <c r="D4106" s="31" t="s">
        <v>2090</v>
      </c>
      <c r="E4106" s="32">
        <v>102.8</v>
      </c>
      <c r="F4106" s="32">
        <v>5</v>
      </c>
    </row>
    <row r="4107" spans="1:6" x14ac:dyDescent="0.3">
      <c r="A4107" s="31">
        <v>1000100420</v>
      </c>
      <c r="B4107" s="31" t="s">
        <v>1732</v>
      </c>
      <c r="C4107" s="31" t="s">
        <v>4</v>
      </c>
      <c r="D4107" s="31" t="s">
        <v>2090</v>
      </c>
      <c r="E4107" s="32">
        <v>102.68</v>
      </c>
      <c r="F4107" s="32">
        <v>2</v>
      </c>
    </row>
    <row r="4108" spans="1:6" x14ac:dyDescent="0.3">
      <c r="A4108" s="31">
        <v>1000020249</v>
      </c>
      <c r="B4108" s="31" t="s">
        <v>488</v>
      </c>
      <c r="C4108" s="31" t="s">
        <v>4</v>
      </c>
      <c r="D4108" s="31" t="s">
        <v>2090</v>
      </c>
      <c r="E4108" s="32">
        <v>102.6</v>
      </c>
      <c r="F4108" s="32">
        <v>5</v>
      </c>
    </row>
    <row r="4109" spans="1:6" x14ac:dyDescent="0.3">
      <c r="A4109" s="31">
        <v>2500009193</v>
      </c>
      <c r="B4109" s="31" t="s">
        <v>1985</v>
      </c>
      <c r="C4109" s="31" t="s">
        <v>1996</v>
      </c>
      <c r="D4109" s="31" t="s">
        <v>2025</v>
      </c>
      <c r="E4109" s="32">
        <v>102.6</v>
      </c>
      <c r="F4109" s="32">
        <v>2</v>
      </c>
    </row>
    <row r="4110" spans="1:6" x14ac:dyDescent="0.3">
      <c r="A4110" s="31">
        <v>80000009716</v>
      </c>
      <c r="B4110" s="31" t="s">
        <v>4351</v>
      </c>
      <c r="C4110" s="31" t="s">
        <v>2521</v>
      </c>
      <c r="D4110" s="31" t="s">
        <v>2670</v>
      </c>
      <c r="E4110" s="32">
        <v>102.6</v>
      </c>
      <c r="F4110" s="32">
        <v>57</v>
      </c>
    </row>
    <row r="4111" spans="1:6" x14ac:dyDescent="0.3">
      <c r="A4111" s="31">
        <v>1000021168</v>
      </c>
      <c r="B4111" s="31" t="s">
        <v>1316</v>
      </c>
      <c r="C4111" s="31" t="s">
        <v>4</v>
      </c>
      <c r="D4111" s="31" t="s">
        <v>2090</v>
      </c>
      <c r="E4111" s="32">
        <v>102.261666666666</v>
      </c>
      <c r="F4111" s="32">
        <v>2</v>
      </c>
    </row>
    <row r="4112" spans="1:6" x14ac:dyDescent="0.3">
      <c r="A4112" s="31">
        <v>1000097510</v>
      </c>
      <c r="B4112" s="31" t="s">
        <v>16</v>
      </c>
      <c r="C4112" s="31" t="s">
        <v>2109</v>
      </c>
      <c r="D4112" s="31" t="s">
        <v>2070</v>
      </c>
      <c r="E4112" s="32">
        <v>102</v>
      </c>
      <c r="F4112" s="32">
        <v>2</v>
      </c>
    </row>
    <row r="4113" spans="1:6" x14ac:dyDescent="0.3">
      <c r="A4113" s="31">
        <v>1000021186</v>
      </c>
      <c r="B4113" s="31" t="s">
        <v>1333</v>
      </c>
      <c r="C4113" s="31" t="s">
        <v>4</v>
      </c>
      <c r="D4113" s="31" t="s">
        <v>2090</v>
      </c>
      <c r="E4113" s="32">
        <v>101.73</v>
      </c>
      <c r="F4113" s="32">
        <v>1</v>
      </c>
    </row>
    <row r="4114" spans="1:6" x14ac:dyDescent="0.3">
      <c r="A4114" s="31">
        <v>1000021184</v>
      </c>
      <c r="B4114" s="31" t="s">
        <v>1331</v>
      </c>
      <c r="C4114" s="31" t="s">
        <v>4</v>
      </c>
      <c r="D4114" s="31" t="s">
        <v>2090</v>
      </c>
      <c r="E4114" s="32">
        <v>101.73</v>
      </c>
      <c r="F4114" s="32">
        <v>1</v>
      </c>
    </row>
    <row r="4115" spans="1:6" x14ac:dyDescent="0.3">
      <c r="A4115" s="31">
        <v>1000020222</v>
      </c>
      <c r="B4115" s="31" t="s">
        <v>462</v>
      </c>
      <c r="C4115" s="31" t="s">
        <v>4</v>
      </c>
      <c r="D4115" s="31" t="s">
        <v>2218</v>
      </c>
      <c r="E4115" s="32">
        <v>101.4</v>
      </c>
      <c r="F4115" s="32">
        <v>20</v>
      </c>
    </row>
    <row r="4116" spans="1:6" x14ac:dyDescent="0.3">
      <c r="A4116" s="31">
        <v>1000020181</v>
      </c>
      <c r="B4116" s="31" t="s">
        <v>424</v>
      </c>
      <c r="C4116" s="31" t="s">
        <v>4</v>
      </c>
      <c r="D4116" s="31" t="s">
        <v>2090</v>
      </c>
      <c r="E4116" s="32">
        <v>101.31</v>
      </c>
      <c r="F4116" s="32">
        <v>1</v>
      </c>
    </row>
    <row r="4117" spans="1:6" x14ac:dyDescent="0.3">
      <c r="A4117" s="31">
        <v>1000001222</v>
      </c>
      <c r="B4117" s="31" t="s">
        <v>7</v>
      </c>
      <c r="C4117" s="31" t="s">
        <v>2109</v>
      </c>
      <c r="D4117" s="31" t="s">
        <v>2070</v>
      </c>
      <c r="E4117" s="32">
        <v>101.255</v>
      </c>
      <c r="F4117" s="32">
        <v>2</v>
      </c>
    </row>
    <row r="4118" spans="1:6" x14ac:dyDescent="0.3">
      <c r="A4118" s="31">
        <v>2500009335</v>
      </c>
      <c r="B4118" s="31" t="s">
        <v>4352</v>
      </c>
      <c r="C4118" s="31" t="s">
        <v>1996</v>
      </c>
      <c r="D4118" s="31" t="s">
        <v>2289</v>
      </c>
      <c r="E4118" s="32">
        <v>101.25</v>
      </c>
      <c r="F4118" s="32">
        <v>3</v>
      </c>
    </row>
    <row r="4119" spans="1:6" x14ac:dyDescent="0.3">
      <c r="A4119" s="31">
        <v>2500009123</v>
      </c>
      <c r="B4119" s="31" t="s">
        <v>4353</v>
      </c>
      <c r="C4119" s="31" t="s">
        <v>1996</v>
      </c>
      <c r="D4119" s="31" t="s">
        <v>2289</v>
      </c>
      <c r="E4119" s="32">
        <v>101.25</v>
      </c>
      <c r="F4119" s="32">
        <v>9</v>
      </c>
    </row>
    <row r="4120" spans="1:6" x14ac:dyDescent="0.3">
      <c r="A4120" s="31">
        <v>1000099616</v>
      </c>
      <c r="B4120" s="31" t="s">
        <v>4354</v>
      </c>
      <c r="C4120" s="31" t="s">
        <v>4</v>
      </c>
      <c r="D4120" s="31" t="s">
        <v>2056</v>
      </c>
      <c r="E4120" s="32">
        <v>101.2</v>
      </c>
      <c r="F4120" s="32">
        <v>50</v>
      </c>
    </row>
    <row r="4121" spans="1:6" x14ac:dyDescent="0.3">
      <c r="A4121" s="31">
        <v>1000105809</v>
      </c>
      <c r="B4121" s="31" t="s">
        <v>4355</v>
      </c>
      <c r="C4121" s="31" t="s">
        <v>4</v>
      </c>
      <c r="D4121" s="31" t="s">
        <v>2056</v>
      </c>
      <c r="E4121" s="32">
        <v>101.2</v>
      </c>
      <c r="F4121" s="32">
        <v>25</v>
      </c>
    </row>
    <row r="4122" spans="1:6" x14ac:dyDescent="0.3">
      <c r="A4122" s="31">
        <v>2100005593</v>
      </c>
      <c r="B4122" s="31" t="s">
        <v>4356</v>
      </c>
      <c r="C4122" s="31" t="s">
        <v>2030</v>
      </c>
      <c r="D4122" s="31" t="s">
        <v>2031</v>
      </c>
      <c r="E4122" s="32">
        <v>100.89</v>
      </c>
      <c r="F4122" s="32">
        <v>10</v>
      </c>
    </row>
    <row r="4123" spans="1:6" x14ac:dyDescent="0.3">
      <c r="A4123" s="31">
        <v>1000020379</v>
      </c>
      <c r="B4123" s="31" t="s">
        <v>609</v>
      </c>
      <c r="C4123" s="31" t="s">
        <v>4</v>
      </c>
      <c r="D4123" s="31" t="s">
        <v>2090</v>
      </c>
      <c r="E4123" s="32">
        <v>100.85</v>
      </c>
      <c r="F4123" s="32">
        <v>5</v>
      </c>
    </row>
    <row r="4124" spans="1:6" x14ac:dyDescent="0.3">
      <c r="A4124" s="31">
        <v>1000020894</v>
      </c>
      <c r="B4124" s="31" t="s">
        <v>1076</v>
      </c>
      <c r="C4124" s="31" t="s">
        <v>4</v>
      </c>
      <c r="D4124" s="31" t="s">
        <v>2090</v>
      </c>
      <c r="E4124" s="32">
        <v>100.71</v>
      </c>
      <c r="F4124" s="32">
        <v>1</v>
      </c>
    </row>
    <row r="4125" spans="1:6" x14ac:dyDescent="0.3">
      <c r="A4125" s="31">
        <v>1000093330</v>
      </c>
      <c r="B4125" s="31" t="s">
        <v>4357</v>
      </c>
      <c r="C4125" s="31" t="s">
        <v>4</v>
      </c>
      <c r="D4125" s="31" t="s">
        <v>2090</v>
      </c>
      <c r="E4125" s="32">
        <v>100.575</v>
      </c>
      <c r="F4125" s="32">
        <v>2</v>
      </c>
    </row>
    <row r="4126" spans="1:6" x14ac:dyDescent="0.3">
      <c r="A4126" s="31">
        <v>1000020676</v>
      </c>
      <c r="B4126" s="31" t="s">
        <v>889</v>
      </c>
      <c r="C4126" s="31" t="s">
        <v>4</v>
      </c>
      <c r="D4126" s="31" t="s">
        <v>2090</v>
      </c>
      <c r="E4126" s="32">
        <v>100.54</v>
      </c>
      <c r="F4126" s="32">
        <v>2</v>
      </c>
    </row>
    <row r="4127" spans="1:6" x14ac:dyDescent="0.3">
      <c r="A4127" s="31">
        <v>1000094724</v>
      </c>
      <c r="B4127" s="31" t="s">
        <v>4358</v>
      </c>
      <c r="C4127" s="31" t="s">
        <v>4</v>
      </c>
      <c r="D4127" s="31" t="s">
        <v>2218</v>
      </c>
      <c r="E4127" s="32">
        <v>100.008333333333</v>
      </c>
      <c r="F4127" s="32">
        <v>4</v>
      </c>
    </row>
    <row r="4128" spans="1:6" x14ac:dyDescent="0.3">
      <c r="A4128" s="31">
        <v>80000009805</v>
      </c>
      <c r="B4128" s="31" t="s">
        <v>4359</v>
      </c>
      <c r="C4128" s="31" t="s">
        <v>2755</v>
      </c>
      <c r="D4128" s="31" t="s">
        <v>2670</v>
      </c>
      <c r="E4128" s="32">
        <v>100</v>
      </c>
      <c r="F4128" s="32">
        <v>20</v>
      </c>
    </row>
    <row r="4129" spans="1:6" x14ac:dyDescent="0.3">
      <c r="A4129" s="31">
        <v>1000020774</v>
      </c>
      <c r="B4129" s="31" t="s">
        <v>978</v>
      </c>
      <c r="C4129" s="31" t="s">
        <v>4</v>
      </c>
      <c r="D4129" s="31" t="s">
        <v>2090</v>
      </c>
      <c r="E4129" s="32">
        <v>99.8</v>
      </c>
      <c r="F4129" s="32">
        <v>5</v>
      </c>
    </row>
    <row r="4130" spans="1:6" x14ac:dyDescent="0.3">
      <c r="A4130" s="31">
        <v>1000020980</v>
      </c>
      <c r="B4130" s="31" t="s">
        <v>1154</v>
      </c>
      <c r="C4130" s="31" t="s">
        <v>4</v>
      </c>
      <c r="D4130" s="31" t="s">
        <v>2090</v>
      </c>
      <c r="E4130" s="32">
        <v>99.68</v>
      </c>
      <c r="F4130" s="32">
        <v>2</v>
      </c>
    </row>
    <row r="4131" spans="1:6" x14ac:dyDescent="0.3">
      <c r="A4131" s="31">
        <v>1000020150</v>
      </c>
      <c r="B4131" s="31" t="s">
        <v>401</v>
      </c>
      <c r="C4131" s="31" t="s">
        <v>4</v>
      </c>
      <c r="D4131" s="31" t="s">
        <v>2090</v>
      </c>
      <c r="E4131" s="32">
        <v>99.48</v>
      </c>
      <c r="F4131" s="32">
        <v>2</v>
      </c>
    </row>
    <row r="4132" spans="1:6" x14ac:dyDescent="0.3">
      <c r="A4132" s="31">
        <v>1000100895</v>
      </c>
      <c r="B4132" s="31" t="s">
        <v>4360</v>
      </c>
      <c r="C4132" s="31" t="s">
        <v>2257</v>
      </c>
      <c r="D4132" s="31" t="s">
        <v>4361</v>
      </c>
      <c r="E4132" s="32">
        <v>99.2</v>
      </c>
      <c r="F4132" s="32">
        <v>1</v>
      </c>
    </row>
    <row r="4133" spans="1:6" x14ac:dyDescent="0.3">
      <c r="A4133" s="31">
        <v>80000009818</v>
      </c>
      <c r="B4133" s="31" t="s">
        <v>4362</v>
      </c>
      <c r="C4133" s="31" t="s">
        <v>2521</v>
      </c>
      <c r="D4133" s="31" t="s">
        <v>2670</v>
      </c>
      <c r="E4133" s="32">
        <v>99</v>
      </c>
      <c r="F4133" s="32">
        <v>11</v>
      </c>
    </row>
    <row r="4134" spans="1:6" x14ac:dyDescent="0.3">
      <c r="A4134" s="31">
        <v>80000009757</v>
      </c>
      <c r="B4134" s="31" t="s">
        <v>4363</v>
      </c>
      <c r="C4134" s="31" t="s">
        <v>2755</v>
      </c>
      <c r="D4134" s="31" t="s">
        <v>2670</v>
      </c>
      <c r="E4134" s="32">
        <v>99</v>
      </c>
      <c r="F4134" s="32">
        <v>9</v>
      </c>
    </row>
    <row r="4135" spans="1:6" x14ac:dyDescent="0.3">
      <c r="A4135" s="31">
        <v>1000020414</v>
      </c>
      <c r="B4135" s="31" t="s">
        <v>643</v>
      </c>
      <c r="C4135" s="31" t="s">
        <v>4</v>
      </c>
      <c r="D4135" s="31" t="s">
        <v>2090</v>
      </c>
      <c r="E4135" s="32">
        <v>98.922352941176399</v>
      </c>
      <c r="F4135" s="32">
        <v>14</v>
      </c>
    </row>
    <row r="4136" spans="1:6" x14ac:dyDescent="0.3">
      <c r="A4136" s="31">
        <v>1000020137</v>
      </c>
      <c r="B4136" s="31" t="s">
        <v>391</v>
      </c>
      <c r="C4136" s="31" t="s">
        <v>4</v>
      </c>
      <c r="D4136" s="31" t="s">
        <v>2090</v>
      </c>
      <c r="E4136" s="32">
        <v>98.9</v>
      </c>
      <c r="F4136" s="32">
        <v>5</v>
      </c>
    </row>
    <row r="4137" spans="1:6" x14ac:dyDescent="0.3">
      <c r="A4137" s="31">
        <v>1000104754</v>
      </c>
      <c r="B4137" s="31" t="s">
        <v>4364</v>
      </c>
      <c r="C4137" s="31" t="s">
        <v>4</v>
      </c>
      <c r="D4137" s="31" t="s">
        <v>2161</v>
      </c>
      <c r="E4137" s="32">
        <v>98.64</v>
      </c>
      <c r="F4137" s="32">
        <v>4</v>
      </c>
    </row>
    <row r="4138" spans="1:6" x14ac:dyDescent="0.3">
      <c r="A4138" s="31">
        <v>1000021178</v>
      </c>
      <c r="B4138" s="31" t="s">
        <v>1325</v>
      </c>
      <c r="C4138" s="31" t="s">
        <v>4</v>
      </c>
      <c r="D4138" s="31" t="s">
        <v>2090</v>
      </c>
      <c r="E4138" s="32">
        <v>98.52</v>
      </c>
      <c r="F4138" s="32">
        <v>1</v>
      </c>
    </row>
    <row r="4139" spans="1:6" x14ac:dyDescent="0.3">
      <c r="A4139" s="31">
        <v>1000020632</v>
      </c>
      <c r="B4139" s="31" t="s">
        <v>847</v>
      </c>
      <c r="C4139" s="31" t="s">
        <v>4</v>
      </c>
      <c r="D4139" s="31" t="s">
        <v>2090</v>
      </c>
      <c r="E4139" s="32">
        <v>97.85</v>
      </c>
      <c r="F4139" s="32">
        <v>5</v>
      </c>
    </row>
    <row r="4140" spans="1:6" x14ac:dyDescent="0.3">
      <c r="A4140" s="31">
        <v>1000021182</v>
      </c>
      <c r="B4140" s="31" t="s">
        <v>1329</v>
      </c>
      <c r="C4140" s="31" t="s">
        <v>4</v>
      </c>
      <c r="D4140" s="31" t="s">
        <v>2090</v>
      </c>
      <c r="E4140" s="32">
        <v>97.64</v>
      </c>
      <c r="F4140" s="32">
        <v>1</v>
      </c>
    </row>
    <row r="4141" spans="1:6" x14ac:dyDescent="0.3">
      <c r="A4141" s="31">
        <v>1000100419</v>
      </c>
      <c r="B4141" s="31" t="s">
        <v>1731</v>
      </c>
      <c r="C4141" s="31" t="s">
        <v>4</v>
      </c>
      <c r="D4141" s="31" t="s">
        <v>2218</v>
      </c>
      <c r="E4141" s="32">
        <v>97.474999999999994</v>
      </c>
      <c r="F4141" s="32">
        <v>14</v>
      </c>
    </row>
    <row r="4142" spans="1:6" x14ac:dyDescent="0.3">
      <c r="A4142" s="31">
        <v>1000095694</v>
      </c>
      <c r="B4142" s="31" t="s">
        <v>1503</v>
      </c>
      <c r="C4142" s="31" t="s">
        <v>4</v>
      </c>
      <c r="D4142" s="31" t="s">
        <v>2090</v>
      </c>
      <c r="E4142" s="32">
        <v>97.442250000000001</v>
      </c>
      <c r="F4142" s="32">
        <v>3</v>
      </c>
    </row>
    <row r="4143" spans="1:6" x14ac:dyDescent="0.3">
      <c r="A4143" s="31">
        <v>1000020343</v>
      </c>
      <c r="B4143" s="31" t="s">
        <v>575</v>
      </c>
      <c r="C4143" s="31" t="s">
        <v>4</v>
      </c>
      <c r="D4143" s="31" t="s">
        <v>2090</v>
      </c>
      <c r="E4143" s="32">
        <v>97.2</v>
      </c>
      <c r="F4143" s="32">
        <v>20</v>
      </c>
    </row>
    <row r="4144" spans="1:6" x14ac:dyDescent="0.3">
      <c r="A4144" s="31">
        <v>2500008287</v>
      </c>
      <c r="B4144" s="31" t="s">
        <v>4365</v>
      </c>
      <c r="C4144" s="31" t="s">
        <v>1996</v>
      </c>
      <c r="D4144" s="31" t="s">
        <v>2025</v>
      </c>
      <c r="E4144" s="32">
        <v>97.2</v>
      </c>
      <c r="F4144" s="32">
        <v>4</v>
      </c>
    </row>
    <row r="4145" spans="1:6" x14ac:dyDescent="0.3">
      <c r="A4145" s="31">
        <v>1000020280</v>
      </c>
      <c r="B4145" s="31" t="s">
        <v>516</v>
      </c>
      <c r="C4145" s="31" t="s">
        <v>4</v>
      </c>
      <c r="D4145" s="31" t="s">
        <v>2090</v>
      </c>
      <c r="E4145" s="32">
        <v>97.05</v>
      </c>
      <c r="F4145" s="32">
        <v>3</v>
      </c>
    </row>
    <row r="4146" spans="1:6" x14ac:dyDescent="0.3">
      <c r="A4146" s="31">
        <v>1000094123</v>
      </c>
      <c r="B4146" s="31" t="s">
        <v>4366</v>
      </c>
      <c r="C4146" s="31" t="s">
        <v>4</v>
      </c>
      <c r="D4146" s="31" t="s">
        <v>2090</v>
      </c>
      <c r="E4146" s="32">
        <v>96.855000000000004</v>
      </c>
      <c r="F4146" s="32">
        <v>2</v>
      </c>
    </row>
    <row r="4147" spans="1:6" x14ac:dyDescent="0.3">
      <c r="A4147" s="31">
        <v>1000020915</v>
      </c>
      <c r="B4147" s="31" t="s">
        <v>1095</v>
      </c>
      <c r="C4147" s="31" t="s">
        <v>4</v>
      </c>
      <c r="D4147" s="31" t="s">
        <v>2090</v>
      </c>
      <c r="E4147" s="32">
        <v>96.66</v>
      </c>
      <c r="F4147" s="32">
        <v>1</v>
      </c>
    </row>
    <row r="4148" spans="1:6" x14ac:dyDescent="0.3">
      <c r="A4148" s="31">
        <v>1000020914</v>
      </c>
      <c r="B4148" s="31" t="s">
        <v>1094</v>
      </c>
      <c r="C4148" s="31" t="s">
        <v>4</v>
      </c>
      <c r="D4148" s="31" t="s">
        <v>2090</v>
      </c>
      <c r="E4148" s="32">
        <v>96.66</v>
      </c>
      <c r="F4148" s="32">
        <v>1</v>
      </c>
    </row>
    <row r="4149" spans="1:6" x14ac:dyDescent="0.3">
      <c r="A4149" s="31">
        <v>2100004014</v>
      </c>
      <c r="B4149" s="31" t="s">
        <v>4367</v>
      </c>
      <c r="C4149" s="31" t="s">
        <v>2414</v>
      </c>
      <c r="D4149" s="31" t="s">
        <v>4368</v>
      </c>
      <c r="E4149" s="32">
        <v>96.61</v>
      </c>
      <c r="F4149" s="32">
        <v>2</v>
      </c>
    </row>
    <row r="4150" spans="1:6" x14ac:dyDescent="0.3">
      <c r="A4150" s="31">
        <v>1000100425</v>
      </c>
      <c r="B4150" s="31" t="s">
        <v>1736</v>
      </c>
      <c r="C4150" s="31" t="s">
        <v>4</v>
      </c>
      <c r="D4150" s="31" t="s">
        <v>2090</v>
      </c>
      <c r="E4150" s="32">
        <v>96.6</v>
      </c>
      <c r="F4150" s="32">
        <v>2</v>
      </c>
    </row>
    <row r="4151" spans="1:6" x14ac:dyDescent="0.3">
      <c r="A4151" s="31">
        <v>1000020380</v>
      </c>
      <c r="B4151" s="31" t="s">
        <v>610</v>
      </c>
      <c r="C4151" s="31" t="s">
        <v>4</v>
      </c>
      <c r="D4151" s="31" t="s">
        <v>2090</v>
      </c>
      <c r="E4151" s="32">
        <v>96.45</v>
      </c>
      <c r="F4151" s="32">
        <v>5</v>
      </c>
    </row>
    <row r="4152" spans="1:6" x14ac:dyDescent="0.3">
      <c r="A4152" s="31">
        <v>1000101360</v>
      </c>
      <c r="B4152" s="31" t="s">
        <v>4369</v>
      </c>
      <c r="C4152" s="31" t="s">
        <v>4</v>
      </c>
      <c r="D4152" s="31" t="s">
        <v>2056</v>
      </c>
      <c r="E4152" s="32">
        <v>96.038829688421004</v>
      </c>
      <c r="F4152" s="32">
        <v>42</v>
      </c>
    </row>
    <row r="4153" spans="1:6" x14ac:dyDescent="0.3">
      <c r="A4153" s="31">
        <v>1000020561</v>
      </c>
      <c r="B4153" s="31" t="s">
        <v>778</v>
      </c>
      <c r="C4153" s="31" t="s">
        <v>4</v>
      </c>
      <c r="D4153" s="31" t="s">
        <v>2090</v>
      </c>
      <c r="E4153" s="32">
        <v>96.02</v>
      </c>
      <c r="F4153" s="32">
        <v>2</v>
      </c>
    </row>
    <row r="4154" spans="1:6" x14ac:dyDescent="0.3">
      <c r="A4154" s="31">
        <v>1000020455</v>
      </c>
      <c r="B4154" s="31" t="s">
        <v>681</v>
      </c>
      <c r="C4154" s="31" t="s">
        <v>4</v>
      </c>
      <c r="D4154" s="31" t="s">
        <v>2090</v>
      </c>
      <c r="E4154" s="32">
        <v>95.729413514662099</v>
      </c>
      <c r="F4154" s="32">
        <v>6</v>
      </c>
    </row>
    <row r="4155" spans="1:6" x14ac:dyDescent="0.3">
      <c r="A4155" s="31">
        <v>1000020792</v>
      </c>
      <c r="B4155" s="31" t="s">
        <v>996</v>
      </c>
      <c r="C4155" s="31" t="s">
        <v>4</v>
      </c>
      <c r="D4155" s="31" t="s">
        <v>2090</v>
      </c>
      <c r="E4155" s="32">
        <v>95.197500000000005</v>
      </c>
      <c r="F4155" s="32">
        <v>1</v>
      </c>
    </row>
    <row r="4156" spans="1:6" x14ac:dyDescent="0.3">
      <c r="A4156" s="31">
        <v>1000099285</v>
      </c>
      <c r="B4156" s="31" t="s">
        <v>4370</v>
      </c>
      <c r="C4156" s="31" t="s">
        <v>4</v>
      </c>
      <c r="D4156" s="31" t="s">
        <v>2090</v>
      </c>
      <c r="E4156" s="32">
        <v>95.14</v>
      </c>
      <c r="F4156" s="32">
        <v>1</v>
      </c>
    </row>
    <row r="4157" spans="1:6" x14ac:dyDescent="0.3">
      <c r="A4157" s="31">
        <v>1000020358</v>
      </c>
      <c r="B4157" s="31" t="s">
        <v>590</v>
      </c>
      <c r="C4157" s="31" t="s">
        <v>4</v>
      </c>
      <c r="D4157" s="31" t="s">
        <v>2090</v>
      </c>
      <c r="E4157" s="32">
        <v>94.86</v>
      </c>
      <c r="F4157" s="32">
        <v>1</v>
      </c>
    </row>
    <row r="4158" spans="1:6" x14ac:dyDescent="0.3">
      <c r="A4158" s="31">
        <v>1000094703</v>
      </c>
      <c r="B4158" s="31" t="s">
        <v>4371</v>
      </c>
      <c r="C4158" s="31" t="s">
        <v>2109</v>
      </c>
      <c r="D4158" s="31" t="s">
        <v>2070</v>
      </c>
      <c r="E4158" s="32">
        <v>94.833293269230694</v>
      </c>
      <c r="F4158" s="32">
        <v>15</v>
      </c>
    </row>
    <row r="4159" spans="1:6" x14ac:dyDescent="0.3">
      <c r="A4159" s="31">
        <v>1000098601</v>
      </c>
      <c r="B4159" s="31" t="s">
        <v>1606</v>
      </c>
      <c r="C4159" s="31" t="s">
        <v>4</v>
      </c>
      <c r="D4159" s="31" t="s">
        <v>2090</v>
      </c>
      <c r="E4159" s="32">
        <v>94.61</v>
      </c>
      <c r="F4159" s="32">
        <v>2</v>
      </c>
    </row>
    <row r="4160" spans="1:6" x14ac:dyDescent="0.3">
      <c r="A4160" s="31">
        <v>1000020239</v>
      </c>
      <c r="B4160" s="31" t="s">
        <v>478</v>
      </c>
      <c r="C4160" s="31" t="s">
        <v>4</v>
      </c>
      <c r="D4160" s="31" t="s">
        <v>2090</v>
      </c>
      <c r="E4160" s="32">
        <v>93.8</v>
      </c>
      <c r="F4160" s="32">
        <v>5</v>
      </c>
    </row>
    <row r="4161" spans="1:6" x14ac:dyDescent="0.3">
      <c r="A4161" s="31">
        <v>2500009459</v>
      </c>
      <c r="B4161" s="31" t="s">
        <v>4372</v>
      </c>
      <c r="C4161" s="31" t="s">
        <v>1996</v>
      </c>
      <c r="D4161" s="31" t="s">
        <v>2289</v>
      </c>
      <c r="E4161" s="32">
        <v>93.75</v>
      </c>
      <c r="F4161" s="32">
        <v>1</v>
      </c>
    </row>
    <row r="4162" spans="1:6" x14ac:dyDescent="0.3">
      <c r="A4162" s="31">
        <v>2500005579</v>
      </c>
      <c r="B4162" s="31" t="s">
        <v>1904</v>
      </c>
      <c r="C4162" s="31" t="s">
        <v>1996</v>
      </c>
      <c r="D4162" s="31" t="s">
        <v>2025</v>
      </c>
      <c r="E4162" s="32">
        <v>93.64</v>
      </c>
      <c r="F4162" s="32">
        <v>6</v>
      </c>
    </row>
    <row r="4163" spans="1:6" x14ac:dyDescent="0.3">
      <c r="A4163" s="31">
        <v>1000098734</v>
      </c>
      <c r="B4163" s="31" t="s">
        <v>1674</v>
      </c>
      <c r="C4163" s="31" t="s">
        <v>4</v>
      </c>
      <c r="D4163" s="31" t="s">
        <v>2090</v>
      </c>
      <c r="E4163" s="32">
        <v>93.487499999999997</v>
      </c>
      <c r="F4163" s="32">
        <v>3</v>
      </c>
    </row>
    <row r="4164" spans="1:6" x14ac:dyDescent="0.3">
      <c r="A4164" s="31">
        <v>1000020346</v>
      </c>
      <c r="B4164" s="31" t="s">
        <v>578</v>
      </c>
      <c r="C4164" s="31" t="s">
        <v>4</v>
      </c>
      <c r="D4164" s="31" t="s">
        <v>2090</v>
      </c>
      <c r="E4164" s="32">
        <v>93.1</v>
      </c>
      <c r="F4164" s="32">
        <v>5</v>
      </c>
    </row>
    <row r="4165" spans="1:6" x14ac:dyDescent="0.3">
      <c r="A4165" s="31">
        <v>1000107869</v>
      </c>
      <c r="B4165" s="31" t="s">
        <v>4373</v>
      </c>
      <c r="C4165" s="31" t="s">
        <v>4</v>
      </c>
      <c r="D4165" s="31" t="s">
        <v>2056</v>
      </c>
      <c r="E4165" s="32">
        <v>92.88</v>
      </c>
      <c r="F4165" s="32">
        <v>10</v>
      </c>
    </row>
    <row r="4166" spans="1:6" x14ac:dyDescent="0.3">
      <c r="A4166" s="31">
        <v>1000103068</v>
      </c>
      <c r="B4166" s="31" t="s">
        <v>4374</v>
      </c>
      <c r="C4166" s="31" t="s">
        <v>4</v>
      </c>
      <c r="D4166" s="31" t="s">
        <v>2090</v>
      </c>
      <c r="E4166" s="32">
        <v>92.822000044250004</v>
      </c>
      <c r="F4166" s="32">
        <v>8</v>
      </c>
    </row>
    <row r="4167" spans="1:6" x14ac:dyDescent="0.3">
      <c r="A4167" s="31">
        <v>1000102427</v>
      </c>
      <c r="B4167" s="31" t="s">
        <v>4375</v>
      </c>
      <c r="C4167" s="31" t="s">
        <v>4</v>
      </c>
      <c r="D4167" s="31" t="s">
        <v>2056</v>
      </c>
      <c r="E4167" s="32">
        <v>92.81635</v>
      </c>
      <c r="F4167" s="32">
        <v>11</v>
      </c>
    </row>
    <row r="4168" spans="1:6" x14ac:dyDescent="0.3">
      <c r="A4168" s="31">
        <v>1000020449</v>
      </c>
      <c r="B4168" s="31" t="s">
        <v>675</v>
      </c>
      <c r="C4168" s="31" t="s">
        <v>4</v>
      </c>
      <c r="D4168" s="31" t="s">
        <v>2090</v>
      </c>
      <c r="E4168" s="32">
        <v>92.73</v>
      </c>
      <c r="F4168" s="32">
        <v>3</v>
      </c>
    </row>
    <row r="4169" spans="1:6" x14ac:dyDescent="0.3">
      <c r="A4169" s="31">
        <v>1000020243</v>
      </c>
      <c r="B4169" s="31" t="s">
        <v>482</v>
      </c>
      <c r="C4169" s="31" t="s">
        <v>4</v>
      </c>
      <c r="D4169" s="31" t="s">
        <v>2090</v>
      </c>
      <c r="E4169" s="32">
        <v>92.4</v>
      </c>
      <c r="F4169" s="32">
        <v>5</v>
      </c>
    </row>
    <row r="4170" spans="1:6" x14ac:dyDescent="0.3">
      <c r="A4170" s="31">
        <v>1000102600</v>
      </c>
      <c r="B4170" s="31" t="s">
        <v>4376</v>
      </c>
      <c r="C4170" s="31" t="s">
        <v>4</v>
      </c>
      <c r="D4170" s="31" t="s">
        <v>2056</v>
      </c>
      <c r="E4170" s="32">
        <v>92.39</v>
      </c>
      <c r="F4170" s="32">
        <v>180</v>
      </c>
    </row>
    <row r="4171" spans="1:6" x14ac:dyDescent="0.3">
      <c r="A4171" s="31">
        <v>1000020007</v>
      </c>
      <c r="B4171" s="31" t="s">
        <v>4377</v>
      </c>
      <c r="C4171" s="31" t="s">
        <v>4</v>
      </c>
      <c r="D4171" s="31" t="s">
        <v>2090</v>
      </c>
      <c r="E4171" s="32">
        <v>92.2173913043478</v>
      </c>
      <c r="F4171" s="32">
        <v>14</v>
      </c>
    </row>
    <row r="4172" spans="1:6" x14ac:dyDescent="0.3">
      <c r="A4172" s="31">
        <v>1000020377</v>
      </c>
      <c r="B4172" s="31" t="s">
        <v>608</v>
      </c>
      <c r="C4172" s="31" t="s">
        <v>4</v>
      </c>
      <c r="D4172" s="31" t="s">
        <v>2090</v>
      </c>
      <c r="E4172" s="32">
        <v>92.2</v>
      </c>
      <c r="F4172" s="32">
        <v>5</v>
      </c>
    </row>
    <row r="4173" spans="1:6" x14ac:dyDescent="0.3">
      <c r="A4173" s="31">
        <v>1000101100</v>
      </c>
      <c r="B4173" s="31" t="s">
        <v>4378</v>
      </c>
      <c r="C4173" s="31" t="s">
        <v>4</v>
      </c>
      <c r="D4173" s="31" t="s">
        <v>2284</v>
      </c>
      <c r="E4173" s="32">
        <v>92.18</v>
      </c>
      <c r="F4173" s="32">
        <v>1</v>
      </c>
    </row>
    <row r="4174" spans="1:6" x14ac:dyDescent="0.3">
      <c r="A4174" s="31">
        <v>1000093562</v>
      </c>
      <c r="B4174" s="31" t="s">
        <v>4379</v>
      </c>
      <c r="C4174" s="31" t="s">
        <v>4</v>
      </c>
      <c r="D4174" s="31" t="s">
        <v>2056</v>
      </c>
      <c r="E4174" s="32">
        <v>91.941821759999996</v>
      </c>
      <c r="F4174" s="32">
        <v>2</v>
      </c>
    </row>
    <row r="4175" spans="1:6" x14ac:dyDescent="0.3">
      <c r="A4175" s="31">
        <v>1000103238</v>
      </c>
      <c r="B4175" s="31" t="s">
        <v>4380</v>
      </c>
      <c r="C4175" s="31" t="s">
        <v>4</v>
      </c>
      <c r="D4175" s="31" t="s">
        <v>2056</v>
      </c>
      <c r="E4175" s="32">
        <v>91.84</v>
      </c>
      <c r="F4175" s="32">
        <v>20</v>
      </c>
    </row>
    <row r="4176" spans="1:6" x14ac:dyDescent="0.3">
      <c r="A4176" s="31">
        <v>1000097610</v>
      </c>
      <c r="B4176" s="31" t="s">
        <v>4381</v>
      </c>
      <c r="C4176" s="31" t="s">
        <v>4</v>
      </c>
      <c r="D4176" s="31" t="s">
        <v>2056</v>
      </c>
      <c r="E4176" s="32">
        <v>91.8</v>
      </c>
      <c r="F4176" s="32">
        <v>500</v>
      </c>
    </row>
    <row r="4177" spans="1:6" x14ac:dyDescent="0.3">
      <c r="A4177" s="31">
        <v>1000101148</v>
      </c>
      <c r="B4177" s="31" t="s">
        <v>4382</v>
      </c>
      <c r="C4177" s="31" t="s">
        <v>4</v>
      </c>
      <c r="D4177" s="31" t="s">
        <v>2284</v>
      </c>
      <c r="E4177" s="32">
        <v>91.2</v>
      </c>
      <c r="F4177" s="32">
        <v>2</v>
      </c>
    </row>
    <row r="4178" spans="1:6" x14ac:dyDescent="0.3">
      <c r="A4178" s="31">
        <v>80000009765</v>
      </c>
      <c r="B4178" s="31" t="s">
        <v>4383</v>
      </c>
      <c r="C4178" s="31" t="s">
        <v>2521</v>
      </c>
      <c r="D4178" s="31" t="s">
        <v>2670</v>
      </c>
      <c r="E4178" s="32">
        <v>91.2</v>
      </c>
      <c r="F4178" s="32">
        <v>114</v>
      </c>
    </row>
    <row r="4179" spans="1:6" x14ac:dyDescent="0.3">
      <c r="A4179" s="31">
        <v>1000095838</v>
      </c>
      <c r="B4179" s="31" t="s">
        <v>4384</v>
      </c>
      <c r="C4179" s="31" t="s">
        <v>4</v>
      </c>
      <c r="D4179" s="31" t="s">
        <v>2056</v>
      </c>
      <c r="E4179" s="32">
        <v>91.048297096188705</v>
      </c>
      <c r="F4179" s="32">
        <v>1</v>
      </c>
    </row>
    <row r="4180" spans="1:6" x14ac:dyDescent="0.3">
      <c r="A4180" s="31">
        <v>1000021163</v>
      </c>
      <c r="B4180" s="31" t="s">
        <v>1311</v>
      </c>
      <c r="C4180" s="31" t="s">
        <v>4</v>
      </c>
      <c r="D4180" s="31" t="s">
        <v>2090</v>
      </c>
      <c r="E4180" s="32">
        <v>90.46</v>
      </c>
      <c r="F4180" s="32">
        <v>2</v>
      </c>
    </row>
    <row r="4181" spans="1:6" x14ac:dyDescent="0.3">
      <c r="A4181" s="31">
        <v>2500008380</v>
      </c>
      <c r="B4181" s="31" t="s">
        <v>4385</v>
      </c>
      <c r="C4181" s="31" t="s">
        <v>1996</v>
      </c>
      <c r="D4181" s="31" t="s">
        <v>2025</v>
      </c>
      <c r="E4181" s="32">
        <v>90.12</v>
      </c>
      <c r="F4181" s="32">
        <v>1</v>
      </c>
    </row>
    <row r="4182" spans="1:6" x14ac:dyDescent="0.3">
      <c r="A4182" s="31">
        <v>2500009407</v>
      </c>
      <c r="B4182" s="31" t="s">
        <v>4386</v>
      </c>
      <c r="C4182" s="31" t="s">
        <v>1996</v>
      </c>
      <c r="D4182" s="31" t="s">
        <v>2289</v>
      </c>
      <c r="E4182" s="32">
        <v>90</v>
      </c>
      <c r="F4182" s="32">
        <v>8</v>
      </c>
    </row>
    <row r="4183" spans="1:6" x14ac:dyDescent="0.3">
      <c r="A4183" s="31">
        <v>2500009415</v>
      </c>
      <c r="B4183" s="31" t="s">
        <v>4386</v>
      </c>
      <c r="C4183" s="31" t="s">
        <v>1996</v>
      </c>
      <c r="D4183" s="31" t="s">
        <v>2289</v>
      </c>
      <c r="E4183" s="32">
        <v>90</v>
      </c>
      <c r="F4183" s="32">
        <v>8</v>
      </c>
    </row>
    <row r="4184" spans="1:6" x14ac:dyDescent="0.3">
      <c r="A4184" s="31">
        <v>2500009505</v>
      </c>
      <c r="B4184" s="31" t="s">
        <v>4387</v>
      </c>
      <c r="C4184" s="31" t="s">
        <v>1996</v>
      </c>
      <c r="D4184" s="31" t="s">
        <v>2289</v>
      </c>
      <c r="E4184" s="32">
        <v>90</v>
      </c>
      <c r="F4184" s="32">
        <v>2</v>
      </c>
    </row>
    <row r="4185" spans="1:6" x14ac:dyDescent="0.3">
      <c r="A4185" s="31">
        <v>80000009701</v>
      </c>
      <c r="B4185" s="31" t="s">
        <v>4025</v>
      </c>
      <c r="C4185" s="31" t="s">
        <v>2521</v>
      </c>
      <c r="D4185" s="31" t="s">
        <v>2670</v>
      </c>
      <c r="E4185" s="32">
        <v>90</v>
      </c>
      <c r="F4185" s="32">
        <v>360</v>
      </c>
    </row>
    <row r="4186" spans="1:6" x14ac:dyDescent="0.3">
      <c r="A4186" s="31">
        <v>1000095900</v>
      </c>
      <c r="B4186" s="31" t="s">
        <v>1506</v>
      </c>
      <c r="C4186" s="31" t="s">
        <v>4</v>
      </c>
      <c r="D4186" s="31" t="s">
        <v>2090</v>
      </c>
      <c r="E4186" s="32">
        <v>89.59</v>
      </c>
      <c r="F4186" s="32">
        <v>1</v>
      </c>
    </row>
    <row r="4187" spans="1:6" x14ac:dyDescent="0.3">
      <c r="A4187" s="31">
        <v>80000009843</v>
      </c>
      <c r="B4187" s="31" t="s">
        <v>4388</v>
      </c>
      <c r="C4187" s="31" t="s">
        <v>2521</v>
      </c>
      <c r="D4187" s="31" t="s">
        <v>2670</v>
      </c>
      <c r="E4187" s="32">
        <v>88.8</v>
      </c>
      <c r="F4187" s="32">
        <v>37</v>
      </c>
    </row>
    <row r="4188" spans="1:6" x14ac:dyDescent="0.3">
      <c r="A4188" s="31">
        <v>1000020396</v>
      </c>
      <c r="B4188" s="31" t="s">
        <v>626</v>
      </c>
      <c r="C4188" s="31" t="s">
        <v>4</v>
      </c>
      <c r="D4188" s="31" t="s">
        <v>2090</v>
      </c>
      <c r="E4188" s="32">
        <v>88.04</v>
      </c>
      <c r="F4188" s="32">
        <v>1</v>
      </c>
    </row>
    <row r="4189" spans="1:6" x14ac:dyDescent="0.3">
      <c r="A4189" s="31">
        <v>1000108046</v>
      </c>
      <c r="B4189" s="31" t="s">
        <v>4389</v>
      </c>
      <c r="C4189" s="31" t="s">
        <v>4</v>
      </c>
      <c r="D4189" s="31" t="s">
        <v>2056</v>
      </c>
      <c r="E4189" s="32">
        <v>87.676666666666605</v>
      </c>
      <c r="F4189" s="32">
        <v>50</v>
      </c>
    </row>
    <row r="4190" spans="1:6" x14ac:dyDescent="0.3">
      <c r="A4190" s="31">
        <v>1000100325</v>
      </c>
      <c r="B4190" s="31" t="s">
        <v>4390</v>
      </c>
      <c r="C4190" s="31" t="s">
        <v>4</v>
      </c>
      <c r="D4190" s="31" t="s">
        <v>2090</v>
      </c>
      <c r="E4190" s="32">
        <v>87.5625</v>
      </c>
      <c r="F4190" s="32">
        <v>1</v>
      </c>
    </row>
    <row r="4191" spans="1:6" x14ac:dyDescent="0.3">
      <c r="A4191" s="31">
        <v>1000098584</v>
      </c>
      <c r="B4191" s="31" t="s">
        <v>333</v>
      </c>
      <c r="C4191" s="31" t="s">
        <v>4</v>
      </c>
      <c r="D4191" s="31" t="s">
        <v>2090</v>
      </c>
      <c r="E4191" s="32">
        <v>87.34</v>
      </c>
      <c r="F4191" s="32">
        <v>2</v>
      </c>
    </row>
    <row r="4192" spans="1:6" x14ac:dyDescent="0.3">
      <c r="A4192" s="31">
        <v>1000015063</v>
      </c>
      <c r="B4192" s="31" t="s">
        <v>58</v>
      </c>
      <c r="C4192" s="31" t="s">
        <v>4</v>
      </c>
      <c r="D4192" s="31" t="s">
        <v>2043</v>
      </c>
      <c r="E4192" s="32">
        <v>87.083428571428499</v>
      </c>
      <c r="F4192" s="32">
        <v>1</v>
      </c>
    </row>
    <row r="4193" spans="1:6" x14ac:dyDescent="0.3">
      <c r="A4193" s="31">
        <v>1000093026</v>
      </c>
      <c r="B4193" s="31" t="s">
        <v>4391</v>
      </c>
      <c r="C4193" s="31" t="s">
        <v>4</v>
      </c>
      <c r="D4193" s="31" t="s">
        <v>2090</v>
      </c>
      <c r="E4193" s="32">
        <v>87.08</v>
      </c>
      <c r="F4193" s="32">
        <v>25</v>
      </c>
    </row>
    <row r="4194" spans="1:6" x14ac:dyDescent="0.3">
      <c r="A4194" s="31">
        <v>2500008843</v>
      </c>
      <c r="B4194" s="31" t="s">
        <v>4392</v>
      </c>
      <c r="C4194" s="31" t="s">
        <v>1996</v>
      </c>
      <c r="D4194" s="31" t="s">
        <v>2025</v>
      </c>
      <c r="E4194" s="32">
        <v>87</v>
      </c>
      <c r="F4194" s="32">
        <v>1</v>
      </c>
    </row>
    <row r="4195" spans="1:6" x14ac:dyDescent="0.3">
      <c r="A4195" s="31">
        <v>1000105909</v>
      </c>
      <c r="B4195" s="31" t="s">
        <v>4393</v>
      </c>
      <c r="C4195" s="31" t="s">
        <v>4</v>
      </c>
      <c r="D4195" s="31" t="s">
        <v>2056</v>
      </c>
      <c r="E4195" s="32">
        <v>86.6115921090733</v>
      </c>
      <c r="F4195" s="32">
        <v>5</v>
      </c>
    </row>
    <row r="4196" spans="1:6" x14ac:dyDescent="0.3">
      <c r="A4196" s="31">
        <v>1000021165</v>
      </c>
      <c r="B4196" s="31" t="s">
        <v>1313</v>
      </c>
      <c r="C4196" s="31" t="s">
        <v>4</v>
      </c>
      <c r="D4196" s="31" t="s">
        <v>2090</v>
      </c>
      <c r="E4196" s="32">
        <v>86.24</v>
      </c>
      <c r="F4196" s="32">
        <v>2</v>
      </c>
    </row>
    <row r="4197" spans="1:6" x14ac:dyDescent="0.3">
      <c r="A4197" s="31">
        <v>2700000013</v>
      </c>
      <c r="B4197" s="31" t="s">
        <v>222</v>
      </c>
      <c r="C4197" s="31" t="s">
        <v>2037</v>
      </c>
      <c r="D4197" s="31" t="s">
        <v>2038</v>
      </c>
      <c r="E4197" s="32">
        <v>85.734392592592599</v>
      </c>
      <c r="F4197" s="32">
        <v>1</v>
      </c>
    </row>
    <row r="4198" spans="1:6" x14ac:dyDescent="0.3">
      <c r="A4198" s="31">
        <v>2500001185</v>
      </c>
      <c r="B4198" s="31" t="s">
        <v>4394</v>
      </c>
      <c r="C4198" s="31" t="s">
        <v>1996</v>
      </c>
      <c r="D4198" s="31" t="s">
        <v>2025</v>
      </c>
      <c r="E4198" s="32">
        <v>85.394943819199995</v>
      </c>
      <c r="F4198" s="32">
        <v>2</v>
      </c>
    </row>
    <row r="4199" spans="1:6" x14ac:dyDescent="0.3">
      <c r="A4199" s="31">
        <v>1000093561</v>
      </c>
      <c r="B4199" s="31" t="s">
        <v>4395</v>
      </c>
      <c r="C4199" s="31" t="s">
        <v>4</v>
      </c>
      <c r="D4199" s="31" t="s">
        <v>2056</v>
      </c>
      <c r="E4199" s="32">
        <v>85.19</v>
      </c>
      <c r="F4199" s="32">
        <v>2</v>
      </c>
    </row>
    <row r="4200" spans="1:6" x14ac:dyDescent="0.3">
      <c r="A4200" s="31">
        <v>1000020349</v>
      </c>
      <c r="B4200" s="31" t="s">
        <v>581</v>
      </c>
      <c r="C4200" s="31" t="s">
        <v>4</v>
      </c>
      <c r="D4200" s="31" t="s">
        <v>2090</v>
      </c>
      <c r="E4200" s="32">
        <v>85.11</v>
      </c>
      <c r="F4200" s="32">
        <v>3</v>
      </c>
    </row>
    <row r="4201" spans="1:6" x14ac:dyDescent="0.3">
      <c r="A4201" s="31">
        <v>1000020215</v>
      </c>
      <c r="B4201" s="31" t="s">
        <v>455</v>
      </c>
      <c r="C4201" s="31" t="s">
        <v>4</v>
      </c>
      <c r="D4201" s="31" t="s">
        <v>2090</v>
      </c>
      <c r="E4201" s="32">
        <v>85.08</v>
      </c>
      <c r="F4201" s="32">
        <v>1</v>
      </c>
    </row>
    <row r="4202" spans="1:6" x14ac:dyDescent="0.3">
      <c r="A4202" s="31">
        <v>1000020660</v>
      </c>
      <c r="B4202" s="31" t="s">
        <v>873</v>
      </c>
      <c r="C4202" s="31" t="s">
        <v>4</v>
      </c>
      <c r="D4202" s="31" t="s">
        <v>2090</v>
      </c>
      <c r="E4202" s="32">
        <v>84.68</v>
      </c>
      <c r="F4202" s="32">
        <v>2</v>
      </c>
    </row>
    <row r="4203" spans="1:6" x14ac:dyDescent="0.3">
      <c r="A4203" s="31">
        <v>1000100308</v>
      </c>
      <c r="B4203" s="31" t="s">
        <v>1696</v>
      </c>
      <c r="C4203" s="31" t="s">
        <v>4</v>
      </c>
      <c r="D4203" s="31" t="s">
        <v>2090</v>
      </c>
      <c r="E4203" s="32">
        <v>84.6</v>
      </c>
      <c r="F4203" s="32">
        <v>2</v>
      </c>
    </row>
    <row r="4204" spans="1:6" x14ac:dyDescent="0.3">
      <c r="A4204" s="31">
        <v>2100007040</v>
      </c>
      <c r="B4204" s="31" t="s">
        <v>4396</v>
      </c>
      <c r="C4204" s="31" t="s">
        <v>2037</v>
      </c>
      <c r="D4204" s="31" t="s">
        <v>2031</v>
      </c>
      <c r="E4204" s="32">
        <v>84.48</v>
      </c>
      <c r="F4204" s="32">
        <v>4</v>
      </c>
    </row>
    <row r="4205" spans="1:6" x14ac:dyDescent="0.3">
      <c r="A4205" s="31">
        <v>1000099381</v>
      </c>
      <c r="B4205" s="31" t="s">
        <v>4397</v>
      </c>
      <c r="C4205" s="31" t="s">
        <v>4</v>
      </c>
      <c r="D4205" s="31" t="s">
        <v>2090</v>
      </c>
      <c r="E4205" s="32">
        <v>84.42</v>
      </c>
      <c r="F4205" s="32">
        <v>7</v>
      </c>
    </row>
    <row r="4206" spans="1:6" x14ac:dyDescent="0.3">
      <c r="A4206" s="31">
        <v>2300010064</v>
      </c>
      <c r="B4206" s="31" t="s">
        <v>4398</v>
      </c>
      <c r="C4206" s="31" t="s">
        <v>2030</v>
      </c>
      <c r="D4206" s="31" t="s">
        <v>2031</v>
      </c>
      <c r="E4206" s="32">
        <v>84.373333333333306</v>
      </c>
      <c r="F4206" s="32">
        <v>4</v>
      </c>
    </row>
    <row r="4207" spans="1:6" x14ac:dyDescent="0.3">
      <c r="A4207" s="31">
        <v>1000020646</v>
      </c>
      <c r="B4207" s="31" t="s">
        <v>860</v>
      </c>
      <c r="C4207" s="31" t="s">
        <v>4</v>
      </c>
      <c r="D4207" s="31" t="s">
        <v>2090</v>
      </c>
      <c r="E4207" s="32">
        <v>84.34</v>
      </c>
      <c r="F4207" s="32">
        <v>2</v>
      </c>
    </row>
    <row r="4208" spans="1:6" x14ac:dyDescent="0.3">
      <c r="A4208" s="31">
        <v>1000101704</v>
      </c>
      <c r="B4208" s="31" t="s">
        <v>4399</v>
      </c>
      <c r="C4208" s="31" t="s">
        <v>4</v>
      </c>
      <c r="D4208" s="31" t="s">
        <v>2056</v>
      </c>
      <c r="E4208" s="32">
        <v>84.23</v>
      </c>
      <c r="F4208" s="32">
        <v>5</v>
      </c>
    </row>
    <row r="4209" spans="1:6" x14ac:dyDescent="0.3">
      <c r="A4209" s="31">
        <v>1000104019</v>
      </c>
      <c r="B4209" s="31" t="s">
        <v>4400</v>
      </c>
      <c r="C4209" s="31" t="s">
        <v>4</v>
      </c>
      <c r="D4209" s="31" t="s">
        <v>2056</v>
      </c>
      <c r="E4209" s="32">
        <v>84.132790296228094</v>
      </c>
      <c r="F4209" s="32">
        <v>440</v>
      </c>
    </row>
    <row r="4210" spans="1:6" x14ac:dyDescent="0.3">
      <c r="A4210" s="31">
        <v>1000107156</v>
      </c>
      <c r="B4210" s="31" t="s">
        <v>4401</v>
      </c>
      <c r="C4210" s="31" t="s">
        <v>4</v>
      </c>
      <c r="D4210" s="31" t="s">
        <v>2090</v>
      </c>
      <c r="E4210" s="32">
        <v>84</v>
      </c>
      <c r="F4210" s="32">
        <v>20</v>
      </c>
    </row>
    <row r="4211" spans="1:6" x14ac:dyDescent="0.3">
      <c r="A4211" s="31">
        <v>1000097896</v>
      </c>
      <c r="B4211" s="31" t="s">
        <v>80</v>
      </c>
      <c r="C4211" s="31" t="s">
        <v>4</v>
      </c>
      <c r="D4211" s="31" t="s">
        <v>4063</v>
      </c>
      <c r="E4211" s="32">
        <v>84</v>
      </c>
      <c r="F4211" s="32">
        <v>7</v>
      </c>
    </row>
    <row r="4212" spans="1:6" x14ac:dyDescent="0.3">
      <c r="A4212" s="31">
        <v>1000092473</v>
      </c>
      <c r="B4212" s="31" t="s">
        <v>4402</v>
      </c>
      <c r="C4212" s="31" t="s">
        <v>2165</v>
      </c>
      <c r="D4212" s="31" t="s">
        <v>2070</v>
      </c>
      <c r="E4212" s="32">
        <v>84</v>
      </c>
      <c r="F4212" s="32">
        <v>4</v>
      </c>
    </row>
    <row r="4213" spans="1:6" x14ac:dyDescent="0.3">
      <c r="A4213" s="31">
        <v>1000092472</v>
      </c>
      <c r="B4213" s="31" t="s">
        <v>4403</v>
      </c>
      <c r="C4213" s="31" t="s">
        <v>2165</v>
      </c>
      <c r="D4213" s="31" t="s">
        <v>2070</v>
      </c>
      <c r="E4213" s="32">
        <v>84</v>
      </c>
      <c r="F4213" s="32">
        <v>4</v>
      </c>
    </row>
    <row r="4214" spans="1:6" x14ac:dyDescent="0.3">
      <c r="A4214" s="31">
        <v>1000020166</v>
      </c>
      <c r="B4214" s="31" t="s">
        <v>412</v>
      </c>
      <c r="C4214" s="31" t="s">
        <v>4</v>
      </c>
      <c r="D4214" s="31" t="s">
        <v>2090</v>
      </c>
      <c r="E4214" s="32">
        <v>83.64</v>
      </c>
      <c r="F4214" s="32">
        <v>2</v>
      </c>
    </row>
    <row r="4215" spans="1:6" x14ac:dyDescent="0.3">
      <c r="A4215" s="31">
        <v>80000009696</v>
      </c>
      <c r="B4215" s="31" t="s">
        <v>3761</v>
      </c>
      <c r="C4215" s="31" t="s">
        <v>2755</v>
      </c>
      <c r="D4215" s="31" t="s">
        <v>2670</v>
      </c>
      <c r="E4215" s="32">
        <v>83.6</v>
      </c>
      <c r="F4215" s="32">
        <v>44</v>
      </c>
    </row>
    <row r="4216" spans="1:6" x14ac:dyDescent="0.3">
      <c r="A4216" s="31">
        <v>1000020386</v>
      </c>
      <c r="B4216" s="31" t="s">
        <v>616</v>
      </c>
      <c r="C4216" s="31" t="s">
        <v>4</v>
      </c>
      <c r="D4216" s="31" t="s">
        <v>2090</v>
      </c>
      <c r="E4216" s="32">
        <v>83.05</v>
      </c>
      <c r="F4216" s="32">
        <v>5</v>
      </c>
    </row>
    <row r="4217" spans="1:6" x14ac:dyDescent="0.3">
      <c r="A4217" s="31">
        <v>1000020072</v>
      </c>
      <c r="B4217" s="31" t="s">
        <v>4404</v>
      </c>
      <c r="C4217" s="31" t="s">
        <v>4</v>
      </c>
      <c r="D4217" s="31" t="s">
        <v>2090</v>
      </c>
      <c r="E4217" s="32">
        <v>82.795000000000002</v>
      </c>
      <c r="F4217" s="32">
        <v>3</v>
      </c>
    </row>
    <row r="4218" spans="1:6" x14ac:dyDescent="0.3">
      <c r="A4218" s="31">
        <v>2200002700</v>
      </c>
      <c r="B4218" s="31" t="s">
        <v>183</v>
      </c>
      <c r="C4218" s="31" t="s">
        <v>2037</v>
      </c>
      <c r="D4218" s="31" t="s">
        <v>2038</v>
      </c>
      <c r="E4218" s="32">
        <v>82.47</v>
      </c>
      <c r="F4218" s="32">
        <v>6</v>
      </c>
    </row>
    <row r="4219" spans="1:6" x14ac:dyDescent="0.3">
      <c r="A4219" s="31">
        <v>2200002699</v>
      </c>
      <c r="B4219" s="31" t="s">
        <v>182</v>
      </c>
      <c r="C4219" s="31" t="s">
        <v>2037</v>
      </c>
      <c r="D4219" s="31" t="s">
        <v>2038</v>
      </c>
      <c r="E4219" s="32">
        <v>82.47</v>
      </c>
      <c r="F4219" s="32">
        <v>6</v>
      </c>
    </row>
    <row r="4220" spans="1:6" x14ac:dyDescent="0.3">
      <c r="A4220" s="31">
        <v>1000020912</v>
      </c>
      <c r="B4220" s="31" t="s">
        <v>1092</v>
      </c>
      <c r="C4220" s="31" t="s">
        <v>4</v>
      </c>
      <c r="D4220" s="31" t="s">
        <v>2090</v>
      </c>
      <c r="E4220" s="32">
        <v>82.4</v>
      </c>
      <c r="F4220" s="32">
        <v>1</v>
      </c>
    </row>
    <row r="4221" spans="1:6" x14ac:dyDescent="0.3">
      <c r="A4221" s="31">
        <v>1000020043</v>
      </c>
      <c r="B4221" s="31" t="s">
        <v>4405</v>
      </c>
      <c r="C4221" s="31" t="s">
        <v>4</v>
      </c>
      <c r="D4221" s="31" t="s">
        <v>2090</v>
      </c>
      <c r="E4221" s="32">
        <v>81.963333333333296</v>
      </c>
      <c r="F4221" s="32">
        <v>1</v>
      </c>
    </row>
    <row r="4222" spans="1:6" x14ac:dyDescent="0.3">
      <c r="A4222" s="31">
        <v>2500009162</v>
      </c>
      <c r="B4222" s="31" t="s">
        <v>1981</v>
      </c>
      <c r="C4222" s="31" t="s">
        <v>1996</v>
      </c>
      <c r="D4222" s="31" t="s">
        <v>2025</v>
      </c>
      <c r="E4222" s="32">
        <v>81.680000000000007</v>
      </c>
      <c r="F4222" s="32">
        <v>1</v>
      </c>
    </row>
    <row r="4223" spans="1:6" x14ac:dyDescent="0.3">
      <c r="A4223" s="31">
        <v>1000020757</v>
      </c>
      <c r="B4223" s="31" t="s">
        <v>962</v>
      </c>
      <c r="C4223" s="31" t="s">
        <v>4</v>
      </c>
      <c r="D4223" s="31" t="s">
        <v>2090</v>
      </c>
      <c r="E4223" s="32">
        <v>81.599999999999994</v>
      </c>
      <c r="F4223" s="32">
        <v>2</v>
      </c>
    </row>
    <row r="4224" spans="1:6" x14ac:dyDescent="0.3">
      <c r="A4224" s="31">
        <v>1000109991</v>
      </c>
      <c r="B4224" s="31" t="s">
        <v>4406</v>
      </c>
      <c r="C4224" s="31" t="s">
        <v>4</v>
      </c>
      <c r="D4224" s="31" t="s">
        <v>2056</v>
      </c>
      <c r="E4224" s="32">
        <v>81.400000000000006</v>
      </c>
      <c r="F4224" s="32">
        <v>50</v>
      </c>
    </row>
    <row r="4225" spans="1:6" x14ac:dyDescent="0.3">
      <c r="A4225" s="31">
        <v>1000109992</v>
      </c>
      <c r="B4225" s="31" t="s">
        <v>4407</v>
      </c>
      <c r="C4225" s="31" t="s">
        <v>4</v>
      </c>
      <c r="D4225" s="31" t="s">
        <v>2056</v>
      </c>
      <c r="E4225" s="32">
        <v>81.400000000000006</v>
      </c>
      <c r="F4225" s="32">
        <v>50</v>
      </c>
    </row>
    <row r="4226" spans="1:6" x14ac:dyDescent="0.3">
      <c r="A4226" s="31">
        <v>80000009888</v>
      </c>
      <c r="B4226" s="31" t="s">
        <v>4408</v>
      </c>
      <c r="C4226" s="31" t="s">
        <v>2521</v>
      </c>
      <c r="D4226" s="31" t="s">
        <v>2670</v>
      </c>
      <c r="E4226" s="32">
        <v>81</v>
      </c>
      <c r="F4226" s="32">
        <v>90</v>
      </c>
    </row>
    <row r="4227" spans="1:6" x14ac:dyDescent="0.3">
      <c r="A4227" s="31">
        <v>1000020689</v>
      </c>
      <c r="B4227" s="31" t="s">
        <v>901</v>
      </c>
      <c r="C4227" s="31" t="s">
        <v>4</v>
      </c>
      <c r="D4227" s="31" t="s">
        <v>2090</v>
      </c>
      <c r="E4227" s="32">
        <v>80.680000000000007</v>
      </c>
      <c r="F4227" s="32">
        <v>1</v>
      </c>
    </row>
    <row r="4228" spans="1:6" x14ac:dyDescent="0.3">
      <c r="A4228" s="31">
        <v>1000101149</v>
      </c>
      <c r="B4228" s="31" t="s">
        <v>4409</v>
      </c>
      <c r="C4228" s="31" t="s">
        <v>4</v>
      </c>
      <c r="D4228" s="31" t="s">
        <v>2284</v>
      </c>
      <c r="E4228" s="32">
        <v>80.510000000000005</v>
      </c>
      <c r="F4228" s="32">
        <v>1</v>
      </c>
    </row>
    <row r="4229" spans="1:6" x14ac:dyDescent="0.3">
      <c r="A4229" s="31">
        <v>2500008147</v>
      </c>
      <c r="B4229" s="31" t="s">
        <v>1918</v>
      </c>
      <c r="C4229" s="31" t="s">
        <v>1996</v>
      </c>
      <c r="D4229" s="31" t="s">
        <v>2025</v>
      </c>
      <c r="E4229" s="32">
        <v>80.34</v>
      </c>
      <c r="F4229" s="32">
        <v>2</v>
      </c>
    </row>
    <row r="4230" spans="1:6" x14ac:dyDescent="0.3">
      <c r="A4230" s="31">
        <v>1000017021</v>
      </c>
      <c r="B4230" s="31" t="s">
        <v>4410</v>
      </c>
      <c r="C4230" s="31" t="s">
        <v>4</v>
      </c>
      <c r="D4230" s="31" t="s">
        <v>3274</v>
      </c>
      <c r="E4230" s="32">
        <v>80</v>
      </c>
      <c r="F4230" s="32">
        <v>100</v>
      </c>
    </row>
    <row r="4231" spans="1:6" x14ac:dyDescent="0.3">
      <c r="A4231" s="31">
        <v>1000020250</v>
      </c>
      <c r="B4231" s="31" t="s">
        <v>489</v>
      </c>
      <c r="C4231" s="31" t="s">
        <v>4</v>
      </c>
      <c r="D4231" s="31" t="s">
        <v>2090</v>
      </c>
      <c r="E4231" s="32">
        <v>79.900000000000006</v>
      </c>
      <c r="F4231" s="32">
        <v>10</v>
      </c>
    </row>
    <row r="4232" spans="1:6" x14ac:dyDescent="0.3">
      <c r="A4232" s="31">
        <v>1000106343</v>
      </c>
      <c r="B4232" s="31" t="s">
        <v>4411</v>
      </c>
      <c r="C4232" s="31" t="s">
        <v>4</v>
      </c>
      <c r="D4232" s="31" t="s">
        <v>2056</v>
      </c>
      <c r="E4232" s="32">
        <v>79.704800000000006</v>
      </c>
      <c r="F4232" s="32">
        <v>14</v>
      </c>
    </row>
    <row r="4233" spans="1:6" x14ac:dyDescent="0.3">
      <c r="A4233" s="31">
        <v>2500009647</v>
      </c>
      <c r="B4233" s="31" t="s">
        <v>4412</v>
      </c>
      <c r="C4233" s="31" t="s">
        <v>1996</v>
      </c>
      <c r="D4233" s="31" t="s">
        <v>2025</v>
      </c>
      <c r="E4233" s="32">
        <v>78.75</v>
      </c>
      <c r="F4233" s="32">
        <v>1</v>
      </c>
    </row>
    <row r="4234" spans="1:6" x14ac:dyDescent="0.3">
      <c r="A4234" s="31">
        <v>2200010003</v>
      </c>
      <c r="B4234" s="31" t="s">
        <v>4413</v>
      </c>
      <c r="C4234" s="31" t="s">
        <v>2037</v>
      </c>
      <c r="D4234" s="31" t="s">
        <v>2067</v>
      </c>
      <c r="E4234" s="32">
        <v>78.03</v>
      </c>
      <c r="F4234" s="32">
        <v>1</v>
      </c>
    </row>
    <row r="4235" spans="1:6" x14ac:dyDescent="0.3">
      <c r="A4235" s="31">
        <v>1000020357</v>
      </c>
      <c r="B4235" s="31" t="s">
        <v>589</v>
      </c>
      <c r="C4235" s="31" t="s">
        <v>4</v>
      </c>
      <c r="D4235" s="31" t="s">
        <v>2090</v>
      </c>
      <c r="E4235" s="32">
        <v>77.97</v>
      </c>
      <c r="F4235" s="32">
        <v>1</v>
      </c>
    </row>
    <row r="4236" spans="1:6" x14ac:dyDescent="0.3">
      <c r="A4236" s="31">
        <v>2500009075</v>
      </c>
      <c r="B4236" s="31" t="s">
        <v>4414</v>
      </c>
      <c r="C4236" s="31" t="s">
        <v>1996</v>
      </c>
      <c r="D4236" s="31" t="s">
        <v>2289</v>
      </c>
      <c r="E4236" s="32">
        <v>76.88</v>
      </c>
      <c r="F4236" s="32">
        <v>6</v>
      </c>
    </row>
    <row r="4237" spans="1:6" x14ac:dyDescent="0.3">
      <c r="A4237" s="31">
        <v>1000099507</v>
      </c>
      <c r="B4237" s="31" t="s">
        <v>4415</v>
      </c>
      <c r="C4237" s="31" t="s">
        <v>4</v>
      </c>
      <c r="D4237" s="31" t="s">
        <v>2090</v>
      </c>
      <c r="E4237" s="32">
        <v>76.69</v>
      </c>
      <c r="F4237" s="32">
        <v>1</v>
      </c>
    </row>
    <row r="4238" spans="1:6" x14ac:dyDescent="0.3">
      <c r="A4238" s="31">
        <v>1000020887</v>
      </c>
      <c r="B4238" s="31" t="s">
        <v>1069</v>
      </c>
      <c r="C4238" s="31" t="s">
        <v>4</v>
      </c>
      <c r="D4238" s="31" t="s">
        <v>2090</v>
      </c>
      <c r="E4238" s="32">
        <v>76.31</v>
      </c>
      <c r="F4238" s="32">
        <v>1</v>
      </c>
    </row>
    <row r="4239" spans="1:6" x14ac:dyDescent="0.3">
      <c r="A4239" s="31">
        <v>1000020950</v>
      </c>
      <c r="B4239" s="31" t="s">
        <v>1128</v>
      </c>
      <c r="C4239" s="31" t="s">
        <v>4</v>
      </c>
      <c r="D4239" s="31" t="s">
        <v>2090</v>
      </c>
      <c r="E4239" s="32">
        <v>76.31</v>
      </c>
      <c r="F4239" s="32">
        <v>1</v>
      </c>
    </row>
    <row r="4240" spans="1:6" x14ac:dyDescent="0.3">
      <c r="A4240" s="31">
        <v>1000093782</v>
      </c>
      <c r="B4240" s="31" t="s">
        <v>4416</v>
      </c>
      <c r="C4240" s="31" t="s">
        <v>4</v>
      </c>
      <c r="D4240" s="31" t="s">
        <v>2090</v>
      </c>
      <c r="E4240" s="32">
        <v>76.034045652773003</v>
      </c>
      <c r="F4240" s="32">
        <v>3</v>
      </c>
    </row>
    <row r="4241" spans="1:6" x14ac:dyDescent="0.3">
      <c r="A4241" s="31">
        <v>1000020344</v>
      </c>
      <c r="B4241" s="31" t="s">
        <v>576</v>
      </c>
      <c r="C4241" s="31" t="s">
        <v>4</v>
      </c>
      <c r="D4241" s="31" t="s">
        <v>2090</v>
      </c>
      <c r="E4241" s="32">
        <v>75.7</v>
      </c>
      <c r="F4241" s="32">
        <v>5</v>
      </c>
    </row>
    <row r="4242" spans="1:6" x14ac:dyDescent="0.3">
      <c r="A4242" s="31">
        <v>1000020246</v>
      </c>
      <c r="B4242" s="31" t="s">
        <v>485</v>
      </c>
      <c r="C4242" s="31" t="s">
        <v>4</v>
      </c>
      <c r="D4242" s="31" t="s">
        <v>2090</v>
      </c>
      <c r="E4242" s="32">
        <v>75.5</v>
      </c>
      <c r="F4242" s="32">
        <v>5</v>
      </c>
    </row>
    <row r="4243" spans="1:6" x14ac:dyDescent="0.3">
      <c r="A4243" s="31">
        <v>1000098736</v>
      </c>
      <c r="B4243" s="31" t="s">
        <v>1676</v>
      </c>
      <c r="C4243" s="31" t="s">
        <v>4</v>
      </c>
      <c r="D4243" s="31" t="s">
        <v>2090</v>
      </c>
      <c r="E4243" s="32">
        <v>75.13</v>
      </c>
      <c r="F4243" s="32">
        <v>2</v>
      </c>
    </row>
    <row r="4244" spans="1:6" x14ac:dyDescent="0.3">
      <c r="A4244" s="31">
        <v>2500009492</v>
      </c>
      <c r="B4244" s="31" t="s">
        <v>4417</v>
      </c>
      <c r="C4244" s="31" t="s">
        <v>1996</v>
      </c>
      <c r="D4244" s="31" t="s">
        <v>2289</v>
      </c>
      <c r="E4244" s="32">
        <v>75</v>
      </c>
      <c r="F4244" s="32">
        <v>10</v>
      </c>
    </row>
    <row r="4245" spans="1:6" x14ac:dyDescent="0.3">
      <c r="A4245" s="31">
        <v>2500009504</v>
      </c>
      <c r="B4245" s="31" t="s">
        <v>4418</v>
      </c>
      <c r="C4245" s="31" t="s">
        <v>1996</v>
      </c>
      <c r="D4245" s="31" t="s">
        <v>2289</v>
      </c>
      <c r="E4245" s="32">
        <v>75</v>
      </c>
      <c r="F4245" s="32">
        <v>2</v>
      </c>
    </row>
    <row r="4246" spans="1:6" x14ac:dyDescent="0.3">
      <c r="A4246" s="31">
        <v>2500009491</v>
      </c>
      <c r="B4246" s="31" t="s">
        <v>4419</v>
      </c>
      <c r="C4246" s="31" t="s">
        <v>1996</v>
      </c>
      <c r="D4246" s="31" t="s">
        <v>2289</v>
      </c>
      <c r="E4246" s="32">
        <v>75</v>
      </c>
      <c r="F4246" s="32">
        <v>10</v>
      </c>
    </row>
    <row r="4247" spans="1:6" x14ac:dyDescent="0.3">
      <c r="A4247" s="31">
        <v>1000020430</v>
      </c>
      <c r="B4247" s="31" t="s">
        <v>657</v>
      </c>
      <c r="C4247" s="31" t="s">
        <v>4</v>
      </c>
      <c r="D4247" s="31" t="s">
        <v>2090</v>
      </c>
      <c r="E4247" s="32">
        <v>74.760000000000005</v>
      </c>
      <c r="F4247" s="32">
        <v>4</v>
      </c>
    </row>
    <row r="4248" spans="1:6" x14ac:dyDescent="0.3">
      <c r="A4248" s="31">
        <v>80000009757</v>
      </c>
      <c r="B4248" s="31" t="s">
        <v>4363</v>
      </c>
      <c r="C4248" s="31" t="s">
        <v>2521</v>
      </c>
      <c r="D4248" s="31" t="s">
        <v>2670</v>
      </c>
      <c r="E4248" s="32">
        <v>74.310344827586206</v>
      </c>
      <c r="F4248" s="32">
        <v>5</v>
      </c>
    </row>
    <row r="4249" spans="1:6" x14ac:dyDescent="0.3">
      <c r="A4249" s="31">
        <v>1000020565</v>
      </c>
      <c r="B4249" s="31" t="s">
        <v>782</v>
      </c>
      <c r="C4249" s="31" t="s">
        <v>4</v>
      </c>
      <c r="D4249" s="31" t="s">
        <v>2090</v>
      </c>
      <c r="E4249" s="32">
        <v>74.06</v>
      </c>
      <c r="F4249" s="32">
        <v>1</v>
      </c>
    </row>
    <row r="4250" spans="1:6" x14ac:dyDescent="0.3">
      <c r="A4250" s="31">
        <v>1000020383</v>
      </c>
      <c r="B4250" s="31" t="s">
        <v>613</v>
      </c>
      <c r="C4250" s="31" t="s">
        <v>4</v>
      </c>
      <c r="D4250" s="31" t="s">
        <v>2090</v>
      </c>
      <c r="E4250" s="32">
        <v>74.040000000000006</v>
      </c>
      <c r="F4250" s="32">
        <v>3</v>
      </c>
    </row>
    <row r="4251" spans="1:6" x14ac:dyDescent="0.3">
      <c r="A4251" s="31">
        <v>1000020375</v>
      </c>
      <c r="B4251" s="31" t="s">
        <v>606</v>
      </c>
      <c r="C4251" s="31" t="s">
        <v>4</v>
      </c>
      <c r="D4251" s="31" t="s">
        <v>2090</v>
      </c>
      <c r="E4251" s="32">
        <v>73.900000000000006</v>
      </c>
      <c r="F4251" s="32">
        <v>5</v>
      </c>
    </row>
    <row r="4252" spans="1:6" x14ac:dyDescent="0.3">
      <c r="A4252" s="31">
        <v>2200010002</v>
      </c>
      <c r="B4252" s="31" t="s">
        <v>4420</v>
      </c>
      <c r="C4252" s="31" t="s">
        <v>2037</v>
      </c>
      <c r="D4252" s="31" t="s">
        <v>2067</v>
      </c>
      <c r="E4252" s="32">
        <v>73.694999999999993</v>
      </c>
      <c r="F4252" s="32">
        <v>1</v>
      </c>
    </row>
    <row r="4253" spans="1:6" x14ac:dyDescent="0.3">
      <c r="A4253" s="31">
        <v>1000110981</v>
      </c>
      <c r="B4253" s="31" t="s">
        <v>4421</v>
      </c>
      <c r="C4253" s="31" t="s">
        <v>4</v>
      </c>
      <c r="D4253" s="31" t="s">
        <v>2090</v>
      </c>
      <c r="E4253" s="32">
        <v>73.650000000000006</v>
      </c>
      <c r="F4253" s="32">
        <v>2</v>
      </c>
    </row>
    <row r="4254" spans="1:6" x14ac:dyDescent="0.3">
      <c r="A4254" s="31">
        <v>1000021393</v>
      </c>
      <c r="B4254" s="31" t="s">
        <v>1471</v>
      </c>
      <c r="C4254" s="31" t="s">
        <v>4</v>
      </c>
      <c r="D4254" s="31" t="s">
        <v>2090</v>
      </c>
      <c r="E4254" s="32">
        <v>73.459999999999994</v>
      </c>
      <c r="F4254" s="32">
        <v>2</v>
      </c>
    </row>
    <row r="4255" spans="1:6" x14ac:dyDescent="0.3">
      <c r="A4255" s="31">
        <v>1000020605</v>
      </c>
      <c r="B4255" s="31" t="s">
        <v>821</v>
      </c>
      <c r="C4255" s="31" t="s">
        <v>4</v>
      </c>
      <c r="D4255" s="31" t="s">
        <v>2090</v>
      </c>
      <c r="E4255" s="32">
        <v>73.36</v>
      </c>
      <c r="F4255" s="32">
        <v>4</v>
      </c>
    </row>
    <row r="4256" spans="1:6" x14ac:dyDescent="0.3">
      <c r="A4256" s="31">
        <v>1000020392</v>
      </c>
      <c r="B4256" s="31" t="s">
        <v>622</v>
      </c>
      <c r="C4256" s="31" t="s">
        <v>4</v>
      </c>
      <c r="D4256" s="31" t="s">
        <v>2090</v>
      </c>
      <c r="E4256" s="32">
        <v>73.040000000000006</v>
      </c>
      <c r="F4256" s="32">
        <v>1</v>
      </c>
    </row>
    <row r="4257" spans="1:6" x14ac:dyDescent="0.3">
      <c r="A4257" s="31">
        <v>1000020633</v>
      </c>
      <c r="B4257" s="31" t="s">
        <v>848</v>
      </c>
      <c r="C4257" s="31" t="s">
        <v>4</v>
      </c>
      <c r="D4257" s="31" t="s">
        <v>2090</v>
      </c>
      <c r="E4257" s="32">
        <v>72.535384615384601</v>
      </c>
      <c r="F4257" s="32">
        <v>4</v>
      </c>
    </row>
    <row r="4258" spans="1:6" x14ac:dyDescent="0.3">
      <c r="A4258" s="31">
        <v>1000020890</v>
      </c>
      <c r="B4258" s="31" t="s">
        <v>1072</v>
      </c>
      <c r="C4258" s="31" t="s">
        <v>4</v>
      </c>
      <c r="D4258" s="31" t="s">
        <v>2090</v>
      </c>
      <c r="E4258" s="32">
        <v>72.23</v>
      </c>
      <c r="F4258" s="32">
        <v>1</v>
      </c>
    </row>
    <row r="4259" spans="1:6" x14ac:dyDescent="0.3">
      <c r="A4259" s="31">
        <v>1000021381</v>
      </c>
      <c r="B4259" s="31" t="s">
        <v>1465</v>
      </c>
      <c r="C4259" s="31" t="s">
        <v>4</v>
      </c>
      <c r="D4259" s="31" t="s">
        <v>2090</v>
      </c>
      <c r="E4259" s="32">
        <v>72.114000000000004</v>
      </c>
      <c r="F4259" s="32">
        <v>3</v>
      </c>
    </row>
    <row r="4260" spans="1:6" x14ac:dyDescent="0.3">
      <c r="A4260" s="31">
        <v>1000020390</v>
      </c>
      <c r="B4260" s="31" t="s">
        <v>620</v>
      </c>
      <c r="C4260" s="31" t="s">
        <v>4</v>
      </c>
      <c r="D4260" s="31" t="s">
        <v>2090</v>
      </c>
      <c r="E4260" s="32">
        <v>72.05</v>
      </c>
      <c r="F4260" s="32">
        <v>1</v>
      </c>
    </row>
    <row r="4261" spans="1:6" x14ac:dyDescent="0.3">
      <c r="A4261" s="31">
        <v>1000021174</v>
      </c>
      <c r="B4261" s="31" t="s">
        <v>1321</v>
      </c>
      <c r="C4261" s="31" t="s">
        <v>4</v>
      </c>
      <c r="D4261" s="31" t="s">
        <v>2090</v>
      </c>
      <c r="E4261" s="32">
        <v>71.91</v>
      </c>
      <c r="F4261" s="32">
        <v>1</v>
      </c>
    </row>
    <row r="4262" spans="1:6" x14ac:dyDescent="0.3">
      <c r="A4262" s="31">
        <v>1000020024</v>
      </c>
      <c r="B4262" s="31" t="s">
        <v>4422</v>
      </c>
      <c r="C4262" s="31" t="s">
        <v>4</v>
      </c>
      <c r="D4262" s="31" t="s">
        <v>2090</v>
      </c>
      <c r="E4262" s="32">
        <v>71.474999999999994</v>
      </c>
      <c r="F4262" s="32">
        <v>1</v>
      </c>
    </row>
    <row r="4263" spans="1:6" x14ac:dyDescent="0.3">
      <c r="A4263" s="31">
        <v>1000093977</v>
      </c>
      <c r="B4263" s="31" t="s">
        <v>4423</v>
      </c>
      <c r="C4263" s="31" t="s">
        <v>4</v>
      </c>
      <c r="D4263" s="31" t="s">
        <v>2090</v>
      </c>
      <c r="E4263" s="32">
        <v>71.311999999999998</v>
      </c>
      <c r="F4263" s="32">
        <v>4</v>
      </c>
    </row>
    <row r="4264" spans="1:6" x14ac:dyDescent="0.3">
      <c r="A4264" s="31">
        <v>2500009521</v>
      </c>
      <c r="B4264" s="31" t="s">
        <v>4424</v>
      </c>
      <c r="C4264" s="31" t="s">
        <v>1996</v>
      </c>
      <c r="D4264" s="31" t="s">
        <v>2289</v>
      </c>
      <c r="E4264" s="32">
        <v>71.25</v>
      </c>
      <c r="F4264" s="32">
        <v>1</v>
      </c>
    </row>
    <row r="4265" spans="1:6" x14ac:dyDescent="0.3">
      <c r="A4265" s="31">
        <v>1000021368</v>
      </c>
      <c r="B4265" s="31" t="s">
        <v>1462</v>
      </c>
      <c r="C4265" s="31" t="s">
        <v>4</v>
      </c>
      <c r="D4265" s="31" t="s">
        <v>2090</v>
      </c>
      <c r="E4265" s="32">
        <v>71.099999999999994</v>
      </c>
      <c r="F4265" s="32">
        <v>3</v>
      </c>
    </row>
    <row r="4266" spans="1:6" x14ac:dyDescent="0.3">
      <c r="A4266" s="31">
        <v>2100007043</v>
      </c>
      <c r="B4266" s="31" t="s">
        <v>4425</v>
      </c>
      <c r="C4266" s="31" t="s">
        <v>2037</v>
      </c>
      <c r="D4266" s="31" t="s">
        <v>2031</v>
      </c>
      <c r="E4266" s="32">
        <v>70.400000000000006</v>
      </c>
      <c r="F4266" s="32">
        <v>4</v>
      </c>
    </row>
    <row r="4267" spans="1:6" x14ac:dyDescent="0.3">
      <c r="A4267" s="31">
        <v>1000105722</v>
      </c>
      <c r="B4267" s="31" t="s">
        <v>1889</v>
      </c>
      <c r="C4267" s="31" t="s">
        <v>4</v>
      </c>
      <c r="D4267" s="31" t="s">
        <v>2056</v>
      </c>
      <c r="E4267" s="32">
        <v>70.204392989690703</v>
      </c>
      <c r="F4267" s="32">
        <v>123</v>
      </c>
    </row>
    <row r="4268" spans="1:6" x14ac:dyDescent="0.3">
      <c r="A4268" s="31">
        <v>1000017026</v>
      </c>
      <c r="B4268" s="31" t="s">
        <v>4426</v>
      </c>
      <c r="C4268" s="31" t="s">
        <v>4</v>
      </c>
      <c r="D4268" s="31" t="s">
        <v>3274</v>
      </c>
      <c r="E4268" s="32">
        <v>70</v>
      </c>
      <c r="F4268" s="32">
        <v>100</v>
      </c>
    </row>
    <row r="4269" spans="1:6" x14ac:dyDescent="0.3">
      <c r="A4269" s="31">
        <v>80000009700</v>
      </c>
      <c r="B4269" s="31" t="s">
        <v>4202</v>
      </c>
      <c r="C4269" s="31" t="s">
        <v>2755</v>
      </c>
      <c r="D4269" s="31" t="s">
        <v>2670</v>
      </c>
      <c r="E4269" s="32">
        <v>70</v>
      </c>
      <c r="F4269" s="32">
        <v>20</v>
      </c>
    </row>
    <row r="4270" spans="1:6" x14ac:dyDescent="0.3">
      <c r="A4270" s="31">
        <v>2700000225</v>
      </c>
      <c r="B4270" s="31" t="s">
        <v>290</v>
      </c>
      <c r="C4270" s="31" t="s">
        <v>2037</v>
      </c>
      <c r="D4270" s="31" t="s">
        <v>2038</v>
      </c>
      <c r="E4270" s="32">
        <v>69.260000000000005</v>
      </c>
      <c r="F4270" s="32">
        <v>5</v>
      </c>
    </row>
    <row r="4271" spans="1:6" x14ac:dyDescent="0.3">
      <c r="A4271" s="31">
        <v>1000020595</v>
      </c>
      <c r="B4271" s="31" t="s">
        <v>811</v>
      </c>
      <c r="C4271" s="31" t="s">
        <v>4</v>
      </c>
      <c r="D4271" s="31" t="s">
        <v>2090</v>
      </c>
      <c r="E4271" s="32">
        <v>68.7</v>
      </c>
      <c r="F4271" s="32">
        <v>15</v>
      </c>
    </row>
    <row r="4272" spans="1:6" x14ac:dyDescent="0.3">
      <c r="A4272" s="31">
        <v>1000098583</v>
      </c>
      <c r="B4272" s="31" t="s">
        <v>1591</v>
      </c>
      <c r="C4272" s="31" t="s">
        <v>4</v>
      </c>
      <c r="D4272" s="31" t="s">
        <v>2090</v>
      </c>
      <c r="E4272" s="32">
        <v>68.688000000000002</v>
      </c>
      <c r="F4272" s="32">
        <v>2</v>
      </c>
    </row>
    <row r="4273" spans="1:6" x14ac:dyDescent="0.3">
      <c r="A4273" s="31">
        <v>1000020376</v>
      </c>
      <c r="B4273" s="31" t="s">
        <v>607</v>
      </c>
      <c r="C4273" s="31" t="s">
        <v>4</v>
      </c>
      <c r="D4273" s="31" t="s">
        <v>2090</v>
      </c>
      <c r="E4273" s="32">
        <v>68.650000000000006</v>
      </c>
      <c r="F4273" s="32">
        <v>5</v>
      </c>
    </row>
    <row r="4274" spans="1:6" x14ac:dyDescent="0.3">
      <c r="A4274" s="31">
        <v>1000020356</v>
      </c>
      <c r="B4274" s="31" t="s">
        <v>588</v>
      </c>
      <c r="C4274" s="31" t="s">
        <v>4</v>
      </c>
      <c r="D4274" s="31" t="s">
        <v>2090</v>
      </c>
      <c r="E4274" s="32">
        <v>68.5</v>
      </c>
      <c r="F4274" s="32">
        <v>1</v>
      </c>
    </row>
    <row r="4275" spans="1:6" x14ac:dyDescent="0.3">
      <c r="A4275" s="31">
        <v>1000093983</v>
      </c>
      <c r="B4275" s="31" t="s">
        <v>4427</v>
      </c>
      <c r="C4275" s="31" t="s">
        <v>4</v>
      </c>
      <c r="D4275" s="31" t="s">
        <v>2090</v>
      </c>
      <c r="E4275" s="32">
        <v>68.424857142857107</v>
      </c>
      <c r="F4275" s="32">
        <v>3</v>
      </c>
    </row>
    <row r="4276" spans="1:6" x14ac:dyDescent="0.3">
      <c r="A4276" s="31">
        <v>2500009148</v>
      </c>
      <c r="B4276" s="31" t="s">
        <v>1979</v>
      </c>
      <c r="C4276" s="31" t="s">
        <v>1996</v>
      </c>
      <c r="D4276" s="31" t="s">
        <v>2025</v>
      </c>
      <c r="E4276" s="32">
        <v>68.25</v>
      </c>
      <c r="F4276" s="32">
        <v>1</v>
      </c>
    </row>
    <row r="4277" spans="1:6" x14ac:dyDescent="0.3">
      <c r="A4277" s="31">
        <v>2500009122</v>
      </c>
      <c r="B4277" s="31" t="s">
        <v>4428</v>
      </c>
      <c r="C4277" s="31" t="s">
        <v>1996</v>
      </c>
      <c r="D4277" s="31" t="s">
        <v>2289</v>
      </c>
      <c r="E4277" s="32">
        <v>67.5</v>
      </c>
      <c r="F4277" s="32">
        <v>9</v>
      </c>
    </row>
    <row r="4278" spans="1:6" x14ac:dyDescent="0.3">
      <c r="A4278" s="31">
        <v>2500008892</v>
      </c>
      <c r="B4278" s="31" t="s">
        <v>4429</v>
      </c>
      <c r="C4278" s="31" t="s">
        <v>1996</v>
      </c>
      <c r="D4278" s="31" t="s">
        <v>2025</v>
      </c>
      <c r="E4278" s="32">
        <v>67.5</v>
      </c>
      <c r="F4278" s="32">
        <v>4</v>
      </c>
    </row>
    <row r="4279" spans="1:6" x14ac:dyDescent="0.3">
      <c r="A4279" s="31">
        <v>80000009711</v>
      </c>
      <c r="B4279" s="31" t="s">
        <v>4430</v>
      </c>
      <c r="C4279" s="31" t="s">
        <v>2521</v>
      </c>
      <c r="D4279" s="31" t="s">
        <v>2670</v>
      </c>
      <c r="E4279" s="32">
        <v>67.5</v>
      </c>
      <c r="F4279" s="32">
        <v>75</v>
      </c>
    </row>
    <row r="4280" spans="1:6" x14ac:dyDescent="0.3">
      <c r="A4280" s="31">
        <v>1000098082</v>
      </c>
      <c r="B4280" s="31" t="s">
        <v>4431</v>
      </c>
      <c r="C4280" s="31" t="s">
        <v>4</v>
      </c>
      <c r="D4280" s="31" t="s">
        <v>2090</v>
      </c>
      <c r="E4280" s="32">
        <v>67.263999999999996</v>
      </c>
      <c r="F4280" s="32">
        <v>4</v>
      </c>
    </row>
    <row r="4281" spans="1:6" x14ac:dyDescent="0.3">
      <c r="A4281" s="31">
        <v>1000096882</v>
      </c>
      <c r="B4281" s="31" t="s">
        <v>4432</v>
      </c>
      <c r="C4281" s="31" t="s">
        <v>4</v>
      </c>
      <c r="D4281" s="31" t="s">
        <v>2056</v>
      </c>
      <c r="E4281" s="32">
        <v>66.73</v>
      </c>
      <c r="F4281" s="32">
        <v>2</v>
      </c>
    </row>
    <row r="4282" spans="1:6" x14ac:dyDescent="0.3">
      <c r="A4282" s="31">
        <v>2500009082</v>
      </c>
      <c r="B4282" s="31" t="s">
        <v>4433</v>
      </c>
      <c r="C4282" s="31" t="s">
        <v>1996</v>
      </c>
      <c r="D4282" s="31" t="s">
        <v>2289</v>
      </c>
      <c r="E4282" s="32">
        <v>66.45</v>
      </c>
      <c r="F4282" s="32">
        <v>1</v>
      </c>
    </row>
    <row r="4283" spans="1:6" x14ac:dyDescent="0.3">
      <c r="A4283" s="31">
        <v>2200000574</v>
      </c>
      <c r="B4283" s="31" t="s">
        <v>174</v>
      </c>
      <c r="C4283" s="31" t="s">
        <v>2037</v>
      </c>
      <c r="D4283" s="31" t="s">
        <v>2038</v>
      </c>
      <c r="E4283" s="32">
        <v>66.412941176470497</v>
      </c>
      <c r="F4283" s="32">
        <v>3</v>
      </c>
    </row>
    <row r="4284" spans="1:6" x14ac:dyDescent="0.3">
      <c r="A4284" s="31">
        <v>1000102217</v>
      </c>
      <c r="B4284" s="31" t="s">
        <v>4434</v>
      </c>
      <c r="C4284" s="31" t="s">
        <v>4</v>
      </c>
      <c r="D4284" s="31" t="s">
        <v>2090</v>
      </c>
      <c r="E4284" s="32">
        <v>66.23</v>
      </c>
      <c r="F4284" s="32">
        <v>2</v>
      </c>
    </row>
    <row r="4285" spans="1:6" x14ac:dyDescent="0.3">
      <c r="A4285" s="31">
        <v>1000020948</v>
      </c>
      <c r="B4285" s="31" t="s">
        <v>1126</v>
      </c>
      <c r="C4285" s="31" t="s">
        <v>4</v>
      </c>
      <c r="D4285" s="31" t="s">
        <v>2090</v>
      </c>
      <c r="E4285" s="32">
        <v>66.14</v>
      </c>
      <c r="F4285" s="32">
        <v>1</v>
      </c>
    </row>
    <row r="4286" spans="1:6" x14ac:dyDescent="0.3">
      <c r="A4286" s="31">
        <v>1000020058</v>
      </c>
      <c r="B4286" s="31" t="s">
        <v>4435</v>
      </c>
      <c r="C4286" s="31" t="s">
        <v>4</v>
      </c>
      <c r="D4286" s="31" t="s">
        <v>2090</v>
      </c>
      <c r="E4286" s="32">
        <v>66.03</v>
      </c>
      <c r="F4286" s="32">
        <v>3</v>
      </c>
    </row>
    <row r="4287" spans="1:6" x14ac:dyDescent="0.3">
      <c r="A4287" s="31">
        <v>1000110028</v>
      </c>
      <c r="B4287" s="31" t="s">
        <v>4436</v>
      </c>
      <c r="C4287" s="31" t="s">
        <v>4</v>
      </c>
      <c r="D4287" s="31" t="s">
        <v>2056</v>
      </c>
      <c r="E4287" s="32">
        <v>66</v>
      </c>
      <c r="F4287" s="32">
        <v>500</v>
      </c>
    </row>
    <row r="4288" spans="1:6" x14ac:dyDescent="0.3">
      <c r="A4288" s="31">
        <v>1000110026</v>
      </c>
      <c r="B4288" s="31" t="s">
        <v>4437</v>
      </c>
      <c r="C4288" s="31" t="s">
        <v>4</v>
      </c>
      <c r="D4288" s="31" t="s">
        <v>2056</v>
      </c>
      <c r="E4288" s="32">
        <v>66</v>
      </c>
      <c r="F4288" s="32">
        <v>500</v>
      </c>
    </row>
    <row r="4289" spans="1:6" x14ac:dyDescent="0.3">
      <c r="A4289" s="31">
        <v>1000110029</v>
      </c>
      <c r="B4289" s="31" t="s">
        <v>4438</v>
      </c>
      <c r="C4289" s="31" t="s">
        <v>4</v>
      </c>
      <c r="D4289" s="31" t="s">
        <v>2056</v>
      </c>
      <c r="E4289" s="32">
        <v>66</v>
      </c>
      <c r="F4289" s="32">
        <v>500</v>
      </c>
    </row>
    <row r="4290" spans="1:6" x14ac:dyDescent="0.3">
      <c r="A4290" s="31">
        <v>1000110027</v>
      </c>
      <c r="B4290" s="31" t="s">
        <v>4439</v>
      </c>
      <c r="C4290" s="31" t="s">
        <v>4</v>
      </c>
      <c r="D4290" s="31" t="s">
        <v>2056</v>
      </c>
      <c r="E4290" s="32">
        <v>66</v>
      </c>
      <c r="F4290" s="32">
        <v>500</v>
      </c>
    </row>
    <row r="4291" spans="1:6" x14ac:dyDescent="0.3">
      <c r="A4291" s="31">
        <v>1000102283</v>
      </c>
      <c r="B4291" s="31" t="s">
        <v>4440</v>
      </c>
      <c r="C4291" s="31" t="s">
        <v>4</v>
      </c>
      <c r="D4291" s="31" t="s">
        <v>2056</v>
      </c>
      <c r="E4291" s="32">
        <v>65.97</v>
      </c>
      <c r="F4291" s="32">
        <v>2</v>
      </c>
    </row>
    <row r="4292" spans="1:6" x14ac:dyDescent="0.3">
      <c r="A4292" s="31">
        <v>1000020270</v>
      </c>
      <c r="B4292" s="31" t="s">
        <v>508</v>
      </c>
      <c r="C4292" s="31" t="s">
        <v>4</v>
      </c>
      <c r="D4292" s="31" t="s">
        <v>2090</v>
      </c>
      <c r="E4292" s="32">
        <v>65.58</v>
      </c>
      <c r="F4292" s="32">
        <v>3</v>
      </c>
    </row>
    <row r="4293" spans="1:6" x14ac:dyDescent="0.3">
      <c r="A4293" s="31">
        <v>1000020491</v>
      </c>
      <c r="B4293" s="31" t="s">
        <v>716</v>
      </c>
      <c r="C4293" s="31" t="s">
        <v>4</v>
      </c>
      <c r="D4293" s="31" t="s">
        <v>2218</v>
      </c>
      <c r="E4293" s="32">
        <v>65.184090909090898</v>
      </c>
      <c r="F4293" s="32">
        <v>1</v>
      </c>
    </row>
    <row r="4294" spans="1:6" x14ac:dyDescent="0.3">
      <c r="A4294" s="31">
        <v>2500008257</v>
      </c>
      <c r="B4294" s="31" t="s">
        <v>4441</v>
      </c>
      <c r="C4294" s="31" t="s">
        <v>1996</v>
      </c>
      <c r="D4294" s="31" t="s">
        <v>2025</v>
      </c>
      <c r="E4294" s="32">
        <v>64.8</v>
      </c>
      <c r="F4294" s="32">
        <v>1</v>
      </c>
    </row>
    <row r="4295" spans="1:6" x14ac:dyDescent="0.3">
      <c r="A4295" s="31">
        <v>1000020691</v>
      </c>
      <c r="B4295" s="31" t="s">
        <v>903</v>
      </c>
      <c r="C4295" s="31" t="s">
        <v>4</v>
      </c>
      <c r="D4295" s="31" t="s">
        <v>2090</v>
      </c>
      <c r="E4295" s="32">
        <v>64.708571428571403</v>
      </c>
      <c r="F4295" s="32">
        <v>1</v>
      </c>
    </row>
    <row r="4296" spans="1:6" x14ac:dyDescent="0.3">
      <c r="A4296" s="31">
        <v>1000105233</v>
      </c>
      <c r="B4296" s="31" t="s">
        <v>4442</v>
      </c>
      <c r="C4296" s="31" t="s">
        <v>4</v>
      </c>
      <c r="D4296" s="31" t="s">
        <v>2056</v>
      </c>
      <c r="E4296" s="32">
        <v>64.290000000000006</v>
      </c>
      <c r="F4296" s="32">
        <v>49</v>
      </c>
    </row>
    <row r="4297" spans="1:6" x14ac:dyDescent="0.3">
      <c r="A4297" s="31">
        <v>2500009681</v>
      </c>
      <c r="B4297" s="31" t="s">
        <v>4443</v>
      </c>
      <c r="C4297" s="31" t="s">
        <v>1996</v>
      </c>
      <c r="D4297" s="31" t="s">
        <v>2025</v>
      </c>
      <c r="E4297" s="32">
        <v>64.13</v>
      </c>
      <c r="F4297" s="32">
        <v>1</v>
      </c>
    </row>
    <row r="4298" spans="1:6" x14ac:dyDescent="0.3">
      <c r="A4298" s="31">
        <v>1000103212</v>
      </c>
      <c r="B4298" s="31" t="s">
        <v>1819</v>
      </c>
      <c r="C4298" s="31" t="s">
        <v>4</v>
      </c>
      <c r="D4298" s="31" t="s">
        <v>2090</v>
      </c>
      <c r="E4298" s="32">
        <v>64.064999999999998</v>
      </c>
      <c r="F4298" s="32">
        <v>5</v>
      </c>
    </row>
    <row r="4299" spans="1:6" x14ac:dyDescent="0.3">
      <c r="A4299" s="31">
        <v>2500009502</v>
      </c>
      <c r="B4299" s="31" t="s">
        <v>4444</v>
      </c>
      <c r="C4299" s="31" t="s">
        <v>1996</v>
      </c>
      <c r="D4299" s="31" t="s">
        <v>2289</v>
      </c>
      <c r="E4299" s="32">
        <v>63.75</v>
      </c>
      <c r="F4299" s="32">
        <v>1</v>
      </c>
    </row>
    <row r="4300" spans="1:6" x14ac:dyDescent="0.3">
      <c r="A4300" s="31">
        <v>1000098649</v>
      </c>
      <c r="B4300" s="31" t="s">
        <v>1626</v>
      </c>
      <c r="C4300" s="31" t="s">
        <v>4</v>
      </c>
      <c r="D4300" s="31" t="s">
        <v>2090</v>
      </c>
      <c r="E4300" s="32">
        <v>63.67</v>
      </c>
      <c r="F4300" s="32">
        <v>2</v>
      </c>
    </row>
    <row r="4301" spans="1:6" x14ac:dyDescent="0.3">
      <c r="A4301" s="31">
        <v>1000093078</v>
      </c>
      <c r="B4301" s="31" t="s">
        <v>2431</v>
      </c>
      <c r="C4301" s="31" t="s">
        <v>4</v>
      </c>
      <c r="D4301" s="31" t="s">
        <v>2043</v>
      </c>
      <c r="E4301" s="32">
        <v>63.223880597014897</v>
      </c>
      <c r="F4301" s="32">
        <v>1</v>
      </c>
    </row>
    <row r="4302" spans="1:6" x14ac:dyDescent="0.3">
      <c r="A4302" s="31">
        <v>2200000377</v>
      </c>
      <c r="B4302" s="31" t="s">
        <v>149</v>
      </c>
      <c r="C4302" s="31" t="s">
        <v>2037</v>
      </c>
      <c r="D4302" s="31" t="s">
        <v>2038</v>
      </c>
      <c r="E4302" s="32">
        <v>62.424999999999997</v>
      </c>
      <c r="F4302" s="32">
        <v>1</v>
      </c>
    </row>
    <row r="4303" spans="1:6" x14ac:dyDescent="0.3">
      <c r="A4303" s="31">
        <v>2200000377</v>
      </c>
      <c r="B4303" s="31" t="s">
        <v>149</v>
      </c>
      <c r="C4303" s="31" t="s">
        <v>2088</v>
      </c>
      <c r="D4303" s="31" t="s">
        <v>2038</v>
      </c>
      <c r="E4303" s="32">
        <v>62.424999999999997</v>
      </c>
      <c r="F4303" s="32">
        <v>1</v>
      </c>
    </row>
    <row r="4304" spans="1:6" x14ac:dyDescent="0.3">
      <c r="A4304" s="31">
        <v>1000020624</v>
      </c>
      <c r="B4304" s="31" t="s">
        <v>839</v>
      </c>
      <c r="C4304" s="31" t="s">
        <v>4</v>
      </c>
      <c r="D4304" s="31" t="s">
        <v>2090</v>
      </c>
      <c r="E4304" s="32">
        <v>62.08</v>
      </c>
      <c r="F4304" s="32">
        <v>4</v>
      </c>
    </row>
    <row r="4305" spans="1:6" x14ac:dyDescent="0.3">
      <c r="A4305" s="31">
        <v>1000020059</v>
      </c>
      <c r="B4305" s="31" t="s">
        <v>4445</v>
      </c>
      <c r="C4305" s="31" t="s">
        <v>4</v>
      </c>
      <c r="D4305" s="31" t="s">
        <v>2090</v>
      </c>
      <c r="E4305" s="32">
        <v>62.061999999999998</v>
      </c>
      <c r="F4305" s="32">
        <v>7</v>
      </c>
    </row>
    <row r="4306" spans="1:6" x14ac:dyDescent="0.3">
      <c r="A4306" s="31">
        <v>1000020664</v>
      </c>
      <c r="B4306" s="31" t="s">
        <v>877</v>
      </c>
      <c r="C4306" s="31" t="s">
        <v>4</v>
      </c>
      <c r="D4306" s="31" t="s">
        <v>2090</v>
      </c>
      <c r="E4306" s="32">
        <v>61.88</v>
      </c>
      <c r="F4306" s="32">
        <v>1</v>
      </c>
    </row>
    <row r="4307" spans="1:6" x14ac:dyDescent="0.3">
      <c r="A4307" s="31">
        <v>1000111141</v>
      </c>
      <c r="B4307" s="31" t="s">
        <v>4446</v>
      </c>
      <c r="C4307" s="31" t="s">
        <v>4</v>
      </c>
      <c r="D4307" s="31" t="s">
        <v>2090</v>
      </c>
      <c r="E4307" s="32">
        <v>61.575000000000003</v>
      </c>
      <c r="F4307" s="32">
        <v>2</v>
      </c>
    </row>
    <row r="4308" spans="1:6" x14ac:dyDescent="0.3">
      <c r="A4308" s="31">
        <v>1000020659</v>
      </c>
      <c r="B4308" s="31" t="s">
        <v>872</v>
      </c>
      <c r="C4308" s="31" t="s">
        <v>4</v>
      </c>
      <c r="D4308" s="31" t="s">
        <v>2090</v>
      </c>
      <c r="E4308" s="32">
        <v>61.46</v>
      </c>
      <c r="F4308" s="32">
        <v>1</v>
      </c>
    </row>
    <row r="4309" spans="1:6" x14ac:dyDescent="0.3">
      <c r="A4309" s="31">
        <v>2500009027</v>
      </c>
      <c r="B4309" s="31" t="s">
        <v>1963</v>
      </c>
      <c r="C4309" s="31" t="s">
        <v>1996</v>
      </c>
      <c r="D4309" s="31" t="s">
        <v>2025</v>
      </c>
      <c r="E4309" s="32">
        <v>60.75</v>
      </c>
      <c r="F4309" s="32">
        <v>1</v>
      </c>
    </row>
    <row r="4310" spans="1:6" x14ac:dyDescent="0.3">
      <c r="A4310" s="31">
        <v>2500008936</v>
      </c>
      <c r="B4310" s="31" t="s">
        <v>4447</v>
      </c>
      <c r="C4310" s="31" t="s">
        <v>1996</v>
      </c>
      <c r="D4310" s="31" t="s">
        <v>2025</v>
      </c>
      <c r="E4310" s="32">
        <v>60.75</v>
      </c>
      <c r="F4310" s="32">
        <v>3</v>
      </c>
    </row>
    <row r="4311" spans="1:6" x14ac:dyDescent="0.3">
      <c r="A4311" s="31">
        <v>2500008143</v>
      </c>
      <c r="B4311" s="31" t="s">
        <v>4448</v>
      </c>
      <c r="C4311" s="31" t="s">
        <v>1996</v>
      </c>
      <c r="D4311" s="31" t="s">
        <v>2025</v>
      </c>
      <c r="E4311" s="32">
        <v>60.56</v>
      </c>
      <c r="F4311" s="32">
        <v>1</v>
      </c>
    </row>
    <row r="4312" spans="1:6" x14ac:dyDescent="0.3">
      <c r="A4312" s="31">
        <v>2500008369</v>
      </c>
      <c r="B4312" s="31" t="s">
        <v>4449</v>
      </c>
      <c r="C4312" s="31" t="s">
        <v>1996</v>
      </c>
      <c r="D4312" s="31" t="s">
        <v>2025</v>
      </c>
      <c r="E4312" s="32">
        <v>60.08</v>
      </c>
      <c r="F4312" s="32">
        <v>2</v>
      </c>
    </row>
    <row r="4313" spans="1:6" x14ac:dyDescent="0.3">
      <c r="A4313" s="31">
        <v>1000020946</v>
      </c>
      <c r="B4313" s="31" t="s">
        <v>1125</v>
      </c>
      <c r="C4313" s="31" t="s">
        <v>4</v>
      </c>
      <c r="D4313" s="31" t="s">
        <v>2090</v>
      </c>
      <c r="E4313" s="32">
        <v>60.02</v>
      </c>
      <c r="F4313" s="32">
        <v>1</v>
      </c>
    </row>
    <row r="4314" spans="1:6" x14ac:dyDescent="0.3">
      <c r="A4314" s="31">
        <v>2500009339</v>
      </c>
      <c r="B4314" s="31" t="s">
        <v>4450</v>
      </c>
      <c r="C4314" s="31" t="s">
        <v>1996</v>
      </c>
      <c r="D4314" s="31" t="s">
        <v>2289</v>
      </c>
      <c r="E4314" s="32">
        <v>60</v>
      </c>
      <c r="F4314" s="32">
        <v>2</v>
      </c>
    </row>
    <row r="4315" spans="1:6" x14ac:dyDescent="0.3">
      <c r="A4315" s="31">
        <v>2500008600</v>
      </c>
      <c r="B4315" s="31" t="s">
        <v>1944</v>
      </c>
      <c r="C4315" s="31" t="s">
        <v>1996</v>
      </c>
      <c r="D4315" s="31" t="s">
        <v>2025</v>
      </c>
      <c r="E4315" s="32">
        <v>60</v>
      </c>
      <c r="F4315" s="32">
        <v>4</v>
      </c>
    </row>
    <row r="4316" spans="1:6" x14ac:dyDescent="0.3">
      <c r="A4316" s="31">
        <v>1000099659</v>
      </c>
      <c r="B4316" s="31" t="s">
        <v>4451</v>
      </c>
      <c r="C4316" s="31" t="s">
        <v>4</v>
      </c>
      <c r="D4316" s="31" t="s">
        <v>2056</v>
      </c>
      <c r="E4316" s="32">
        <v>59.972727272727198</v>
      </c>
      <c r="F4316" s="32">
        <v>10</v>
      </c>
    </row>
    <row r="4317" spans="1:6" x14ac:dyDescent="0.3">
      <c r="A4317" s="31">
        <v>1000020052</v>
      </c>
      <c r="B4317" s="31" t="s">
        <v>4452</v>
      </c>
      <c r="C4317" s="31" t="s">
        <v>4</v>
      </c>
      <c r="D4317" s="31" t="s">
        <v>2090</v>
      </c>
      <c r="E4317" s="32">
        <v>59.76</v>
      </c>
      <c r="F4317" s="32">
        <v>10</v>
      </c>
    </row>
    <row r="4318" spans="1:6" x14ac:dyDescent="0.3">
      <c r="A4318" s="31">
        <v>1000096783</v>
      </c>
      <c r="B4318" s="31" t="s">
        <v>4453</v>
      </c>
      <c r="C4318" s="31" t="s">
        <v>2109</v>
      </c>
      <c r="D4318" s="31" t="s">
        <v>2070</v>
      </c>
      <c r="E4318" s="32">
        <v>59.633333333333297</v>
      </c>
      <c r="F4318" s="32">
        <v>3</v>
      </c>
    </row>
    <row r="4319" spans="1:6" x14ac:dyDescent="0.3">
      <c r="A4319" s="31">
        <v>1000093332</v>
      </c>
      <c r="B4319" s="31" t="s">
        <v>4454</v>
      </c>
      <c r="C4319" s="31" t="s">
        <v>4</v>
      </c>
      <c r="D4319" s="31" t="s">
        <v>2090</v>
      </c>
      <c r="E4319" s="32">
        <v>59.3</v>
      </c>
      <c r="F4319" s="32">
        <v>7</v>
      </c>
    </row>
    <row r="4320" spans="1:6" x14ac:dyDescent="0.3">
      <c r="A4320" s="31">
        <v>1000020013</v>
      </c>
      <c r="B4320" s="31" t="s">
        <v>4455</v>
      </c>
      <c r="C4320" s="31" t="s">
        <v>4</v>
      </c>
      <c r="D4320" s="31" t="s">
        <v>2090</v>
      </c>
      <c r="E4320" s="32">
        <v>59.292749999999998</v>
      </c>
      <c r="F4320" s="32">
        <v>11</v>
      </c>
    </row>
    <row r="4321" spans="1:6" x14ac:dyDescent="0.3">
      <c r="A4321" s="31">
        <v>1000096799</v>
      </c>
      <c r="B4321" s="31" t="s">
        <v>4456</v>
      </c>
      <c r="C4321" s="31" t="s">
        <v>4</v>
      </c>
      <c r="D4321" s="31" t="s">
        <v>2056</v>
      </c>
      <c r="E4321" s="32">
        <v>59.086273970925703</v>
      </c>
      <c r="F4321" s="32">
        <v>7</v>
      </c>
    </row>
    <row r="4322" spans="1:6" x14ac:dyDescent="0.3">
      <c r="A4322" s="31">
        <v>2700000262</v>
      </c>
      <c r="B4322" s="31" t="s">
        <v>305</v>
      </c>
      <c r="C4322" s="31" t="s">
        <v>2037</v>
      </c>
      <c r="D4322" s="31" t="s">
        <v>2038</v>
      </c>
      <c r="E4322" s="32">
        <v>58.89</v>
      </c>
      <c r="F4322" s="32">
        <v>1</v>
      </c>
    </row>
    <row r="4323" spans="1:6" x14ac:dyDescent="0.3">
      <c r="A4323" s="31">
        <v>2100006471</v>
      </c>
      <c r="B4323" s="31" t="s">
        <v>142</v>
      </c>
      <c r="C4323" s="31" t="s">
        <v>2037</v>
      </c>
      <c r="D4323" s="31" t="s">
        <v>2031</v>
      </c>
      <c r="E4323" s="32">
        <v>58.87</v>
      </c>
      <c r="F4323" s="32">
        <v>12</v>
      </c>
    </row>
    <row r="4324" spans="1:6" x14ac:dyDescent="0.3">
      <c r="A4324" s="31">
        <v>1000101361</v>
      </c>
      <c r="B4324" s="31" t="s">
        <v>4457</v>
      </c>
      <c r="C4324" s="31" t="s">
        <v>4</v>
      </c>
      <c r="D4324" s="31" t="s">
        <v>2056</v>
      </c>
      <c r="E4324" s="32">
        <v>58.253279999999997</v>
      </c>
      <c r="F4324" s="32">
        <v>6</v>
      </c>
    </row>
    <row r="4325" spans="1:6" x14ac:dyDescent="0.3">
      <c r="A4325" s="31">
        <v>1000101503</v>
      </c>
      <c r="B4325" s="31" t="s">
        <v>4458</v>
      </c>
      <c r="C4325" s="31" t="s">
        <v>4</v>
      </c>
      <c r="D4325" s="31" t="s">
        <v>2043</v>
      </c>
      <c r="E4325" s="32">
        <v>58</v>
      </c>
      <c r="F4325" s="32">
        <v>2</v>
      </c>
    </row>
    <row r="4326" spans="1:6" x14ac:dyDescent="0.3">
      <c r="A4326" s="31">
        <v>1000102430</v>
      </c>
      <c r="B4326" s="31" t="s">
        <v>4459</v>
      </c>
      <c r="C4326" s="31" t="s">
        <v>4</v>
      </c>
      <c r="D4326" s="31" t="s">
        <v>2056</v>
      </c>
      <c r="E4326" s="32">
        <v>57.9054</v>
      </c>
      <c r="F4326" s="32">
        <v>35</v>
      </c>
    </row>
    <row r="4327" spans="1:6" x14ac:dyDescent="0.3">
      <c r="A4327" s="31">
        <v>1000015091</v>
      </c>
      <c r="B4327" s="31" t="s">
        <v>68</v>
      </c>
      <c r="C4327" s="31" t="s">
        <v>4</v>
      </c>
      <c r="D4327" s="31" t="s">
        <v>4460</v>
      </c>
      <c r="E4327" s="32">
        <v>57.757661480433697</v>
      </c>
      <c r="F4327" s="32">
        <v>2</v>
      </c>
    </row>
    <row r="4328" spans="1:6" x14ac:dyDescent="0.3">
      <c r="A4328" s="31">
        <v>1000020135</v>
      </c>
      <c r="B4328" s="31" t="s">
        <v>389</v>
      </c>
      <c r="C4328" s="31" t="s">
        <v>4</v>
      </c>
      <c r="D4328" s="31" t="s">
        <v>2090</v>
      </c>
      <c r="E4328" s="32">
        <v>57.75</v>
      </c>
      <c r="F4328" s="32">
        <v>3</v>
      </c>
    </row>
    <row r="4329" spans="1:6" x14ac:dyDescent="0.3">
      <c r="A4329" s="31">
        <v>1000094968</v>
      </c>
      <c r="B4329" s="31" t="s">
        <v>4461</v>
      </c>
      <c r="C4329" s="31" t="s">
        <v>2109</v>
      </c>
      <c r="D4329" s="31" t="s">
        <v>2070</v>
      </c>
      <c r="E4329" s="32">
        <v>57.08</v>
      </c>
      <c r="F4329" s="32">
        <v>4</v>
      </c>
    </row>
    <row r="4330" spans="1:6" x14ac:dyDescent="0.3">
      <c r="A4330" s="31">
        <v>2200010564</v>
      </c>
      <c r="B4330" s="31" t="s">
        <v>4462</v>
      </c>
      <c r="C4330" s="31" t="s">
        <v>2037</v>
      </c>
      <c r="D4330" s="31" t="s">
        <v>2067</v>
      </c>
      <c r="E4330" s="32">
        <v>56.354999999999997</v>
      </c>
      <c r="F4330" s="32">
        <v>1</v>
      </c>
    </row>
    <row r="4331" spans="1:6" x14ac:dyDescent="0.3">
      <c r="A4331" s="31">
        <v>2500008214</v>
      </c>
      <c r="B4331" s="31" t="s">
        <v>4463</v>
      </c>
      <c r="C4331" s="31" t="s">
        <v>1996</v>
      </c>
      <c r="D4331" s="31" t="s">
        <v>2025</v>
      </c>
      <c r="E4331" s="32">
        <v>56.25</v>
      </c>
      <c r="F4331" s="32">
        <v>4</v>
      </c>
    </row>
    <row r="4332" spans="1:6" x14ac:dyDescent="0.3">
      <c r="A4332" s="31">
        <v>2500009461</v>
      </c>
      <c r="B4332" s="31" t="s">
        <v>4464</v>
      </c>
      <c r="C4332" s="31" t="s">
        <v>1996</v>
      </c>
      <c r="D4332" s="31" t="s">
        <v>2289</v>
      </c>
      <c r="E4332" s="32">
        <v>56.25</v>
      </c>
      <c r="F4332" s="32">
        <v>3</v>
      </c>
    </row>
    <row r="4333" spans="1:6" x14ac:dyDescent="0.3">
      <c r="A4333" s="31">
        <v>1000020427</v>
      </c>
      <c r="B4333" s="31" t="s">
        <v>655</v>
      </c>
      <c r="C4333" s="31" t="s">
        <v>4</v>
      </c>
      <c r="D4333" s="31" t="s">
        <v>2090</v>
      </c>
      <c r="E4333" s="32">
        <v>56.04</v>
      </c>
      <c r="F4333" s="32">
        <v>4</v>
      </c>
    </row>
    <row r="4334" spans="1:6" x14ac:dyDescent="0.3">
      <c r="A4334" s="31">
        <v>1000099197</v>
      </c>
      <c r="B4334" s="31" t="s">
        <v>4465</v>
      </c>
      <c r="C4334" s="31" t="s">
        <v>4</v>
      </c>
      <c r="D4334" s="31" t="s">
        <v>2056</v>
      </c>
      <c r="E4334" s="32">
        <v>56.04</v>
      </c>
      <c r="F4334" s="32">
        <v>640</v>
      </c>
    </row>
    <row r="4335" spans="1:6" x14ac:dyDescent="0.3">
      <c r="A4335" s="31">
        <v>1000109177</v>
      </c>
      <c r="B4335" s="31" t="s">
        <v>1839</v>
      </c>
      <c r="C4335" s="31" t="s">
        <v>4</v>
      </c>
      <c r="D4335" s="31" t="s">
        <v>2090</v>
      </c>
      <c r="E4335" s="32">
        <v>56.02</v>
      </c>
      <c r="F4335" s="32">
        <v>9</v>
      </c>
    </row>
    <row r="4336" spans="1:6" x14ac:dyDescent="0.3">
      <c r="A4336" s="31">
        <v>1000020151</v>
      </c>
      <c r="B4336" s="31" t="s">
        <v>402</v>
      </c>
      <c r="C4336" s="31" t="s">
        <v>4</v>
      </c>
      <c r="D4336" s="31" t="s">
        <v>2090</v>
      </c>
      <c r="E4336" s="32">
        <v>55.55</v>
      </c>
      <c r="F4336" s="32">
        <v>1</v>
      </c>
    </row>
    <row r="4337" spans="1:6" x14ac:dyDescent="0.3">
      <c r="A4337" s="31">
        <v>2200011748</v>
      </c>
      <c r="B4337" s="31" t="s">
        <v>4466</v>
      </c>
      <c r="C4337" s="31" t="s">
        <v>2037</v>
      </c>
      <c r="D4337" s="31" t="s">
        <v>2038</v>
      </c>
      <c r="E4337" s="32">
        <v>55.44</v>
      </c>
      <c r="F4337" s="32">
        <v>1</v>
      </c>
    </row>
    <row r="4338" spans="1:6" x14ac:dyDescent="0.3">
      <c r="A4338" s="31">
        <v>1000094033</v>
      </c>
      <c r="B4338" s="31" t="s">
        <v>4467</v>
      </c>
      <c r="C4338" s="31" t="s">
        <v>4</v>
      </c>
      <c r="D4338" s="31" t="s">
        <v>2090</v>
      </c>
      <c r="E4338" s="32">
        <v>55.42</v>
      </c>
      <c r="F4338" s="32">
        <v>2</v>
      </c>
    </row>
    <row r="4339" spans="1:6" x14ac:dyDescent="0.3">
      <c r="A4339" s="31">
        <v>2700000125</v>
      </c>
      <c r="B4339" s="31" t="s">
        <v>260</v>
      </c>
      <c r="C4339" s="31" t="s">
        <v>2037</v>
      </c>
      <c r="D4339" s="31" t="s">
        <v>2038</v>
      </c>
      <c r="E4339" s="32">
        <v>55.4</v>
      </c>
      <c r="F4339" s="32">
        <v>4</v>
      </c>
    </row>
    <row r="4340" spans="1:6" x14ac:dyDescent="0.3">
      <c r="A4340" s="31">
        <v>2700000126</v>
      </c>
      <c r="B4340" s="31" t="s">
        <v>261</v>
      </c>
      <c r="C4340" s="31" t="s">
        <v>2037</v>
      </c>
      <c r="D4340" s="31" t="s">
        <v>2038</v>
      </c>
      <c r="E4340" s="32">
        <v>55.4</v>
      </c>
      <c r="F4340" s="32">
        <v>4</v>
      </c>
    </row>
    <row r="4341" spans="1:6" x14ac:dyDescent="0.3">
      <c r="A4341" s="31">
        <v>1000102404</v>
      </c>
      <c r="B4341" s="31" t="s">
        <v>4468</v>
      </c>
      <c r="C4341" s="31" t="s">
        <v>4</v>
      </c>
      <c r="D4341" s="31" t="s">
        <v>2090</v>
      </c>
      <c r="E4341" s="32">
        <v>55.271578947368397</v>
      </c>
      <c r="F4341" s="32">
        <v>16</v>
      </c>
    </row>
    <row r="4342" spans="1:6" x14ac:dyDescent="0.3">
      <c r="A4342" s="31">
        <v>1000020073</v>
      </c>
      <c r="B4342" s="31" t="s">
        <v>4469</v>
      </c>
      <c r="C4342" s="31" t="s">
        <v>4</v>
      </c>
      <c r="D4342" s="31" t="s">
        <v>2090</v>
      </c>
      <c r="E4342" s="32">
        <v>54.408000000000001</v>
      </c>
      <c r="F4342" s="32">
        <v>3</v>
      </c>
    </row>
    <row r="4343" spans="1:6" x14ac:dyDescent="0.3">
      <c r="A4343" s="31">
        <v>1000020481</v>
      </c>
      <c r="B4343" s="31" t="s">
        <v>707</v>
      </c>
      <c r="C4343" s="31" t="s">
        <v>4</v>
      </c>
      <c r="D4343" s="31" t="s">
        <v>2090</v>
      </c>
      <c r="E4343" s="32">
        <v>54.35</v>
      </c>
      <c r="F4343" s="32">
        <v>1</v>
      </c>
    </row>
    <row r="4344" spans="1:6" x14ac:dyDescent="0.3">
      <c r="A4344" s="31">
        <v>1000101098</v>
      </c>
      <c r="B4344" s="31" t="s">
        <v>4470</v>
      </c>
      <c r="C4344" s="31" t="s">
        <v>4</v>
      </c>
      <c r="D4344" s="31" t="s">
        <v>2284</v>
      </c>
      <c r="E4344" s="32">
        <v>53.7</v>
      </c>
      <c r="F4344" s="32">
        <v>2</v>
      </c>
    </row>
    <row r="4345" spans="1:6" x14ac:dyDescent="0.3">
      <c r="A4345" s="31">
        <v>1000020589</v>
      </c>
      <c r="B4345" s="31" t="s">
        <v>805</v>
      </c>
      <c r="C4345" s="31" t="s">
        <v>4</v>
      </c>
      <c r="D4345" s="31" t="s">
        <v>2090</v>
      </c>
      <c r="E4345" s="32">
        <v>53.2</v>
      </c>
      <c r="F4345" s="32">
        <v>10</v>
      </c>
    </row>
    <row r="4346" spans="1:6" x14ac:dyDescent="0.3">
      <c r="A4346" s="31">
        <v>1000020258</v>
      </c>
      <c r="B4346" s="31" t="s">
        <v>497</v>
      </c>
      <c r="C4346" s="31" t="s">
        <v>4</v>
      </c>
      <c r="D4346" s="31" t="s">
        <v>2090</v>
      </c>
      <c r="E4346" s="32">
        <v>53</v>
      </c>
      <c r="F4346" s="32">
        <v>5</v>
      </c>
    </row>
    <row r="4347" spans="1:6" x14ac:dyDescent="0.3">
      <c r="A4347" s="31">
        <v>1000103213</v>
      </c>
      <c r="B4347" s="31" t="s">
        <v>1820</v>
      </c>
      <c r="C4347" s="31" t="s">
        <v>4</v>
      </c>
      <c r="D4347" s="31" t="s">
        <v>2090</v>
      </c>
      <c r="E4347" s="32">
        <v>52.88</v>
      </c>
      <c r="F4347" s="32">
        <v>5</v>
      </c>
    </row>
    <row r="4348" spans="1:6" x14ac:dyDescent="0.3">
      <c r="A4348" s="31">
        <v>1000098609</v>
      </c>
      <c r="B4348" s="31" t="s">
        <v>1612</v>
      </c>
      <c r="C4348" s="31" t="s">
        <v>4</v>
      </c>
      <c r="D4348" s="31" t="s">
        <v>2090</v>
      </c>
      <c r="E4348" s="32">
        <v>52.808888888888802</v>
      </c>
      <c r="F4348" s="32">
        <v>10</v>
      </c>
    </row>
    <row r="4349" spans="1:6" x14ac:dyDescent="0.3">
      <c r="A4349" s="31">
        <v>1000020760</v>
      </c>
      <c r="B4349" s="31" t="s">
        <v>965</v>
      </c>
      <c r="C4349" s="31" t="s">
        <v>4</v>
      </c>
      <c r="D4349" s="31" t="s">
        <v>2090</v>
      </c>
      <c r="E4349" s="32">
        <v>52.8</v>
      </c>
      <c r="F4349" s="32">
        <v>1</v>
      </c>
    </row>
    <row r="4350" spans="1:6" x14ac:dyDescent="0.3">
      <c r="A4350" s="31">
        <v>1000020666</v>
      </c>
      <c r="B4350" s="31" t="s">
        <v>879</v>
      </c>
      <c r="C4350" s="31" t="s">
        <v>4</v>
      </c>
      <c r="D4350" s="31" t="s">
        <v>2090</v>
      </c>
      <c r="E4350" s="32">
        <v>52.76</v>
      </c>
      <c r="F4350" s="32">
        <v>1</v>
      </c>
    </row>
    <row r="4351" spans="1:6" x14ac:dyDescent="0.3">
      <c r="A4351" s="31">
        <v>2500008370</v>
      </c>
      <c r="B4351" s="31" t="s">
        <v>4471</v>
      </c>
      <c r="C4351" s="31" t="s">
        <v>1996</v>
      </c>
      <c r="D4351" s="31" t="s">
        <v>2025</v>
      </c>
      <c r="E4351" s="32">
        <v>52.57</v>
      </c>
      <c r="F4351" s="32">
        <v>2</v>
      </c>
    </row>
    <row r="4352" spans="1:6" x14ac:dyDescent="0.3">
      <c r="A4352" s="31">
        <v>2500008329</v>
      </c>
      <c r="B4352" s="31" t="s">
        <v>4472</v>
      </c>
      <c r="C4352" s="31" t="s">
        <v>1996</v>
      </c>
      <c r="D4352" s="31" t="s">
        <v>2025</v>
      </c>
      <c r="E4352" s="32">
        <v>52.503333333333302</v>
      </c>
      <c r="F4352" s="32">
        <v>3</v>
      </c>
    </row>
    <row r="4353" spans="1:6" x14ac:dyDescent="0.3">
      <c r="A4353" s="31">
        <v>2500009457</v>
      </c>
      <c r="B4353" s="31" t="s">
        <v>4473</v>
      </c>
      <c r="C4353" s="31" t="s">
        <v>1996</v>
      </c>
      <c r="D4353" s="31" t="s">
        <v>2289</v>
      </c>
      <c r="E4353" s="32">
        <v>52.5</v>
      </c>
      <c r="F4353" s="32">
        <v>1</v>
      </c>
    </row>
    <row r="4354" spans="1:6" x14ac:dyDescent="0.3">
      <c r="A4354" s="31">
        <v>2500009496</v>
      </c>
      <c r="B4354" s="31" t="s">
        <v>4474</v>
      </c>
      <c r="C4354" s="31" t="s">
        <v>1996</v>
      </c>
      <c r="D4354" s="31" t="s">
        <v>2289</v>
      </c>
      <c r="E4354" s="32">
        <v>52.5</v>
      </c>
      <c r="F4354" s="32">
        <v>1</v>
      </c>
    </row>
    <row r="4355" spans="1:6" x14ac:dyDescent="0.3">
      <c r="A4355" s="31">
        <v>1000021169</v>
      </c>
      <c r="B4355" s="31" t="s">
        <v>1317</v>
      </c>
      <c r="C4355" s="31" t="s">
        <v>4</v>
      </c>
      <c r="D4355" s="31" t="s">
        <v>2090</v>
      </c>
      <c r="E4355" s="32">
        <v>52.48</v>
      </c>
      <c r="F4355" s="32">
        <v>1</v>
      </c>
    </row>
    <row r="4356" spans="1:6" x14ac:dyDescent="0.3">
      <c r="A4356" s="31">
        <v>1000020641</v>
      </c>
      <c r="B4356" s="31" t="s">
        <v>856</v>
      </c>
      <c r="C4356" s="31" t="s">
        <v>4</v>
      </c>
      <c r="D4356" s="31" t="s">
        <v>2090</v>
      </c>
      <c r="E4356" s="32">
        <v>52.44</v>
      </c>
      <c r="F4356" s="32">
        <v>2</v>
      </c>
    </row>
    <row r="4357" spans="1:6" x14ac:dyDescent="0.3">
      <c r="A4357" s="31">
        <v>1000020006</v>
      </c>
      <c r="B4357" s="31" t="s">
        <v>4475</v>
      </c>
      <c r="C4357" s="31" t="s">
        <v>4</v>
      </c>
      <c r="D4357" s="31" t="s">
        <v>2090</v>
      </c>
      <c r="E4357" s="32">
        <v>52.3333333333333</v>
      </c>
      <c r="F4357" s="32">
        <v>5</v>
      </c>
    </row>
    <row r="4358" spans="1:6" x14ac:dyDescent="0.3">
      <c r="A4358" s="31">
        <v>1000101698</v>
      </c>
      <c r="B4358" s="31" t="s">
        <v>4476</v>
      </c>
      <c r="C4358" s="31" t="s">
        <v>4</v>
      </c>
      <c r="D4358" s="31" t="s">
        <v>2056</v>
      </c>
      <c r="E4358" s="32">
        <v>52.047499999999999</v>
      </c>
      <c r="F4358" s="32">
        <v>40</v>
      </c>
    </row>
    <row r="4359" spans="1:6" x14ac:dyDescent="0.3">
      <c r="A4359" s="31">
        <v>1000103787</v>
      </c>
      <c r="B4359" s="31" t="s">
        <v>4477</v>
      </c>
      <c r="C4359" s="31" t="s">
        <v>4</v>
      </c>
      <c r="D4359" s="31" t="s">
        <v>2056</v>
      </c>
      <c r="E4359" s="32">
        <v>51.95</v>
      </c>
      <c r="F4359" s="32">
        <v>8</v>
      </c>
    </row>
    <row r="4360" spans="1:6" x14ac:dyDescent="0.3">
      <c r="A4360" s="31">
        <v>1000020262</v>
      </c>
      <c r="B4360" s="31" t="s">
        <v>501</v>
      </c>
      <c r="C4360" s="31" t="s">
        <v>4</v>
      </c>
      <c r="D4360" s="31" t="s">
        <v>2090</v>
      </c>
      <c r="E4360" s="32">
        <v>51.8</v>
      </c>
      <c r="F4360" s="32">
        <v>4</v>
      </c>
    </row>
    <row r="4361" spans="1:6" x14ac:dyDescent="0.3">
      <c r="A4361" s="31">
        <v>1000020652</v>
      </c>
      <c r="B4361" s="31" t="s">
        <v>866</v>
      </c>
      <c r="C4361" s="31" t="s">
        <v>4</v>
      </c>
      <c r="D4361" s="31" t="s">
        <v>2090</v>
      </c>
      <c r="E4361" s="32">
        <v>51.497999999999998</v>
      </c>
      <c r="F4361" s="32">
        <v>1</v>
      </c>
    </row>
    <row r="4362" spans="1:6" x14ac:dyDescent="0.3">
      <c r="A4362" s="31">
        <v>2500008139</v>
      </c>
      <c r="B4362" s="31" t="s">
        <v>4478</v>
      </c>
      <c r="C4362" s="31" t="s">
        <v>1996</v>
      </c>
      <c r="D4362" s="31" t="s">
        <v>2025</v>
      </c>
      <c r="E4362" s="32">
        <v>51.125</v>
      </c>
      <c r="F4362" s="32">
        <v>2</v>
      </c>
    </row>
    <row r="4363" spans="1:6" x14ac:dyDescent="0.3">
      <c r="A4363" s="31">
        <v>1000020252</v>
      </c>
      <c r="B4363" s="31" t="s">
        <v>491</v>
      </c>
      <c r="C4363" s="31" t="s">
        <v>4</v>
      </c>
      <c r="D4363" s="31" t="s">
        <v>2090</v>
      </c>
      <c r="E4363" s="32">
        <v>51.12</v>
      </c>
      <c r="F4363" s="32">
        <v>6</v>
      </c>
    </row>
    <row r="4364" spans="1:6" x14ac:dyDescent="0.3">
      <c r="A4364" s="31">
        <v>1000108972</v>
      </c>
      <c r="B4364" s="31" t="s">
        <v>4479</v>
      </c>
      <c r="C4364" s="31" t="s">
        <v>4</v>
      </c>
      <c r="D4364" s="31" t="s">
        <v>2056</v>
      </c>
      <c r="E4364" s="32">
        <v>50.963721476266599</v>
      </c>
      <c r="F4364" s="32">
        <v>3</v>
      </c>
    </row>
    <row r="4365" spans="1:6" x14ac:dyDescent="0.3">
      <c r="A4365" s="31">
        <v>1000103046</v>
      </c>
      <c r="B4365" s="31" t="s">
        <v>4480</v>
      </c>
      <c r="C4365" s="31" t="s">
        <v>2257</v>
      </c>
      <c r="D4365" s="31" t="s">
        <v>2070</v>
      </c>
      <c r="E4365" s="32">
        <v>50.603974116161602</v>
      </c>
      <c r="F4365" s="32">
        <v>1</v>
      </c>
    </row>
    <row r="4366" spans="1:6" x14ac:dyDescent="0.3">
      <c r="A4366" s="31">
        <v>2500008351</v>
      </c>
      <c r="B4366" s="31" t="s">
        <v>4481</v>
      </c>
      <c r="C4366" s="31" t="s">
        <v>1996</v>
      </c>
      <c r="D4366" s="31" t="s">
        <v>2811</v>
      </c>
      <c r="E4366" s="32">
        <v>50.25</v>
      </c>
      <c r="F4366" s="32">
        <v>1</v>
      </c>
    </row>
    <row r="4367" spans="1:6" x14ac:dyDescent="0.3">
      <c r="A4367" s="31">
        <v>1000017025</v>
      </c>
      <c r="B4367" s="31" t="s">
        <v>4482</v>
      </c>
      <c r="C4367" s="31" t="s">
        <v>4</v>
      </c>
      <c r="D4367" s="31" t="s">
        <v>3274</v>
      </c>
      <c r="E4367" s="32">
        <v>50</v>
      </c>
      <c r="F4367" s="32">
        <v>100</v>
      </c>
    </row>
    <row r="4368" spans="1:6" x14ac:dyDescent="0.3">
      <c r="A4368" s="31">
        <v>80000009758</v>
      </c>
      <c r="B4368" s="31" t="s">
        <v>4483</v>
      </c>
      <c r="C4368" s="31" t="s">
        <v>2755</v>
      </c>
      <c r="D4368" s="31" t="s">
        <v>2670</v>
      </c>
      <c r="E4368" s="32">
        <v>50</v>
      </c>
      <c r="F4368" s="32">
        <v>20</v>
      </c>
    </row>
    <row r="4369" spans="1:6" x14ac:dyDescent="0.3">
      <c r="A4369" s="31">
        <v>1000095812</v>
      </c>
      <c r="B4369" s="31" t="s">
        <v>4484</v>
      </c>
      <c r="C4369" s="31" t="s">
        <v>4</v>
      </c>
      <c r="D4369" s="31" t="s">
        <v>2056</v>
      </c>
      <c r="E4369" s="32">
        <v>49.951666666666597</v>
      </c>
      <c r="F4369" s="32">
        <v>20</v>
      </c>
    </row>
    <row r="4370" spans="1:6" x14ac:dyDescent="0.3">
      <c r="A4370" s="31">
        <v>1000099812</v>
      </c>
      <c r="B4370" s="31" t="s">
        <v>4485</v>
      </c>
      <c r="C4370" s="31" t="s">
        <v>4</v>
      </c>
      <c r="D4370" s="31" t="s">
        <v>2090</v>
      </c>
      <c r="E4370" s="32">
        <v>49.89</v>
      </c>
      <c r="F4370" s="32">
        <v>7</v>
      </c>
    </row>
    <row r="4371" spans="1:6" x14ac:dyDescent="0.3">
      <c r="A4371" s="31">
        <v>1000111140</v>
      </c>
      <c r="B4371" s="31" t="s">
        <v>4486</v>
      </c>
      <c r="C4371" s="31" t="s">
        <v>4</v>
      </c>
      <c r="D4371" s="31" t="s">
        <v>2090</v>
      </c>
      <c r="E4371" s="32">
        <v>49.837499999999999</v>
      </c>
      <c r="F4371" s="32">
        <v>3</v>
      </c>
    </row>
    <row r="4372" spans="1:6" x14ac:dyDescent="0.3">
      <c r="A4372" s="31">
        <v>2700000124</v>
      </c>
      <c r="B4372" s="31" t="s">
        <v>4487</v>
      </c>
      <c r="C4372" s="31" t="s">
        <v>2037</v>
      </c>
      <c r="D4372" s="31" t="s">
        <v>2038</v>
      </c>
      <c r="E4372" s="32">
        <v>49.810279401360503</v>
      </c>
      <c r="F4372" s="32">
        <v>1</v>
      </c>
    </row>
    <row r="4373" spans="1:6" x14ac:dyDescent="0.3">
      <c r="A4373" s="31">
        <v>1000100779</v>
      </c>
      <c r="B4373" s="31" t="s">
        <v>1750</v>
      </c>
      <c r="C4373" s="31" t="s">
        <v>4</v>
      </c>
      <c r="D4373" s="31" t="s">
        <v>2090</v>
      </c>
      <c r="E4373" s="32">
        <v>49.618749999999999</v>
      </c>
      <c r="F4373" s="32">
        <v>2</v>
      </c>
    </row>
    <row r="4374" spans="1:6" x14ac:dyDescent="0.3">
      <c r="A4374" s="31">
        <v>1000020548</v>
      </c>
      <c r="B4374" s="31" t="s">
        <v>766</v>
      </c>
      <c r="C4374" s="31" t="s">
        <v>4</v>
      </c>
      <c r="D4374" s="31" t="s">
        <v>2090</v>
      </c>
      <c r="E4374" s="32">
        <v>48.99</v>
      </c>
      <c r="F4374" s="32">
        <v>3</v>
      </c>
    </row>
    <row r="4375" spans="1:6" x14ac:dyDescent="0.3">
      <c r="A4375" s="31">
        <v>2500009028</v>
      </c>
      <c r="B4375" s="31" t="s">
        <v>4488</v>
      </c>
      <c r="C4375" s="31" t="s">
        <v>1996</v>
      </c>
      <c r="D4375" s="31" t="s">
        <v>2025</v>
      </c>
      <c r="E4375" s="32">
        <v>48.6</v>
      </c>
      <c r="F4375" s="32">
        <v>2</v>
      </c>
    </row>
    <row r="4376" spans="1:6" x14ac:dyDescent="0.3">
      <c r="A4376" s="31">
        <v>1000020436</v>
      </c>
      <c r="B4376" s="31" t="s">
        <v>663</v>
      </c>
      <c r="C4376" s="31" t="s">
        <v>4</v>
      </c>
      <c r="D4376" s="31" t="s">
        <v>2090</v>
      </c>
      <c r="E4376" s="32">
        <v>48.4557</v>
      </c>
      <c r="F4376" s="32">
        <v>3</v>
      </c>
    </row>
    <row r="4377" spans="1:6" x14ac:dyDescent="0.3">
      <c r="A4377" s="31">
        <v>1000020669</v>
      </c>
      <c r="B4377" s="31" t="s">
        <v>882</v>
      </c>
      <c r="C4377" s="31" t="s">
        <v>4</v>
      </c>
      <c r="D4377" s="31" t="s">
        <v>2090</v>
      </c>
      <c r="E4377" s="32">
        <v>48.44</v>
      </c>
      <c r="F4377" s="32">
        <v>1</v>
      </c>
    </row>
    <row r="4378" spans="1:6" x14ac:dyDescent="0.3">
      <c r="A4378" s="31">
        <v>1000020255</v>
      </c>
      <c r="B4378" s="31" t="s">
        <v>494</v>
      </c>
      <c r="C4378" s="31" t="s">
        <v>4</v>
      </c>
      <c r="D4378" s="31" t="s">
        <v>2090</v>
      </c>
      <c r="E4378" s="32">
        <v>48.259374999999999</v>
      </c>
      <c r="F4378" s="32">
        <v>5</v>
      </c>
    </row>
    <row r="4379" spans="1:6" x14ac:dyDescent="0.3">
      <c r="A4379" s="31">
        <v>1000097898</v>
      </c>
      <c r="B4379" s="31" t="s">
        <v>81</v>
      </c>
      <c r="C4379" s="31" t="s">
        <v>4</v>
      </c>
      <c r="D4379" s="31" t="s">
        <v>4063</v>
      </c>
      <c r="E4379" s="32">
        <v>48</v>
      </c>
      <c r="F4379" s="32">
        <v>2</v>
      </c>
    </row>
    <row r="4380" spans="1:6" x14ac:dyDescent="0.3">
      <c r="A4380" s="31">
        <v>800000008541</v>
      </c>
      <c r="B4380" s="31" t="s">
        <v>4489</v>
      </c>
      <c r="C4380" s="31" t="s">
        <v>2521</v>
      </c>
      <c r="D4380" s="31" t="s">
        <v>3624</v>
      </c>
      <c r="E4380" s="32">
        <v>48</v>
      </c>
      <c r="F4380" s="32">
        <v>2</v>
      </c>
    </row>
    <row r="4381" spans="1:6" x14ac:dyDescent="0.3">
      <c r="A4381" s="31">
        <v>1000094968</v>
      </c>
      <c r="B4381" s="31" t="s">
        <v>4461</v>
      </c>
      <c r="C4381" s="31" t="s">
        <v>2027</v>
      </c>
      <c r="D4381" s="31" t="s">
        <v>2070</v>
      </c>
      <c r="E4381" s="32">
        <v>47.94</v>
      </c>
      <c r="F4381" s="32">
        <v>4</v>
      </c>
    </row>
    <row r="4382" spans="1:6" x14ac:dyDescent="0.3">
      <c r="A4382" s="31">
        <v>2200012182</v>
      </c>
      <c r="B4382" s="31" t="s">
        <v>4490</v>
      </c>
      <c r="C4382" s="31" t="s">
        <v>2037</v>
      </c>
      <c r="D4382" s="31" t="s">
        <v>2038</v>
      </c>
      <c r="E4382" s="32">
        <v>47.84</v>
      </c>
      <c r="F4382" s="32">
        <v>2</v>
      </c>
    </row>
    <row r="4383" spans="1:6" x14ac:dyDescent="0.3">
      <c r="A4383" s="31">
        <v>1000020678</v>
      </c>
      <c r="B4383" s="31" t="s">
        <v>891</v>
      </c>
      <c r="C4383" s="31" t="s">
        <v>4</v>
      </c>
      <c r="D4383" s="31" t="s">
        <v>2090</v>
      </c>
      <c r="E4383" s="32">
        <v>47.73</v>
      </c>
      <c r="F4383" s="32">
        <v>1</v>
      </c>
    </row>
    <row r="4384" spans="1:6" x14ac:dyDescent="0.3">
      <c r="A4384" s="31">
        <v>1000020667</v>
      </c>
      <c r="B4384" s="31" t="s">
        <v>880</v>
      </c>
      <c r="C4384" s="31" t="s">
        <v>4</v>
      </c>
      <c r="D4384" s="31" t="s">
        <v>2090</v>
      </c>
      <c r="E4384" s="32">
        <v>47.31</v>
      </c>
      <c r="F4384" s="32">
        <v>1</v>
      </c>
    </row>
    <row r="4385" spans="1:6" x14ac:dyDescent="0.3">
      <c r="A4385" s="31">
        <v>1000020214</v>
      </c>
      <c r="B4385" s="31" t="s">
        <v>454</v>
      </c>
      <c r="C4385" s="31" t="s">
        <v>4</v>
      </c>
      <c r="D4385" s="31" t="s">
        <v>2090</v>
      </c>
      <c r="E4385" s="32">
        <v>46.85</v>
      </c>
      <c r="F4385" s="32">
        <v>1</v>
      </c>
    </row>
    <row r="4386" spans="1:6" x14ac:dyDescent="0.3">
      <c r="A4386" s="31">
        <v>1000020389</v>
      </c>
      <c r="B4386" s="31" t="s">
        <v>619</v>
      </c>
      <c r="C4386" s="31" t="s">
        <v>4</v>
      </c>
      <c r="D4386" s="31" t="s">
        <v>2090</v>
      </c>
      <c r="E4386" s="32">
        <v>46.57</v>
      </c>
      <c r="F4386" s="32">
        <v>1</v>
      </c>
    </row>
    <row r="4387" spans="1:6" x14ac:dyDescent="0.3">
      <c r="A4387" s="31">
        <v>1000093567</v>
      </c>
      <c r="B4387" s="31" t="s">
        <v>4491</v>
      </c>
      <c r="C4387" s="31" t="s">
        <v>4</v>
      </c>
      <c r="D4387" s="31" t="s">
        <v>2056</v>
      </c>
      <c r="E4387" s="32">
        <v>46.411910880000001</v>
      </c>
      <c r="F4387" s="32">
        <v>1</v>
      </c>
    </row>
    <row r="4388" spans="1:6" x14ac:dyDescent="0.3">
      <c r="A4388" s="31">
        <v>1000108554</v>
      </c>
      <c r="B4388" s="31" t="s">
        <v>4492</v>
      </c>
      <c r="C4388" s="31" t="s">
        <v>4</v>
      </c>
      <c r="D4388" s="31" t="s">
        <v>2056</v>
      </c>
      <c r="E4388" s="32">
        <v>46.01</v>
      </c>
      <c r="F4388" s="32">
        <v>1</v>
      </c>
    </row>
    <row r="4389" spans="1:6" x14ac:dyDescent="0.3">
      <c r="A4389" s="31">
        <v>1000102149</v>
      </c>
      <c r="B4389" s="31" t="s">
        <v>4493</v>
      </c>
      <c r="C4389" s="31" t="s">
        <v>4</v>
      </c>
      <c r="D4389" s="31" t="s">
        <v>2090</v>
      </c>
      <c r="E4389" s="32">
        <v>45.72</v>
      </c>
      <c r="F4389" s="32">
        <v>4</v>
      </c>
    </row>
    <row r="4390" spans="1:6" x14ac:dyDescent="0.3">
      <c r="A4390" s="31">
        <v>1000020654</v>
      </c>
      <c r="B4390" s="31" t="s">
        <v>867</v>
      </c>
      <c r="C4390" s="31" t="s">
        <v>4</v>
      </c>
      <c r="D4390" s="31" t="s">
        <v>2090</v>
      </c>
      <c r="E4390" s="32">
        <v>45.6175</v>
      </c>
      <c r="F4390" s="32">
        <v>1</v>
      </c>
    </row>
    <row r="4391" spans="1:6" x14ac:dyDescent="0.3">
      <c r="A4391" s="31">
        <v>1000098890</v>
      </c>
      <c r="B4391" s="31" t="s">
        <v>4494</v>
      </c>
      <c r="C4391" s="31" t="s">
        <v>4</v>
      </c>
      <c r="D4391" s="31" t="s">
        <v>2090</v>
      </c>
      <c r="E4391" s="32">
        <v>45.185000000000002</v>
      </c>
      <c r="F4391" s="32">
        <v>7</v>
      </c>
    </row>
    <row r="4392" spans="1:6" x14ac:dyDescent="0.3">
      <c r="A4392" s="31">
        <v>2500009088</v>
      </c>
      <c r="B4392" s="31" t="s">
        <v>4495</v>
      </c>
      <c r="C4392" s="31" t="s">
        <v>1996</v>
      </c>
      <c r="D4392" s="31" t="s">
        <v>2289</v>
      </c>
      <c r="E4392" s="32">
        <v>45</v>
      </c>
      <c r="F4392" s="32">
        <v>1</v>
      </c>
    </row>
    <row r="4393" spans="1:6" x14ac:dyDescent="0.3">
      <c r="A4393" s="31">
        <v>2500009089</v>
      </c>
      <c r="B4393" s="31" t="s">
        <v>4496</v>
      </c>
      <c r="C4393" s="31" t="s">
        <v>1996</v>
      </c>
      <c r="D4393" s="31" t="s">
        <v>2289</v>
      </c>
      <c r="E4393" s="32">
        <v>45</v>
      </c>
      <c r="F4393" s="32">
        <v>1</v>
      </c>
    </row>
    <row r="4394" spans="1:6" x14ac:dyDescent="0.3">
      <c r="A4394" s="31">
        <v>80000009805</v>
      </c>
      <c r="B4394" s="31" t="s">
        <v>4359</v>
      </c>
      <c r="C4394" s="31" t="s">
        <v>2521</v>
      </c>
      <c r="D4394" s="31" t="s">
        <v>2670</v>
      </c>
      <c r="E4394" s="32">
        <v>45</v>
      </c>
      <c r="F4394" s="32">
        <v>9</v>
      </c>
    </row>
    <row r="4395" spans="1:6" x14ac:dyDescent="0.3">
      <c r="A4395" s="31">
        <v>1000092378</v>
      </c>
      <c r="B4395" s="31" t="s">
        <v>4497</v>
      </c>
      <c r="C4395" s="31" t="s">
        <v>4</v>
      </c>
      <c r="D4395" s="31" t="s">
        <v>2090</v>
      </c>
      <c r="E4395" s="32">
        <v>44.99</v>
      </c>
      <c r="F4395" s="32">
        <v>2</v>
      </c>
    </row>
    <row r="4396" spans="1:6" x14ac:dyDescent="0.3">
      <c r="A4396" s="31">
        <v>1000100766</v>
      </c>
      <c r="B4396" s="31" t="s">
        <v>4498</v>
      </c>
      <c r="C4396" s="31" t="s">
        <v>4</v>
      </c>
      <c r="D4396" s="31" t="s">
        <v>2056</v>
      </c>
      <c r="E4396" s="32">
        <v>44.77</v>
      </c>
      <c r="F4396" s="32">
        <v>5</v>
      </c>
    </row>
    <row r="4397" spans="1:6" x14ac:dyDescent="0.3">
      <c r="A4397" s="31">
        <v>2200000573</v>
      </c>
      <c r="B4397" s="31" t="s">
        <v>173</v>
      </c>
      <c r="C4397" s="31" t="s">
        <v>2037</v>
      </c>
      <c r="D4397" s="31" t="s">
        <v>2038</v>
      </c>
      <c r="E4397" s="32">
        <v>44.497999999999998</v>
      </c>
      <c r="F4397" s="32">
        <v>2</v>
      </c>
    </row>
    <row r="4398" spans="1:6" x14ac:dyDescent="0.3">
      <c r="A4398" s="31">
        <v>80000009810</v>
      </c>
      <c r="B4398" s="31" t="s">
        <v>4499</v>
      </c>
      <c r="C4398" s="31" t="s">
        <v>2521</v>
      </c>
      <c r="D4398" s="31" t="s">
        <v>2670</v>
      </c>
      <c r="E4398" s="32">
        <v>44</v>
      </c>
      <c r="F4398" s="32">
        <v>22</v>
      </c>
    </row>
    <row r="4399" spans="1:6" x14ac:dyDescent="0.3">
      <c r="A4399" s="31">
        <v>1000098585</v>
      </c>
      <c r="B4399" s="31" t="s">
        <v>1592</v>
      </c>
      <c r="C4399" s="31" t="s">
        <v>4</v>
      </c>
      <c r="D4399" s="31" t="s">
        <v>2090</v>
      </c>
      <c r="E4399" s="32">
        <v>43.701428571428501</v>
      </c>
      <c r="F4399" s="32">
        <v>1</v>
      </c>
    </row>
    <row r="4400" spans="1:6" x14ac:dyDescent="0.3">
      <c r="A4400" s="31">
        <v>1000017163</v>
      </c>
      <c r="B4400" s="31" t="s">
        <v>4500</v>
      </c>
      <c r="C4400" s="31" t="s">
        <v>4</v>
      </c>
      <c r="D4400" s="31" t="s">
        <v>2056</v>
      </c>
      <c r="E4400" s="32">
        <v>43.475474791657298</v>
      </c>
      <c r="F4400" s="32">
        <v>47</v>
      </c>
    </row>
    <row r="4401" spans="1:6" x14ac:dyDescent="0.3">
      <c r="A4401" s="31">
        <v>1000020550</v>
      </c>
      <c r="B4401" s="31" t="s">
        <v>768</v>
      </c>
      <c r="C4401" s="31" t="s">
        <v>4</v>
      </c>
      <c r="D4401" s="31" t="s">
        <v>2090</v>
      </c>
      <c r="E4401" s="32">
        <v>43.44</v>
      </c>
      <c r="F4401" s="32">
        <v>2</v>
      </c>
    </row>
    <row r="4402" spans="1:6" x14ac:dyDescent="0.3">
      <c r="A4402" s="31">
        <v>1000015058</v>
      </c>
      <c r="B4402" s="31" t="s">
        <v>4501</v>
      </c>
      <c r="C4402" s="31" t="s">
        <v>4</v>
      </c>
      <c r="D4402" s="31" t="s">
        <v>2043</v>
      </c>
      <c r="E4402" s="32">
        <v>43.236870622598197</v>
      </c>
      <c r="F4402" s="32">
        <v>1</v>
      </c>
    </row>
    <row r="4403" spans="1:6" x14ac:dyDescent="0.3">
      <c r="A4403" s="31">
        <v>80000009758</v>
      </c>
      <c r="B4403" s="31" t="s">
        <v>4483</v>
      </c>
      <c r="C4403" s="31" t="s">
        <v>2521</v>
      </c>
      <c r="D4403" s="31" t="s">
        <v>2670</v>
      </c>
      <c r="E4403" s="32">
        <v>43.2</v>
      </c>
      <c r="F4403" s="32">
        <v>18</v>
      </c>
    </row>
    <row r="4404" spans="1:6" x14ac:dyDescent="0.3">
      <c r="A4404" s="31">
        <v>1000101097</v>
      </c>
      <c r="B4404" s="31" t="s">
        <v>4502</v>
      </c>
      <c r="C4404" s="31" t="s">
        <v>4</v>
      </c>
      <c r="D4404" s="31" t="s">
        <v>2284</v>
      </c>
      <c r="E4404" s="32">
        <v>43.13</v>
      </c>
      <c r="F4404" s="32">
        <v>2</v>
      </c>
    </row>
    <row r="4405" spans="1:6" x14ac:dyDescent="0.3">
      <c r="A4405" s="31">
        <v>1000021433</v>
      </c>
      <c r="B4405" s="31" t="s">
        <v>1479</v>
      </c>
      <c r="C4405" s="31" t="s">
        <v>4</v>
      </c>
      <c r="D4405" s="31" t="s">
        <v>2090</v>
      </c>
      <c r="E4405" s="32">
        <v>42.975000000000001</v>
      </c>
      <c r="F4405" s="32">
        <v>1</v>
      </c>
    </row>
    <row r="4406" spans="1:6" x14ac:dyDescent="0.3">
      <c r="A4406" s="31">
        <v>2100004823</v>
      </c>
      <c r="B4406" s="31" t="s">
        <v>4503</v>
      </c>
      <c r="C4406" s="31" t="s">
        <v>2037</v>
      </c>
      <c r="D4406" s="31" t="s">
        <v>2031</v>
      </c>
      <c r="E4406" s="32">
        <v>42.944000000000003</v>
      </c>
      <c r="F4406" s="32">
        <v>8</v>
      </c>
    </row>
    <row r="4407" spans="1:6" x14ac:dyDescent="0.3">
      <c r="A4407" s="31">
        <v>1000102129</v>
      </c>
      <c r="B4407" s="31" t="s">
        <v>4504</v>
      </c>
      <c r="C4407" s="31" t="s">
        <v>4</v>
      </c>
      <c r="D4407" s="31" t="s">
        <v>2056</v>
      </c>
      <c r="E4407" s="32">
        <v>42.376978428800001</v>
      </c>
      <c r="F4407" s="32">
        <v>1</v>
      </c>
    </row>
    <row r="4408" spans="1:6" x14ac:dyDescent="0.3">
      <c r="A4408" s="31">
        <v>80000009711</v>
      </c>
      <c r="B4408" s="31" t="s">
        <v>4430</v>
      </c>
      <c r="C4408" s="31" t="s">
        <v>2755</v>
      </c>
      <c r="D4408" s="31" t="s">
        <v>2670</v>
      </c>
      <c r="E4408" s="32">
        <v>42.3</v>
      </c>
      <c r="F4408" s="32">
        <v>47</v>
      </c>
    </row>
    <row r="4409" spans="1:6" x14ac:dyDescent="0.3">
      <c r="A4409" s="31">
        <v>1000106054</v>
      </c>
      <c r="B4409" s="31" t="s">
        <v>4505</v>
      </c>
      <c r="C4409" s="31" t="s">
        <v>4</v>
      </c>
      <c r="D4409" s="31" t="s">
        <v>2161</v>
      </c>
      <c r="E4409" s="32">
        <v>41.93</v>
      </c>
      <c r="F4409" s="32">
        <v>2</v>
      </c>
    </row>
    <row r="4410" spans="1:6" x14ac:dyDescent="0.3">
      <c r="A4410" s="31">
        <v>2500009228</v>
      </c>
      <c r="B4410" s="31" t="s">
        <v>4506</v>
      </c>
      <c r="C4410" s="31" t="s">
        <v>1996</v>
      </c>
      <c r="D4410" s="31" t="s">
        <v>2434</v>
      </c>
      <c r="E4410" s="32">
        <v>41.548000000000002</v>
      </c>
      <c r="F4410" s="32">
        <v>5</v>
      </c>
    </row>
    <row r="4411" spans="1:6" x14ac:dyDescent="0.3">
      <c r="A4411" s="31">
        <v>1000101695</v>
      </c>
      <c r="B4411" s="31" t="s">
        <v>4507</v>
      </c>
      <c r="C4411" s="31" t="s">
        <v>4</v>
      </c>
      <c r="D4411" s="31" t="s">
        <v>2056</v>
      </c>
      <c r="E4411" s="32">
        <v>40.954285714285703</v>
      </c>
      <c r="F4411" s="32">
        <v>30</v>
      </c>
    </row>
    <row r="4412" spans="1:6" x14ac:dyDescent="0.3">
      <c r="A4412" s="31">
        <v>2100007178</v>
      </c>
      <c r="B4412" s="31" t="s">
        <v>4508</v>
      </c>
      <c r="C4412" s="31" t="s">
        <v>2037</v>
      </c>
      <c r="D4412" s="31" t="s">
        <v>2031</v>
      </c>
      <c r="E4412" s="32">
        <v>40.92</v>
      </c>
      <c r="F4412" s="32">
        <v>6</v>
      </c>
    </row>
    <row r="4413" spans="1:6" x14ac:dyDescent="0.3">
      <c r="A4413" s="31">
        <v>1000020758</v>
      </c>
      <c r="B4413" s="31" t="s">
        <v>963</v>
      </c>
      <c r="C4413" s="31" t="s">
        <v>4</v>
      </c>
      <c r="D4413" s="31" t="s">
        <v>2090</v>
      </c>
      <c r="E4413" s="32">
        <v>40.799999999999997</v>
      </c>
      <c r="F4413" s="32">
        <v>1</v>
      </c>
    </row>
    <row r="4414" spans="1:6" x14ac:dyDescent="0.3">
      <c r="A4414" s="31">
        <v>1000098083</v>
      </c>
      <c r="B4414" s="31" t="s">
        <v>4509</v>
      </c>
      <c r="C4414" s="31" t="s">
        <v>4</v>
      </c>
      <c r="D4414" s="31" t="s">
        <v>2090</v>
      </c>
      <c r="E4414" s="32">
        <v>40.6</v>
      </c>
      <c r="F4414" s="32">
        <v>2</v>
      </c>
    </row>
    <row r="4415" spans="1:6" x14ac:dyDescent="0.3">
      <c r="A4415" s="31">
        <v>1000094099</v>
      </c>
      <c r="B4415" s="31" t="s">
        <v>4510</v>
      </c>
      <c r="C4415" s="31" t="s">
        <v>4</v>
      </c>
      <c r="D4415" s="31" t="s">
        <v>2056</v>
      </c>
      <c r="E4415" s="32">
        <v>39.6</v>
      </c>
      <c r="F4415" s="32">
        <v>300</v>
      </c>
    </row>
    <row r="4416" spans="1:6" x14ac:dyDescent="0.3">
      <c r="A4416" s="31">
        <v>1000107559</v>
      </c>
      <c r="B4416" s="31" t="s">
        <v>4511</v>
      </c>
      <c r="C4416" s="31" t="s">
        <v>4</v>
      </c>
      <c r="D4416" s="31" t="s">
        <v>2056</v>
      </c>
      <c r="E4416" s="32">
        <v>39.299999999999997</v>
      </c>
      <c r="F4416" s="32">
        <v>12</v>
      </c>
    </row>
    <row r="4417" spans="1:6" x14ac:dyDescent="0.3">
      <c r="A4417" s="31">
        <v>2500008379</v>
      </c>
      <c r="B4417" s="31" t="s">
        <v>4512</v>
      </c>
      <c r="C4417" s="31" t="s">
        <v>1996</v>
      </c>
      <c r="D4417" s="31" t="s">
        <v>2025</v>
      </c>
      <c r="E4417" s="32">
        <v>39.167777777777701</v>
      </c>
      <c r="F4417" s="32">
        <v>4</v>
      </c>
    </row>
    <row r="4418" spans="1:6" x14ac:dyDescent="0.3">
      <c r="A4418" s="31">
        <v>1000096704</v>
      </c>
      <c r="B4418" s="31" t="s">
        <v>4513</v>
      </c>
      <c r="C4418" s="31" t="s">
        <v>4</v>
      </c>
      <c r="D4418" s="31" t="s">
        <v>2056</v>
      </c>
      <c r="E4418" s="32">
        <v>38.950000000000003</v>
      </c>
      <c r="F4418" s="32">
        <v>50</v>
      </c>
    </row>
    <row r="4419" spans="1:6" x14ac:dyDescent="0.3">
      <c r="A4419" s="31">
        <v>1000093566</v>
      </c>
      <c r="B4419" s="31" t="s">
        <v>4514</v>
      </c>
      <c r="C4419" s="31" t="s">
        <v>4</v>
      </c>
      <c r="D4419" s="31" t="s">
        <v>2056</v>
      </c>
      <c r="E4419" s="32">
        <v>38.651555413333298</v>
      </c>
      <c r="F4419" s="32">
        <v>1</v>
      </c>
    </row>
    <row r="4420" spans="1:6" x14ac:dyDescent="0.3">
      <c r="A4420" s="31">
        <v>1000020407</v>
      </c>
      <c r="B4420" s="31" t="s">
        <v>637</v>
      </c>
      <c r="C4420" s="31" t="s">
        <v>4</v>
      </c>
      <c r="D4420" s="31" t="s">
        <v>2090</v>
      </c>
      <c r="E4420" s="32">
        <v>38.4375</v>
      </c>
      <c r="F4420" s="32">
        <v>5</v>
      </c>
    </row>
    <row r="4421" spans="1:6" x14ac:dyDescent="0.3">
      <c r="A4421" s="31">
        <v>1000107038</v>
      </c>
      <c r="B4421" s="31" t="s">
        <v>4515</v>
      </c>
      <c r="C4421" s="31" t="s">
        <v>4</v>
      </c>
      <c r="D4421" s="31" t="s">
        <v>2056</v>
      </c>
      <c r="E4421" s="32">
        <v>38.277799999999999</v>
      </c>
      <c r="F4421" s="32">
        <v>15</v>
      </c>
    </row>
    <row r="4422" spans="1:6" x14ac:dyDescent="0.3">
      <c r="A4422" s="31">
        <v>1000020644</v>
      </c>
      <c r="B4422" s="31" t="s">
        <v>858</v>
      </c>
      <c r="C4422" s="31" t="s">
        <v>4</v>
      </c>
      <c r="D4422" s="31" t="s">
        <v>2090</v>
      </c>
      <c r="E4422" s="32">
        <v>37.6</v>
      </c>
      <c r="F4422" s="32">
        <v>2</v>
      </c>
    </row>
    <row r="4423" spans="1:6" x14ac:dyDescent="0.3">
      <c r="A4423" s="31">
        <v>2500009416</v>
      </c>
      <c r="B4423" s="31" t="s">
        <v>4516</v>
      </c>
      <c r="C4423" s="31" t="s">
        <v>1996</v>
      </c>
      <c r="D4423" s="31" t="s">
        <v>2289</v>
      </c>
      <c r="E4423" s="32">
        <v>37.5</v>
      </c>
      <c r="F4423" s="32">
        <v>2</v>
      </c>
    </row>
    <row r="4424" spans="1:6" x14ac:dyDescent="0.3">
      <c r="A4424" s="31">
        <v>2500009490</v>
      </c>
      <c r="B4424" s="31" t="s">
        <v>4517</v>
      </c>
      <c r="C4424" s="31" t="s">
        <v>1996</v>
      </c>
      <c r="D4424" s="31" t="s">
        <v>2289</v>
      </c>
      <c r="E4424" s="32">
        <v>37.5</v>
      </c>
      <c r="F4424" s="32">
        <v>10</v>
      </c>
    </row>
    <row r="4425" spans="1:6" x14ac:dyDescent="0.3">
      <c r="A4425" s="31">
        <v>1000096345</v>
      </c>
      <c r="B4425" s="31" t="s">
        <v>2396</v>
      </c>
      <c r="C4425" s="31" t="s">
        <v>4</v>
      </c>
      <c r="D4425" s="31" t="s">
        <v>2056</v>
      </c>
      <c r="E4425" s="32">
        <v>37.49</v>
      </c>
      <c r="F4425" s="32">
        <v>200</v>
      </c>
    </row>
    <row r="4426" spans="1:6" x14ac:dyDescent="0.3">
      <c r="A4426" s="31">
        <v>1000106683</v>
      </c>
      <c r="B4426" s="31" t="s">
        <v>4518</v>
      </c>
      <c r="C4426" s="31" t="s">
        <v>4</v>
      </c>
      <c r="D4426" s="31" t="s">
        <v>2056</v>
      </c>
      <c r="E4426" s="32">
        <v>37.380000000000003</v>
      </c>
      <c r="F4426" s="32">
        <v>10</v>
      </c>
    </row>
    <row r="4427" spans="1:6" x14ac:dyDescent="0.3">
      <c r="A4427" s="31">
        <v>1000090828</v>
      </c>
      <c r="B4427" s="31" t="s">
        <v>29</v>
      </c>
      <c r="C4427" s="31" t="s">
        <v>2109</v>
      </c>
      <c r="D4427" s="31" t="s">
        <v>2070</v>
      </c>
      <c r="E4427" s="32">
        <v>37.249896843414703</v>
      </c>
      <c r="F4427" s="32">
        <v>8</v>
      </c>
    </row>
    <row r="4428" spans="1:6" x14ac:dyDescent="0.3">
      <c r="A4428" s="31">
        <v>1000020384</v>
      </c>
      <c r="B4428" s="31" t="s">
        <v>614</v>
      </c>
      <c r="C4428" s="31" t="s">
        <v>4</v>
      </c>
      <c r="D4428" s="31" t="s">
        <v>2090</v>
      </c>
      <c r="E4428" s="32">
        <v>37.08</v>
      </c>
      <c r="F4428" s="32">
        <v>3</v>
      </c>
    </row>
    <row r="4429" spans="1:6" x14ac:dyDescent="0.3">
      <c r="A4429" s="31">
        <v>1000105591</v>
      </c>
      <c r="B4429" s="31" t="s">
        <v>4519</v>
      </c>
      <c r="C4429" s="31" t="s">
        <v>4</v>
      </c>
      <c r="D4429" s="31" t="s">
        <v>2056</v>
      </c>
      <c r="E4429" s="32">
        <v>36.94</v>
      </c>
      <c r="F4429" s="32">
        <v>300</v>
      </c>
    </row>
    <row r="4430" spans="1:6" x14ac:dyDescent="0.3">
      <c r="A4430" s="31">
        <v>2500008896</v>
      </c>
      <c r="B4430" s="31" t="s">
        <v>4520</v>
      </c>
      <c r="C4430" s="31" t="s">
        <v>1996</v>
      </c>
      <c r="D4430" s="31" t="s">
        <v>2875</v>
      </c>
      <c r="E4430" s="32">
        <v>36.9</v>
      </c>
      <c r="F4430" s="32">
        <v>2</v>
      </c>
    </row>
    <row r="4431" spans="1:6" x14ac:dyDescent="0.3">
      <c r="A4431" s="31">
        <v>1000105777</v>
      </c>
      <c r="B4431" s="31" t="s">
        <v>4521</v>
      </c>
      <c r="C4431" s="31" t="s">
        <v>4</v>
      </c>
      <c r="D4431" s="31" t="s">
        <v>2056</v>
      </c>
      <c r="E4431" s="32">
        <v>36.686666666666603</v>
      </c>
      <c r="F4431" s="32">
        <v>15</v>
      </c>
    </row>
    <row r="4432" spans="1:6" x14ac:dyDescent="0.3">
      <c r="A4432" s="31">
        <v>1000093027</v>
      </c>
      <c r="B4432" s="31" t="s">
        <v>4522</v>
      </c>
      <c r="C4432" s="31" t="s">
        <v>4</v>
      </c>
      <c r="D4432" s="31" t="s">
        <v>2090</v>
      </c>
      <c r="E4432" s="32">
        <v>36.46</v>
      </c>
      <c r="F4432" s="32">
        <v>2</v>
      </c>
    </row>
    <row r="4433" spans="1:6" x14ac:dyDescent="0.3">
      <c r="A4433" s="31">
        <v>1000102198</v>
      </c>
      <c r="B4433" s="31" t="s">
        <v>1761</v>
      </c>
      <c r="C4433" s="31" t="s">
        <v>4</v>
      </c>
      <c r="D4433" s="31" t="s">
        <v>2090</v>
      </c>
      <c r="E4433" s="32">
        <v>36.450000000000003</v>
      </c>
      <c r="F4433" s="32">
        <v>1</v>
      </c>
    </row>
    <row r="4434" spans="1:6" x14ac:dyDescent="0.3">
      <c r="A4434" s="31">
        <v>1000020428</v>
      </c>
      <c r="B4434" s="31" t="s">
        <v>656</v>
      </c>
      <c r="C4434" s="31" t="s">
        <v>4</v>
      </c>
      <c r="D4434" s="31" t="s">
        <v>2090</v>
      </c>
      <c r="E4434" s="32">
        <v>36.04</v>
      </c>
      <c r="F4434" s="32">
        <v>4</v>
      </c>
    </row>
    <row r="4435" spans="1:6" x14ac:dyDescent="0.3">
      <c r="A4435" s="31">
        <v>1000105111</v>
      </c>
      <c r="B4435" s="31" t="s">
        <v>4523</v>
      </c>
      <c r="C4435" s="31" t="s">
        <v>2027</v>
      </c>
      <c r="D4435" s="31" t="s">
        <v>2399</v>
      </c>
      <c r="E4435" s="32">
        <v>35.776000000000003</v>
      </c>
      <c r="F4435" s="32">
        <v>5</v>
      </c>
    </row>
    <row r="4436" spans="1:6" x14ac:dyDescent="0.3">
      <c r="A4436" s="31">
        <v>80000009770</v>
      </c>
      <c r="B4436" s="31" t="s">
        <v>4275</v>
      </c>
      <c r="C4436" s="31" t="s">
        <v>2521</v>
      </c>
      <c r="D4436" s="31" t="s">
        <v>2670</v>
      </c>
      <c r="E4436" s="32">
        <v>35.200000000000003</v>
      </c>
      <c r="F4436" s="32">
        <v>16</v>
      </c>
    </row>
    <row r="4437" spans="1:6" x14ac:dyDescent="0.3">
      <c r="A4437" s="31">
        <v>1000101696</v>
      </c>
      <c r="B4437" s="31" t="s">
        <v>4524</v>
      </c>
      <c r="C4437" s="31" t="s">
        <v>4</v>
      </c>
      <c r="D4437" s="31" t="s">
        <v>2056</v>
      </c>
      <c r="E4437" s="32">
        <v>34.826999999999998</v>
      </c>
      <c r="F4437" s="32">
        <v>47</v>
      </c>
    </row>
    <row r="4438" spans="1:6" x14ac:dyDescent="0.3">
      <c r="A4438" s="31">
        <v>1000020656</v>
      </c>
      <c r="B4438" s="31" t="s">
        <v>869</v>
      </c>
      <c r="C4438" s="31" t="s">
        <v>4</v>
      </c>
      <c r="D4438" s="31" t="s">
        <v>2090</v>
      </c>
      <c r="E4438" s="32">
        <v>34.71</v>
      </c>
      <c r="F4438" s="32">
        <v>1</v>
      </c>
    </row>
    <row r="4439" spans="1:6" x14ac:dyDescent="0.3">
      <c r="A4439" s="31">
        <v>2100004012</v>
      </c>
      <c r="B4439" s="31" t="s">
        <v>4525</v>
      </c>
      <c r="C4439" s="31" t="s">
        <v>2414</v>
      </c>
      <c r="D4439" s="31" t="s">
        <v>4368</v>
      </c>
      <c r="E4439" s="32">
        <v>34.610999999999997</v>
      </c>
      <c r="F4439" s="32">
        <v>2</v>
      </c>
    </row>
    <row r="4440" spans="1:6" x14ac:dyDescent="0.3">
      <c r="A4440" s="31">
        <v>2200012272</v>
      </c>
      <c r="B4440" s="31" t="s">
        <v>4526</v>
      </c>
      <c r="C4440" s="31" t="s">
        <v>2037</v>
      </c>
      <c r="D4440" s="31" t="s">
        <v>2038</v>
      </c>
      <c r="E4440" s="32">
        <v>34.36</v>
      </c>
      <c r="F4440" s="32">
        <v>1</v>
      </c>
    </row>
    <row r="4441" spans="1:6" x14ac:dyDescent="0.3">
      <c r="A4441" s="31">
        <v>1000020283</v>
      </c>
      <c r="B4441" s="31" t="s">
        <v>519</v>
      </c>
      <c r="C4441" s="31" t="s">
        <v>4</v>
      </c>
      <c r="D4441" s="31" t="s">
        <v>2090</v>
      </c>
      <c r="E4441" s="32">
        <v>34.300946629439999</v>
      </c>
      <c r="F4441" s="32">
        <v>1</v>
      </c>
    </row>
    <row r="4442" spans="1:6" x14ac:dyDescent="0.3">
      <c r="A4442" s="31">
        <v>1000102788</v>
      </c>
      <c r="B4442" s="31" t="s">
        <v>1860</v>
      </c>
      <c r="C4442" s="31" t="s">
        <v>4</v>
      </c>
      <c r="D4442" s="31" t="s">
        <v>2056</v>
      </c>
      <c r="E4442" s="32">
        <v>34.289744865211098</v>
      </c>
      <c r="F4442" s="32">
        <v>7</v>
      </c>
    </row>
    <row r="4443" spans="1:6" x14ac:dyDescent="0.3">
      <c r="A4443" s="31">
        <v>1000101147</v>
      </c>
      <c r="B4443" s="31" t="s">
        <v>4527</v>
      </c>
      <c r="C4443" s="31" t="s">
        <v>4</v>
      </c>
      <c r="D4443" s="31" t="s">
        <v>2284</v>
      </c>
      <c r="E4443" s="32">
        <v>34.200000000000003</v>
      </c>
      <c r="F4443" s="32">
        <v>1</v>
      </c>
    </row>
    <row r="4444" spans="1:6" x14ac:dyDescent="0.3">
      <c r="A4444" s="31">
        <v>2500009453</v>
      </c>
      <c r="B4444" s="31" t="s">
        <v>4528</v>
      </c>
      <c r="C4444" s="31" t="s">
        <v>1996</v>
      </c>
      <c r="D4444" s="31" t="s">
        <v>2289</v>
      </c>
      <c r="E4444" s="32">
        <v>33.75</v>
      </c>
      <c r="F4444" s="32">
        <v>1</v>
      </c>
    </row>
    <row r="4445" spans="1:6" x14ac:dyDescent="0.3">
      <c r="A4445" s="31">
        <v>2500009514</v>
      </c>
      <c r="B4445" s="31" t="s">
        <v>4529</v>
      </c>
      <c r="C4445" s="31" t="s">
        <v>1996</v>
      </c>
      <c r="D4445" s="31" t="s">
        <v>2289</v>
      </c>
      <c r="E4445" s="32">
        <v>33.75</v>
      </c>
      <c r="F4445" s="32">
        <v>3</v>
      </c>
    </row>
    <row r="4446" spans="1:6" x14ac:dyDescent="0.3">
      <c r="A4446" s="31">
        <v>2500009513</v>
      </c>
      <c r="B4446" s="31" t="s">
        <v>4530</v>
      </c>
      <c r="C4446" s="31" t="s">
        <v>1996</v>
      </c>
      <c r="D4446" s="31" t="s">
        <v>2289</v>
      </c>
      <c r="E4446" s="32">
        <v>33.75</v>
      </c>
      <c r="F4446" s="32">
        <v>3</v>
      </c>
    </row>
    <row r="4447" spans="1:6" x14ac:dyDescent="0.3">
      <c r="A4447" s="31">
        <v>1000105937</v>
      </c>
      <c r="B4447" s="31" t="s">
        <v>4531</v>
      </c>
      <c r="C4447" s="31" t="s">
        <v>4</v>
      </c>
      <c r="D4447" s="31" t="s">
        <v>2056</v>
      </c>
      <c r="E4447" s="32">
        <v>33.619999999999997</v>
      </c>
      <c r="F4447" s="32">
        <v>20</v>
      </c>
    </row>
    <row r="4448" spans="1:6" x14ac:dyDescent="0.3">
      <c r="A4448" s="31">
        <v>2500002325</v>
      </c>
      <c r="B4448" s="31" t="s">
        <v>4532</v>
      </c>
      <c r="C4448" s="31" t="s">
        <v>1996</v>
      </c>
      <c r="D4448" s="31" t="s">
        <v>2025</v>
      </c>
      <c r="E4448" s="32">
        <v>33</v>
      </c>
      <c r="F4448" s="32">
        <v>4</v>
      </c>
    </row>
    <row r="4449" spans="1:6" x14ac:dyDescent="0.3">
      <c r="A4449" s="31">
        <v>1000093326</v>
      </c>
      <c r="B4449" s="31" t="s">
        <v>4533</v>
      </c>
      <c r="C4449" s="31" t="s">
        <v>4</v>
      </c>
      <c r="D4449" s="31" t="s">
        <v>2043</v>
      </c>
      <c r="E4449" s="32">
        <v>32.6890471801023</v>
      </c>
      <c r="F4449" s="32">
        <v>1</v>
      </c>
    </row>
    <row r="4450" spans="1:6" x14ac:dyDescent="0.3">
      <c r="A4450" s="31">
        <v>1000020635</v>
      </c>
      <c r="B4450" s="31" t="s">
        <v>850</v>
      </c>
      <c r="C4450" s="31" t="s">
        <v>4</v>
      </c>
      <c r="D4450" s="31" t="s">
        <v>2090</v>
      </c>
      <c r="E4450" s="32">
        <v>32.49</v>
      </c>
      <c r="F4450" s="32">
        <v>1</v>
      </c>
    </row>
    <row r="4451" spans="1:6" x14ac:dyDescent="0.3">
      <c r="A4451" s="31">
        <v>1000107411</v>
      </c>
      <c r="B4451" s="31" t="s">
        <v>4534</v>
      </c>
      <c r="C4451" s="31" t="s">
        <v>4</v>
      </c>
      <c r="D4451" s="31" t="s">
        <v>2056</v>
      </c>
      <c r="E4451" s="32">
        <v>32.162500000000001</v>
      </c>
      <c r="F4451" s="32">
        <v>2</v>
      </c>
    </row>
    <row r="4452" spans="1:6" x14ac:dyDescent="0.3">
      <c r="A4452" s="31">
        <v>1000017002</v>
      </c>
      <c r="B4452" s="31" t="s">
        <v>4062</v>
      </c>
      <c r="C4452" s="31" t="s">
        <v>2844</v>
      </c>
      <c r="D4452" s="31" t="s">
        <v>3274</v>
      </c>
      <c r="E4452" s="32">
        <v>32</v>
      </c>
      <c r="F4452" s="32">
        <v>4</v>
      </c>
    </row>
    <row r="4453" spans="1:6" x14ac:dyDescent="0.3">
      <c r="A4453" s="31">
        <v>1000010165</v>
      </c>
      <c r="B4453" s="31" t="s">
        <v>4535</v>
      </c>
      <c r="C4453" s="31" t="s">
        <v>4</v>
      </c>
      <c r="D4453" s="31" t="s">
        <v>2161</v>
      </c>
      <c r="E4453" s="32">
        <v>31.934444444444399</v>
      </c>
      <c r="F4453" s="32">
        <v>1</v>
      </c>
    </row>
    <row r="4454" spans="1:6" x14ac:dyDescent="0.3">
      <c r="A4454" s="31">
        <v>1000092759</v>
      </c>
      <c r="B4454" s="31" t="s">
        <v>4536</v>
      </c>
      <c r="C4454" s="31" t="s">
        <v>2109</v>
      </c>
      <c r="D4454" s="31" t="s">
        <v>2070</v>
      </c>
      <c r="E4454" s="32">
        <v>31.92</v>
      </c>
      <c r="F4454" s="32">
        <v>1</v>
      </c>
    </row>
    <row r="4455" spans="1:6" x14ac:dyDescent="0.3">
      <c r="A4455" s="31">
        <v>2200000288</v>
      </c>
      <c r="B4455" s="31" t="s">
        <v>4537</v>
      </c>
      <c r="C4455" s="31" t="s">
        <v>2037</v>
      </c>
      <c r="D4455" s="31" t="s">
        <v>2038</v>
      </c>
      <c r="E4455" s="32">
        <v>31.6</v>
      </c>
      <c r="F4455" s="32">
        <v>1</v>
      </c>
    </row>
    <row r="4456" spans="1:6" x14ac:dyDescent="0.3">
      <c r="A4456" s="31">
        <v>2700000163</v>
      </c>
      <c r="B4456" s="31" t="s">
        <v>273</v>
      </c>
      <c r="C4456" s="31" t="s">
        <v>2037</v>
      </c>
      <c r="D4456" s="31" t="s">
        <v>2038</v>
      </c>
      <c r="E4456" s="32">
        <v>31.085566666666601</v>
      </c>
      <c r="F4456" s="32">
        <v>1</v>
      </c>
    </row>
    <row r="4457" spans="1:6" x14ac:dyDescent="0.3">
      <c r="A4457" s="31">
        <v>2200011918</v>
      </c>
      <c r="B4457" s="31" t="s">
        <v>4301</v>
      </c>
      <c r="C4457" s="31" t="s">
        <v>2030</v>
      </c>
      <c r="D4457" s="31" t="s">
        <v>2038</v>
      </c>
      <c r="E4457" s="32">
        <v>30.8</v>
      </c>
      <c r="F4457" s="32">
        <v>1</v>
      </c>
    </row>
    <row r="4458" spans="1:6" x14ac:dyDescent="0.3">
      <c r="A4458" s="31">
        <v>1000101697</v>
      </c>
      <c r="B4458" s="31" t="s">
        <v>4538</v>
      </c>
      <c r="C4458" s="31" t="s">
        <v>4</v>
      </c>
      <c r="D4458" s="31" t="s">
        <v>2056</v>
      </c>
      <c r="E4458" s="32">
        <v>30.781257969999999</v>
      </c>
      <c r="F4458" s="32">
        <v>40</v>
      </c>
    </row>
    <row r="4459" spans="1:6" x14ac:dyDescent="0.3">
      <c r="A4459" s="31">
        <v>1000111139</v>
      </c>
      <c r="B4459" s="31" t="s">
        <v>4539</v>
      </c>
      <c r="C4459" s="31" t="s">
        <v>4</v>
      </c>
      <c r="D4459" s="31" t="s">
        <v>2090</v>
      </c>
      <c r="E4459" s="32">
        <v>30.75</v>
      </c>
      <c r="F4459" s="32">
        <v>10</v>
      </c>
    </row>
    <row r="4460" spans="1:6" x14ac:dyDescent="0.3">
      <c r="A4460" s="31">
        <v>1000103636</v>
      </c>
      <c r="B4460" s="31" t="s">
        <v>4540</v>
      </c>
      <c r="C4460" s="31" t="s">
        <v>4</v>
      </c>
      <c r="D4460" s="31" t="s">
        <v>2056</v>
      </c>
      <c r="E4460" s="32">
        <v>30.74</v>
      </c>
      <c r="F4460" s="32">
        <v>34</v>
      </c>
    </row>
    <row r="4461" spans="1:6" x14ac:dyDescent="0.3">
      <c r="A4461" s="31">
        <v>1000110384</v>
      </c>
      <c r="B4461" s="31" t="s">
        <v>4541</v>
      </c>
      <c r="C4461" s="31" t="s">
        <v>4</v>
      </c>
      <c r="D4461" s="31" t="s">
        <v>2090</v>
      </c>
      <c r="E4461" s="32">
        <v>30.6</v>
      </c>
      <c r="F4461" s="32">
        <v>8</v>
      </c>
    </row>
    <row r="4462" spans="1:6" x14ac:dyDescent="0.3">
      <c r="A4462" s="31">
        <v>80000009800</v>
      </c>
      <c r="B4462" s="31" t="s">
        <v>4542</v>
      </c>
      <c r="C4462" s="31" t="s">
        <v>2521</v>
      </c>
      <c r="D4462" s="31" t="s">
        <v>2670</v>
      </c>
      <c r="E4462" s="32">
        <v>30.6</v>
      </c>
      <c r="F4462" s="32">
        <v>18</v>
      </c>
    </row>
    <row r="4463" spans="1:6" x14ac:dyDescent="0.3">
      <c r="A4463" s="31">
        <v>1000097103</v>
      </c>
      <c r="B4463" s="31" t="s">
        <v>4543</v>
      </c>
      <c r="C4463" s="31" t="s">
        <v>4</v>
      </c>
      <c r="D4463" s="31" t="s">
        <v>2056</v>
      </c>
      <c r="E4463" s="32">
        <v>30.308096424357501</v>
      </c>
      <c r="F4463" s="32">
        <v>15</v>
      </c>
    </row>
    <row r="4464" spans="1:6" x14ac:dyDescent="0.3">
      <c r="A4464" s="31">
        <v>1000093750</v>
      </c>
      <c r="B4464" s="31" t="s">
        <v>4544</v>
      </c>
      <c r="C4464" s="31" t="s">
        <v>4</v>
      </c>
      <c r="D4464" s="31" t="s">
        <v>2056</v>
      </c>
      <c r="E4464" s="32">
        <v>30.282341772151899</v>
      </c>
      <c r="F4464" s="32">
        <v>6</v>
      </c>
    </row>
    <row r="4465" spans="1:6" x14ac:dyDescent="0.3">
      <c r="A4465" s="31">
        <v>1000021386</v>
      </c>
      <c r="B4465" s="31" t="s">
        <v>1468</v>
      </c>
      <c r="C4465" s="31" t="s">
        <v>4</v>
      </c>
      <c r="D4465" s="31" t="s">
        <v>2090</v>
      </c>
      <c r="E4465" s="32">
        <v>30.26</v>
      </c>
      <c r="F4465" s="32">
        <v>1</v>
      </c>
    </row>
    <row r="4466" spans="1:6" x14ac:dyDescent="0.3">
      <c r="A4466" s="31">
        <v>1000021435</v>
      </c>
      <c r="B4466" s="31" t="s">
        <v>1481</v>
      </c>
      <c r="C4466" s="31" t="s">
        <v>4</v>
      </c>
      <c r="D4466" s="31" t="s">
        <v>2090</v>
      </c>
      <c r="E4466" s="32">
        <v>30</v>
      </c>
      <c r="F4466" s="32">
        <v>5</v>
      </c>
    </row>
    <row r="4467" spans="1:6" x14ac:dyDescent="0.3">
      <c r="A4467" s="31">
        <v>2500008535</v>
      </c>
      <c r="B4467" s="31" t="s">
        <v>4545</v>
      </c>
      <c r="C4467" s="31" t="s">
        <v>1996</v>
      </c>
      <c r="D4467" s="31" t="s">
        <v>2025</v>
      </c>
      <c r="E4467" s="32">
        <v>30</v>
      </c>
      <c r="F4467" s="32">
        <v>2</v>
      </c>
    </row>
    <row r="4468" spans="1:6" x14ac:dyDescent="0.3">
      <c r="A4468" s="31">
        <v>2500009672</v>
      </c>
      <c r="B4468" s="31" t="s">
        <v>4546</v>
      </c>
      <c r="C4468" s="31" t="s">
        <v>1996</v>
      </c>
      <c r="D4468" s="31" t="s">
        <v>2025</v>
      </c>
      <c r="E4468" s="32">
        <v>30</v>
      </c>
      <c r="F4468" s="32">
        <v>2</v>
      </c>
    </row>
    <row r="4469" spans="1:6" x14ac:dyDescent="0.3">
      <c r="A4469" s="31">
        <v>1000020265</v>
      </c>
      <c r="B4469" s="31" t="s">
        <v>4547</v>
      </c>
      <c r="C4469" s="31" t="s">
        <v>4</v>
      </c>
      <c r="D4469" s="31" t="s">
        <v>4548</v>
      </c>
      <c r="E4469" s="32">
        <v>29.78</v>
      </c>
      <c r="F4469" s="32">
        <v>2</v>
      </c>
    </row>
    <row r="4470" spans="1:6" x14ac:dyDescent="0.3">
      <c r="A4470" s="31">
        <v>2500001763</v>
      </c>
      <c r="B4470" s="31" t="s">
        <v>4549</v>
      </c>
      <c r="C4470" s="31" t="s">
        <v>1996</v>
      </c>
      <c r="D4470" s="31" t="s">
        <v>2025</v>
      </c>
      <c r="E4470" s="32">
        <v>29.760312579200001</v>
      </c>
      <c r="F4470" s="32">
        <v>2</v>
      </c>
    </row>
    <row r="4471" spans="1:6" x14ac:dyDescent="0.3">
      <c r="A4471" s="31">
        <v>1000020447</v>
      </c>
      <c r="B4471" s="31" t="s">
        <v>674</v>
      </c>
      <c r="C4471" s="31" t="s">
        <v>4</v>
      </c>
      <c r="D4471" s="31" t="s">
        <v>2090</v>
      </c>
      <c r="E4471" s="32">
        <v>29</v>
      </c>
      <c r="F4471" s="32">
        <v>1</v>
      </c>
    </row>
    <row r="4472" spans="1:6" x14ac:dyDescent="0.3">
      <c r="A4472" s="31">
        <v>1000101701</v>
      </c>
      <c r="B4472" s="31" t="s">
        <v>4550</v>
      </c>
      <c r="C4472" s="31" t="s">
        <v>4</v>
      </c>
      <c r="D4472" s="31" t="s">
        <v>2056</v>
      </c>
      <c r="E4472" s="32">
        <v>28.9765333333333</v>
      </c>
      <c r="F4472" s="32">
        <v>30</v>
      </c>
    </row>
    <row r="4473" spans="1:6" x14ac:dyDescent="0.3">
      <c r="A4473" s="31">
        <v>1000103214</v>
      </c>
      <c r="B4473" s="31" t="s">
        <v>1821</v>
      </c>
      <c r="C4473" s="31" t="s">
        <v>4</v>
      </c>
      <c r="D4473" s="31" t="s">
        <v>2090</v>
      </c>
      <c r="E4473" s="32">
        <v>28.88</v>
      </c>
      <c r="F4473" s="32">
        <v>5</v>
      </c>
    </row>
    <row r="4474" spans="1:6" x14ac:dyDescent="0.3">
      <c r="A4474" s="31">
        <v>2100004009</v>
      </c>
      <c r="B4474" s="31" t="s">
        <v>4551</v>
      </c>
      <c r="C4474" s="31" t="s">
        <v>2414</v>
      </c>
      <c r="D4474" s="31" t="s">
        <v>4368</v>
      </c>
      <c r="E4474" s="32">
        <v>28.811859999999999</v>
      </c>
      <c r="F4474" s="32">
        <v>2</v>
      </c>
    </row>
    <row r="4475" spans="1:6" x14ac:dyDescent="0.3">
      <c r="A4475" s="31">
        <v>2700000162</v>
      </c>
      <c r="B4475" s="31" t="s">
        <v>272</v>
      </c>
      <c r="C4475" s="31" t="s">
        <v>2037</v>
      </c>
      <c r="D4475" s="31" t="s">
        <v>2038</v>
      </c>
      <c r="E4475" s="32">
        <v>28.775932677461199</v>
      </c>
      <c r="F4475" s="32">
        <v>1</v>
      </c>
    </row>
    <row r="4476" spans="1:6" x14ac:dyDescent="0.3">
      <c r="A4476" s="31">
        <v>1000020400</v>
      </c>
      <c r="B4476" s="31" t="s">
        <v>630</v>
      </c>
      <c r="C4476" s="31" t="s">
        <v>4</v>
      </c>
      <c r="D4476" s="31" t="s">
        <v>2090</v>
      </c>
      <c r="E4476" s="32">
        <v>28.7</v>
      </c>
      <c r="F4476" s="32">
        <v>5</v>
      </c>
    </row>
    <row r="4477" spans="1:6" x14ac:dyDescent="0.3">
      <c r="A4477" s="31">
        <v>2100006120</v>
      </c>
      <c r="B4477" s="31" t="s">
        <v>4552</v>
      </c>
      <c r="C4477" s="31" t="s">
        <v>2030</v>
      </c>
      <c r="D4477" s="31" t="s">
        <v>2031</v>
      </c>
      <c r="E4477" s="32">
        <v>28.56204</v>
      </c>
      <c r="F4477" s="32">
        <v>1</v>
      </c>
    </row>
    <row r="4478" spans="1:6" x14ac:dyDescent="0.3">
      <c r="A4478" s="31">
        <v>1000020284</v>
      </c>
      <c r="B4478" s="31" t="s">
        <v>520</v>
      </c>
      <c r="C4478" s="31" t="s">
        <v>4</v>
      </c>
      <c r="D4478" s="31" t="s">
        <v>2090</v>
      </c>
      <c r="E4478" s="32">
        <v>28.55</v>
      </c>
      <c r="F4478" s="32">
        <v>1</v>
      </c>
    </row>
    <row r="4479" spans="1:6" x14ac:dyDescent="0.3">
      <c r="A4479" s="31">
        <v>1000003017</v>
      </c>
      <c r="B4479" s="31" t="s">
        <v>4553</v>
      </c>
      <c r="C4479" s="31" t="s">
        <v>2109</v>
      </c>
      <c r="D4479" s="31" t="s">
        <v>2070</v>
      </c>
      <c r="E4479" s="32">
        <v>28.5</v>
      </c>
      <c r="F4479" s="32">
        <v>2</v>
      </c>
    </row>
    <row r="4480" spans="1:6" x14ac:dyDescent="0.3">
      <c r="A4480" s="31">
        <v>1000104624</v>
      </c>
      <c r="B4480" s="31" t="s">
        <v>4554</v>
      </c>
      <c r="C4480" s="31" t="s">
        <v>4</v>
      </c>
      <c r="D4480" s="31" t="s">
        <v>2043</v>
      </c>
      <c r="E4480" s="32">
        <v>28.434247687063699</v>
      </c>
      <c r="F4480" s="32">
        <v>1</v>
      </c>
    </row>
    <row r="4481" spans="1:6" x14ac:dyDescent="0.3">
      <c r="A4481" s="31">
        <v>1000020458</v>
      </c>
      <c r="B4481" s="31" t="s">
        <v>684</v>
      </c>
      <c r="C4481" s="31" t="s">
        <v>4</v>
      </c>
      <c r="D4481" s="31" t="s">
        <v>2090</v>
      </c>
      <c r="E4481" s="32">
        <v>28.05</v>
      </c>
      <c r="F4481" s="32">
        <v>1</v>
      </c>
    </row>
    <row r="4482" spans="1:6" x14ac:dyDescent="0.3">
      <c r="A4482" s="31">
        <v>1000020788</v>
      </c>
      <c r="B4482" s="31" t="s">
        <v>992</v>
      </c>
      <c r="C4482" s="31" t="s">
        <v>4</v>
      </c>
      <c r="D4482" s="31" t="s">
        <v>2090</v>
      </c>
      <c r="E4482" s="32">
        <v>27.84</v>
      </c>
      <c r="F4482" s="32">
        <v>1</v>
      </c>
    </row>
    <row r="4483" spans="1:6" x14ac:dyDescent="0.3">
      <c r="A4483" s="31">
        <v>1000020598</v>
      </c>
      <c r="B4483" s="31" t="s">
        <v>814</v>
      </c>
      <c r="C4483" s="31" t="s">
        <v>4</v>
      </c>
      <c r="D4483" s="31" t="s">
        <v>2090</v>
      </c>
      <c r="E4483" s="32">
        <v>27.8</v>
      </c>
      <c r="F4483" s="32">
        <v>5</v>
      </c>
    </row>
    <row r="4484" spans="1:6" x14ac:dyDescent="0.3">
      <c r="A4484" s="31">
        <v>1000100911</v>
      </c>
      <c r="B4484" s="31" t="s">
        <v>4555</v>
      </c>
      <c r="C4484" s="31" t="s">
        <v>4</v>
      </c>
      <c r="D4484" s="31" t="s">
        <v>2056</v>
      </c>
      <c r="E4484" s="32">
        <v>27.756900000000002</v>
      </c>
      <c r="F4484" s="32">
        <v>1</v>
      </c>
    </row>
    <row r="4485" spans="1:6" x14ac:dyDescent="0.3">
      <c r="A4485" s="31">
        <v>2700000216</v>
      </c>
      <c r="B4485" s="31" t="s">
        <v>286</v>
      </c>
      <c r="C4485" s="31" t="s">
        <v>2037</v>
      </c>
      <c r="D4485" s="31" t="s">
        <v>2038</v>
      </c>
      <c r="E4485" s="32">
        <v>27.7</v>
      </c>
      <c r="F4485" s="32">
        <v>1</v>
      </c>
    </row>
    <row r="4486" spans="1:6" x14ac:dyDescent="0.3">
      <c r="A4486" s="31">
        <v>1000111137</v>
      </c>
      <c r="B4486" s="31" t="s">
        <v>4556</v>
      </c>
      <c r="C4486" s="31" t="s">
        <v>4</v>
      </c>
      <c r="D4486" s="31" t="s">
        <v>2090</v>
      </c>
      <c r="E4486" s="32">
        <v>26.925000000000001</v>
      </c>
      <c r="F4486" s="32">
        <v>2</v>
      </c>
    </row>
    <row r="4487" spans="1:6" x14ac:dyDescent="0.3">
      <c r="A4487" s="31">
        <v>1000020457</v>
      </c>
      <c r="B4487" s="31" t="s">
        <v>683</v>
      </c>
      <c r="C4487" s="31" t="s">
        <v>4</v>
      </c>
      <c r="D4487" s="31" t="s">
        <v>2090</v>
      </c>
      <c r="E4487" s="32">
        <v>25.31</v>
      </c>
      <c r="F4487" s="32">
        <v>1</v>
      </c>
    </row>
    <row r="4488" spans="1:6" x14ac:dyDescent="0.3">
      <c r="A4488" s="31">
        <v>2200012244</v>
      </c>
      <c r="B4488" s="31" t="s">
        <v>4557</v>
      </c>
      <c r="C4488" s="31" t="s">
        <v>2037</v>
      </c>
      <c r="D4488" s="31" t="s">
        <v>2038</v>
      </c>
      <c r="E4488" s="32">
        <v>25.2566666666666</v>
      </c>
      <c r="F4488" s="32">
        <v>1</v>
      </c>
    </row>
    <row r="4489" spans="1:6" x14ac:dyDescent="0.3">
      <c r="A4489" s="31">
        <v>1000017020</v>
      </c>
      <c r="B4489" s="31" t="s">
        <v>4558</v>
      </c>
      <c r="C4489" s="31" t="s">
        <v>4</v>
      </c>
      <c r="D4489" s="31" t="s">
        <v>3274</v>
      </c>
      <c r="E4489" s="32">
        <v>25</v>
      </c>
      <c r="F4489" s="32">
        <v>100</v>
      </c>
    </row>
    <row r="4490" spans="1:6" x14ac:dyDescent="0.3">
      <c r="A4490" s="31">
        <v>1000107040</v>
      </c>
      <c r="B4490" s="31" t="s">
        <v>4559</v>
      </c>
      <c r="C4490" s="31" t="s">
        <v>4</v>
      </c>
      <c r="D4490" s="31" t="s">
        <v>2056</v>
      </c>
      <c r="E4490" s="32">
        <v>24.645</v>
      </c>
      <c r="F4490" s="32">
        <v>5</v>
      </c>
    </row>
    <row r="4491" spans="1:6" x14ac:dyDescent="0.3">
      <c r="A4491" s="31">
        <v>1000093684</v>
      </c>
      <c r="B4491" s="31" t="s">
        <v>4560</v>
      </c>
      <c r="C4491" s="31" t="s">
        <v>4</v>
      </c>
      <c r="D4491" s="31" t="s">
        <v>2056</v>
      </c>
      <c r="E4491" s="32">
        <v>24.643904695000199</v>
      </c>
      <c r="F4491" s="32">
        <v>25</v>
      </c>
    </row>
    <row r="4492" spans="1:6" x14ac:dyDescent="0.3">
      <c r="A4492" s="31">
        <v>1000020476</v>
      </c>
      <c r="B4492" s="31" t="s">
        <v>702</v>
      </c>
      <c r="C4492" s="31" t="s">
        <v>4</v>
      </c>
      <c r="D4492" s="31" t="s">
        <v>2090</v>
      </c>
      <c r="E4492" s="32">
        <v>24.43</v>
      </c>
      <c r="F4492" s="32">
        <v>1</v>
      </c>
    </row>
    <row r="4493" spans="1:6" x14ac:dyDescent="0.3">
      <c r="A4493" s="31">
        <v>2500008144</v>
      </c>
      <c r="B4493" s="31" t="s">
        <v>4561</v>
      </c>
      <c r="C4493" s="31" t="s">
        <v>1996</v>
      </c>
      <c r="D4493" s="31" t="s">
        <v>2025</v>
      </c>
      <c r="E4493" s="32">
        <v>24.184999999999999</v>
      </c>
      <c r="F4493" s="32">
        <v>2</v>
      </c>
    </row>
    <row r="4494" spans="1:6" x14ac:dyDescent="0.3">
      <c r="A4494" s="31">
        <v>2200002584</v>
      </c>
      <c r="B4494" s="31" t="s">
        <v>177</v>
      </c>
      <c r="C4494" s="31" t="s">
        <v>2037</v>
      </c>
      <c r="D4494" s="31" t="s">
        <v>2038</v>
      </c>
      <c r="E4494" s="32">
        <v>23.92</v>
      </c>
      <c r="F4494" s="32">
        <v>1</v>
      </c>
    </row>
    <row r="4495" spans="1:6" x14ac:dyDescent="0.3">
      <c r="A4495" s="31">
        <v>1000020225</v>
      </c>
      <c r="B4495" s="31" t="s">
        <v>465</v>
      </c>
      <c r="C4495" s="31" t="s">
        <v>4</v>
      </c>
      <c r="D4495" s="31" t="s">
        <v>2090</v>
      </c>
      <c r="E4495" s="32">
        <v>23.6</v>
      </c>
      <c r="F4495" s="32">
        <v>5</v>
      </c>
    </row>
    <row r="4496" spans="1:6" x14ac:dyDescent="0.3">
      <c r="A4496" s="31">
        <v>1000020037</v>
      </c>
      <c r="B4496" s="31" t="s">
        <v>4455</v>
      </c>
      <c r="C4496" s="31" t="s">
        <v>4</v>
      </c>
      <c r="D4496" s="31" t="s">
        <v>2090</v>
      </c>
      <c r="E4496" s="32">
        <v>23.408000000000001</v>
      </c>
      <c r="F4496" s="32">
        <v>4</v>
      </c>
    </row>
    <row r="4497" spans="1:6" x14ac:dyDescent="0.3">
      <c r="A4497" s="31">
        <v>1000092379</v>
      </c>
      <c r="B4497" s="31" t="s">
        <v>4562</v>
      </c>
      <c r="C4497" s="31" t="s">
        <v>4</v>
      </c>
      <c r="D4497" s="31" t="s">
        <v>2090</v>
      </c>
      <c r="E4497" s="32">
        <v>22.53</v>
      </c>
      <c r="F4497" s="32">
        <v>3</v>
      </c>
    </row>
    <row r="4498" spans="1:6" x14ac:dyDescent="0.3">
      <c r="A4498" s="31">
        <v>2500008902</v>
      </c>
      <c r="B4498" s="31" t="s">
        <v>4563</v>
      </c>
      <c r="C4498" s="31" t="s">
        <v>1996</v>
      </c>
      <c r="D4498" s="31" t="s">
        <v>2025</v>
      </c>
      <c r="E4498" s="32">
        <v>22.5</v>
      </c>
      <c r="F4498" s="32">
        <v>3</v>
      </c>
    </row>
    <row r="4499" spans="1:6" x14ac:dyDescent="0.3">
      <c r="A4499" s="31">
        <v>2500009333</v>
      </c>
      <c r="B4499" s="31" t="s">
        <v>4564</v>
      </c>
      <c r="C4499" s="31" t="s">
        <v>1996</v>
      </c>
      <c r="D4499" s="31" t="s">
        <v>2289</v>
      </c>
      <c r="E4499" s="32">
        <v>22.5</v>
      </c>
      <c r="F4499" s="32">
        <v>1</v>
      </c>
    </row>
    <row r="4500" spans="1:6" x14ac:dyDescent="0.3">
      <c r="A4500" s="31">
        <v>2500009508</v>
      </c>
      <c r="B4500" s="31" t="s">
        <v>4565</v>
      </c>
      <c r="C4500" s="31" t="s">
        <v>1996</v>
      </c>
      <c r="D4500" s="31" t="s">
        <v>2289</v>
      </c>
      <c r="E4500" s="32">
        <v>22.5</v>
      </c>
      <c r="F4500" s="32">
        <v>6</v>
      </c>
    </row>
    <row r="4501" spans="1:6" x14ac:dyDescent="0.3">
      <c r="A4501" s="31">
        <v>2500008548</v>
      </c>
      <c r="B4501" s="31" t="s">
        <v>4566</v>
      </c>
      <c r="C4501" s="31" t="s">
        <v>2165</v>
      </c>
      <c r="D4501" s="31" t="s">
        <v>2025</v>
      </c>
      <c r="E4501" s="32">
        <v>22.5</v>
      </c>
      <c r="F4501" s="32">
        <v>2</v>
      </c>
    </row>
    <row r="4502" spans="1:6" x14ac:dyDescent="0.3">
      <c r="A4502" s="31">
        <v>1000099617</v>
      </c>
      <c r="B4502" s="31" t="s">
        <v>4567</v>
      </c>
      <c r="C4502" s="31" t="s">
        <v>4</v>
      </c>
      <c r="D4502" s="31" t="s">
        <v>2056</v>
      </c>
      <c r="E4502" s="32">
        <v>22.137909672063</v>
      </c>
      <c r="F4502" s="32">
        <v>16</v>
      </c>
    </row>
    <row r="4503" spans="1:6" x14ac:dyDescent="0.3">
      <c r="A4503" s="31">
        <v>2200000379</v>
      </c>
      <c r="B4503" s="31" t="s">
        <v>151</v>
      </c>
      <c r="C4503" s="31" t="s">
        <v>2037</v>
      </c>
      <c r="D4503" s="31" t="s">
        <v>2038</v>
      </c>
      <c r="E4503" s="32">
        <v>22.03</v>
      </c>
      <c r="F4503" s="32">
        <v>1</v>
      </c>
    </row>
    <row r="4504" spans="1:6" x14ac:dyDescent="0.3">
      <c r="A4504" s="31">
        <v>2200000381</v>
      </c>
      <c r="B4504" s="31" t="s">
        <v>152</v>
      </c>
      <c r="C4504" s="31" t="s">
        <v>2037</v>
      </c>
      <c r="D4504" s="31" t="s">
        <v>2038</v>
      </c>
      <c r="E4504" s="32">
        <v>22.03</v>
      </c>
      <c r="F4504" s="32">
        <v>1</v>
      </c>
    </row>
    <row r="4505" spans="1:6" x14ac:dyDescent="0.3">
      <c r="A4505" s="31">
        <v>1000107188</v>
      </c>
      <c r="B4505" s="31" t="s">
        <v>4568</v>
      </c>
      <c r="C4505" s="31" t="s">
        <v>4</v>
      </c>
      <c r="D4505" s="31" t="s">
        <v>2056</v>
      </c>
      <c r="E4505" s="32">
        <v>22.02</v>
      </c>
      <c r="F4505" s="32">
        <v>240</v>
      </c>
    </row>
    <row r="4506" spans="1:6" x14ac:dyDescent="0.3">
      <c r="A4506" s="31">
        <v>1000017003</v>
      </c>
      <c r="B4506" s="31" t="s">
        <v>3459</v>
      </c>
      <c r="C4506" s="31" t="s">
        <v>2205</v>
      </c>
      <c r="D4506" s="31" t="s">
        <v>3274</v>
      </c>
      <c r="E4506" s="32">
        <v>22</v>
      </c>
      <c r="F4506" s="32">
        <v>1</v>
      </c>
    </row>
    <row r="4507" spans="1:6" x14ac:dyDescent="0.3">
      <c r="A4507" s="31">
        <v>1000020438</v>
      </c>
      <c r="B4507" s="31" t="s">
        <v>665</v>
      </c>
      <c r="C4507" s="31" t="s">
        <v>4</v>
      </c>
      <c r="D4507" s="31" t="s">
        <v>2090</v>
      </c>
      <c r="E4507" s="32">
        <v>21.68</v>
      </c>
      <c r="F4507" s="32">
        <v>1</v>
      </c>
    </row>
    <row r="4508" spans="1:6" x14ac:dyDescent="0.3">
      <c r="A4508" s="31">
        <v>1000097685</v>
      </c>
      <c r="B4508" s="31" t="s">
        <v>4569</v>
      </c>
      <c r="C4508" s="31" t="s">
        <v>4</v>
      </c>
      <c r="D4508" s="31" t="s">
        <v>2056</v>
      </c>
      <c r="E4508" s="32">
        <v>21.373333333333299</v>
      </c>
      <c r="F4508" s="32">
        <v>14</v>
      </c>
    </row>
    <row r="4509" spans="1:6" x14ac:dyDescent="0.3">
      <c r="A4509" s="31">
        <v>1000106494</v>
      </c>
      <c r="B4509" s="31" t="s">
        <v>4570</v>
      </c>
      <c r="C4509" s="31" t="s">
        <v>4</v>
      </c>
      <c r="D4509" s="31" t="s">
        <v>2056</v>
      </c>
      <c r="E4509" s="32">
        <v>20.99</v>
      </c>
      <c r="F4509" s="32">
        <v>5</v>
      </c>
    </row>
    <row r="4510" spans="1:6" x14ac:dyDescent="0.3">
      <c r="A4510" s="31">
        <v>1000100388</v>
      </c>
      <c r="B4510" s="31" t="s">
        <v>1718</v>
      </c>
      <c r="C4510" s="31" t="s">
        <v>4</v>
      </c>
      <c r="D4510" s="31" t="s">
        <v>2090</v>
      </c>
      <c r="E4510" s="32">
        <v>20.962499999999999</v>
      </c>
      <c r="F4510" s="32">
        <v>6</v>
      </c>
    </row>
    <row r="4511" spans="1:6" x14ac:dyDescent="0.3">
      <c r="A4511" s="31">
        <v>1000111142</v>
      </c>
      <c r="B4511" s="31" t="s">
        <v>4571</v>
      </c>
      <c r="C4511" s="31" t="s">
        <v>4</v>
      </c>
      <c r="D4511" s="31" t="s">
        <v>2090</v>
      </c>
      <c r="E4511" s="32">
        <v>20.8125</v>
      </c>
      <c r="F4511" s="32">
        <v>5</v>
      </c>
    </row>
    <row r="4512" spans="1:6" x14ac:dyDescent="0.3">
      <c r="A4512" s="31">
        <v>1000100316</v>
      </c>
      <c r="B4512" s="31" t="s">
        <v>4572</v>
      </c>
      <c r="C4512" s="31" t="s">
        <v>4</v>
      </c>
      <c r="D4512" s="31" t="s">
        <v>2090</v>
      </c>
      <c r="E4512" s="32">
        <v>20.399999999999999</v>
      </c>
      <c r="F4512" s="32">
        <v>2</v>
      </c>
    </row>
    <row r="4513" spans="1:6" x14ac:dyDescent="0.3">
      <c r="A4513" s="31">
        <v>1000020626</v>
      </c>
      <c r="B4513" s="31" t="s">
        <v>841</v>
      </c>
      <c r="C4513" s="31" t="s">
        <v>4</v>
      </c>
      <c r="D4513" s="31" t="s">
        <v>2090</v>
      </c>
      <c r="E4513" s="32">
        <v>20.28</v>
      </c>
      <c r="F4513" s="32">
        <v>2</v>
      </c>
    </row>
    <row r="4514" spans="1:6" x14ac:dyDescent="0.3">
      <c r="A4514" s="31">
        <v>2500009164</v>
      </c>
      <c r="B4514" s="31" t="s">
        <v>1983</v>
      </c>
      <c r="C4514" s="31" t="s">
        <v>1996</v>
      </c>
      <c r="D4514" s="31" t="s">
        <v>2025</v>
      </c>
      <c r="E4514" s="32">
        <v>20.25</v>
      </c>
      <c r="F4514" s="32">
        <v>2</v>
      </c>
    </row>
    <row r="4515" spans="1:6" x14ac:dyDescent="0.3">
      <c r="A4515" s="31">
        <v>1000017023</v>
      </c>
      <c r="B4515" s="31" t="s">
        <v>4573</v>
      </c>
      <c r="C4515" s="31" t="s">
        <v>4</v>
      </c>
      <c r="D4515" s="31" t="s">
        <v>3274</v>
      </c>
      <c r="E4515" s="32">
        <v>20</v>
      </c>
      <c r="F4515" s="32">
        <v>100</v>
      </c>
    </row>
    <row r="4516" spans="1:6" x14ac:dyDescent="0.3">
      <c r="A4516" s="31">
        <v>1000017019</v>
      </c>
      <c r="B4516" s="31" t="s">
        <v>4574</v>
      </c>
      <c r="C4516" s="31" t="s">
        <v>4</v>
      </c>
      <c r="D4516" s="31" t="s">
        <v>3274</v>
      </c>
      <c r="E4516" s="32">
        <v>20</v>
      </c>
      <c r="F4516" s="32">
        <v>100</v>
      </c>
    </row>
    <row r="4517" spans="1:6" x14ac:dyDescent="0.3">
      <c r="A4517" s="31">
        <v>1000017024</v>
      </c>
      <c r="B4517" s="31" t="s">
        <v>4575</v>
      </c>
      <c r="C4517" s="31" t="s">
        <v>4</v>
      </c>
      <c r="D4517" s="31" t="s">
        <v>3274</v>
      </c>
      <c r="E4517" s="32">
        <v>20</v>
      </c>
      <c r="F4517" s="32">
        <v>100</v>
      </c>
    </row>
    <row r="4518" spans="1:6" x14ac:dyDescent="0.3">
      <c r="A4518" s="31">
        <v>1000100333</v>
      </c>
      <c r="B4518" s="31" t="s">
        <v>4576</v>
      </c>
      <c r="C4518" s="31" t="s">
        <v>4</v>
      </c>
      <c r="D4518" s="31" t="s">
        <v>2090</v>
      </c>
      <c r="E4518" s="32">
        <v>19.5</v>
      </c>
      <c r="F4518" s="32">
        <v>4</v>
      </c>
    </row>
    <row r="4519" spans="1:6" x14ac:dyDescent="0.3">
      <c r="A4519" s="31">
        <v>1000103399</v>
      </c>
      <c r="B4519" s="31" t="s">
        <v>4577</v>
      </c>
      <c r="C4519" s="31" t="s">
        <v>4</v>
      </c>
      <c r="D4519" s="31" t="s">
        <v>2056</v>
      </c>
      <c r="E4519" s="32">
        <v>19.484999999999999</v>
      </c>
      <c r="F4519" s="32">
        <v>80</v>
      </c>
    </row>
    <row r="4520" spans="1:6" x14ac:dyDescent="0.3">
      <c r="A4520" s="31">
        <v>1000107249</v>
      </c>
      <c r="B4520" s="31" t="s">
        <v>4578</v>
      </c>
      <c r="C4520" s="31" t="s">
        <v>4</v>
      </c>
      <c r="D4520" s="31" t="s">
        <v>2056</v>
      </c>
      <c r="E4520" s="32">
        <v>19.086848644903899</v>
      </c>
      <c r="F4520" s="32">
        <v>1</v>
      </c>
    </row>
    <row r="4521" spans="1:6" x14ac:dyDescent="0.3">
      <c r="A4521" s="31">
        <v>1000100434</v>
      </c>
      <c r="B4521" s="31" t="s">
        <v>1745</v>
      </c>
      <c r="C4521" s="31" t="s">
        <v>4</v>
      </c>
      <c r="D4521" s="31" t="s">
        <v>2090</v>
      </c>
      <c r="E4521" s="32">
        <v>18.975000000000001</v>
      </c>
      <c r="F4521" s="32">
        <v>2</v>
      </c>
    </row>
    <row r="4522" spans="1:6" x14ac:dyDescent="0.3">
      <c r="A4522" s="31">
        <v>2500009462</v>
      </c>
      <c r="B4522" s="31" t="s">
        <v>4579</v>
      </c>
      <c r="C4522" s="31" t="s">
        <v>1996</v>
      </c>
      <c r="D4522" s="31" t="s">
        <v>2289</v>
      </c>
      <c r="E4522" s="32">
        <v>18.75</v>
      </c>
      <c r="F4522" s="32">
        <v>1</v>
      </c>
    </row>
    <row r="4523" spans="1:6" x14ac:dyDescent="0.3">
      <c r="A4523" s="31">
        <v>2500009327</v>
      </c>
      <c r="B4523" s="31" t="s">
        <v>4580</v>
      </c>
      <c r="C4523" s="31" t="s">
        <v>1996</v>
      </c>
      <c r="D4523" s="31" t="s">
        <v>2289</v>
      </c>
      <c r="E4523" s="32">
        <v>18.75</v>
      </c>
      <c r="F4523" s="32">
        <v>25</v>
      </c>
    </row>
    <row r="4524" spans="1:6" x14ac:dyDescent="0.3">
      <c r="A4524" s="31">
        <v>1000020426</v>
      </c>
      <c r="B4524" s="31" t="s">
        <v>654</v>
      </c>
      <c r="C4524" s="31" t="s">
        <v>4</v>
      </c>
      <c r="D4524" s="31" t="s">
        <v>2090</v>
      </c>
      <c r="E4524" s="32">
        <v>18.38</v>
      </c>
      <c r="F4524" s="32">
        <v>2</v>
      </c>
    </row>
    <row r="4525" spans="1:6" x14ac:dyDescent="0.3">
      <c r="A4525" s="31">
        <v>1000103703</v>
      </c>
      <c r="B4525" s="31" t="s">
        <v>4581</v>
      </c>
      <c r="C4525" s="31" t="s">
        <v>4</v>
      </c>
      <c r="D4525" s="31" t="s">
        <v>2090</v>
      </c>
      <c r="E4525" s="32">
        <v>17.846834707646099</v>
      </c>
      <c r="F4525" s="32">
        <v>3</v>
      </c>
    </row>
    <row r="4526" spans="1:6" x14ac:dyDescent="0.3">
      <c r="A4526" s="31">
        <v>1000020219</v>
      </c>
      <c r="B4526" s="31" t="s">
        <v>459</v>
      </c>
      <c r="C4526" s="31" t="s">
        <v>4</v>
      </c>
      <c r="D4526" s="31" t="s">
        <v>2090</v>
      </c>
      <c r="E4526" s="32">
        <v>17.600000000000001</v>
      </c>
      <c r="F4526" s="32">
        <v>4</v>
      </c>
    </row>
    <row r="4527" spans="1:6" x14ac:dyDescent="0.3">
      <c r="A4527" s="31">
        <v>2500009191</v>
      </c>
      <c r="B4527" s="31" t="s">
        <v>1984</v>
      </c>
      <c r="C4527" s="31" t="s">
        <v>1996</v>
      </c>
      <c r="D4527" s="31" t="s">
        <v>2025</v>
      </c>
      <c r="E4527" s="32">
        <v>16.88</v>
      </c>
      <c r="F4527" s="32">
        <v>1</v>
      </c>
    </row>
    <row r="4528" spans="1:6" x14ac:dyDescent="0.3">
      <c r="A4528" s="31">
        <v>2500008941</v>
      </c>
      <c r="B4528" s="31" t="s">
        <v>1948</v>
      </c>
      <c r="C4528" s="31" t="s">
        <v>1996</v>
      </c>
      <c r="D4528" s="31" t="s">
        <v>2025</v>
      </c>
      <c r="E4528" s="32">
        <v>16.876666666666601</v>
      </c>
      <c r="F4528" s="32">
        <v>1</v>
      </c>
    </row>
    <row r="4529" spans="1:6" x14ac:dyDescent="0.3">
      <c r="A4529" s="31">
        <v>1000097686</v>
      </c>
      <c r="B4529" s="31" t="s">
        <v>4582</v>
      </c>
      <c r="C4529" s="31" t="s">
        <v>4</v>
      </c>
      <c r="D4529" s="31" t="s">
        <v>2056</v>
      </c>
      <c r="E4529" s="32">
        <v>16.690000000000001</v>
      </c>
      <c r="F4529" s="32">
        <v>19</v>
      </c>
    </row>
    <row r="4530" spans="1:6" x14ac:dyDescent="0.3">
      <c r="A4530" s="31">
        <v>1000020444</v>
      </c>
      <c r="B4530" s="31" t="s">
        <v>671</v>
      </c>
      <c r="C4530" s="31" t="s">
        <v>4</v>
      </c>
      <c r="D4530" s="31" t="s">
        <v>2090</v>
      </c>
      <c r="E4530" s="32">
        <v>16.510000000000002</v>
      </c>
      <c r="F4530" s="32">
        <v>1</v>
      </c>
    </row>
    <row r="4531" spans="1:6" x14ac:dyDescent="0.3">
      <c r="A4531" s="31">
        <v>1000020233</v>
      </c>
      <c r="B4531" s="31" t="s">
        <v>473</v>
      </c>
      <c r="C4531" s="31" t="s">
        <v>4</v>
      </c>
      <c r="D4531" s="31" t="s">
        <v>2090</v>
      </c>
      <c r="E4531" s="32">
        <v>16.38</v>
      </c>
      <c r="F4531" s="32">
        <v>3</v>
      </c>
    </row>
    <row r="4532" spans="1:6" x14ac:dyDescent="0.3">
      <c r="A4532" s="31">
        <v>1000111071</v>
      </c>
      <c r="B4532" s="31" t="s">
        <v>4583</v>
      </c>
      <c r="C4532" s="31" t="s">
        <v>4</v>
      </c>
      <c r="D4532" s="31" t="s">
        <v>2090</v>
      </c>
      <c r="E4532" s="32">
        <v>16.125</v>
      </c>
      <c r="F4532" s="32">
        <v>1</v>
      </c>
    </row>
    <row r="4533" spans="1:6" x14ac:dyDescent="0.3">
      <c r="A4533" s="31">
        <v>1000093384</v>
      </c>
      <c r="B4533" s="31" t="s">
        <v>4584</v>
      </c>
      <c r="C4533" s="31" t="s">
        <v>4</v>
      </c>
      <c r="D4533" s="31" t="s">
        <v>2090</v>
      </c>
      <c r="E4533" s="32">
        <v>15.91</v>
      </c>
      <c r="F4533" s="32">
        <v>2</v>
      </c>
    </row>
    <row r="4534" spans="1:6" x14ac:dyDescent="0.3">
      <c r="A4534" s="31">
        <v>2500008692</v>
      </c>
      <c r="B4534" s="31" t="s">
        <v>4585</v>
      </c>
      <c r="C4534" s="31" t="s">
        <v>1996</v>
      </c>
      <c r="D4534" s="31" t="s">
        <v>2025</v>
      </c>
      <c r="E4534" s="32">
        <v>15</v>
      </c>
      <c r="F4534" s="32">
        <v>2</v>
      </c>
    </row>
    <row r="4535" spans="1:6" x14ac:dyDescent="0.3">
      <c r="A4535" s="31">
        <v>2500009523</v>
      </c>
      <c r="B4535" s="31" t="s">
        <v>4586</v>
      </c>
      <c r="C4535" s="31" t="s">
        <v>1996</v>
      </c>
      <c r="D4535" s="31" t="s">
        <v>2289</v>
      </c>
      <c r="E4535" s="32">
        <v>15</v>
      </c>
      <c r="F4535" s="32">
        <v>1</v>
      </c>
    </row>
    <row r="4536" spans="1:6" x14ac:dyDescent="0.3">
      <c r="A4536" s="31">
        <v>1000090021</v>
      </c>
      <c r="B4536" s="31" t="s">
        <v>28</v>
      </c>
      <c r="C4536" s="31" t="s">
        <v>2109</v>
      </c>
      <c r="D4536" s="31" t="s">
        <v>2070</v>
      </c>
      <c r="E4536" s="32">
        <v>14.4</v>
      </c>
      <c r="F4536" s="32">
        <v>3</v>
      </c>
    </row>
    <row r="4537" spans="1:6" x14ac:dyDescent="0.3">
      <c r="A4537" s="31">
        <v>1000103765</v>
      </c>
      <c r="B4537" s="31" t="s">
        <v>4587</v>
      </c>
      <c r="C4537" s="31" t="s">
        <v>2027</v>
      </c>
      <c r="D4537" s="31" t="s">
        <v>2399</v>
      </c>
      <c r="E4537" s="32">
        <v>14.31</v>
      </c>
      <c r="F4537" s="32">
        <v>3</v>
      </c>
    </row>
    <row r="4538" spans="1:6" x14ac:dyDescent="0.3">
      <c r="A4538" s="31">
        <v>1000107039</v>
      </c>
      <c r="B4538" s="31" t="s">
        <v>1890</v>
      </c>
      <c r="C4538" s="31" t="s">
        <v>4</v>
      </c>
      <c r="D4538" s="31" t="s">
        <v>2056</v>
      </c>
      <c r="E4538" s="32">
        <v>14.102</v>
      </c>
      <c r="F4538" s="32">
        <v>10</v>
      </c>
    </row>
    <row r="4539" spans="1:6" x14ac:dyDescent="0.3">
      <c r="A4539" s="31">
        <v>1000098301</v>
      </c>
      <c r="B4539" s="31" t="s">
        <v>4588</v>
      </c>
      <c r="C4539" s="31" t="s">
        <v>4</v>
      </c>
      <c r="D4539" s="31" t="s">
        <v>2090</v>
      </c>
      <c r="E4539" s="32">
        <v>13.896599999999999</v>
      </c>
      <c r="F4539" s="32">
        <v>53</v>
      </c>
    </row>
    <row r="4540" spans="1:6" x14ac:dyDescent="0.3">
      <c r="A4540" s="31">
        <v>2700000264</v>
      </c>
      <c r="B4540" s="31" t="s">
        <v>306</v>
      </c>
      <c r="C4540" s="31" t="s">
        <v>2037</v>
      </c>
      <c r="D4540" s="31" t="s">
        <v>2038</v>
      </c>
      <c r="E4540" s="32">
        <v>13.85</v>
      </c>
      <c r="F4540" s="32">
        <v>1</v>
      </c>
    </row>
    <row r="4541" spans="1:6" x14ac:dyDescent="0.3">
      <c r="A4541" s="31">
        <v>2700000230</v>
      </c>
      <c r="B4541" s="31" t="s">
        <v>292</v>
      </c>
      <c r="C4541" s="31" t="s">
        <v>2037</v>
      </c>
      <c r="D4541" s="31" t="s">
        <v>2038</v>
      </c>
      <c r="E4541" s="32">
        <v>13.85</v>
      </c>
      <c r="F4541" s="32">
        <v>1</v>
      </c>
    </row>
    <row r="4542" spans="1:6" x14ac:dyDescent="0.3">
      <c r="A4542" s="31">
        <v>2500008966</v>
      </c>
      <c r="B4542" s="31" t="s">
        <v>4589</v>
      </c>
      <c r="C4542" s="31" t="s">
        <v>1996</v>
      </c>
      <c r="D4542" s="31" t="s">
        <v>2025</v>
      </c>
      <c r="E4542" s="32">
        <v>13.5</v>
      </c>
      <c r="F4542" s="32">
        <v>1</v>
      </c>
    </row>
    <row r="4543" spans="1:6" x14ac:dyDescent="0.3">
      <c r="A4543" s="31">
        <v>1000020411</v>
      </c>
      <c r="B4543" s="31" t="s">
        <v>641</v>
      </c>
      <c r="C4543" s="31" t="s">
        <v>4</v>
      </c>
      <c r="D4543" s="31" t="s">
        <v>2090</v>
      </c>
      <c r="E4543" s="32">
        <v>13.31</v>
      </c>
      <c r="F4543" s="32">
        <v>1</v>
      </c>
    </row>
    <row r="4544" spans="1:6" x14ac:dyDescent="0.3">
      <c r="A4544" s="31">
        <v>1000101069</v>
      </c>
      <c r="B4544" s="31" t="s">
        <v>4590</v>
      </c>
      <c r="C4544" s="31" t="s">
        <v>4</v>
      </c>
      <c r="D4544" s="31" t="s">
        <v>2056</v>
      </c>
      <c r="E4544" s="32">
        <v>13.240393939393901</v>
      </c>
      <c r="F4544" s="32">
        <v>28</v>
      </c>
    </row>
    <row r="4545" spans="1:6" x14ac:dyDescent="0.3">
      <c r="A4545" s="31">
        <v>1000020003</v>
      </c>
      <c r="B4545" s="31" t="s">
        <v>4591</v>
      </c>
      <c r="C4545" s="31" t="s">
        <v>4</v>
      </c>
      <c r="D4545" s="31" t="s">
        <v>2090</v>
      </c>
      <c r="E4545" s="32">
        <v>13.02</v>
      </c>
      <c r="F4545" s="32">
        <v>2</v>
      </c>
    </row>
    <row r="4546" spans="1:6" x14ac:dyDescent="0.3">
      <c r="A4546" s="31">
        <v>1000020341</v>
      </c>
      <c r="B4546" s="31" t="s">
        <v>573</v>
      </c>
      <c r="C4546" s="31" t="s">
        <v>4</v>
      </c>
      <c r="D4546" s="31" t="s">
        <v>2090</v>
      </c>
      <c r="E4546" s="32">
        <v>12.68</v>
      </c>
      <c r="F4546" s="32">
        <v>2</v>
      </c>
    </row>
    <row r="4547" spans="1:6" x14ac:dyDescent="0.3">
      <c r="A4547" s="31">
        <v>1000102221</v>
      </c>
      <c r="B4547" s="31" t="s">
        <v>1776</v>
      </c>
      <c r="C4547" s="31" t="s">
        <v>2844</v>
      </c>
      <c r="D4547" s="31" t="s">
        <v>2218</v>
      </c>
      <c r="E4547" s="32">
        <v>12.5625</v>
      </c>
      <c r="F4547" s="32">
        <v>5</v>
      </c>
    </row>
    <row r="4548" spans="1:6" x14ac:dyDescent="0.3">
      <c r="A4548" s="31">
        <v>1000104438</v>
      </c>
      <c r="B4548" s="31" t="s">
        <v>4592</v>
      </c>
      <c r="C4548" s="31" t="s">
        <v>4</v>
      </c>
      <c r="D4548" s="31" t="s">
        <v>2090</v>
      </c>
      <c r="E4548" s="32">
        <v>12.38</v>
      </c>
      <c r="F4548" s="32">
        <v>2</v>
      </c>
    </row>
    <row r="4549" spans="1:6" x14ac:dyDescent="0.3">
      <c r="A4549" s="31">
        <v>1000101345</v>
      </c>
      <c r="B4549" s="31" t="s">
        <v>4593</v>
      </c>
      <c r="C4549" s="31" t="s">
        <v>4</v>
      </c>
      <c r="D4549" s="31" t="s">
        <v>2056</v>
      </c>
      <c r="E4549" s="32">
        <v>12.0745</v>
      </c>
      <c r="F4549" s="32">
        <v>19</v>
      </c>
    </row>
    <row r="4550" spans="1:6" x14ac:dyDescent="0.3">
      <c r="A4550" s="31">
        <v>1000097197</v>
      </c>
      <c r="B4550" s="31" t="s">
        <v>4594</v>
      </c>
      <c r="C4550" s="31" t="s">
        <v>4</v>
      </c>
      <c r="D4550" s="31" t="s">
        <v>2056</v>
      </c>
      <c r="E4550" s="32">
        <v>11.692</v>
      </c>
      <c r="F4550" s="32">
        <v>10</v>
      </c>
    </row>
    <row r="4551" spans="1:6" x14ac:dyDescent="0.3">
      <c r="A4551" s="31">
        <v>1000109640</v>
      </c>
      <c r="B4551" s="31" t="s">
        <v>4595</v>
      </c>
      <c r="C4551" s="31" t="s">
        <v>4</v>
      </c>
      <c r="D4551" s="31" t="s">
        <v>2056</v>
      </c>
      <c r="E4551" s="32">
        <v>11.484</v>
      </c>
      <c r="F4551" s="32">
        <v>9</v>
      </c>
    </row>
    <row r="4552" spans="1:6" x14ac:dyDescent="0.3">
      <c r="A4552" s="31">
        <v>1000103295</v>
      </c>
      <c r="B4552" s="31" t="s">
        <v>1863</v>
      </c>
      <c r="C4552" s="31" t="s">
        <v>4</v>
      </c>
      <c r="D4552" s="31" t="s">
        <v>2056</v>
      </c>
      <c r="E4552" s="32">
        <v>11.48</v>
      </c>
      <c r="F4552" s="32">
        <v>100</v>
      </c>
    </row>
    <row r="4553" spans="1:6" x14ac:dyDescent="0.3">
      <c r="A4553" s="31">
        <v>2500009506</v>
      </c>
      <c r="B4553" s="31" t="s">
        <v>4596</v>
      </c>
      <c r="C4553" s="31" t="s">
        <v>1996</v>
      </c>
      <c r="D4553" s="31" t="s">
        <v>2289</v>
      </c>
      <c r="E4553" s="32">
        <v>11.25</v>
      </c>
      <c r="F4553" s="32">
        <v>3</v>
      </c>
    </row>
    <row r="4554" spans="1:6" x14ac:dyDescent="0.3">
      <c r="A4554" s="31">
        <v>2500009524</v>
      </c>
      <c r="B4554" s="31" t="s">
        <v>4597</v>
      </c>
      <c r="C4554" s="31" t="s">
        <v>1996</v>
      </c>
      <c r="D4554" s="31" t="s">
        <v>2289</v>
      </c>
      <c r="E4554" s="32">
        <v>11.25</v>
      </c>
      <c r="F4554" s="32">
        <v>1</v>
      </c>
    </row>
    <row r="4555" spans="1:6" x14ac:dyDescent="0.3">
      <c r="A4555" s="31">
        <v>1000101175</v>
      </c>
      <c r="B4555" s="31" t="s">
        <v>4598</v>
      </c>
      <c r="C4555" s="31" t="s">
        <v>4</v>
      </c>
      <c r="D4555" s="31" t="s">
        <v>2090</v>
      </c>
      <c r="E4555" s="32">
        <v>10.95</v>
      </c>
      <c r="F4555" s="32">
        <v>1</v>
      </c>
    </row>
    <row r="4556" spans="1:6" x14ac:dyDescent="0.3">
      <c r="A4556" s="31">
        <v>1000017143</v>
      </c>
      <c r="B4556" s="31" t="s">
        <v>2181</v>
      </c>
      <c r="C4556" s="31" t="s">
        <v>4</v>
      </c>
      <c r="D4556" s="31" t="s">
        <v>2056</v>
      </c>
      <c r="E4556" s="32">
        <v>10.3746296791443</v>
      </c>
      <c r="F4556" s="32">
        <v>9</v>
      </c>
    </row>
    <row r="4557" spans="1:6" x14ac:dyDescent="0.3">
      <c r="A4557" s="31">
        <v>1000100389</v>
      </c>
      <c r="B4557" s="31" t="s">
        <v>1719</v>
      </c>
      <c r="C4557" s="31" t="s">
        <v>4</v>
      </c>
      <c r="D4557" s="31" t="s">
        <v>2090</v>
      </c>
      <c r="E4557" s="32">
        <v>9.83</v>
      </c>
      <c r="F4557" s="32">
        <v>1</v>
      </c>
    </row>
    <row r="4558" spans="1:6" x14ac:dyDescent="0.3">
      <c r="A4558" s="31">
        <v>1000103870</v>
      </c>
      <c r="B4558" s="31" t="s">
        <v>4599</v>
      </c>
      <c r="C4558" s="31" t="s">
        <v>4</v>
      </c>
      <c r="D4558" s="31" t="s">
        <v>2056</v>
      </c>
      <c r="E4558" s="32">
        <v>9.5603912341912505</v>
      </c>
      <c r="F4558" s="32">
        <v>50</v>
      </c>
    </row>
    <row r="4559" spans="1:6" x14ac:dyDescent="0.3">
      <c r="A4559" s="31">
        <v>1000111138</v>
      </c>
      <c r="B4559" s="31" t="s">
        <v>4600</v>
      </c>
      <c r="C4559" s="31" t="s">
        <v>4</v>
      </c>
      <c r="D4559" s="31" t="s">
        <v>2090</v>
      </c>
      <c r="E4559" s="32">
        <v>9.15</v>
      </c>
      <c r="F4559" s="32">
        <v>2</v>
      </c>
    </row>
    <row r="4560" spans="1:6" x14ac:dyDescent="0.3">
      <c r="A4560" s="31">
        <v>80000009836</v>
      </c>
      <c r="B4560" s="31" t="s">
        <v>4601</v>
      </c>
      <c r="C4560" s="31" t="s">
        <v>2755</v>
      </c>
      <c r="D4560" s="31" t="s">
        <v>2670</v>
      </c>
      <c r="E4560" s="32">
        <v>8.5500000000000007</v>
      </c>
      <c r="F4560" s="32">
        <v>19</v>
      </c>
    </row>
    <row r="4561" spans="1:6" x14ac:dyDescent="0.3">
      <c r="A4561" s="31">
        <v>1000017002</v>
      </c>
      <c r="B4561" s="31" t="s">
        <v>4062</v>
      </c>
      <c r="C4561" s="31" t="s">
        <v>2205</v>
      </c>
      <c r="D4561" s="31" t="s">
        <v>3274</v>
      </c>
      <c r="E4561" s="32">
        <v>8</v>
      </c>
      <c r="F4561" s="32">
        <v>1</v>
      </c>
    </row>
    <row r="4562" spans="1:6" x14ac:dyDescent="0.3">
      <c r="A4562" s="31">
        <v>1000101865</v>
      </c>
      <c r="B4562" s="31" t="s">
        <v>4602</v>
      </c>
      <c r="C4562" s="31" t="s">
        <v>4</v>
      </c>
      <c r="D4562" s="31" t="s">
        <v>2056</v>
      </c>
      <c r="E4562" s="32">
        <v>7.8120000000000003</v>
      </c>
      <c r="F4562" s="32">
        <v>7</v>
      </c>
    </row>
    <row r="4563" spans="1:6" x14ac:dyDescent="0.3">
      <c r="A4563" s="31">
        <v>80000009837</v>
      </c>
      <c r="B4563" s="31" t="s">
        <v>4603</v>
      </c>
      <c r="C4563" s="31" t="s">
        <v>2755</v>
      </c>
      <c r="D4563" s="31" t="s">
        <v>2670</v>
      </c>
      <c r="E4563" s="32">
        <v>7.6</v>
      </c>
      <c r="F4563" s="32">
        <v>19</v>
      </c>
    </row>
    <row r="4564" spans="1:6" x14ac:dyDescent="0.3">
      <c r="A4564" s="31">
        <v>2500009454</v>
      </c>
      <c r="B4564" s="31" t="s">
        <v>4604</v>
      </c>
      <c r="C4564" s="31" t="s">
        <v>1996</v>
      </c>
      <c r="D4564" s="31" t="s">
        <v>2289</v>
      </c>
      <c r="E4564" s="32">
        <v>7.5</v>
      </c>
      <c r="F4564" s="32">
        <v>1</v>
      </c>
    </row>
    <row r="4565" spans="1:6" x14ac:dyDescent="0.3">
      <c r="A4565" s="31">
        <v>2500009083</v>
      </c>
      <c r="B4565" s="31" t="s">
        <v>4605</v>
      </c>
      <c r="C4565" s="31" t="s">
        <v>1996</v>
      </c>
      <c r="D4565" s="31" t="s">
        <v>2289</v>
      </c>
      <c r="E4565" s="32">
        <v>7.5</v>
      </c>
      <c r="F4565" s="32">
        <v>2</v>
      </c>
    </row>
    <row r="4566" spans="1:6" x14ac:dyDescent="0.3">
      <c r="A4566" s="31">
        <v>2500008942</v>
      </c>
      <c r="B4566" s="31" t="s">
        <v>1949</v>
      </c>
      <c r="C4566" s="31" t="s">
        <v>1996</v>
      </c>
      <c r="D4566" s="31" t="s">
        <v>2025</v>
      </c>
      <c r="E4566" s="32">
        <v>6.75</v>
      </c>
      <c r="F4566" s="32">
        <v>1</v>
      </c>
    </row>
    <row r="4567" spans="1:6" x14ac:dyDescent="0.3">
      <c r="A4567" s="31">
        <v>1000020238</v>
      </c>
      <c r="B4567" s="31" t="s">
        <v>477</v>
      </c>
      <c r="C4567" s="31" t="s">
        <v>4</v>
      </c>
      <c r="D4567" s="31" t="s">
        <v>2090</v>
      </c>
      <c r="E4567" s="32">
        <v>6.05</v>
      </c>
      <c r="F4567" s="32">
        <v>1</v>
      </c>
    </row>
    <row r="4568" spans="1:6" x14ac:dyDescent="0.3">
      <c r="A4568" s="31">
        <v>1000103871</v>
      </c>
      <c r="B4568" s="31" t="s">
        <v>4606</v>
      </c>
      <c r="C4568" s="31" t="s">
        <v>4</v>
      </c>
      <c r="D4568" s="31" t="s">
        <v>2056</v>
      </c>
      <c r="E4568" s="32">
        <v>5.7377105826727197</v>
      </c>
      <c r="F4568" s="32">
        <v>30</v>
      </c>
    </row>
    <row r="4569" spans="1:6" x14ac:dyDescent="0.3">
      <c r="A4569" s="31">
        <v>1000101544</v>
      </c>
      <c r="B4569" s="31" t="s">
        <v>4607</v>
      </c>
      <c r="C4569" s="31" t="s">
        <v>4</v>
      </c>
      <c r="D4569" s="31" t="s">
        <v>2056</v>
      </c>
      <c r="E4569" s="32">
        <v>4.5149999999999997</v>
      </c>
      <c r="F4569" s="32">
        <v>3</v>
      </c>
    </row>
    <row r="4570" spans="1:6" x14ac:dyDescent="0.3">
      <c r="A4570" s="31">
        <v>1000095207</v>
      </c>
      <c r="B4570" s="31" t="s">
        <v>4608</v>
      </c>
      <c r="C4570" s="31" t="s">
        <v>4</v>
      </c>
      <c r="D4570" s="31" t="s">
        <v>2056</v>
      </c>
      <c r="E4570" s="32">
        <v>4.3949804347825996</v>
      </c>
      <c r="F4570" s="32">
        <v>3</v>
      </c>
    </row>
    <row r="4571" spans="1:6" x14ac:dyDescent="0.3">
      <c r="A4571" s="31">
        <v>1000017001</v>
      </c>
      <c r="B4571" s="31" t="s">
        <v>4173</v>
      </c>
      <c r="C4571" s="31" t="s">
        <v>2844</v>
      </c>
      <c r="D4571" s="31" t="s">
        <v>3274</v>
      </c>
      <c r="E4571" s="32">
        <v>4</v>
      </c>
      <c r="F4571" s="32">
        <v>1</v>
      </c>
    </row>
    <row r="4572" spans="1:6" x14ac:dyDescent="0.3">
      <c r="A4572" s="31">
        <v>2500009410</v>
      </c>
      <c r="B4572" s="31" t="s">
        <v>4609</v>
      </c>
      <c r="C4572" s="31" t="s">
        <v>1996</v>
      </c>
      <c r="D4572" s="31" t="s">
        <v>2289</v>
      </c>
      <c r="E4572" s="32">
        <v>3.75</v>
      </c>
      <c r="F4572" s="32">
        <v>2</v>
      </c>
    </row>
    <row r="4573" spans="1:6" x14ac:dyDescent="0.3">
      <c r="A4573" s="31">
        <v>2500009074</v>
      </c>
      <c r="B4573" s="31" t="s">
        <v>1967</v>
      </c>
      <c r="C4573" s="31" t="s">
        <v>1996</v>
      </c>
      <c r="D4573" s="31" t="s">
        <v>2289</v>
      </c>
      <c r="E4573" s="32">
        <v>3.75</v>
      </c>
      <c r="F4573" s="32">
        <v>4</v>
      </c>
    </row>
    <row r="4574" spans="1:6" x14ac:dyDescent="0.3">
      <c r="A4574" s="31">
        <v>2500009510</v>
      </c>
      <c r="B4574" s="31" t="s">
        <v>4610</v>
      </c>
      <c r="C4574" s="31" t="s">
        <v>1996</v>
      </c>
      <c r="D4574" s="31" t="s">
        <v>2289</v>
      </c>
      <c r="E4574" s="32">
        <v>3.75</v>
      </c>
      <c r="F4574" s="32">
        <v>1</v>
      </c>
    </row>
    <row r="4575" spans="1:6" x14ac:dyDescent="0.3">
      <c r="A4575" s="31">
        <v>1000109797</v>
      </c>
      <c r="B4575" s="31" t="s">
        <v>4611</v>
      </c>
      <c r="C4575" s="31" t="s">
        <v>4</v>
      </c>
      <c r="D4575" s="31" t="s">
        <v>2056</v>
      </c>
      <c r="E4575" s="32">
        <v>2.74</v>
      </c>
      <c r="F4575" s="32">
        <v>2</v>
      </c>
    </row>
    <row r="4576" spans="1:6" x14ac:dyDescent="0.3">
      <c r="A4576" s="31">
        <v>2100005897</v>
      </c>
      <c r="B4576" s="31" t="s">
        <v>4612</v>
      </c>
      <c r="C4576" s="31" t="s">
        <v>2414</v>
      </c>
      <c r="D4576" s="31" t="s">
        <v>2031</v>
      </c>
      <c r="E4576" s="32">
        <v>2.1419999999999999</v>
      </c>
      <c r="F4576" s="32">
        <v>1</v>
      </c>
    </row>
    <row r="4577" spans="1:6" x14ac:dyDescent="0.3">
      <c r="A4577" s="31">
        <v>2500009440</v>
      </c>
      <c r="B4577" s="31" t="s">
        <v>4613</v>
      </c>
      <c r="C4577" s="31" t="s">
        <v>1996</v>
      </c>
      <c r="D4577" s="31" t="s">
        <v>2289</v>
      </c>
      <c r="E4577" s="32">
        <v>1.875</v>
      </c>
      <c r="F4577" s="32">
        <v>1</v>
      </c>
    </row>
    <row r="4578" spans="1:6" x14ac:dyDescent="0.3">
      <c r="A4578" s="31">
        <v>1000010240</v>
      </c>
      <c r="B4578" s="31" t="s">
        <v>4614</v>
      </c>
      <c r="C4578" s="31" t="s">
        <v>4</v>
      </c>
      <c r="D4578" s="31" t="s">
        <v>2230</v>
      </c>
      <c r="E4578" s="32">
        <v>0</v>
      </c>
      <c r="F4578" s="32">
        <v>3</v>
      </c>
    </row>
    <row r="4579" spans="1:6" x14ac:dyDescent="0.3">
      <c r="A4579" s="31">
        <v>1000093469</v>
      </c>
      <c r="B4579" s="31" t="s">
        <v>4615</v>
      </c>
      <c r="C4579" s="31" t="s">
        <v>4</v>
      </c>
      <c r="D4579" s="31" t="s">
        <v>2161</v>
      </c>
      <c r="E4579" s="32">
        <v>0</v>
      </c>
      <c r="F4579" s="32">
        <v>10</v>
      </c>
    </row>
    <row r="4580" spans="1:6" x14ac:dyDescent="0.3">
      <c r="A4580" s="31">
        <v>1000093472</v>
      </c>
      <c r="B4580" s="31" t="s">
        <v>4616</v>
      </c>
      <c r="C4580" s="31" t="s">
        <v>4</v>
      </c>
      <c r="D4580" s="31" t="s">
        <v>2161</v>
      </c>
      <c r="E4580" s="32">
        <v>0</v>
      </c>
      <c r="F4580" s="32">
        <v>6</v>
      </c>
    </row>
    <row r="4581" spans="1:6" x14ac:dyDescent="0.3">
      <c r="A4581" s="31">
        <v>1000093467</v>
      </c>
      <c r="B4581" s="31" t="s">
        <v>4617</v>
      </c>
      <c r="C4581" s="31" t="s">
        <v>4</v>
      </c>
      <c r="D4581" s="31" t="s">
        <v>2161</v>
      </c>
      <c r="E4581" s="32">
        <v>0</v>
      </c>
      <c r="F4581" s="32">
        <v>3</v>
      </c>
    </row>
    <row r="4582" spans="1:6" x14ac:dyDescent="0.3">
      <c r="A4582" s="31">
        <v>1000021220</v>
      </c>
      <c r="B4582" s="31" t="s">
        <v>1366</v>
      </c>
      <c r="C4582" s="31" t="s">
        <v>4</v>
      </c>
      <c r="D4582" s="31" t="s">
        <v>2090</v>
      </c>
      <c r="E4582" s="32">
        <v>0</v>
      </c>
      <c r="F4582" s="32">
        <v>4</v>
      </c>
    </row>
    <row r="4583" spans="1:6" x14ac:dyDescent="0.3">
      <c r="A4583" s="31">
        <v>1000010108</v>
      </c>
      <c r="B4583" s="31" t="s">
        <v>4618</v>
      </c>
      <c r="C4583" s="31" t="s">
        <v>4</v>
      </c>
      <c r="D4583" s="31" t="s">
        <v>2161</v>
      </c>
      <c r="E4583" s="32">
        <v>0</v>
      </c>
      <c r="F4583" s="32">
        <v>8</v>
      </c>
    </row>
    <row r="4584" spans="1:6" x14ac:dyDescent="0.3">
      <c r="A4584" s="31">
        <v>1000010134</v>
      </c>
      <c r="B4584" s="31" t="s">
        <v>121</v>
      </c>
      <c r="C4584" s="31" t="s">
        <v>4</v>
      </c>
      <c r="D4584" s="31" t="s">
        <v>2161</v>
      </c>
      <c r="E4584" s="32">
        <v>0</v>
      </c>
      <c r="F4584" s="32">
        <v>8</v>
      </c>
    </row>
    <row r="4585" spans="1:6" x14ac:dyDescent="0.3">
      <c r="A4585" s="31">
        <v>1000093470</v>
      </c>
      <c r="B4585" s="31" t="s">
        <v>4619</v>
      </c>
      <c r="C4585" s="31" t="s">
        <v>4</v>
      </c>
      <c r="D4585" s="31" t="s">
        <v>2161</v>
      </c>
      <c r="E4585" s="32">
        <v>0</v>
      </c>
      <c r="F4585" s="32">
        <v>10</v>
      </c>
    </row>
    <row r="4586" spans="1:6" x14ac:dyDescent="0.3">
      <c r="A4586" s="31">
        <v>1000093463</v>
      </c>
      <c r="B4586" s="31" t="s">
        <v>4620</v>
      </c>
      <c r="C4586" s="31" t="s">
        <v>4</v>
      </c>
      <c r="D4586" s="31" t="s">
        <v>2161</v>
      </c>
      <c r="E4586" s="32">
        <v>0</v>
      </c>
      <c r="F4586" s="32">
        <v>4</v>
      </c>
    </row>
    <row r="4587" spans="1:6" x14ac:dyDescent="0.3">
      <c r="A4587" s="31">
        <v>1000020009</v>
      </c>
      <c r="B4587" s="31" t="s">
        <v>4621</v>
      </c>
      <c r="C4587" s="31" t="s">
        <v>4</v>
      </c>
      <c r="D4587" s="31" t="s">
        <v>2090</v>
      </c>
      <c r="E4587" s="32">
        <v>0</v>
      </c>
      <c r="F4587" s="32">
        <v>2</v>
      </c>
    </row>
    <row r="4588" spans="1:6" x14ac:dyDescent="0.3">
      <c r="A4588" s="31">
        <v>1000093475</v>
      </c>
      <c r="B4588" s="31" t="s">
        <v>4622</v>
      </c>
      <c r="C4588" s="31" t="s">
        <v>4</v>
      </c>
      <c r="D4588" s="31" t="s">
        <v>2161</v>
      </c>
      <c r="E4588" s="32">
        <v>0</v>
      </c>
      <c r="F4588" s="32">
        <v>9</v>
      </c>
    </row>
    <row r="4589" spans="1:6" x14ac:dyDescent="0.3">
      <c r="A4589" s="31">
        <v>1000092295</v>
      </c>
      <c r="B4589" s="31" t="s">
        <v>4623</v>
      </c>
      <c r="C4589" s="31" t="s">
        <v>4</v>
      </c>
      <c r="D4589" s="31" t="s">
        <v>2043</v>
      </c>
      <c r="E4589" s="32">
        <v>0</v>
      </c>
      <c r="F4589" s="32">
        <v>1</v>
      </c>
    </row>
    <row r="4590" spans="1:6" x14ac:dyDescent="0.3">
      <c r="A4590" s="31">
        <v>1000093496</v>
      </c>
      <c r="B4590" s="31" t="s">
        <v>4624</v>
      </c>
      <c r="C4590" s="31" t="s">
        <v>4</v>
      </c>
      <c r="D4590" s="31" t="s">
        <v>3274</v>
      </c>
      <c r="E4590" s="32">
        <v>0</v>
      </c>
      <c r="F4590" s="32">
        <v>4</v>
      </c>
    </row>
    <row r="4591" spans="1:6" x14ac:dyDescent="0.3">
      <c r="A4591" s="31">
        <v>1000010094</v>
      </c>
      <c r="B4591" s="31" t="s">
        <v>115</v>
      </c>
      <c r="C4591" s="31" t="s">
        <v>4</v>
      </c>
      <c r="D4591" s="31" t="s">
        <v>2161</v>
      </c>
      <c r="E4591" s="32">
        <v>0</v>
      </c>
      <c r="F4591" s="32">
        <v>1</v>
      </c>
    </row>
    <row r="4592" spans="1:6" x14ac:dyDescent="0.3">
      <c r="A4592" s="31">
        <v>1000093464</v>
      </c>
      <c r="B4592" s="31" t="s">
        <v>4625</v>
      </c>
      <c r="C4592" s="31" t="s">
        <v>4</v>
      </c>
      <c r="D4592" s="31" t="s">
        <v>2161</v>
      </c>
      <c r="E4592" s="32">
        <v>0</v>
      </c>
      <c r="F4592" s="32">
        <v>10</v>
      </c>
    </row>
    <row r="4593" spans="1:6" x14ac:dyDescent="0.3">
      <c r="A4593" s="31">
        <v>1000093498</v>
      </c>
      <c r="B4593" s="31" t="s">
        <v>4626</v>
      </c>
      <c r="C4593" s="31" t="s">
        <v>4</v>
      </c>
      <c r="D4593" s="31" t="s">
        <v>3274</v>
      </c>
      <c r="E4593" s="32">
        <v>0</v>
      </c>
      <c r="F4593" s="32">
        <v>14</v>
      </c>
    </row>
    <row r="4594" spans="1:6" x14ac:dyDescent="0.3">
      <c r="A4594" s="31">
        <v>1000098750</v>
      </c>
      <c r="B4594" s="31" t="s">
        <v>4627</v>
      </c>
      <c r="C4594" s="31" t="s">
        <v>4</v>
      </c>
      <c r="D4594" s="31" t="s">
        <v>3274</v>
      </c>
      <c r="E4594" s="32">
        <v>0</v>
      </c>
      <c r="F4594" s="32">
        <v>2</v>
      </c>
    </row>
    <row r="4595" spans="1:6" x14ac:dyDescent="0.3">
      <c r="A4595" s="31">
        <v>1000010107</v>
      </c>
      <c r="B4595" s="31" t="s">
        <v>4628</v>
      </c>
      <c r="C4595" s="31" t="s">
        <v>4</v>
      </c>
      <c r="D4595" s="31" t="s">
        <v>2161</v>
      </c>
      <c r="E4595" s="32">
        <v>0</v>
      </c>
      <c r="F4595" s="32">
        <v>8</v>
      </c>
    </row>
    <row r="4596" spans="1:6" x14ac:dyDescent="0.3">
      <c r="A4596" s="31">
        <v>1000010138</v>
      </c>
      <c r="B4596" s="31" t="s">
        <v>4629</v>
      </c>
      <c r="C4596" s="31" t="s">
        <v>4</v>
      </c>
      <c r="D4596" s="31" t="s">
        <v>2161</v>
      </c>
      <c r="E4596" s="32">
        <v>0</v>
      </c>
      <c r="F4596" s="32">
        <v>1</v>
      </c>
    </row>
    <row r="4597" spans="1:6" x14ac:dyDescent="0.3">
      <c r="A4597" s="31">
        <v>1000021079</v>
      </c>
      <c r="B4597" s="31" t="s">
        <v>1241</v>
      </c>
      <c r="C4597" s="31" t="s">
        <v>4</v>
      </c>
      <c r="D4597" s="31" t="s">
        <v>2090</v>
      </c>
      <c r="E4597" s="32">
        <v>0</v>
      </c>
      <c r="F4597" s="32">
        <v>1</v>
      </c>
    </row>
    <row r="4598" spans="1:6" x14ac:dyDescent="0.3">
      <c r="A4598" s="31">
        <v>1000093455</v>
      </c>
      <c r="B4598" s="31" t="s">
        <v>4630</v>
      </c>
      <c r="C4598" s="31" t="s">
        <v>4</v>
      </c>
      <c r="D4598" s="31" t="s">
        <v>2161</v>
      </c>
      <c r="E4598" s="32">
        <v>0</v>
      </c>
      <c r="F4598" s="32">
        <v>3</v>
      </c>
    </row>
    <row r="4599" spans="1:6" x14ac:dyDescent="0.3">
      <c r="A4599" s="31">
        <v>1000020014</v>
      </c>
      <c r="B4599" s="31" t="s">
        <v>4631</v>
      </c>
      <c r="C4599" s="31" t="s">
        <v>4</v>
      </c>
      <c r="D4599" s="31" t="s">
        <v>2090</v>
      </c>
      <c r="E4599" s="32">
        <v>0</v>
      </c>
      <c r="F4599" s="32">
        <v>1</v>
      </c>
    </row>
    <row r="4600" spans="1:6" x14ac:dyDescent="0.3">
      <c r="A4600" s="31">
        <v>1000095476</v>
      </c>
      <c r="B4600" s="31" t="s">
        <v>4632</v>
      </c>
      <c r="C4600" s="31" t="s">
        <v>4</v>
      </c>
      <c r="D4600" s="31" t="s">
        <v>2056</v>
      </c>
      <c r="E4600" s="32">
        <v>0</v>
      </c>
      <c r="F4600" s="32">
        <v>1</v>
      </c>
    </row>
    <row r="4601" spans="1:6" x14ac:dyDescent="0.3">
      <c r="A4601" s="31">
        <v>1000093457</v>
      </c>
      <c r="B4601" s="31" t="s">
        <v>4633</v>
      </c>
      <c r="C4601" s="31" t="s">
        <v>4</v>
      </c>
      <c r="D4601" s="31" t="s">
        <v>2161</v>
      </c>
      <c r="E4601" s="32">
        <v>0</v>
      </c>
      <c r="F4601" s="32">
        <v>1</v>
      </c>
    </row>
    <row r="4602" spans="1:6" x14ac:dyDescent="0.3">
      <c r="A4602" s="31">
        <v>1000021206</v>
      </c>
      <c r="B4602" s="31" t="s">
        <v>1352</v>
      </c>
      <c r="C4602" s="31" t="s">
        <v>4</v>
      </c>
      <c r="D4602" s="31" t="s">
        <v>2090</v>
      </c>
      <c r="E4602" s="32">
        <v>0</v>
      </c>
      <c r="F4602" s="32">
        <v>6</v>
      </c>
    </row>
    <row r="4603" spans="1:6" x14ac:dyDescent="0.3">
      <c r="A4603" s="31">
        <v>1000010137</v>
      </c>
      <c r="B4603" s="31" t="s">
        <v>4629</v>
      </c>
      <c r="C4603" s="31" t="s">
        <v>4</v>
      </c>
      <c r="D4603" s="31" t="s">
        <v>2161</v>
      </c>
      <c r="E4603" s="32">
        <v>0</v>
      </c>
      <c r="F4603" s="32">
        <v>1</v>
      </c>
    </row>
    <row r="4604" spans="1:6" x14ac:dyDescent="0.3">
      <c r="A4604" s="31">
        <v>1000093460</v>
      </c>
      <c r="B4604" s="31" t="s">
        <v>4634</v>
      </c>
      <c r="C4604" s="31" t="s">
        <v>4</v>
      </c>
      <c r="D4604" s="31" t="s">
        <v>2161</v>
      </c>
      <c r="E4604" s="32">
        <v>0</v>
      </c>
      <c r="F4604" s="32">
        <v>6</v>
      </c>
    </row>
    <row r="4605" spans="1:6" x14ac:dyDescent="0.3">
      <c r="A4605" s="31">
        <v>1000021297</v>
      </c>
      <c r="B4605" s="31" t="s">
        <v>1432</v>
      </c>
      <c r="C4605" s="31" t="s">
        <v>4</v>
      </c>
      <c r="D4605" s="31" t="s">
        <v>2090</v>
      </c>
      <c r="E4605" s="32">
        <v>0</v>
      </c>
      <c r="F4605" s="32">
        <v>4</v>
      </c>
    </row>
    <row r="4606" spans="1:6" x14ac:dyDescent="0.3">
      <c r="A4606" s="31">
        <v>1000010092</v>
      </c>
      <c r="B4606" s="31" t="s">
        <v>114</v>
      </c>
      <c r="C4606" s="31" t="s">
        <v>4</v>
      </c>
      <c r="D4606" s="31" t="s">
        <v>2161</v>
      </c>
      <c r="E4606" s="32">
        <v>0</v>
      </c>
      <c r="F4606" s="32">
        <v>3</v>
      </c>
    </row>
    <row r="4607" spans="1:6" x14ac:dyDescent="0.3">
      <c r="A4607" s="31">
        <v>1000093499</v>
      </c>
      <c r="B4607" s="31" t="s">
        <v>4635</v>
      </c>
      <c r="C4607" s="31" t="s">
        <v>4</v>
      </c>
      <c r="D4607" s="31" t="s">
        <v>3274</v>
      </c>
      <c r="E4607" s="32">
        <v>0</v>
      </c>
      <c r="F4607" s="32">
        <v>8</v>
      </c>
    </row>
    <row r="4608" spans="1:6" x14ac:dyDescent="0.3">
      <c r="A4608" s="31">
        <v>1000094543</v>
      </c>
      <c r="B4608" s="31" t="s">
        <v>4636</v>
      </c>
      <c r="C4608" s="31" t="s">
        <v>4</v>
      </c>
      <c r="D4608" s="31" t="s">
        <v>3274</v>
      </c>
      <c r="E4608" s="32">
        <v>0</v>
      </c>
      <c r="F4608" s="32">
        <v>17</v>
      </c>
    </row>
    <row r="4609" spans="1:6" x14ac:dyDescent="0.3">
      <c r="A4609" s="31">
        <v>1000093456</v>
      </c>
      <c r="B4609" s="31" t="s">
        <v>4637</v>
      </c>
      <c r="C4609" s="31" t="s">
        <v>4</v>
      </c>
      <c r="D4609" s="31" t="s">
        <v>3416</v>
      </c>
      <c r="E4609" s="32">
        <v>0</v>
      </c>
      <c r="F4609" s="32">
        <v>2</v>
      </c>
    </row>
    <row r="4610" spans="1:6" x14ac:dyDescent="0.3">
      <c r="A4610" s="31">
        <v>1000017159</v>
      </c>
      <c r="B4610" s="31" t="s">
        <v>4638</v>
      </c>
      <c r="C4610" s="31" t="s">
        <v>4</v>
      </c>
      <c r="D4610" s="31" t="s">
        <v>2855</v>
      </c>
      <c r="E4610" s="32">
        <v>0</v>
      </c>
      <c r="F4610" s="32">
        <v>2</v>
      </c>
    </row>
    <row r="4611" spans="1:6" x14ac:dyDescent="0.3">
      <c r="A4611" s="31">
        <v>1000020008</v>
      </c>
      <c r="B4611" s="31" t="s">
        <v>4639</v>
      </c>
      <c r="C4611" s="31" t="s">
        <v>4</v>
      </c>
      <c r="D4611" s="31" t="s">
        <v>2090</v>
      </c>
      <c r="E4611" s="32">
        <v>0</v>
      </c>
      <c r="F4611" s="32">
        <v>2</v>
      </c>
    </row>
    <row r="4612" spans="1:6" x14ac:dyDescent="0.3">
      <c r="A4612" s="31">
        <v>1000017147</v>
      </c>
      <c r="B4612" s="31" t="s">
        <v>4640</v>
      </c>
      <c r="C4612" s="31" t="s">
        <v>4</v>
      </c>
      <c r="D4612" s="31" t="s">
        <v>4641</v>
      </c>
      <c r="E4612" s="32">
        <v>0</v>
      </c>
      <c r="F4612" s="32">
        <v>1</v>
      </c>
    </row>
    <row r="4613" spans="1:6" x14ac:dyDescent="0.3">
      <c r="A4613" s="31">
        <v>1000093462</v>
      </c>
      <c r="B4613" s="31" t="s">
        <v>4642</v>
      </c>
      <c r="C4613" s="31" t="s">
        <v>4</v>
      </c>
      <c r="D4613" s="31" t="s">
        <v>2161</v>
      </c>
      <c r="E4613" s="32">
        <v>0</v>
      </c>
      <c r="F4613" s="32">
        <v>4</v>
      </c>
    </row>
    <row r="4614" spans="1:6" x14ac:dyDescent="0.3">
      <c r="A4614" s="31">
        <v>1000021224</v>
      </c>
      <c r="B4614" s="31" t="s">
        <v>1370</v>
      </c>
      <c r="C4614" s="31" t="s">
        <v>4</v>
      </c>
      <c r="D4614" s="31" t="s">
        <v>2090</v>
      </c>
      <c r="E4614" s="32">
        <v>0</v>
      </c>
      <c r="F4614" s="32">
        <v>12</v>
      </c>
    </row>
    <row r="4615" spans="1:6" x14ac:dyDescent="0.3">
      <c r="A4615" s="31">
        <v>1000021296</v>
      </c>
      <c r="B4615" s="31" t="s">
        <v>1431</v>
      </c>
      <c r="C4615" s="31" t="s">
        <v>4</v>
      </c>
      <c r="D4615" s="31" t="s">
        <v>2090</v>
      </c>
      <c r="E4615" s="32">
        <v>0</v>
      </c>
      <c r="F4615" s="32">
        <v>1</v>
      </c>
    </row>
    <row r="4616" spans="1:6" x14ac:dyDescent="0.3">
      <c r="A4616" s="31">
        <v>1000098752</v>
      </c>
      <c r="B4616" s="31" t="s">
        <v>4643</v>
      </c>
      <c r="C4616" s="31" t="s">
        <v>4</v>
      </c>
      <c r="D4616" s="31" t="s">
        <v>3274</v>
      </c>
      <c r="E4616" s="32">
        <v>0</v>
      </c>
      <c r="F4616" s="32">
        <v>1</v>
      </c>
    </row>
    <row r="4617" spans="1:6" x14ac:dyDescent="0.3">
      <c r="A4617" s="31">
        <v>1000010111</v>
      </c>
      <c r="B4617" s="31" t="s">
        <v>119</v>
      </c>
      <c r="C4617" s="31" t="s">
        <v>4</v>
      </c>
      <c r="D4617" s="31" t="s">
        <v>2161</v>
      </c>
      <c r="E4617" s="32">
        <v>0</v>
      </c>
      <c r="F4617" s="32">
        <v>6</v>
      </c>
    </row>
    <row r="4618" spans="1:6" x14ac:dyDescent="0.3">
      <c r="A4618" s="31">
        <v>1000020924</v>
      </c>
      <c r="B4618" s="31" t="s">
        <v>1104</v>
      </c>
      <c r="C4618" s="31" t="s">
        <v>4</v>
      </c>
      <c r="D4618" s="31" t="s">
        <v>2090</v>
      </c>
      <c r="E4618" s="32">
        <v>0</v>
      </c>
      <c r="F4618" s="32">
        <v>4</v>
      </c>
    </row>
    <row r="4619" spans="1:6" x14ac:dyDescent="0.3">
      <c r="A4619" s="31">
        <v>1000104237</v>
      </c>
      <c r="B4619" s="31" t="s">
        <v>4644</v>
      </c>
      <c r="C4619" s="31" t="s">
        <v>4</v>
      </c>
      <c r="D4619" s="31" t="s">
        <v>2090</v>
      </c>
      <c r="E4619" s="32">
        <v>0</v>
      </c>
      <c r="F4619" s="32">
        <v>1</v>
      </c>
    </row>
    <row r="4620" spans="1:6" x14ac:dyDescent="0.3">
      <c r="A4620" s="31">
        <v>1000020913</v>
      </c>
      <c r="B4620" s="31" t="s">
        <v>1093</v>
      </c>
      <c r="C4620" s="31" t="s">
        <v>4</v>
      </c>
      <c r="D4620" s="31" t="s">
        <v>2090</v>
      </c>
      <c r="E4620" s="32">
        <v>0</v>
      </c>
      <c r="F4620" s="32">
        <v>1</v>
      </c>
    </row>
    <row r="4621" spans="1:6" x14ac:dyDescent="0.3">
      <c r="A4621" s="31">
        <v>1000010090</v>
      </c>
      <c r="B4621" s="31" t="s">
        <v>4645</v>
      </c>
      <c r="C4621" s="31" t="s">
        <v>4</v>
      </c>
      <c r="D4621" s="31" t="s">
        <v>2161</v>
      </c>
      <c r="E4621" s="32">
        <v>0</v>
      </c>
      <c r="F4621" s="32">
        <v>5</v>
      </c>
    </row>
    <row r="4622" spans="1:6" x14ac:dyDescent="0.3">
      <c r="A4622" s="31">
        <v>1000020015</v>
      </c>
      <c r="B4622" s="31" t="s">
        <v>4646</v>
      </c>
      <c r="C4622" s="31" t="s">
        <v>4</v>
      </c>
      <c r="D4622" s="31" t="s">
        <v>2090</v>
      </c>
      <c r="E4622" s="32">
        <v>0</v>
      </c>
      <c r="F4622" s="32">
        <v>1</v>
      </c>
    </row>
    <row r="4623" spans="1:6" x14ac:dyDescent="0.3">
      <c r="A4623" s="31">
        <v>1000020369</v>
      </c>
      <c r="B4623" s="31" t="s">
        <v>601</v>
      </c>
      <c r="C4623" s="31" t="s">
        <v>4</v>
      </c>
      <c r="D4623" s="31" t="s">
        <v>2090</v>
      </c>
      <c r="E4623" s="32">
        <v>0</v>
      </c>
      <c r="F4623" s="32">
        <v>2</v>
      </c>
    </row>
    <row r="4624" spans="1:6" x14ac:dyDescent="0.3">
      <c r="A4624" s="31">
        <v>1000093493</v>
      </c>
      <c r="B4624" s="31" t="s">
        <v>4647</v>
      </c>
      <c r="C4624" s="31" t="s">
        <v>4</v>
      </c>
      <c r="D4624" s="31" t="s">
        <v>2090</v>
      </c>
      <c r="E4624" s="32">
        <v>0</v>
      </c>
      <c r="F4624" s="32">
        <v>1</v>
      </c>
    </row>
    <row r="4625" spans="1:6" x14ac:dyDescent="0.3">
      <c r="A4625" s="31">
        <v>1000093478</v>
      </c>
      <c r="B4625" s="31" t="s">
        <v>4648</v>
      </c>
      <c r="C4625" s="31" t="s">
        <v>4</v>
      </c>
      <c r="D4625" s="31" t="s">
        <v>2161</v>
      </c>
      <c r="E4625" s="32">
        <v>0</v>
      </c>
      <c r="F4625" s="32">
        <v>8</v>
      </c>
    </row>
    <row r="4626" spans="1:6" x14ac:dyDescent="0.3">
      <c r="A4626" s="31">
        <v>1000021192</v>
      </c>
      <c r="B4626" s="31" t="s">
        <v>1339</v>
      </c>
      <c r="C4626" s="31" t="s">
        <v>4</v>
      </c>
      <c r="D4626" s="31" t="s">
        <v>2090</v>
      </c>
      <c r="E4626" s="32">
        <v>0</v>
      </c>
      <c r="F4626" s="32">
        <v>2</v>
      </c>
    </row>
    <row r="4627" spans="1:6" x14ac:dyDescent="0.3">
      <c r="A4627" s="31">
        <v>1000093465</v>
      </c>
      <c r="B4627" s="31" t="s">
        <v>4649</v>
      </c>
      <c r="C4627" s="31" t="s">
        <v>4</v>
      </c>
      <c r="D4627" s="31" t="s">
        <v>2161</v>
      </c>
      <c r="E4627" s="32">
        <v>0</v>
      </c>
      <c r="F4627" s="32">
        <v>8</v>
      </c>
    </row>
    <row r="4628" spans="1:6" x14ac:dyDescent="0.3">
      <c r="A4628" s="31">
        <v>1000020018</v>
      </c>
      <c r="B4628" s="31" t="s">
        <v>4650</v>
      </c>
      <c r="C4628" s="31" t="s">
        <v>4</v>
      </c>
      <c r="D4628" s="31" t="s">
        <v>2090</v>
      </c>
      <c r="E4628" s="32">
        <v>0</v>
      </c>
      <c r="F4628" s="32">
        <v>2</v>
      </c>
    </row>
    <row r="4629" spans="1:6" x14ac:dyDescent="0.3">
      <c r="A4629" s="31">
        <v>1000098751</v>
      </c>
      <c r="B4629" s="31" t="s">
        <v>4651</v>
      </c>
      <c r="C4629" s="31" t="s">
        <v>4</v>
      </c>
      <c r="D4629" s="31" t="s">
        <v>3274</v>
      </c>
      <c r="E4629" s="32">
        <v>0</v>
      </c>
      <c r="F4629" s="32">
        <v>6</v>
      </c>
    </row>
    <row r="4630" spans="1:6" x14ac:dyDescent="0.3">
      <c r="A4630" s="31">
        <v>1000020456</v>
      </c>
      <c r="B4630" s="31" t="s">
        <v>682</v>
      </c>
      <c r="C4630" s="31" t="s">
        <v>4</v>
      </c>
      <c r="D4630" s="31" t="s">
        <v>2090</v>
      </c>
      <c r="E4630" s="32">
        <v>0</v>
      </c>
      <c r="F4630" s="32">
        <v>1</v>
      </c>
    </row>
    <row r="4631" spans="1:6" x14ac:dyDescent="0.3">
      <c r="A4631" s="31">
        <v>1000017035</v>
      </c>
      <c r="B4631" s="31" t="s">
        <v>4652</v>
      </c>
      <c r="C4631" s="31" t="s">
        <v>4</v>
      </c>
      <c r="D4631" s="31" t="s">
        <v>3274</v>
      </c>
      <c r="E4631" s="32">
        <v>0</v>
      </c>
      <c r="F4631" s="32">
        <v>48</v>
      </c>
    </row>
    <row r="4632" spans="1:6" x14ac:dyDescent="0.3">
      <c r="A4632" s="31">
        <v>1000093468</v>
      </c>
      <c r="B4632" s="31" t="s">
        <v>4653</v>
      </c>
      <c r="C4632" s="31" t="s">
        <v>4</v>
      </c>
      <c r="D4632" s="31" t="s">
        <v>2161</v>
      </c>
      <c r="E4632" s="32">
        <v>0</v>
      </c>
      <c r="F4632" s="32">
        <v>2</v>
      </c>
    </row>
    <row r="4633" spans="1:6" x14ac:dyDescent="0.3">
      <c r="A4633" s="31">
        <v>1000020020</v>
      </c>
      <c r="B4633" s="31" t="s">
        <v>4654</v>
      </c>
      <c r="C4633" s="31" t="s">
        <v>4</v>
      </c>
      <c r="D4633" s="31" t="s">
        <v>2090</v>
      </c>
      <c r="E4633" s="32">
        <v>0</v>
      </c>
      <c r="F4633" s="32">
        <v>2</v>
      </c>
    </row>
    <row r="4634" spans="1:6" x14ac:dyDescent="0.3">
      <c r="A4634" s="31">
        <v>1000021313</v>
      </c>
      <c r="B4634" s="31" t="s">
        <v>1445</v>
      </c>
      <c r="C4634" s="31" t="s">
        <v>4</v>
      </c>
      <c r="D4634" s="31" t="s">
        <v>2090</v>
      </c>
      <c r="E4634" s="32">
        <v>0</v>
      </c>
      <c r="F4634" s="32">
        <v>8</v>
      </c>
    </row>
    <row r="4635" spans="1:6" x14ac:dyDescent="0.3">
      <c r="A4635" s="31">
        <v>1000017032</v>
      </c>
      <c r="B4635" s="31" t="s">
        <v>3485</v>
      </c>
      <c r="C4635" s="31" t="s">
        <v>4</v>
      </c>
      <c r="D4635" s="31" t="s">
        <v>3274</v>
      </c>
      <c r="E4635" s="32">
        <v>0</v>
      </c>
      <c r="F4635" s="32">
        <v>20</v>
      </c>
    </row>
    <row r="4636" spans="1:6" x14ac:dyDescent="0.3">
      <c r="A4636" s="31">
        <v>1000010129</v>
      </c>
      <c r="B4636" s="31" t="s">
        <v>4655</v>
      </c>
      <c r="C4636" s="31" t="s">
        <v>4</v>
      </c>
      <c r="D4636" s="31" t="s">
        <v>2161</v>
      </c>
      <c r="E4636" s="32">
        <v>0</v>
      </c>
      <c r="F4636" s="32">
        <v>30</v>
      </c>
    </row>
    <row r="4637" spans="1:6" x14ac:dyDescent="0.3">
      <c r="A4637" s="31">
        <v>1000020554</v>
      </c>
      <c r="B4637" s="31" t="s">
        <v>772</v>
      </c>
      <c r="C4637" s="31" t="s">
        <v>4</v>
      </c>
      <c r="D4637" s="31" t="s">
        <v>2090</v>
      </c>
      <c r="E4637" s="32">
        <v>0</v>
      </c>
      <c r="F4637" s="32">
        <v>10</v>
      </c>
    </row>
    <row r="4638" spans="1:6" x14ac:dyDescent="0.3">
      <c r="A4638" s="31">
        <v>1000015122</v>
      </c>
      <c r="B4638" s="31" t="s">
        <v>3056</v>
      </c>
      <c r="C4638" s="31" t="s">
        <v>4</v>
      </c>
      <c r="D4638" s="31" t="s">
        <v>2043</v>
      </c>
      <c r="E4638" s="32">
        <v>0</v>
      </c>
      <c r="F4638" s="32">
        <v>3</v>
      </c>
    </row>
    <row r="4639" spans="1:6" x14ac:dyDescent="0.3">
      <c r="A4639" s="31">
        <v>1000017033</v>
      </c>
      <c r="B4639" s="31" t="s">
        <v>4656</v>
      </c>
      <c r="C4639" s="31" t="s">
        <v>4</v>
      </c>
      <c r="D4639" s="31" t="s">
        <v>3274</v>
      </c>
      <c r="E4639" s="32">
        <v>0</v>
      </c>
      <c r="F4639" s="32">
        <v>19</v>
      </c>
    </row>
    <row r="4640" spans="1:6" x14ac:dyDescent="0.3">
      <c r="A4640" s="31">
        <v>1000010104</v>
      </c>
      <c r="B4640" s="31" t="s">
        <v>4657</v>
      </c>
      <c r="C4640" s="31" t="s">
        <v>4</v>
      </c>
      <c r="D4640" s="31" t="s">
        <v>2161</v>
      </c>
      <c r="E4640" s="32">
        <v>0</v>
      </c>
      <c r="F4640" s="32">
        <v>6</v>
      </c>
    </row>
    <row r="4641" spans="1:6" x14ac:dyDescent="0.3">
      <c r="A4641" s="31">
        <v>1000021298</v>
      </c>
      <c r="B4641" s="31" t="s">
        <v>1433</v>
      </c>
      <c r="C4641" s="31" t="s">
        <v>4</v>
      </c>
      <c r="D4641" s="31" t="s">
        <v>2090</v>
      </c>
      <c r="E4641" s="32">
        <v>0</v>
      </c>
      <c r="F4641" s="32">
        <v>1</v>
      </c>
    </row>
    <row r="4642" spans="1:6" x14ac:dyDescent="0.3">
      <c r="A4642" s="31">
        <v>1000093503</v>
      </c>
      <c r="B4642" s="31" t="s">
        <v>4658</v>
      </c>
      <c r="C4642" s="31" t="s">
        <v>4</v>
      </c>
      <c r="D4642" s="31" t="s">
        <v>3274</v>
      </c>
      <c r="E4642" s="32">
        <v>0</v>
      </c>
      <c r="F4642" s="32">
        <v>46</v>
      </c>
    </row>
    <row r="4643" spans="1:6" x14ac:dyDescent="0.3">
      <c r="A4643" s="31">
        <v>1000093476</v>
      </c>
      <c r="B4643" s="31" t="s">
        <v>4659</v>
      </c>
      <c r="C4643" s="31" t="s">
        <v>4</v>
      </c>
      <c r="D4643" s="31" t="s">
        <v>2161</v>
      </c>
      <c r="E4643" s="32">
        <v>0</v>
      </c>
      <c r="F4643" s="32">
        <v>3</v>
      </c>
    </row>
    <row r="4644" spans="1:6" x14ac:dyDescent="0.3">
      <c r="A4644" s="31">
        <v>1000020610</v>
      </c>
      <c r="B4644" s="31" t="s">
        <v>826</v>
      </c>
      <c r="C4644" s="31" t="s">
        <v>4</v>
      </c>
      <c r="D4644" s="31" t="s">
        <v>2090</v>
      </c>
      <c r="E4644" s="32">
        <v>0</v>
      </c>
      <c r="F4644" s="32">
        <v>1</v>
      </c>
    </row>
    <row r="4645" spans="1:6" x14ac:dyDescent="0.3">
      <c r="A4645" s="31">
        <v>1000021143</v>
      </c>
      <c r="B4645" s="31" t="s">
        <v>1294</v>
      </c>
      <c r="C4645" s="31" t="s">
        <v>4</v>
      </c>
      <c r="D4645" s="31" t="s">
        <v>2090</v>
      </c>
      <c r="E4645" s="32">
        <v>0</v>
      </c>
      <c r="F4645" s="32">
        <v>2</v>
      </c>
    </row>
    <row r="4646" spans="1:6" x14ac:dyDescent="0.3">
      <c r="A4646" s="31">
        <v>1000021045</v>
      </c>
      <c r="B4646" s="31" t="s">
        <v>1215</v>
      </c>
      <c r="C4646" s="31" t="s">
        <v>4</v>
      </c>
      <c r="D4646" s="31" t="s">
        <v>2090</v>
      </c>
      <c r="E4646" s="32">
        <v>0</v>
      </c>
      <c r="F4646" s="32">
        <v>4</v>
      </c>
    </row>
    <row r="4647" spans="1:6" x14ac:dyDescent="0.3">
      <c r="A4647" s="31">
        <v>1000093882</v>
      </c>
      <c r="B4647" s="31" t="s">
        <v>4660</v>
      </c>
      <c r="C4647" s="31" t="s">
        <v>4</v>
      </c>
      <c r="D4647" s="31" t="s">
        <v>2161</v>
      </c>
      <c r="E4647" s="32">
        <v>0</v>
      </c>
      <c r="F4647" s="32">
        <v>6</v>
      </c>
    </row>
    <row r="4648" spans="1:6" x14ac:dyDescent="0.3">
      <c r="A4648" s="31">
        <v>1000093474</v>
      </c>
      <c r="B4648" s="31" t="s">
        <v>4661</v>
      </c>
      <c r="C4648" s="31" t="s">
        <v>4</v>
      </c>
      <c r="D4648" s="31" t="s">
        <v>2161</v>
      </c>
      <c r="E4648" s="32">
        <v>0</v>
      </c>
      <c r="F4648" s="32">
        <v>1</v>
      </c>
    </row>
    <row r="4649" spans="1:6" x14ac:dyDescent="0.3">
      <c r="A4649" s="31">
        <v>1000010144</v>
      </c>
      <c r="B4649" s="31" t="s">
        <v>4662</v>
      </c>
      <c r="C4649" s="31" t="s">
        <v>4</v>
      </c>
      <c r="D4649" s="31" t="s">
        <v>2161</v>
      </c>
      <c r="E4649" s="32">
        <v>0</v>
      </c>
      <c r="F4649" s="32">
        <v>3</v>
      </c>
    </row>
    <row r="4650" spans="1:6" x14ac:dyDescent="0.3">
      <c r="A4650" s="31">
        <v>1000020889</v>
      </c>
      <c r="B4650" s="31" t="s">
        <v>1071</v>
      </c>
      <c r="C4650" s="31" t="s">
        <v>4</v>
      </c>
      <c r="D4650" s="31" t="s">
        <v>2090</v>
      </c>
      <c r="E4650" s="32">
        <v>0</v>
      </c>
      <c r="F4650" s="32">
        <v>2</v>
      </c>
    </row>
    <row r="4651" spans="1:6" x14ac:dyDescent="0.3">
      <c r="A4651" s="31">
        <v>1000010101</v>
      </c>
      <c r="B4651" s="31" t="s">
        <v>117</v>
      </c>
      <c r="C4651" s="31" t="s">
        <v>4</v>
      </c>
      <c r="D4651" s="31" t="s">
        <v>2161</v>
      </c>
      <c r="E4651" s="32">
        <v>0</v>
      </c>
      <c r="F4651" s="32">
        <v>5</v>
      </c>
    </row>
    <row r="4652" spans="1:6" x14ac:dyDescent="0.3">
      <c r="A4652" s="31">
        <v>1000010106</v>
      </c>
      <c r="B4652" s="31" t="s">
        <v>4663</v>
      </c>
      <c r="C4652" s="31" t="s">
        <v>4</v>
      </c>
      <c r="D4652" s="31" t="s">
        <v>2161</v>
      </c>
      <c r="E4652" s="32">
        <v>0</v>
      </c>
      <c r="F4652" s="32">
        <v>5</v>
      </c>
    </row>
    <row r="4653" spans="1:6" x14ac:dyDescent="0.3">
      <c r="A4653" s="31">
        <v>1000010098</v>
      </c>
      <c r="B4653" s="31" t="s">
        <v>4664</v>
      </c>
      <c r="C4653" s="31" t="s">
        <v>4</v>
      </c>
      <c r="D4653" s="31" t="s">
        <v>2161</v>
      </c>
      <c r="E4653" s="32">
        <v>0</v>
      </c>
      <c r="F4653" s="32">
        <v>5</v>
      </c>
    </row>
    <row r="4654" spans="1:6" x14ac:dyDescent="0.3">
      <c r="A4654" s="31">
        <v>1000010102</v>
      </c>
      <c r="B4654" s="31" t="s">
        <v>118</v>
      </c>
      <c r="C4654" s="31" t="s">
        <v>4</v>
      </c>
      <c r="D4654" s="31" t="s">
        <v>2161</v>
      </c>
      <c r="E4654" s="32">
        <v>0</v>
      </c>
      <c r="F4654" s="32">
        <v>5</v>
      </c>
    </row>
    <row r="4655" spans="1:6" x14ac:dyDescent="0.3">
      <c r="A4655" s="31">
        <v>1000021065</v>
      </c>
      <c r="B4655" s="31" t="s">
        <v>1230</v>
      </c>
      <c r="C4655" s="31" t="s">
        <v>4</v>
      </c>
      <c r="D4655" s="31" t="s">
        <v>2090</v>
      </c>
      <c r="E4655" s="32">
        <v>0</v>
      </c>
      <c r="F4655" s="32">
        <v>2</v>
      </c>
    </row>
    <row r="4656" spans="1:6" x14ac:dyDescent="0.3">
      <c r="A4656" s="31">
        <v>1000010126</v>
      </c>
      <c r="B4656" s="31" t="s">
        <v>120</v>
      </c>
      <c r="C4656" s="31" t="s">
        <v>4</v>
      </c>
      <c r="D4656" s="31" t="s">
        <v>2161</v>
      </c>
      <c r="E4656" s="32">
        <v>0</v>
      </c>
      <c r="F4656" s="32">
        <v>2</v>
      </c>
    </row>
    <row r="4657" spans="1:6" x14ac:dyDescent="0.3">
      <c r="A4657" s="31">
        <v>1000021204</v>
      </c>
      <c r="B4657" s="31" t="s">
        <v>1350</v>
      </c>
      <c r="C4657" s="31" t="s">
        <v>4</v>
      </c>
      <c r="D4657" s="31" t="s">
        <v>2090</v>
      </c>
      <c r="E4657" s="32">
        <v>0</v>
      </c>
      <c r="F4657" s="32">
        <v>2</v>
      </c>
    </row>
    <row r="4658" spans="1:6" x14ac:dyDescent="0.3">
      <c r="A4658" s="31">
        <v>2100006935</v>
      </c>
      <c r="B4658" s="31" t="s">
        <v>4665</v>
      </c>
      <c r="C4658" s="31" t="s">
        <v>2037</v>
      </c>
      <c r="D4658" s="31" t="s">
        <v>2031</v>
      </c>
      <c r="E4658" s="32">
        <v>0</v>
      </c>
      <c r="F4658" s="32">
        <v>12</v>
      </c>
    </row>
    <row r="4659" spans="1:6" x14ac:dyDescent="0.3">
      <c r="A4659" s="31">
        <v>2200011704</v>
      </c>
      <c r="B4659" s="31" t="s">
        <v>4666</v>
      </c>
      <c r="C4659" s="31" t="s">
        <v>2037</v>
      </c>
      <c r="D4659" s="31" t="s">
        <v>2038</v>
      </c>
      <c r="E4659" s="32">
        <v>0</v>
      </c>
      <c r="F4659" s="32">
        <v>2</v>
      </c>
    </row>
    <row r="4660" spans="1:6" x14ac:dyDescent="0.3">
      <c r="A4660" s="31">
        <v>2700000135</v>
      </c>
      <c r="B4660" s="31" t="s">
        <v>264</v>
      </c>
      <c r="C4660" s="31" t="s">
        <v>2037</v>
      </c>
      <c r="D4660" s="31" t="s">
        <v>2038</v>
      </c>
      <c r="E4660" s="32">
        <v>0</v>
      </c>
      <c r="F4660" s="32">
        <v>1</v>
      </c>
    </row>
    <row r="4661" spans="1:6" x14ac:dyDescent="0.3">
      <c r="A4661" s="31">
        <v>1000110319</v>
      </c>
      <c r="B4661" s="31" t="s">
        <v>4667</v>
      </c>
      <c r="C4661" s="31" t="s">
        <v>2109</v>
      </c>
      <c r="D4661" s="31" t="s">
        <v>2070</v>
      </c>
      <c r="E4661" s="32">
        <v>0</v>
      </c>
      <c r="F4661" s="32">
        <v>1</v>
      </c>
    </row>
    <row r="4662" spans="1:6" x14ac:dyDescent="0.3">
      <c r="A4662" s="31">
        <v>1000090034</v>
      </c>
      <c r="B4662" s="31" t="s">
        <v>4668</v>
      </c>
      <c r="C4662" s="31" t="s">
        <v>2109</v>
      </c>
      <c r="D4662" s="31" t="s">
        <v>2070</v>
      </c>
      <c r="E4662" s="32">
        <v>0</v>
      </c>
      <c r="F4662" s="32">
        <v>1</v>
      </c>
    </row>
    <row r="4663" spans="1:6" x14ac:dyDescent="0.3">
      <c r="A4663" s="31">
        <v>1000110318</v>
      </c>
      <c r="B4663" s="31" t="s">
        <v>4669</v>
      </c>
      <c r="C4663" s="31" t="s">
        <v>2109</v>
      </c>
      <c r="D4663" s="31" t="s">
        <v>2070</v>
      </c>
      <c r="E4663" s="32">
        <v>0</v>
      </c>
      <c r="F4663" s="32">
        <v>1</v>
      </c>
    </row>
    <row r="4664" spans="1:6" x14ac:dyDescent="0.3">
      <c r="A4664" s="31">
        <v>1000109291</v>
      </c>
      <c r="B4664" s="31" t="s">
        <v>4670</v>
      </c>
      <c r="C4664" s="31" t="s">
        <v>2109</v>
      </c>
      <c r="D4664" s="31" t="s">
        <v>2110</v>
      </c>
      <c r="E4664" s="32">
        <v>0</v>
      </c>
      <c r="F4664" s="32">
        <v>1</v>
      </c>
    </row>
    <row r="4665" spans="1:6" x14ac:dyDescent="0.3">
      <c r="A4665" s="31">
        <v>1000093504</v>
      </c>
      <c r="B4665" s="31" t="s">
        <v>4671</v>
      </c>
      <c r="C4665" s="31" t="s">
        <v>2844</v>
      </c>
      <c r="D4665" s="31" t="s">
        <v>3274</v>
      </c>
      <c r="E4665" s="32">
        <v>0</v>
      </c>
      <c r="F4665" s="32">
        <v>1</v>
      </c>
    </row>
    <row r="4666" spans="1:6" x14ac:dyDescent="0.3">
      <c r="A4666" s="31">
        <v>1000093497</v>
      </c>
      <c r="B4666" s="31" t="s">
        <v>4672</v>
      </c>
      <c r="C4666" s="31" t="s">
        <v>2844</v>
      </c>
      <c r="D4666" s="31" t="s">
        <v>3274</v>
      </c>
      <c r="E4666" s="32">
        <v>0</v>
      </c>
      <c r="F4666" s="32">
        <v>3</v>
      </c>
    </row>
    <row r="4667" spans="1:6" x14ac:dyDescent="0.3">
      <c r="A4667" s="31">
        <v>1000017035</v>
      </c>
      <c r="B4667" s="31" t="s">
        <v>4652</v>
      </c>
      <c r="C4667" s="31" t="s">
        <v>2844</v>
      </c>
      <c r="D4667" s="31" t="s">
        <v>3274</v>
      </c>
      <c r="E4667" s="32">
        <v>0</v>
      </c>
      <c r="F4667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Reports </vt:lpstr>
      <vt:lpstr>Sheet3</vt:lpstr>
      <vt:lpstr>COUNT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Mohmmed Mafas Najibu Deen</dc:creator>
  <cp:lastModifiedBy>Sufiyan Ahmed</cp:lastModifiedBy>
  <cp:lastPrinted>2026-06-28T05:39:45Z</cp:lastPrinted>
  <dcterms:created xsi:type="dcterms:W3CDTF">2026-05-18T12:52:36Z</dcterms:created>
  <dcterms:modified xsi:type="dcterms:W3CDTF">2026-07-06T21:42:40Z</dcterms:modified>
</cp:coreProperties>
</file>