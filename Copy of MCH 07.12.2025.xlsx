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30" documentId="8_{11037436-E5F8-48CB-B015-5E723CC8A9AC}" xr6:coauthVersionLast="47" xr6:coauthVersionMax="47" xr10:uidLastSave="{6FE39676-6319-4896-A457-D7F9EF553810}"/>
  <bookViews>
    <workbookView xWindow="-120" yWindow="-120" windowWidth="20730" windowHeight="11040" activeTab="1" xr2:uid="{00000000-000D-0000-FFFF-FFFF00000000}"/>
  </bookViews>
  <sheets>
    <sheet name="Summary " sheetId="3" r:id="rId1"/>
    <sheet name="DATA" sheetId="1" r:id="rId2"/>
  </sheets>
  <definedNames>
    <definedName name="_xlnm._FilterDatabase" localSheetId="1" hidden="1">DATA!$A$1:$H$22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<sst xmlns="http://schemas.openxmlformats.org/spreadsheetml/2006/main" count="115" uniqueCount="57">
  <si>
    <t>VAL_UNIT_CODE</t>
  </si>
  <si>
    <t>ITEM_CODE</t>
  </si>
  <si>
    <t>PARTY_NAME</t>
  </si>
  <si>
    <t>ITEM_DESCRIPTION</t>
  </si>
  <si>
    <t>CLOSING_QTY</t>
  </si>
  <si>
    <t>MCH</t>
  </si>
  <si>
    <t>2300000134</t>
  </si>
  <si>
    <t>Quaker Houghton Sales B.V.</t>
  </si>
  <si>
    <t xml:space="preserve">MATL : 1000704416 : OIL; TYPE: BASE, CONTAINER TYPE: IBC; PN:HQ ADDITIVE E 5581, MFR: QUAKER HOUGHTON; FOR HCM EMULSION SYSTEM  </t>
  </si>
  <si>
    <t xml:space="preserve">"MATL : 1000716548 ADDITIVE; TYPE: OIL, CONTAINER TYPE: DRUM, CONTAINER CAPACITY:188.10 KG/DRUM; PN:QH ADDITIVE E 1600, MFR: QUAKER HOUGHTON; APPLICATION: FOR EMULSION SYSTEM"  </t>
  </si>
  <si>
    <t>2300000107</t>
  </si>
  <si>
    <t>MATL : 983548 OIL, INDUSTRIAL: QUAKEROL HD 1.0 , TYPE COLD ROLLING EMMULSION,Part No: N 612-HD-DPD,</t>
  </si>
  <si>
    <t>2300000138</t>
  </si>
  <si>
    <t xml:space="preserve">MATL : 1000735452 ADDITIVE; TYPE: B, PHYSICAL FORM: LIQUID, CONTAINER TYPE: TOTE, CONTAINER CAPACITY: 860 KG; PN:QH ADDITIVE UA 3300, MFR: QUAKER HOUGHTON   </t>
  </si>
  <si>
    <t>2300000104</t>
  </si>
  <si>
    <t xml:space="preserve"> MATL : 050-05-02-00002  OIL CK-QUAKERCOOL - 2870-2 </t>
  </si>
  <si>
    <t>2300000141</t>
  </si>
  <si>
    <t xml:space="preserve">MATL : QUAKEROL CLA-412 BIO   </t>
  </si>
  <si>
    <t>2300000101</t>
  </si>
  <si>
    <t xml:space="preserve">MATL : 1400055920  QUAKER QUINTOLUBRIC 888-46 </t>
  </si>
  <si>
    <t>2300000129</t>
  </si>
  <si>
    <t xml:space="preserve">MATL : QUINTOLUBRIC 888-68  </t>
  </si>
  <si>
    <t>2300000174</t>
  </si>
  <si>
    <t>Quakerol 25 LVB</t>
  </si>
  <si>
    <t>2300000116</t>
  </si>
  <si>
    <t>QUAKER HOUGHTON SALES B.V. SUCURSAL EN ESPANA</t>
  </si>
  <si>
    <t>QUAKERCOAT 872 BLACK MATT</t>
  </si>
  <si>
    <t>2300000125</t>
  </si>
  <si>
    <t xml:space="preserve">MATL : QUAKLEEN TURBO 200 AC-A1     </t>
  </si>
  <si>
    <t>2300000127</t>
  </si>
  <si>
    <t xml:space="preserve">MATL : QUAKLEEN WASHTREAT 400A       </t>
  </si>
  <si>
    <t>2300000135</t>
  </si>
  <si>
    <t xml:space="preserve">MATL : 1000704415 : OIL; TYPE: BASE, CONTAINER TYPE: IBC; PN:HQ ADDITIVE UA 8490, MFR: QUAKER HOUGHTON; FOR HCM EMULSION SYSTEM  </t>
  </si>
  <si>
    <t>2300000162</t>
  </si>
  <si>
    <t xml:space="preserve">SR INTERNATIONAL </t>
  </si>
  <si>
    <t xml:space="preserve">MATL: 1000022170, ADMIXTURE: DRILLING MUD; 25 KG BAG,POTATO STARCH-NON-IONIC DRILLING GRADE,ADDITIVE DRILLING FLUID; DRY,FREE FLOWING COARSE GRANULATED POWDER FORM,POTATO STARCH, </t>
  </si>
  <si>
    <t>2300000126</t>
  </si>
  <si>
    <t xml:space="preserve">MATL : QUAKLEEN AC-201      </t>
  </si>
  <si>
    <t>2300000133</t>
  </si>
  <si>
    <t xml:space="preserve">MATL : 1000704418 OIL; TYPE: BASE, CONTAINER TYPE: ISO; PN:HQ EVEROLL A1710 MA1 MFR: QUAKER HOUGHTON; APPLICATION: FOR HCM EMULSION SYSYTEM  </t>
  </si>
  <si>
    <t>2300000122</t>
  </si>
  <si>
    <t xml:space="preserve">MATL : QUAKEROL 30-LVP SA  </t>
  </si>
  <si>
    <t>2300000123</t>
  </si>
  <si>
    <t xml:space="preserve">MATL : QUAKEROL 360-CP   </t>
  </si>
  <si>
    <t>2300000128</t>
  </si>
  <si>
    <t xml:space="preserve">MATL : QUAKLEEN WASHFLOW 700A        </t>
  </si>
  <si>
    <t>2300000159</t>
  </si>
  <si>
    <t>MATL : HOCUT-3120, Machine cutting oil,HOCUT-3120 (COOLENT OIL)</t>
  </si>
  <si>
    <t>PHY</t>
  </si>
  <si>
    <t>DIF</t>
  </si>
  <si>
    <t>REMARKS</t>
  </si>
  <si>
    <t>Stock matching</t>
  </si>
  <si>
    <t xml:space="preserve">Next order will clear from stock </t>
  </si>
  <si>
    <t>Row Labels</t>
  </si>
  <si>
    <t>Grand Total</t>
  </si>
  <si>
    <t>Count of REMARKS</t>
  </si>
  <si>
    <t>No issues for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</si>
</sst>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_(* #,##0.000_);_(* \(#,##0.000\);_(* &quot;-&quot;??_);_(@_)"/>
  </numFmts>
  <fonts count="6" x14ac:knownFonts="1">
    <font>
      <sz val="11"/>
      <color theme="1"/>
      <name val="Calibri"/>
    </font>
    <font>
      <sz val="8"/>
      <color theme="1"/>
      <name val="Tahoma"/>
    </font>
    <font>
      <sz val="11"/>
      <color theme="1"/>
      <name val="Calibri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/>
      <top style="thin">
        <color rgb="FF777777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3" xfId="0" applyBorder="1"/>
    <xf numFmtId="164" fontId="4" fillId="0" borderId="3" xfId="0" applyNumberFormat="1" applyFont="1" applyBorder="1"/>
    <xf numFmtId="164" fontId="3" fillId="3" borderId="4" xfId="1" applyNumberFormat="1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right" vertical="top"/>
    </xf>
    <xf numFmtId="164" fontId="0" fillId="0" borderId="3" xfId="0" applyNumberFormat="1" applyBorder="1"/>
    <xf numFmtId="164" fontId="0" fillId="0" borderId="0" xfId="0" applyNumberFormat="1"/>
    <xf numFmtId="165" fontId="1" fillId="0" borderId="3" xfId="0" applyNumberFormat="1" applyFont="1" applyBorder="1" applyAlignment="1">
      <alignment horizontal="right" vertical="top"/>
    </xf>
    <xf numFmtId="166" fontId="0" fillId="0" borderId="3" xfId="0" applyNumberFormat="1" applyBorder="1"/>
    <xf numFmtId="164" fontId="4" fillId="0" borderId="5" xfId="0" applyNumberFormat="1" applyFont="1" applyBorder="1"/>
    <xf numFmtId="166" fontId="4" fillId="0" borderId="5" xfId="0" applyNumberFormat="1" applyFont="1" applyBorder="1"/>
    <xf numFmtId="0" fontId="5" fillId="0" borderId="3" xfId="0" applyFont="1" applyBorder="1" applyAlignment="1">
      <alignment vertical="center"/>
    </xf>
    <xf numFmtId="0" fontId="0" fillId="2" borderId="2" xfId="0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3" fontId="1" fillId="0" borderId="4" xfId="0" applyNumberFormat="1" applyFont="1" applyBorder="1" applyAlignment="1">
      <alignment horizontal="right" vertical="top"/>
    </xf>
    <xf numFmtId="164" fontId="0" fillId="0" borderId="4" xfId="0" applyNumberFormat="1" applyBorder="1"/>
    <xf numFmtId="164" fontId="4" fillId="0" borderId="7" xfId="0" applyNumberFormat="1" applyFont="1" applyBorder="1"/>
    <xf numFmtId="0" fontId="5" fillId="0" borderId="4" xfId="0" applyFont="1" applyBorder="1" applyAlignment="1">
      <alignment vertical="center"/>
    </xf>
    <xf numFmtId="0" fontId="0" fillId="2" borderId="3" xfId="0" applyFill="1" applyBorder="1" applyAlignment="1">
      <alignment horizontal="left" vertical="top"/>
    </xf>
    <xf numFmtId="3" fontId="1" fillId="2" borderId="3" xfId="0" applyNumberFormat="1" applyFont="1" applyFill="1" applyBorder="1" applyAlignment="1">
      <alignment horizontal="right" vertical="top"/>
    </xf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20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1.480791435184" createdVersion="8" refreshedVersion="8" minRefreshableVersion="3" recordCount="21" xr:uid="{BB5E0601-2362-4E40-AD31-148C01BCB9BD}">
  <cacheSource type="worksheet">
    <worksheetSource ref="A1:H22" sheet="DATA"/>
  </cacheSource>
  <cacheFields count="8">
    <cacheField name="VAL_UNIT_CODE" numFmtId="0">
      <sharedItems containsBlank="1"/>
    </cacheField>
    <cacheField name="ITEM_CODE" numFmtId="0">
      <sharedItems containsBlank="1" containsMixedTypes="1" containsNumber="1" containsInteger="1" minValue="2300000156" maxValue="2300000156"/>
    </cacheField>
    <cacheField name="PARTY_NAME" numFmtId="0">
      <sharedItems containsBlank="1"/>
    </cacheField>
    <cacheField name="ITEM_DESCRIPTION" numFmtId="0">
      <sharedItems containsBlank="1"/>
    </cacheField>
    <cacheField name="CLOSING_QTY" numFmtId="0">
      <sharedItems containsSemiMixedTypes="0" containsString="0" containsNumber="1" minValue="0.9" maxValue="285471.90000000002"/>
    </cacheField>
    <cacheField name="PHY" numFmtId="0">
      <sharedItems containsString="0" containsBlank="1" containsNumber="1" containsInteger="1" minValue="0" maxValue="101150"/>
    </cacheField>
    <cacheField name="DIF" numFmtId="0">
      <sharedItems containsString="0" containsBlank="1" containsNumber="1" minValue="-0.9" maxValue="0"/>
    </cacheField>
    <cacheField name="REMARKS" numFmtId="0">
      <sharedItems containsBlank="1" count="3">
        <s v="Stock matching"/>
        <s v="Next order will clear from stock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MCH"/>
    <s v="2300000134"/>
    <s v="Quaker Houghton Sales B.V."/>
    <s v="MATL : 1000704416 : OIL; TYPE: BASE, CONTAINER TYPE: IBC; PN:HQ ADDITIVE E 5581, MFR: QUAKER HOUGHTON; FOR HCM EMULSION SYSTEM  "/>
    <n v="9200"/>
    <n v="9200"/>
    <n v="0"/>
    <x v="0"/>
  </r>
  <r>
    <s v="MCH"/>
    <n v="2300000156"/>
    <s v="Quaker Houghton Sales B.V."/>
    <s v="&quot;MATL : 1000716548 ADDITIVE; TYPE: OIL, CONTAINER TYPE: DRUM, CONTAINER CAPACITY:188.10 KG/DRUM; PN:QH ADDITIVE E 1600, MFR: QUAKER HOUGHTON; APPLICATION: FOR EMULSION SYSTEM&quot;  "/>
    <n v="0.9"/>
    <n v="0"/>
    <n v="-0.9"/>
    <x v="1"/>
  </r>
  <r>
    <s v="MCH"/>
    <s v="2300000107"/>
    <s v="Quaker Houghton Sales B.V."/>
    <s v="MATL : 983548 OIL, INDUSTRIAL: QUAKEROL HD 1.0 , TYPE COLD ROLLING EMMULSION,Part No: N 612-HD-DPD,"/>
    <n v="36000"/>
    <n v="36000"/>
    <n v="0"/>
    <x v="0"/>
  </r>
  <r>
    <s v="MCH"/>
    <s v="2300000138"/>
    <s v="Quaker Houghton Sales B.V."/>
    <s v="MATL : 1000735452 ADDITIVE; TYPE: B, PHYSICAL FORM: LIQUID, CONTAINER TYPE: TOTE, CONTAINER CAPACITY: 860 KG; PN:QH ADDITIVE UA 3300, MFR: QUAKER HOUGHTON   "/>
    <n v="18480"/>
    <n v="18480"/>
    <n v="0"/>
    <x v="0"/>
  </r>
  <r>
    <s v="MCH"/>
    <s v="2300000104"/>
    <s v="Quaker Houghton Sales B.V."/>
    <s v=" MATL : 050-05-02-00002  OIL CK-QUAKERCOOL - 2870-2 "/>
    <n v="20"/>
    <n v="20"/>
    <n v="0"/>
    <x v="0"/>
  </r>
  <r>
    <s v="MCH"/>
    <s v="2300000141"/>
    <s v="Quaker Houghton Sales B.V."/>
    <s v="MATL : QUAKEROL CLA-412 BIO   "/>
    <n v="2000"/>
    <n v="2000"/>
    <n v="0"/>
    <x v="0"/>
  </r>
  <r>
    <s v="MCH"/>
    <s v="2300000101"/>
    <s v="Quaker Houghton Sales B.V."/>
    <s v="MATL : 1400055920  QUAKER QUINTOLUBRIC 888-46 "/>
    <n v="32"/>
    <n v="32"/>
    <n v="0"/>
    <x v="0"/>
  </r>
  <r>
    <s v="MCH"/>
    <s v="2300000129"/>
    <s v="Quaker Houghton Sales B.V."/>
    <s v="MATL : QUINTOLUBRIC 888-68  "/>
    <n v="8"/>
    <n v="8"/>
    <n v="0"/>
    <x v="0"/>
  </r>
  <r>
    <s v="MCH"/>
    <s v="2300000174"/>
    <s v="Quaker Houghton Sales B.V."/>
    <s v="Quakerol 25 LVB"/>
    <n v="2625"/>
    <n v="2625"/>
    <n v="0"/>
    <x v="0"/>
  </r>
  <r>
    <s v="MCH"/>
    <s v="2300000116"/>
    <s v="QUAKER HOUGHTON SALES B.V. SUCURSAL EN ESPANA"/>
    <s v="QUAKERCOAT 872 BLACK MATT"/>
    <n v="4000"/>
    <n v="4000"/>
    <n v="0"/>
    <x v="0"/>
  </r>
  <r>
    <s v="MCH"/>
    <s v="2300000125"/>
    <s v="QUAKER HOUGHTON SALES B.V. SUCURSAL EN ESPANA"/>
    <s v="MATL : QUAKLEEN TURBO 200 AC-A1     "/>
    <n v="15000"/>
    <n v="15000"/>
    <n v="0"/>
    <x v="0"/>
  </r>
  <r>
    <s v="MCH"/>
    <s v="2300000127"/>
    <s v="Quaker Houghton Sales B.V."/>
    <s v="MATL : QUAKLEEN WASHTREAT 400A       "/>
    <n v="6150"/>
    <n v="6150"/>
    <n v="0"/>
    <x v="0"/>
  </r>
  <r>
    <s v="MCH"/>
    <s v="2300000135"/>
    <s v="Quaker Houghton Sales B.V."/>
    <s v="MATL : 1000704415 : OIL; TYPE: BASE, CONTAINER TYPE: IBC; PN:HQ ADDITIVE UA 8490, MFR: QUAKER HOUGHTON; FOR HCM EMULSION SYSTEM  "/>
    <n v="17000"/>
    <n v="17000"/>
    <n v="0"/>
    <x v="0"/>
  </r>
  <r>
    <s v="MCH"/>
    <s v="2300000162"/>
    <s v="SR INTERNATIONAL "/>
    <s v="MATL: 1000022170, ADMIXTURE: DRILLING MUD; 25 KG BAG,POTATO STARCH-NON-IONIC DRILLING GRADE,ADDITIVE DRILLING FLUID; DRY,FREE FLOWING COARSE GRANULATED POWDER FORM,POTATO STARCH, "/>
    <n v="60072"/>
    <n v="60072"/>
    <n v="0"/>
    <x v="0"/>
  </r>
  <r>
    <s v="MCH"/>
    <s v="2300000126"/>
    <s v="Quaker Houghton Sales B.V."/>
    <s v="MATL : QUAKLEEN AC-201      "/>
    <n v="4000"/>
    <n v="4000"/>
    <n v="0"/>
    <x v="0"/>
  </r>
  <r>
    <s v="MCH"/>
    <s v="2300000133"/>
    <s v="Quaker Houghton Sales B.V."/>
    <s v="MATL : 1000704418 OIL; TYPE: BASE, CONTAINER TYPE: ISO; PN:HQ EVEROLL A1710 MA1 MFR: QUAKER HOUGHTON; APPLICATION: FOR HCM EMULSION SYSYTEM  "/>
    <n v="101150"/>
    <n v="101150"/>
    <n v="0"/>
    <x v="0"/>
  </r>
  <r>
    <s v="MCH"/>
    <s v="2300000122"/>
    <s v="Quaker Houghton Sales B.V."/>
    <s v="MATL : QUAKEROL 30-LVP SA  "/>
    <n v="875"/>
    <n v="875"/>
    <n v="0"/>
    <x v="0"/>
  </r>
  <r>
    <s v="MCH"/>
    <s v="2300000123"/>
    <s v="QUAKER HOUGHTON SALES B.V. SUCURSAL EN ESPANA"/>
    <s v="MATL : QUAKEROL 360-CP   "/>
    <n v="2160"/>
    <n v="2160"/>
    <n v="0"/>
    <x v="0"/>
  </r>
  <r>
    <s v="MCH"/>
    <s v="2300000128"/>
    <s v="QUAKER HOUGHTON SALES B.V. SUCURSAL EN ESPANA"/>
    <s v="MATL : QUAKLEEN WASHFLOW 700A        "/>
    <n v="1470"/>
    <n v="1470"/>
    <n v="0"/>
    <x v="0"/>
  </r>
  <r>
    <s v="MCH"/>
    <s v="2300000159"/>
    <s v="Quaker Houghton Sales B.V."/>
    <s v="MATL : HOCUT-3120, Machine cutting oil,HOCUT-3120 (COOLENT OIL)"/>
    <n v="8"/>
    <n v="8"/>
    <n v="0"/>
    <x v="0"/>
  </r>
  <r>
    <m/>
    <m/>
    <m/>
    <m/>
    <n v="285471.90000000002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8C7A0-B1DA-4313-8C61-46EFA1C7A5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5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REMARKS" fld="7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D9FE-7770-4E59-A92D-98B4B51D135E}">
  <dimension ref="B2:D5"/>
  <sheetViews>
    <sheetView workbookViewId="0">
      <selection activeCell="E13" sqref="E13"/>
    </sheetView>
  </sheetViews>
  <sheetFormatPr defaultRowHeight="15" x14ac:dyDescent="0.25"/>
  <cols>
    <col min="2" max="2" width="29.85546875" bestFit="1" customWidth="1"/>
    <col min="3" max="3" width="17.85546875" style="26" bestFit="1" customWidth="1"/>
    <col min="4" max="4" width="22" customWidth="1"/>
  </cols>
  <sheetData>
    <row r="2" spans="2:4" x14ac:dyDescent="0.25">
      <c r="B2" s="23" t="s">
        <v>53</v>
      </c>
      <c r="C2" s="25" t="s">
        <v>55</v>
      </c>
      <c r="D2" s="4" t="s">
        <v>55</v>
      </c>
    </row>
    <row r="3" spans="2:4" ht="15.75" x14ac:dyDescent="0.25">
      <c r="B3" s="24" t="s">
        <v>52</v>
      </c>
      <c r="C3" s="25">
        <v>1</v>
      </c>
      <c r="D3" s="14" t="s">
        <v>56</v>
      </c>
    </row>
    <row r="4" spans="2:4" ht="15.75" x14ac:dyDescent="0.25">
      <c r="B4" s="24" t="s">
        <v>51</v>
      </c>
      <c r="C4" s="25">
        <v>19</v>
      </c>
      <c r="D4" s="14" t="s">
        <v>56</v>
      </c>
    </row>
    <row r="5" spans="2:4" x14ac:dyDescent="0.25">
      <c r="B5" s="24" t="s">
        <v>54</v>
      </c>
      <c r="C5" s="25">
        <v>20</v>
      </c>
      <c r="D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topLeftCell="B1" workbookViewId="0">
      <selection activeCell="B3" sqref="B3"/>
    </sheetView>
  </sheetViews>
  <sheetFormatPr defaultRowHeight="15" x14ac:dyDescent="0.25"/>
  <cols>
    <col min="1" max="1" width="6.85546875" customWidth="1"/>
    <col min="2" max="2" width="11.42578125" customWidth="1"/>
    <col min="3" max="3" width="16.7109375" customWidth="1"/>
    <col min="4" max="4" width="119.42578125" customWidth="1"/>
    <col min="5" max="5" width="11" bestFit="1" customWidth="1"/>
    <col min="6" max="6" width="9.5703125" style="9" bestFit="1" customWidth="1"/>
    <col min="7" max="7" width="9.7109375" bestFit="1" customWidth="1"/>
    <col min="8" max="8" width="38.5703125" bestFit="1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48</v>
      </c>
      <c r="G1" s="6" t="s">
        <v>49</v>
      </c>
      <c r="H1" s="6" t="s">
        <v>50</v>
      </c>
    </row>
    <row r="2" spans="1:8" ht="15.75" x14ac:dyDescent="0.25">
      <c r="A2" s="1" t="s">
        <v>5</v>
      </c>
      <c r="B2" s="1" t="s">
        <v>6</v>
      </c>
      <c r="C2" s="1" t="s">
        <v>7</v>
      </c>
      <c r="D2" s="3" t="s">
        <v>8</v>
      </c>
      <c r="E2" s="7">
        <v>9200</v>
      </c>
      <c r="F2" s="8">
        <v>9200</v>
      </c>
      <c r="G2" s="12">
        <f t="shared" ref="G2:G21" si="0">F2-E2</f>
        <v>0</v>
      </c>
      <c r="H2" s="14" t="s">
        <v>51</v>
      </c>
    </row>
    <row r="3" spans="1:8" ht="15.75" x14ac:dyDescent="0.25">
      <c r="A3" s="1" t="s">
        <v>5</v>
      </c>
      <c r="B3" s="1">
        <v>2300000156</v>
      </c>
      <c r="C3" s="1" t="s">
        <v>7</v>
      </c>
      <c r="D3" s="3" t="s">
        <v>9</v>
      </c>
      <c r="E3" s="10">
        <v>0.9</v>
      </c>
      <c r="F3" s="11">
        <v>0</v>
      </c>
      <c r="G3" s="13">
        <f t="shared" si="0"/>
        <v>-0.9</v>
      </c>
      <c r="H3" s="14" t="s">
        <v>52</v>
      </c>
    </row>
    <row r="4" spans="1:8" ht="15.75" x14ac:dyDescent="0.25">
      <c r="A4" s="1" t="s">
        <v>5</v>
      </c>
      <c r="B4" s="1" t="s">
        <v>10</v>
      </c>
      <c r="C4" s="1" t="s">
        <v>7</v>
      </c>
      <c r="D4" s="3" t="s">
        <v>11</v>
      </c>
      <c r="E4" s="7">
        <v>36000</v>
      </c>
      <c r="F4" s="8">
        <v>36000</v>
      </c>
      <c r="G4" s="12">
        <f t="shared" si="0"/>
        <v>0</v>
      </c>
      <c r="H4" s="14" t="s">
        <v>51</v>
      </c>
    </row>
    <row r="5" spans="1:8" ht="15.75" x14ac:dyDescent="0.25">
      <c r="A5" s="1" t="s">
        <v>5</v>
      </c>
      <c r="B5" s="1" t="s">
        <v>12</v>
      </c>
      <c r="C5" s="1" t="s">
        <v>7</v>
      </c>
      <c r="D5" s="3" t="s">
        <v>13</v>
      </c>
      <c r="E5" s="7">
        <v>18480</v>
      </c>
      <c r="F5" s="8">
        <v>18480</v>
      </c>
      <c r="G5" s="12">
        <f t="shared" si="0"/>
        <v>0</v>
      </c>
      <c r="H5" s="14" t="s">
        <v>51</v>
      </c>
    </row>
    <row r="6" spans="1:8" ht="15.75" x14ac:dyDescent="0.25">
      <c r="A6" s="1" t="s">
        <v>5</v>
      </c>
      <c r="B6" s="1" t="s">
        <v>14</v>
      </c>
      <c r="C6" s="1" t="s">
        <v>7</v>
      </c>
      <c r="D6" s="3" t="s">
        <v>15</v>
      </c>
      <c r="E6" s="7">
        <v>20</v>
      </c>
      <c r="F6" s="8">
        <v>20</v>
      </c>
      <c r="G6" s="12">
        <f t="shared" si="0"/>
        <v>0</v>
      </c>
      <c r="H6" s="14" t="s">
        <v>51</v>
      </c>
    </row>
    <row r="7" spans="1:8" ht="15.75" x14ac:dyDescent="0.25">
      <c r="A7" s="1" t="s">
        <v>5</v>
      </c>
      <c r="B7" s="1" t="s">
        <v>16</v>
      </c>
      <c r="C7" s="1" t="s">
        <v>7</v>
      </c>
      <c r="D7" s="3" t="s">
        <v>17</v>
      </c>
      <c r="E7" s="7">
        <v>2000</v>
      </c>
      <c r="F7" s="8">
        <v>2000</v>
      </c>
      <c r="G7" s="12">
        <f t="shared" si="0"/>
        <v>0</v>
      </c>
      <c r="H7" s="14" t="s">
        <v>51</v>
      </c>
    </row>
    <row r="8" spans="1:8" ht="15.75" x14ac:dyDescent="0.25">
      <c r="A8" s="1" t="s">
        <v>5</v>
      </c>
      <c r="B8" s="1" t="s">
        <v>18</v>
      </c>
      <c r="C8" s="1" t="s">
        <v>7</v>
      </c>
      <c r="D8" s="3" t="s">
        <v>19</v>
      </c>
      <c r="E8" s="7">
        <v>32</v>
      </c>
      <c r="F8" s="8">
        <v>32</v>
      </c>
      <c r="G8" s="12">
        <f t="shared" si="0"/>
        <v>0</v>
      </c>
      <c r="H8" s="14" t="s">
        <v>51</v>
      </c>
    </row>
    <row r="9" spans="1:8" ht="15.75" x14ac:dyDescent="0.25">
      <c r="A9" s="1" t="s">
        <v>5</v>
      </c>
      <c r="B9" s="1" t="s">
        <v>20</v>
      </c>
      <c r="C9" s="1" t="s">
        <v>7</v>
      </c>
      <c r="D9" s="3" t="s">
        <v>21</v>
      </c>
      <c r="E9" s="7">
        <v>8</v>
      </c>
      <c r="F9" s="8">
        <v>8</v>
      </c>
      <c r="G9" s="12">
        <f t="shared" si="0"/>
        <v>0</v>
      </c>
      <c r="H9" s="14" t="s">
        <v>51</v>
      </c>
    </row>
    <row r="10" spans="1:8" ht="15.75" x14ac:dyDescent="0.25">
      <c r="A10" s="1" t="s">
        <v>5</v>
      </c>
      <c r="B10" s="1" t="s">
        <v>22</v>
      </c>
      <c r="C10" s="1" t="s">
        <v>7</v>
      </c>
      <c r="D10" s="3" t="s">
        <v>23</v>
      </c>
      <c r="E10" s="7">
        <v>2625</v>
      </c>
      <c r="F10" s="8">
        <v>2625</v>
      </c>
      <c r="G10" s="12">
        <f t="shared" si="0"/>
        <v>0</v>
      </c>
      <c r="H10" s="14" t="s">
        <v>51</v>
      </c>
    </row>
    <row r="11" spans="1:8" ht="15.75" x14ac:dyDescent="0.25">
      <c r="A11" s="1" t="s">
        <v>5</v>
      </c>
      <c r="B11" s="1" t="s">
        <v>24</v>
      </c>
      <c r="C11" s="1" t="s">
        <v>25</v>
      </c>
      <c r="D11" s="3" t="s">
        <v>26</v>
      </c>
      <c r="E11" s="7">
        <v>4000</v>
      </c>
      <c r="F11" s="8">
        <v>4000</v>
      </c>
      <c r="G11" s="12">
        <f t="shared" si="0"/>
        <v>0</v>
      </c>
      <c r="H11" s="14" t="s">
        <v>51</v>
      </c>
    </row>
    <row r="12" spans="1:8" ht="15.75" x14ac:dyDescent="0.25">
      <c r="A12" s="1" t="s">
        <v>5</v>
      </c>
      <c r="B12" s="1" t="s">
        <v>27</v>
      </c>
      <c r="C12" s="1" t="s">
        <v>25</v>
      </c>
      <c r="D12" s="3" t="s">
        <v>28</v>
      </c>
      <c r="E12" s="7">
        <v>15000</v>
      </c>
      <c r="F12" s="8">
        <f>17500-2500</f>
        <v>15000</v>
      </c>
      <c r="G12" s="12">
        <f t="shared" si="0"/>
        <v>0</v>
      </c>
      <c r="H12" s="14" t="s">
        <v>51</v>
      </c>
    </row>
    <row r="13" spans="1:8" ht="15.75" x14ac:dyDescent="0.25">
      <c r="A13" s="1" t="s">
        <v>5</v>
      </c>
      <c r="B13" s="1" t="s">
        <v>29</v>
      </c>
      <c r="C13" s="1" t="s">
        <v>7</v>
      </c>
      <c r="D13" s="3" t="s">
        <v>30</v>
      </c>
      <c r="E13" s="7">
        <v>6150</v>
      </c>
      <c r="F13" s="8">
        <f>7175-1025</f>
        <v>6150</v>
      </c>
      <c r="G13" s="12">
        <f t="shared" si="0"/>
        <v>0</v>
      </c>
      <c r="H13" s="14" t="s">
        <v>51</v>
      </c>
    </row>
    <row r="14" spans="1:8" ht="15.75" x14ac:dyDescent="0.25">
      <c r="A14" s="1" t="s">
        <v>5</v>
      </c>
      <c r="B14" s="1" t="s">
        <v>31</v>
      </c>
      <c r="C14" s="1" t="s">
        <v>7</v>
      </c>
      <c r="D14" s="3" t="s">
        <v>32</v>
      </c>
      <c r="E14" s="7">
        <v>17000</v>
      </c>
      <c r="F14" s="8">
        <v>17000</v>
      </c>
      <c r="G14" s="12">
        <f t="shared" si="0"/>
        <v>0</v>
      </c>
      <c r="H14" s="14" t="s">
        <v>51</v>
      </c>
    </row>
    <row r="15" spans="1:8" ht="15.75" x14ac:dyDescent="0.25">
      <c r="A15" s="1" t="s">
        <v>5</v>
      </c>
      <c r="B15" s="1" t="s">
        <v>33</v>
      </c>
      <c r="C15" s="1" t="s">
        <v>34</v>
      </c>
      <c r="D15" s="3" t="s">
        <v>35</v>
      </c>
      <c r="E15" s="7">
        <v>60072</v>
      </c>
      <c r="F15" s="8">
        <v>60072</v>
      </c>
      <c r="G15" s="12">
        <f t="shared" si="0"/>
        <v>0</v>
      </c>
      <c r="H15" s="14" t="s">
        <v>51</v>
      </c>
    </row>
    <row r="16" spans="1:8" ht="15.75" x14ac:dyDescent="0.25">
      <c r="A16" s="1" t="s">
        <v>5</v>
      </c>
      <c r="B16" s="1" t="s">
        <v>36</v>
      </c>
      <c r="C16" s="1" t="s">
        <v>7</v>
      </c>
      <c r="D16" s="3" t="s">
        <v>37</v>
      </c>
      <c r="E16" s="7">
        <v>4000</v>
      </c>
      <c r="F16" s="8">
        <v>4000</v>
      </c>
      <c r="G16" s="12">
        <f t="shared" si="0"/>
        <v>0</v>
      </c>
      <c r="H16" s="14" t="s">
        <v>51</v>
      </c>
    </row>
    <row r="17" spans="1:8" ht="15.75" x14ac:dyDescent="0.25">
      <c r="A17" s="1" t="s">
        <v>5</v>
      </c>
      <c r="B17" s="1" t="s">
        <v>38</v>
      </c>
      <c r="C17" s="1" t="s">
        <v>7</v>
      </c>
      <c r="D17" s="3" t="s">
        <v>39</v>
      </c>
      <c r="E17" s="7">
        <v>101150</v>
      </c>
      <c r="F17" s="8">
        <v>101150</v>
      </c>
      <c r="G17" s="12">
        <f t="shared" si="0"/>
        <v>0</v>
      </c>
      <c r="H17" s="14" t="s">
        <v>51</v>
      </c>
    </row>
    <row r="18" spans="1:8" ht="15.75" x14ac:dyDescent="0.25">
      <c r="A18" s="1" t="s">
        <v>5</v>
      </c>
      <c r="B18" s="1" t="s">
        <v>40</v>
      </c>
      <c r="C18" s="1" t="s">
        <v>7</v>
      </c>
      <c r="D18" s="3" t="s">
        <v>41</v>
      </c>
      <c r="E18" s="7">
        <v>875</v>
      </c>
      <c r="F18" s="8">
        <v>875</v>
      </c>
      <c r="G18" s="12">
        <f t="shared" si="0"/>
        <v>0</v>
      </c>
      <c r="H18" s="14" t="s">
        <v>51</v>
      </c>
    </row>
    <row r="19" spans="1:8" ht="15.75" x14ac:dyDescent="0.25">
      <c r="A19" s="1" t="s">
        <v>5</v>
      </c>
      <c r="B19" s="1" t="s">
        <v>42</v>
      </c>
      <c r="C19" s="1" t="s">
        <v>25</v>
      </c>
      <c r="D19" s="3" t="s">
        <v>43</v>
      </c>
      <c r="E19" s="7">
        <v>2160</v>
      </c>
      <c r="F19" s="8">
        <v>2160</v>
      </c>
      <c r="G19" s="12">
        <f t="shared" si="0"/>
        <v>0</v>
      </c>
      <c r="H19" s="14" t="s">
        <v>51</v>
      </c>
    </row>
    <row r="20" spans="1:8" ht="15.75" x14ac:dyDescent="0.25">
      <c r="A20" s="1" t="s">
        <v>5</v>
      </c>
      <c r="B20" s="1" t="s">
        <v>44</v>
      </c>
      <c r="C20" s="1" t="s">
        <v>25</v>
      </c>
      <c r="D20" s="3" t="s">
        <v>45</v>
      </c>
      <c r="E20" s="7">
        <v>1470</v>
      </c>
      <c r="F20" s="8">
        <v>1470</v>
      </c>
      <c r="G20" s="12">
        <f t="shared" si="0"/>
        <v>0</v>
      </c>
      <c r="H20" s="14" t="s">
        <v>51</v>
      </c>
    </row>
    <row r="21" spans="1:8" ht="15.75" x14ac:dyDescent="0.25">
      <c r="A21" s="1" t="s">
        <v>5</v>
      </c>
      <c r="B21" s="1" t="s">
        <v>46</v>
      </c>
      <c r="C21" s="1" t="s">
        <v>7</v>
      </c>
      <c r="D21" s="16" t="s">
        <v>47</v>
      </c>
      <c r="E21" s="17">
        <v>8</v>
      </c>
      <c r="F21" s="18">
        <v>8</v>
      </c>
      <c r="G21" s="19">
        <f t="shared" si="0"/>
        <v>0</v>
      </c>
      <c r="H21" s="20" t="s">
        <v>51</v>
      </c>
    </row>
    <row r="22" spans="1:8" ht="15.75" x14ac:dyDescent="0.25">
      <c r="A22" s="2"/>
      <c r="B22" s="2"/>
      <c r="C22" s="15"/>
      <c r="D22" s="21"/>
      <c r="E22" s="22">
        <v>285471.90000000002</v>
      </c>
      <c r="F22" s="8"/>
      <c r="G22" s="5"/>
      <c r="H22" s="14"/>
    </row>
  </sheetData>
  <autoFilter ref="A1:H2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2025-12-07T11:49:38Z</dcterms:created>
  <dcterms:modified xsi:type="dcterms:W3CDTF">2026-01-29T08:31:56Z</dcterms:modified>
</cp:coreProperties>
</file>