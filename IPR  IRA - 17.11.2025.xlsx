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98" documentId="13_ncr:1_{3DA9A24B-D981-4F34-A7C3-C5EAAD03E3DC}" xr6:coauthVersionLast="47" xr6:coauthVersionMax="47" xr10:uidLastSave="{2000D29C-0828-48DF-B24F-976CDB60C35A}"/>
  <bookViews>
    <workbookView xWindow="-120" yWindow="-120" windowWidth="20730" windowHeight="11040" xr2:uid="{00000000-000D-0000-FFFF-FFFF00000000}"/>
  </bookViews>
  <sheets>
    <sheet name="Summary " sheetId="7" r:id="rId1"/>
    <sheet name="Counting Sheet" sheetId="6" r:id="rId2"/>
    <sheet name="Sheet2" sheetId="2" r:id="rId3"/>
  </sheets>
  <definedNames>
    <definedName name="_xlnm._FilterDatabase" localSheetId="1" hidden="1">'Counting Sheet'!$A$1:$K$203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2" i="6" l="1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7" i="6"/>
  <c r="J86" i="6"/>
  <c r="J85" i="6"/>
  <c r="J84" i="6"/>
  <c r="J83" i="6"/>
  <c r="J81" i="6"/>
  <c r="J80" i="6"/>
  <c r="J79" i="6"/>
  <c r="J77" i="6"/>
  <c r="J76" i="6"/>
  <c r="J75" i="6"/>
  <c r="J73" i="6"/>
  <c r="J72" i="6"/>
  <c r="J71" i="6"/>
  <c r="J70" i="6"/>
  <c r="J69" i="6"/>
  <c r="J68" i="6"/>
  <c r="J67" i="6"/>
  <c r="J66" i="6"/>
  <c r="J65" i="6"/>
  <c r="J64" i="6"/>
  <c r="J62" i="6"/>
  <c r="J61" i="6"/>
  <c r="J60" i="6"/>
  <c r="J59" i="6"/>
  <c r="J58" i="6"/>
  <c r="J57" i="6"/>
  <c r="J56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8" i="6"/>
  <c r="J27" i="6"/>
  <c r="J26" i="6"/>
  <c r="J25" i="6"/>
  <c r="J24" i="6"/>
  <c r="J23" i="6"/>
  <c r="J22" i="6"/>
  <c r="J21" i="6"/>
  <c r="J19" i="6"/>
  <c r="J18" i="6"/>
  <c r="J17" i="6"/>
  <c r="J16" i="6"/>
  <c r="J15" i="6"/>
  <c r="J14" i="6"/>
  <c r="J13" i="6"/>
  <c r="J12" i="6"/>
  <c r="J9" i="6"/>
  <c r="J8" i="6"/>
  <c r="J7" i="6"/>
  <c r="J6" i="6"/>
  <c r="J5" i="6"/>
  <c r="J4" i="6"/>
  <c r="J175" i="6"/>
  <c r="J139" i="6"/>
  <c r="J88" i="6"/>
  <c r="J82" i="6"/>
  <c r="J78" i="6"/>
  <c r="J74" i="6"/>
  <c r="J63" i="6"/>
  <c r="J55" i="6"/>
  <c r="J29" i="6"/>
  <c r="J20" i="6"/>
  <c r="J11" i="6"/>
  <c r="J10" i="6"/>
  <c r="J3" i="6"/>
  <c r="J2" i="6"/>
  <c r="G2" i="7"/>
</calcChain>
</file>

<file path=xl/sharedStrings.xml><?xml version="1.0" encoding="utf-8"?>
<sst xmlns="http://schemas.openxmlformats.org/spreadsheetml/2006/main" count="842" uniqueCount="458">
  <si>
    <t>1000110188</t>
  </si>
  <si>
    <t>ITEM_CODE</t>
  </si>
  <si>
    <t>ITEM_DESCRIPTION</t>
  </si>
  <si>
    <t>IRA</t>
  </si>
  <si>
    <t>1000001553</t>
  </si>
  <si>
    <t>Yokogawa Middle East &amp; Africa B.S.C. ©</t>
  </si>
  <si>
    <t>Signal Cable, KS1-10*B</t>
  </si>
  <si>
    <t>1000003017</t>
  </si>
  <si>
    <t>Teflon Gasket (1 pk consist of 5 nos of gaskets), D0114RB</t>
  </si>
  <si>
    <t>1000092753</t>
  </si>
  <si>
    <t xml:space="preserve">Bezel Assembly, Model code B8705KY + Main FFC, Model code, B8706MH </t>
  </si>
  <si>
    <t>1000095544</t>
  </si>
  <si>
    <t>WIKA Saudi Arabia LLC</t>
  </si>
  <si>
    <t xml:space="preserve">Model: 910.13 Over Pressure Protector </t>
  </si>
  <si>
    <t>1000099631</t>
  </si>
  <si>
    <t>Orion Instruments, LLC</t>
  </si>
  <si>
    <t xml:space="preserve"> Magnetic Level Indicator:X1M1-AA1B-BEAC-3333-NL3G4EC-130 </t>
  </si>
  <si>
    <t>1000107197</t>
  </si>
  <si>
    <t>Yokogawa Saudi Arabia Company</t>
  </si>
  <si>
    <t xml:space="preserve">Temperature Transmitter:YTA710-JA2A2DK/C3/SU2  </t>
  </si>
  <si>
    <t>1000109221</t>
  </si>
  <si>
    <t>Yokogawa make Flushing connection ring  (L-side):C10FR-LS-S3CA5J22ZLN-NNNN</t>
  </si>
  <si>
    <t>1000109498</t>
  </si>
  <si>
    <t xml:space="preserve">Wireless Differential Pressure Transmitter;EJX110B-1MS5G-98JDB/SS27/D1/M01/T13   *Accessories included: *Battery *Antenna *Support Brackets *Isolation manifold </t>
  </si>
  <si>
    <t>1000002878</t>
  </si>
  <si>
    <t>Tempetarure Transmitter , YTA610-JA1A2DB/SU2</t>
  </si>
  <si>
    <t>Yokogawa Services Saudi Arabia Co.</t>
  </si>
  <si>
    <t>Packing &amp; Handling Charge</t>
  </si>
  <si>
    <t>1000093147</t>
  </si>
  <si>
    <t xml:space="preserve">WIKA make Flushing Ring ; Model No: 910.27 </t>
  </si>
  <si>
    <t>1000093230</t>
  </si>
  <si>
    <t>Foundation Fieldbus (FF-H1) module (4 Segment), ALF111-S50</t>
  </si>
  <si>
    <t>1000093529</t>
  </si>
  <si>
    <t xml:space="preserve">AD-STD 6 CH ( not N1/N2); B8706RP </t>
  </si>
  <si>
    <t>1000095722</t>
  </si>
  <si>
    <t xml:space="preserve">Multifunction Calibrator,  Model: CA550 </t>
  </si>
  <si>
    <t>1000096783</t>
  </si>
  <si>
    <t xml:space="preserve">Fuse Low Voltage;A1113EF  </t>
  </si>
  <si>
    <t>1000097546</t>
  </si>
  <si>
    <t xml:space="preserve">Cooling Fan, AIP602  </t>
  </si>
  <si>
    <t>1000103266</t>
  </si>
  <si>
    <t>Analog Digital I/O Module, A2MMM843-SS1000</t>
  </si>
  <si>
    <t>1000103711</t>
  </si>
  <si>
    <t>Oliver Valves Ltd.</t>
  </si>
  <si>
    <t xml:space="preserve">MANIFOLD VALVE; 2 PORTS;G12FFS/2H/HP/NA </t>
  </si>
  <si>
    <t>1000104258</t>
  </si>
  <si>
    <t xml:space="preserve">Battery Pack, S9450FE  </t>
  </si>
  <si>
    <t>1000106314</t>
  </si>
  <si>
    <t>BAUMER Bourdon Haenni SAS</t>
  </si>
  <si>
    <t xml:space="preserve">Diaphragm seal:D912MD0DF9606M37QDA011 </t>
  </si>
  <si>
    <t>1000106742</t>
  </si>
  <si>
    <t xml:space="preserve">Gauge Pressure Transmitter   EJX530A-JCS4N-02CEL/SF22/D1/M15/T07/JH01/N4  </t>
  </si>
  <si>
    <t>1000109220</t>
  </si>
  <si>
    <t>Yokogawa make Flushing connection ring  (H-side):C10FR-HS-S3CA5J22ZLN-NNNN</t>
  </si>
  <si>
    <t>1000109346</t>
  </si>
  <si>
    <t xml:space="preserve">Differential Pressure Transmitter;EJA110E-JMSWG-92CEJ/SF22/C3 </t>
  </si>
  <si>
    <t>1000109421</t>
  </si>
  <si>
    <t xml:space="preserve">Clamp; Mounting Type,For Case to Panel Mounting;E9760RJ     </t>
  </si>
  <si>
    <t>1000002563</t>
  </si>
  <si>
    <t xml:space="preserve">Ethernet Communication Module, ALE111-S50 </t>
  </si>
  <si>
    <t>1000096967</t>
  </si>
  <si>
    <t xml:space="preserve">Power Supply Bus Unit, Vertical Type, AEPV7D-115 </t>
  </si>
  <si>
    <t>1000097811</t>
  </si>
  <si>
    <t>AlNijeidi Trading Est.</t>
  </si>
  <si>
    <t xml:space="preserve">Parker Manifold;HNVSMSW4NBM10A3-5 </t>
  </si>
  <si>
    <t>1000099291</t>
  </si>
  <si>
    <t xml:space="preserve">Yokogawa Spares;Model:NFPW444-50 </t>
  </si>
  <si>
    <t>1000102079</t>
  </si>
  <si>
    <t xml:space="preserve">Differential Pressure Transmitter;   EJA130E-FMS5G-93CDJ/SS26/D1/M01/T09 </t>
  </si>
  <si>
    <t>1000105775</t>
  </si>
  <si>
    <t xml:space="preserve">Differential Pressure Transmitter:   EJA10E-JMS5G-93CDJ/SF2/D4/M01/T12/N4   Tag;Z05-FT-5506, Z09-FT-5507, Z05-FT-5508  Range: </t>
  </si>
  <si>
    <t>1000109141</t>
  </si>
  <si>
    <t xml:space="preserve">Gauge Pressure Transmitter:EJA530E-JDS4N-03CEL/SF22/D1/T08/M15/N4 </t>
  </si>
  <si>
    <t>1000109423</t>
  </si>
  <si>
    <t xml:space="preserve">Screw; Fixing Type, For Link:E9760LK </t>
  </si>
  <si>
    <t>1000109892</t>
  </si>
  <si>
    <t xml:space="preserve">UNIT; SAFETY NODE TYPE,RACK MOUNTABLE, 24 VDC POWER SUPPLY;SNB10D-44E/CU2N  </t>
  </si>
  <si>
    <t>1000109971</t>
  </si>
  <si>
    <t xml:space="preserve">Conductivity Sensor Type;SC4A-S-PR-NN-002-15-T1 </t>
  </si>
  <si>
    <t>1000091674</t>
  </si>
  <si>
    <t>Temperature Transmitter YTA610-JA1A2DJ/SU2</t>
  </si>
  <si>
    <t xml:space="preserve">Commissioning Service &amp; SAT </t>
  </si>
  <si>
    <t>1000092687</t>
  </si>
  <si>
    <t xml:space="preserve">Analog I/O Module, AAI135-HE0  </t>
  </si>
  <si>
    <t>1000099630</t>
  </si>
  <si>
    <t xml:space="preserve">Magnetic Level Indicator:X1M1-BA1B-BEAC-3333-NL3G4EC-196 </t>
  </si>
  <si>
    <t>1000102767</t>
  </si>
  <si>
    <t xml:space="preserve">Digital module I/0;S2MDV843-0S1030 </t>
  </si>
  <si>
    <t>1000108867</t>
  </si>
  <si>
    <t xml:space="preserve">Pressure Transmitter:EJX530A-EDS4N-017DF/M15/T08 </t>
  </si>
  <si>
    <t>1000109101</t>
  </si>
  <si>
    <t>Gauge Pressure Transmitter,EJX430A-JBS4G-33CDJ/SU22/D1/M11/T12Gauge Pressure Transmitter,</t>
  </si>
  <si>
    <t>1000109105</t>
  </si>
  <si>
    <t>Gauge Pressure Transmitter,EJX110A-JLH4G-33CEJ/SF22/D1/A/C1/CA/T12/M11</t>
  </si>
  <si>
    <t>1000109103</t>
  </si>
  <si>
    <t>Gauge Pressure Transmitter,EJX110A-JLH4G-33CEJ/SF22/D1/A/C1/M11/T12</t>
  </si>
  <si>
    <t>1000109102</t>
  </si>
  <si>
    <t>Gauge Pressure Transmitter,EJX430A-JBS4N-03CEL/M15/T06/D1/C3/SF22</t>
  </si>
  <si>
    <t>1000109218</t>
  </si>
  <si>
    <t>Yokogawa make DFS (H-side):C80FW-HB-S52SS-3J2SS9NNA-3A5JC-00N</t>
  </si>
  <si>
    <t>1000109219</t>
  </si>
  <si>
    <t>Yokogawa make DFS (L-side):C80FW-LB-S52SS-3J2SS9NNA-3A5JC-00N</t>
  </si>
  <si>
    <t>1000109275</t>
  </si>
  <si>
    <t>Saudi Electric Supply Company(SESCO)</t>
  </si>
  <si>
    <t xml:space="preserve">Parker make Manifold:HDS2HLHFRCMLME12D4N-5B </t>
  </si>
  <si>
    <t>1000109977</t>
  </si>
  <si>
    <t>Magnetrol International NV</t>
  </si>
  <si>
    <t xml:space="preserve">Top Mounted Displacer Level Switch;XA15-AG3M-BB9   011-2407-404;1" NPT-M to 3/4" NPT-F Ex d electrical entry adaptor (nickel plated brass)  </t>
  </si>
  <si>
    <t>RAMC scale incl.EEPROM E/G/H 90/91 no Ex ;M3814JM-01 (As per quote)</t>
  </si>
  <si>
    <t>Documentation</t>
  </si>
  <si>
    <t>1000093527</t>
  </si>
  <si>
    <t xml:space="preserve">Main Assy (USB1);B8705ED </t>
  </si>
  <si>
    <t>1000093528</t>
  </si>
  <si>
    <t xml:space="preserve">CF Assy (USB1); B870EE </t>
  </si>
  <si>
    <t>1000095106</t>
  </si>
  <si>
    <t xml:space="preserve">Oliver make 2-way Manifold  Model No.: G12FMHC/NA/PP </t>
  </si>
  <si>
    <t>1000102166</t>
  </si>
  <si>
    <t xml:space="preserve">Gauge Pressure Transmitter;   EJA530E-JCS4N-02CDL/SF2/D1/M15/T07    Tag:blank plate   Range:-14.5 to 500 psi </t>
  </si>
  <si>
    <t>1000102720</t>
  </si>
  <si>
    <t>Analog I/O Module;   SAI143-S53/A4D10</t>
  </si>
  <si>
    <t>1000103939</t>
  </si>
  <si>
    <t xml:space="preserve">Analog input module;NFAI143-H50/A4S10 </t>
  </si>
  <si>
    <t>1000104417</t>
  </si>
  <si>
    <t>AMETEK Middle East FZE</t>
  </si>
  <si>
    <t xml:space="preserve">Top mounted displacer level switch;A15-AG3B-CAQ     Ex d electrical entry reducer 1" NPT-M to 3/4" NPT-F </t>
  </si>
  <si>
    <t>1000104689</t>
  </si>
  <si>
    <t xml:space="preserve">Module Processor;SCP461-E1 </t>
  </si>
  <si>
    <t>1000109104</t>
  </si>
  <si>
    <t>Gauge Pressure Transmitter,EJX110A-JMS4G-33CEJ/SF22/D1/A/C1/CA/T13</t>
  </si>
  <si>
    <t>1000109329</t>
  </si>
  <si>
    <t xml:space="preserve">Yokogawa make Optical ESB Bus Repeater Master Module;ANT401-5E/A2EE2A-T  </t>
  </si>
  <si>
    <t>1000109684</t>
  </si>
  <si>
    <t xml:space="preserve">Coriolis Flowmeter;RCEN08K-15BA21-0E8J-SF22-2-JB1/BG/P6/P8/Y005 </t>
  </si>
  <si>
    <t>1000109969</t>
  </si>
  <si>
    <t>AMETEK Magnetrol USA, LLC</t>
  </si>
  <si>
    <t xml:space="preserve">Eclipse® Guided Wave Radar Level Transmitter;   Probe:X7AF-64N0-A08-01-052 </t>
  </si>
  <si>
    <t>1000093200</t>
  </si>
  <si>
    <t xml:space="preserve"> 250 Ohms Shunt Resistor for 4 to 20 mA input;  Model: X010-250-3 </t>
  </si>
  <si>
    <t>1000093739</t>
  </si>
  <si>
    <t xml:space="preserve">Diaphargm seal;Model:990.27;  </t>
  </si>
  <si>
    <t xml:space="preserve">Digital Signal Cable Model: AKB331-M015  </t>
  </si>
  <si>
    <t>1000097873</t>
  </si>
  <si>
    <t>O-Ring for YTA series (1 pack = 10 pcs), F9165CS</t>
  </si>
  <si>
    <t>1000098395</t>
  </si>
  <si>
    <t xml:space="preserve">CPU Module;NFCP501-W06 </t>
  </si>
  <si>
    <t>1000099101</t>
  </si>
  <si>
    <t xml:space="preserve">Analog Input (4-20mA, 8ch, Isolated);NFAI135-H50/13S00 </t>
  </si>
  <si>
    <t>1000105115</t>
  </si>
  <si>
    <t xml:space="preserve">Digital I/O Module(16-Channel):SDV144-S13/B4D10 </t>
  </si>
  <si>
    <t>1000107346</t>
  </si>
  <si>
    <t xml:space="preserve">Gauge Pressure Transmitter;   EJA530E-JDH4N-03CEL/SF22/D1/T08/M15 </t>
  </si>
  <si>
    <t>1000108879</t>
  </si>
  <si>
    <t xml:space="preserve">Pressure Transmitter;EJA530E-JDH4N-03CEL/SF22/D1/T15/M15/HG </t>
  </si>
  <si>
    <t>1000109324</t>
  </si>
  <si>
    <t xml:space="preserve">Top mounted displacer level switch;A15-DH5A-BA9  011-21407-404 ;1" NPT to 3/4" NPT-F Ex d electrical entry adaptor </t>
  </si>
  <si>
    <t>1000109327</t>
  </si>
  <si>
    <t xml:space="preserve">Yokogawa make Node Unit for ESB Bus;ANB10D-425/CU2N  </t>
  </si>
  <si>
    <t>1000109328</t>
  </si>
  <si>
    <t xml:space="preserve">Yokogawa make Node Unit for ESB Bus;ANB10D-425/CU2T  </t>
  </si>
  <si>
    <t>1000109818</t>
  </si>
  <si>
    <t xml:space="preserve">Magnetic Flowmeter;AXG015-CASF2PA1AT212B-1JA11/E01/GC/GRT/L3/PM3/SCT/T01  </t>
  </si>
  <si>
    <t>1000001398</t>
  </si>
  <si>
    <t>O-Ring, F9300AJ</t>
  </si>
  <si>
    <t>1000002870</t>
  </si>
  <si>
    <t>Pressure Clamp (Basic Type), NFTA4S-00</t>
  </si>
  <si>
    <t>1000091497</t>
  </si>
  <si>
    <t xml:space="preserve">2-way Manifold, G12FMS/NA/PP </t>
  </si>
  <si>
    <t>1000091843</t>
  </si>
  <si>
    <t xml:space="preserve">Supply of Yokogawa Mutifunction Calibrator;  Model no: CA150; </t>
  </si>
  <si>
    <t>1000093278</t>
  </si>
  <si>
    <t xml:space="preserve">Oliver Make 7/16-20UNF Hexagon Head Bolt 1 3/4 inch long, Model No : SSB </t>
  </si>
  <si>
    <t>1000093526</t>
  </si>
  <si>
    <t xml:space="preserve">Power Assy (24 VAC/DC);B8705EA </t>
  </si>
  <si>
    <t>1000094969</t>
  </si>
  <si>
    <t xml:space="preserve">Differential Pressure Transmitter;  Model:'EJA110E-FHSWG-922DJ/SS26;  Tag:D42-234-PDT-3012  Cal/set range:0 to 60 psig </t>
  </si>
  <si>
    <t>1000102843</t>
  </si>
  <si>
    <t xml:space="preserve">Module Digital I/O:  A2MDV843-0S1000 </t>
  </si>
  <si>
    <t>1000106163</t>
  </si>
  <si>
    <t>Addamegh for Industrial Solutions Est.</t>
  </si>
  <si>
    <t>Parker manifold; HNLS2V8F8M4F</t>
  </si>
  <si>
    <t>1000107240</t>
  </si>
  <si>
    <t>Gauge Pressure Transmitter:EJA430E-JAS4G-93CEB-SF22/D1/M11/T01</t>
  </si>
  <si>
    <t>1000108455</t>
  </si>
  <si>
    <t>Gauge Pressure Transmitter,EJA530E-JDS4N-03CEL/SF22/D1/T08/N4/M15</t>
  </si>
  <si>
    <t>1000109216</t>
  </si>
  <si>
    <t xml:space="preserve">Diaphragm seal;EJXC80A-D88MWSB-11/T58/J03/Z   </t>
  </si>
  <si>
    <t>1000109291</t>
  </si>
  <si>
    <t xml:space="preserve">Pulsar® radar level transmitter:R80-511A-310   RC3-64N0-10N-00-000 - Antenna </t>
  </si>
  <si>
    <t>1000109426</t>
  </si>
  <si>
    <t xml:space="preserve">Spring; Display Assembly, Mounting (TOP):E9760LH </t>
  </si>
  <si>
    <t>1000109794</t>
  </si>
  <si>
    <t>Binzagr International Trading Company</t>
  </si>
  <si>
    <t xml:space="preserve">Block &amp; Bleed Valve inlet;SAMFSA-N4N4 </t>
  </si>
  <si>
    <t>1000109940</t>
  </si>
  <si>
    <t xml:space="preserve">Thermatel® thermal dispersion switch;XTD2-7D01-030   Probe;TMA-A240-020 </t>
  </si>
  <si>
    <t>1000109954</t>
  </si>
  <si>
    <t xml:space="preserve">Module Duplexed Safety Control Unit Type; S2SC70D-F411010  </t>
  </si>
  <si>
    <t>1000092788</t>
  </si>
  <si>
    <t xml:space="preserve">20041389;Hamilton make PH Probe; Model no: 238437 </t>
  </si>
  <si>
    <t>1000093222</t>
  </si>
  <si>
    <t>Digital Input Module (16-channel, 24 V DC, module isolation, SDV144-S53/B4D10</t>
  </si>
  <si>
    <t>1000096838</t>
  </si>
  <si>
    <t xml:space="preserve">Process Connector  1/2 IN; SS AISI;F9277YZ  </t>
  </si>
  <si>
    <t>1000098969</t>
  </si>
  <si>
    <t>Eclipse Guided Wave Radar Level Transmitter;706-512A-BA0</t>
  </si>
  <si>
    <t>1000101642</t>
  </si>
  <si>
    <t>Differential pressure transmitter;  EJA130E-JMS5G-93CEJ/SF2/D1/M01/T09   tag: blank plate  Range:0 to 100 kpa</t>
  </si>
  <si>
    <t>1000104416</t>
  </si>
  <si>
    <t xml:space="preserve">Top mounted displacer level switch;A15-AH3B-CAQ     Ex d electrical entry reducer 1" NPT-M to 3/4" NPT-F </t>
  </si>
  <si>
    <t>1000105126</t>
  </si>
  <si>
    <t>Gauge Pressure Transmitter, EJA530E-JCS4N-03CEL/SF22/D1/T07/N4/M15</t>
  </si>
  <si>
    <t>1000107137</t>
  </si>
  <si>
    <t>Temperature Transmitter:YTA610-JA1A2DK/C2/SU2/N4  Tag:blank  Range: 0 - 30 deg. F  Sensor: RTD PT100 3 wire</t>
  </si>
  <si>
    <t>1000108233</t>
  </si>
  <si>
    <t>Gauge Pressure Transmitter;EJA530E-JDH4N-03CEL/SF22/D1/M15/T08</t>
  </si>
  <si>
    <t>1000108753</t>
  </si>
  <si>
    <t>ABDUL AZIZ ABDUL RAHMAN BUSUBAIT FIBERGLASS COMPANY LLC</t>
  </si>
  <si>
    <t xml:space="preserve">Fabrication of Fiberglass Reinforced Polyester Instrument Sunshade along with Hardware (2 sets U-Bolt &amp; stainless steel fixation plate). Thickness :3mm, Out side smooth moulded finish and Inside mat gelcoat finish. </t>
  </si>
  <si>
    <t>1000108842</t>
  </si>
  <si>
    <t xml:space="preserve">MODULE; ANALOG I/O TYPE,16-CHANNEL INPUT:SAI143-S53/A4D10 </t>
  </si>
  <si>
    <t>1000109217</t>
  </si>
  <si>
    <t>Differential Pressure Transmitter,EJX110A-FMSBG-917DB/D1/EE</t>
  </si>
  <si>
    <t>1000109422</t>
  </si>
  <si>
    <t xml:space="preserve">Screw; Clamp Type,Case Mounting:E9760RN      </t>
  </si>
  <si>
    <t>IPR</t>
  </si>
  <si>
    <t>1000098561</t>
  </si>
  <si>
    <t xml:space="preserve">Honeywell Make level indicator   RMA801-D-ADA-1S-71A0-F3-0000  </t>
  </si>
  <si>
    <t>1000104359</t>
  </si>
  <si>
    <t xml:space="preserve">Loop Level Indicator;MLX-A21-10-SU2-ENG-SST </t>
  </si>
  <si>
    <t>1000106777</t>
  </si>
  <si>
    <t xml:space="preserve">Guided Wave Radar Level Transmitter:706-512A-B10   Probe:X7C1-63N0-P08-31-005 </t>
  </si>
  <si>
    <t>1000107114</t>
  </si>
  <si>
    <t xml:space="preserve">Temperature Transmitter:YTA610-JA1A2DK/C3/SU2 </t>
  </si>
  <si>
    <t>1000107710</t>
  </si>
  <si>
    <t xml:space="preserve">Electromagnetic Flowmeter:AX050-GA000PA1AL212B-1JA11/E01/GRL/L2/L3/PM3/PT/SC/SCT/Z  </t>
  </si>
  <si>
    <t>1000107711</t>
  </si>
  <si>
    <t xml:space="preserve">Pressure Transmitter:EJA530E-JBS4N-03CEL/SF22/D1/C2/CA/T06/M15  </t>
  </si>
  <si>
    <t>1000093937</t>
  </si>
  <si>
    <t xml:space="preserve">Yokogawa make Temperature transmitter;  Model:YTA610-JA1A2DK/SU2/X2 </t>
  </si>
  <si>
    <t>1000105379</t>
  </si>
  <si>
    <t xml:space="preserve">Pressure Transmitter:EJA530E-JBH4N-03CEL/SF2/D1/T06/M15 </t>
  </si>
  <si>
    <t>1000108299</t>
  </si>
  <si>
    <t xml:space="preserve">Gauge Pressure Transmitter, EJA530E-JBH4N-03CEL/SF22/D1/T06/M15 </t>
  </si>
  <si>
    <t>1000108739</t>
  </si>
  <si>
    <t>Gauge Pressure Transmitter;EJA530E-FBS4N-03DDL/SF22/D1/M15/T06</t>
  </si>
  <si>
    <t>1000108911</t>
  </si>
  <si>
    <t>Block &amp; Bleed Valve:SAFFSA-N4N4-AM02BZ</t>
  </si>
  <si>
    <t>1000109335</t>
  </si>
  <si>
    <t>Pressure Transmitter: EJA530E-JCS4N-03CEL/SF22/D1/T07/MA2</t>
  </si>
  <si>
    <t>1000090908</t>
  </si>
  <si>
    <t>Thermo Electric Instrumentation B.V.</t>
  </si>
  <si>
    <t>Thermo Electric Make Digital Motherboard PN:0B100/01/03/PL/I9;  Statistic code:85371091-Daughterboard</t>
  </si>
  <si>
    <t>1000093479</t>
  </si>
  <si>
    <t xml:space="preserve">Oliver make 5 way manifolds;  Model no:Y53HC/NA </t>
  </si>
  <si>
    <t>1000100739</t>
  </si>
  <si>
    <t xml:space="preserve">Pressure Transmitter:EJA530E-JDS4N-022DN/FU1/M15/T08/JH01 </t>
  </si>
  <si>
    <t>1000101124</t>
  </si>
  <si>
    <t>Teledyne Analytical Instruments</t>
  </si>
  <si>
    <t xml:space="preserve">Sensor inttatrace final assy;B71875 </t>
  </si>
  <si>
    <t>1000101736</t>
  </si>
  <si>
    <t>Hand valve 316SS,Teflon packing,6000 PSI at 100 deg.F Derlin seat,  size 1/2"Fx1/2"M;  PN:B6MX50S</t>
  </si>
  <si>
    <t>1000104575</t>
  </si>
  <si>
    <t xml:space="preserve">Double Block &amp; Bleed Needle Valve;    DBB/IN/S/50F/50F/25F-PP/NA </t>
  </si>
  <si>
    <t>1000105111</t>
  </si>
  <si>
    <t xml:space="preserve">SSB- Stainless Steel Transmitter Mounting Bolts(4800 PSI Max Pressure Rating) </t>
  </si>
  <si>
    <t>1000106622</t>
  </si>
  <si>
    <t xml:space="preserve">Pressure Transmitter:   EJA530E-JDS4N-03CEL/SF22/D1/T08/MA2 </t>
  </si>
  <si>
    <t>1000106778</t>
  </si>
  <si>
    <t xml:space="preserve">Guided Wave Radar Level Transmitter:706-512A-B10   Probe:X7C1-63N0-P08-31-007 </t>
  </si>
  <si>
    <t>1000108912</t>
  </si>
  <si>
    <t>5 valve manifold Direct mount:W5AASA-N4TE-2AM1BZ</t>
  </si>
  <si>
    <t>1000109206</t>
  </si>
  <si>
    <t>Gauge Pressure Transmitter:EJA530E-JDH4N-03CEN/SU22/D1/T08/M15</t>
  </si>
  <si>
    <t>1000094598</t>
  </si>
  <si>
    <t xml:space="preserve">2 WAY MANIFOLD;  Model:G12FMS/AG/NA/PP </t>
  </si>
  <si>
    <t xml:space="preserve">Oliver make Isolating Needle Valve Model No : M50S/HP </t>
  </si>
  <si>
    <t>1000101739</t>
  </si>
  <si>
    <t>Al Othman Industrial Marketing (IMCO)</t>
  </si>
  <si>
    <t xml:space="preserve">Plug Hex head 316SS;size 1/2" M;  PN:T8PP316 </t>
  </si>
  <si>
    <t>1000101740</t>
  </si>
  <si>
    <t>Hex reducing Nipple 316SS; 3/4"Mx1/2"M ;   PN:T12RNP8316</t>
  </si>
  <si>
    <t>1000105389</t>
  </si>
  <si>
    <t xml:space="preserve">Guided wave TDR level Transmitter:706-512A-310   Guided  wave TDR Probe:X7CF-5300-F00-00-423 </t>
  </si>
  <si>
    <t>1000108855</t>
  </si>
  <si>
    <t>Gauge Pressure Transmitter:EJA530E-FAS4N-03CDL/SS26/D1/M15/T06</t>
  </si>
  <si>
    <t>1000109204</t>
  </si>
  <si>
    <t>Gauge Pressure Transmitter:EJA530E-JBH4N-03CEL/SU22/D1/T06/M15</t>
  </si>
  <si>
    <t>1000109440</t>
  </si>
  <si>
    <t xml:space="preserve">Temperature Transmitter:YTA610-FA1A4DB/SU25  </t>
  </si>
  <si>
    <t>1000109500</t>
  </si>
  <si>
    <t xml:space="preserve">Flow Assembly;ISC40FF-FA/FF3/MP </t>
  </si>
  <si>
    <t>1000110117</t>
  </si>
  <si>
    <t xml:space="preserve">Coriolis Mass Flow Meter;RCUN08K-15TT90-0C8E-SF22-2-JB1/BG/L005/P3/P6/P8   </t>
  </si>
  <si>
    <t>1000093206</t>
  </si>
  <si>
    <t xml:space="preserve">Oliver make manifolds;  Model:G12MFHC/NA/PP </t>
  </si>
  <si>
    <t>1000096631</t>
  </si>
  <si>
    <t xml:space="preserve">Oliver make 5 way Manifold;Y53S/NA/PP/AG </t>
  </si>
  <si>
    <t>1000107712</t>
  </si>
  <si>
    <t xml:space="preserve">Pressure Transmitter:EJA530E-JAS4N-03CEL/SF22/D1/C2/CA/T05/M15   </t>
  </si>
  <si>
    <t>1000108831</t>
  </si>
  <si>
    <t>Gauge Pressure Transmitter:EJA530E-JCS7N- 032DL/SF22/D1/M15/T07</t>
  </si>
  <si>
    <t>1000108829</t>
  </si>
  <si>
    <t>Gauge Pressure Transmitter: EJA530E-FCS7N- 032DL/SS26/D1/M15/T07</t>
  </si>
  <si>
    <t>1000109430</t>
  </si>
  <si>
    <t xml:space="preserve">Coriolis Mass Flow Meter;RCUT08K-16TA91-0C8E-SF22-2-JB1/BG/L005/P3/P6/P8   </t>
  </si>
  <si>
    <t>1000092606</t>
  </si>
  <si>
    <t xml:space="preserve">Oliver Make 2 way manifold, G12MFS/NA/PP </t>
  </si>
  <si>
    <t>1000092786</t>
  </si>
  <si>
    <t xml:space="preserve">Oliver make 2 way manifolds; Model no:G12FFS/NA/PP/AG </t>
  </si>
  <si>
    <t>1000092787</t>
  </si>
  <si>
    <t xml:space="preserve">Oliver make 5 way manifolds; Model no:Y53HC/NA/PP </t>
  </si>
  <si>
    <t>1000094968</t>
  </si>
  <si>
    <t xml:space="preserve">O-RING FLOUROCARBON;  Model:B1035ER </t>
  </si>
  <si>
    <t>1000101742</t>
  </si>
  <si>
    <t xml:space="preserve">Hex long nipple 316SS;2" long;size 1/2"Mx2"L;   PN:T8NP316 </t>
  </si>
  <si>
    <t>1000102827</t>
  </si>
  <si>
    <t xml:space="preserve">Vortex Flowmeter    Medium:NH3(Ammonia)    Model:DY025-JBLBA1-2D/L2/M01 </t>
  </si>
  <si>
    <t>1000103765</t>
  </si>
  <si>
    <t xml:space="preserve">3020 Flange Seal Ring made in PTFE- to suit oliver valves direct mount manifolds OD 23.75mm, ID 18.16mm thickness 2.92mm </t>
  </si>
  <si>
    <t>1000107970</t>
  </si>
  <si>
    <t>Pressure Transmitter:EJA530E-JCS7N-03CEL/SF22/D1/T08/M15</t>
  </si>
  <si>
    <t>1000108840</t>
  </si>
  <si>
    <t>Gauge Pressure Transmitter:EJA530E-FCS7N- 032DL/D1/M15/T07</t>
  </si>
  <si>
    <t>1000108832</t>
  </si>
  <si>
    <t>Gauge Pressure Transmitter:EJA530E-FCH7N- 032DL/SS26/D1/M15/T07</t>
  </si>
  <si>
    <t>1000108914</t>
  </si>
  <si>
    <t>Sensortech Saudi Manufacturing Co., Ltd.</t>
  </si>
  <si>
    <t xml:space="preserve">RTD with Thermowell:"1102SLS3IP39B36C4M310''R2T11 TW-FL FAIDDBUD-8''2.25''G3G7RA1.063''0.625''Z </t>
  </si>
  <si>
    <t>1000109677</t>
  </si>
  <si>
    <t xml:space="preserve">Variable Area Flowmeter;RAKD01-D4SS-41NNN-E80424/P6   </t>
  </si>
  <si>
    <t>1000092603</t>
  </si>
  <si>
    <t xml:space="preserve">Oliver Make 5 way manifold, Y53S/NA/PP </t>
  </si>
  <si>
    <t>1000095711</t>
  </si>
  <si>
    <t xml:space="preserve">SENSOR MFC B2C P/N C06689-B2C </t>
  </si>
  <si>
    <t>1000102829</t>
  </si>
  <si>
    <t xml:space="preserve">Vortex Flowmeter    Medium:Acytelyne    Model:DY025-JBLBA1-2D/L2/M01 </t>
  </si>
  <si>
    <t>1000105378</t>
  </si>
  <si>
    <t xml:space="preserve">Differential Pressure Transmitter:EJA110E-JVH5G-93CEJ/SF2/D1/T12/M01 </t>
  </si>
  <si>
    <t>1000108095</t>
  </si>
  <si>
    <t>Flow &amp; Control System Pvt. Ltd.</t>
  </si>
  <si>
    <t xml:space="preserve">Float &amp; Tape Level Indicator:FC-133ATLG  Make Flow &amp; Control Tag:G36-LG-0125 &amp; G38-LG-0126       </t>
  </si>
  <si>
    <t>1000108213</t>
  </si>
  <si>
    <t>2 Valve Manifold:SAFMSA-N4N4-AM01BZ</t>
  </si>
  <si>
    <t>1000108300</t>
  </si>
  <si>
    <t xml:space="preserve">Temperature Transmitter,  YTA610-JA2A2DB/SU2 </t>
  </si>
  <si>
    <t>1000108828</t>
  </si>
  <si>
    <t>Gauge Pressure Transmitter:EJA530E-JDS7N- 032DL/SF22/D1/M15/T08</t>
  </si>
  <si>
    <t>1000109230</t>
  </si>
  <si>
    <t xml:space="preserve">Differential Pressure Transmitter:EJA110E-FHS5G-93CDJ/SF22/D1/M01/T12 </t>
  </si>
  <si>
    <t>1000109676</t>
  </si>
  <si>
    <t xml:space="preserve">Variable Area Flowmeter;RAKD01-D4SS-31NNN-E80424/P6  </t>
  </si>
  <si>
    <t>1000094597</t>
  </si>
  <si>
    <t xml:space="preserve">Pressure Transmitter;  Model:EJA530E-JBS4N-017DL/SU21/D3/M15/X2;   Tag:03GKB01CP001 / 03GKB02CP001;  Cal/set range: </t>
  </si>
  <si>
    <t>1000095712</t>
  </si>
  <si>
    <t xml:space="preserve">SENSOR MFC A2C P/N C06689-A2C </t>
  </si>
  <si>
    <t>1000095713</t>
  </si>
  <si>
    <t xml:space="preserve">SENSOR, INSTATRACE CO2 P/N B73016 </t>
  </si>
  <si>
    <t>1000101738</t>
  </si>
  <si>
    <t xml:space="preserve">Tee Screwed 316SS;size 1/2" F;  PN:T8FTP316 </t>
  </si>
  <si>
    <t>1000009349</t>
  </si>
  <si>
    <t>THERMAL INSTRUMENT INDIA PVT.LTD</t>
  </si>
  <si>
    <t>Mineral Insulated RTD with Thermowell Assembly, 2xPt-100.... Duplex, 3 Wire System + TW-BF.... Bar-Stock Flanged</t>
  </si>
  <si>
    <t>1000108319</t>
  </si>
  <si>
    <t>Autocontrol Process Instrumentation LLC</t>
  </si>
  <si>
    <t>Honeywell make HART loop Indicators:  RMA801-D-ADA-1S-71A0-F3-0000</t>
  </si>
  <si>
    <t>1000108738</t>
  </si>
  <si>
    <t>Gauge Pressure Transmitter;EJA530E-FAS4N-03DDL/SF22/D1/M15/T05</t>
  </si>
  <si>
    <t>1000109146</t>
  </si>
  <si>
    <t xml:space="preserve">Pressure Transmitter; EJA530E-JBS4N-03CDN/SU22/D3/T06/M15 </t>
  </si>
  <si>
    <t>1000109205</t>
  </si>
  <si>
    <t>Gauge Pressure Transmitter:EJA530E-JDH4N-03CEL/SU22/D1/T08/M15</t>
  </si>
  <si>
    <t>1000109315</t>
  </si>
  <si>
    <t xml:space="preserve">Temperature Transmitter:YTA710-JA1A4DN/X2/KF2/C3    </t>
  </si>
  <si>
    <t>1000109675</t>
  </si>
  <si>
    <t xml:space="preserve">Variable Area Flowmeter;RAKD01-D4SS-34NNN-E80424/P6 </t>
  </si>
  <si>
    <t>INS</t>
  </si>
  <si>
    <t xml:space="preserve">Differential Pressure Transmitter EJA110E-JLH4G-917EJ/SF2/D1/M11/T12  </t>
  </si>
  <si>
    <t>Teledyne Detcon</t>
  </si>
  <si>
    <t>Span Gas Kit for non-reactive gases, such as O2, CO or CH4 Includes Canvas Carrying Case, 0.5LPM Male Regulator and Tygon Tubing (Does not include Gas cylinder) P/N:943-050000-000</t>
  </si>
  <si>
    <t>1000090021</t>
  </si>
  <si>
    <t>O-RING,OEM,P/N:B1023ER</t>
  </si>
  <si>
    <t>1000091851</t>
  </si>
  <si>
    <t xml:space="preserve">Earth Tester; Model no:EY200 </t>
  </si>
  <si>
    <t>1000092759</t>
  </si>
  <si>
    <t xml:space="preserve">Accessory Storage case-Probe Case; Model:B9108XA </t>
  </si>
  <si>
    <t>1000091844</t>
  </si>
  <si>
    <t xml:space="preserve">Clamp On Power Meter, Model No.: CW10 </t>
  </si>
  <si>
    <t>1000091854</t>
  </si>
  <si>
    <t xml:space="preserve">Output cable for screw terminal for CL420; Model no:.98077 </t>
  </si>
  <si>
    <t>1000090828</t>
  </si>
  <si>
    <t>Yokogawa O-Ring F9341JP</t>
  </si>
  <si>
    <t>10000918380</t>
  </si>
  <si>
    <t xml:space="preserve">Voltage/Current Calibrator; Model no: CA310 </t>
  </si>
  <si>
    <t>1000091841</t>
  </si>
  <si>
    <t xml:space="preserve">Process Multimeter; Model no:CA450-E </t>
  </si>
  <si>
    <t>1000003007</t>
  </si>
  <si>
    <t>2 way manifold, Y24S/NA</t>
  </si>
  <si>
    <t>1000091847</t>
  </si>
  <si>
    <t xml:space="preserve">Yokogawa Clamp On Process Meter with Calibration certificate; Model no:CL420 </t>
  </si>
  <si>
    <t>1000094130</t>
  </si>
  <si>
    <t xml:space="preserve">Yokogawa make Current Clamp;Model;CL250 </t>
  </si>
  <si>
    <t>1000091845</t>
  </si>
  <si>
    <t xml:space="preserve">Current Clamp; Model no:CL120 </t>
  </si>
  <si>
    <t>1000091848</t>
  </si>
  <si>
    <t xml:space="preserve">Digital Multimeter; Model No.: TY710 </t>
  </si>
  <si>
    <t>1000091850</t>
  </si>
  <si>
    <t xml:space="preserve">Digital Multimeter; Model No.: 73203 </t>
  </si>
  <si>
    <t>1000093402</t>
  </si>
  <si>
    <t xml:space="preserve">Mounting Bracket;  Part no:F9900SB </t>
  </si>
  <si>
    <t>1000093495</t>
  </si>
  <si>
    <t xml:space="preserve">AC Adapter for CA150 - 739874-Q </t>
  </si>
  <si>
    <t>1000091839</t>
  </si>
  <si>
    <t xml:space="preserve">Thermocouple Calibrator; Model no: CA320 </t>
  </si>
  <si>
    <t>1000091853</t>
  </si>
  <si>
    <t xml:space="preserve">Output model-Banana Plug for CL420; Model no:.98076 </t>
  </si>
  <si>
    <t>1000094702</t>
  </si>
  <si>
    <t xml:space="preserve">Yokogawa make O ring;  Model:G9303AL </t>
  </si>
  <si>
    <t>1000092917</t>
  </si>
  <si>
    <t>Clamp Meter:Model:CL150</t>
  </si>
  <si>
    <t>1000094703</t>
  </si>
  <si>
    <t xml:space="preserve">Yokogawa make O ring;   Model:G9303NB </t>
  </si>
  <si>
    <t>1. YOKOGAWA</t>
  </si>
  <si>
    <t>2. MAGNETROL</t>
  </si>
  <si>
    <t>3. WIKA</t>
  </si>
  <si>
    <t>4. TELEDYNE</t>
  </si>
  <si>
    <t>5. BINZAGR</t>
  </si>
  <si>
    <t>6. TUBEFIT</t>
  </si>
  <si>
    <t>7. HONEYWELL</t>
  </si>
  <si>
    <t>8. HAMILTON</t>
  </si>
  <si>
    <t>9. BUSUBAIT</t>
  </si>
  <si>
    <t>10. AMETEK</t>
  </si>
  <si>
    <t>11. AMI</t>
  </si>
  <si>
    <t>12. Addamegh</t>
  </si>
  <si>
    <t>Grand Total</t>
  </si>
  <si>
    <t>No</t>
  </si>
  <si>
    <t>PHY</t>
  </si>
  <si>
    <t>DIF</t>
  </si>
  <si>
    <t xml:space="preserve">Supplier </t>
  </si>
  <si>
    <t>Expnese line item</t>
  </si>
  <si>
    <t>Fuse Low Voltage;  Model:A1457EF</t>
  </si>
  <si>
    <t xml:space="preserve">Qty 8 we sent to WIKA in 2021 </t>
  </si>
  <si>
    <t>Nusiar knows about this material (PO328175)</t>
  </si>
  <si>
    <t>As per Mustfa Material should be in Head office</t>
  </si>
  <si>
    <t xml:space="preserve">Stock Matching </t>
  </si>
  <si>
    <t xml:space="preserve">ERP ISSUES </t>
  </si>
  <si>
    <t>CLOSED</t>
  </si>
  <si>
    <t xml:space="preserve">Pending for closing </t>
  </si>
  <si>
    <t>RMA (790433) 4506472667</t>
  </si>
  <si>
    <t xml:space="preserve">Update </t>
  </si>
  <si>
    <t xml:space="preserve">Count of Update </t>
  </si>
  <si>
    <t xml:space="preserve">Counted items </t>
  </si>
  <si>
    <t>Feedback</t>
  </si>
  <si>
    <t xml:space="preserve">Mostafa pls collect the materials from Head office </t>
  </si>
  <si>
    <t xml:space="preserve">Logistic Responsible  </t>
  </si>
  <si>
    <t xml:space="preserve">Will check with ERP team </t>
  </si>
  <si>
    <t xml:space="preserve">Will check with division </t>
  </si>
  <si>
    <t>will cross check</t>
  </si>
  <si>
    <t xml:space="preserve">Finance to be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</si>
</sst>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8"/>
      <color theme="0"/>
      <name val="Tahoma"/>
      <family val="2"/>
    </font>
    <font>
      <b/>
      <sz val="11"/>
      <color rgb="FFFF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5" fillId="0" borderId="1" xfId="0" pivotButton="1" applyFont="1" applyBorder="1"/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2">
    <cellStyle name="Comma" xfId="1" builtinId="3"/>
    <cellStyle name="Normal" xfId="0" builtinId="0"/>
  </cellStyles>
  <dxfs count="20"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0.661469328705" createdVersion="8" refreshedVersion="8" minRefreshableVersion="3" recordCount="202" xr:uid="{0CE2E7C2-02B7-4B79-9086-DFA67404F76E}">
  <cacheSource type="worksheet">
    <worksheetSource ref="A1:K203" sheet="Counting Sheet"/>
  </cacheSource>
  <cacheFields count="11">
    <cacheField name="No" numFmtId="0">
      <sharedItems containsString="0" containsBlank="1" containsNumber="1" containsInteger="1" minValue="1" maxValue="201"/>
    </cacheField>
    <cacheField name="ITEM_CODE" numFmtId="0">
      <sharedItems containsMixedTypes="1" containsNumber="1" containsInteger="1" minValue="1000017135" maxValue="1000101678"/>
    </cacheField>
    <cacheField name="Supplier " numFmtId="0">
      <sharedItems containsBlank="1"/>
    </cacheField>
    <cacheField name="ITEM_DESCRIPTION" numFmtId="0">
      <sharedItems containsBlank="1"/>
    </cacheField>
    <cacheField name="INS" numFmtId="0">
      <sharedItems containsString="0" containsBlank="1" containsNumber="1" containsInteger="1" minValue="1" maxValue="127"/>
    </cacheField>
    <cacheField name="IPR" numFmtId="0">
      <sharedItems containsString="0" containsBlank="1" containsNumber="1" containsInteger="1" minValue="1" maxValue="799"/>
    </cacheField>
    <cacheField name="IRA" numFmtId="0">
      <sharedItems containsString="0" containsBlank="1" containsNumber="1" containsInteger="1" minValue="1" maxValue="1130"/>
    </cacheField>
    <cacheField name="Grand Total" numFmtId="0">
      <sharedItems containsSemiMixedTypes="0" containsString="0" containsNumber="1" containsInteger="1" minValue="1" maxValue="2056"/>
    </cacheField>
    <cacheField name="PHY" numFmtId="0">
      <sharedItems containsString="0" containsBlank="1" containsNumber="1" containsInteger="1" minValue="0" maxValue="240"/>
    </cacheField>
    <cacheField name="DIF" numFmtId="0">
      <sharedItems containsString="0" containsBlank="1" containsNumber="1" containsInteger="1" minValue="-80" maxValue="0"/>
    </cacheField>
    <cacheField name="Update " numFmtId="0">
      <sharedItems containsBlank="1" count="10">
        <s v="Stock Matching "/>
        <s v="ERP ISSUES "/>
        <s v="Expnese line item"/>
        <s v="CLOSED"/>
        <s v="Qty 8 we sent to WIKA in 2021 "/>
        <s v="As per Mustfa Material should be in Head office"/>
        <s v="RMA (790433) 4506472667"/>
        <s v="Nusiar knows about this material (PO328175)"/>
        <s v="Pending for closing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"/>
    <s v="1000001398"/>
    <s v="Yokogawa Middle East &amp; Africa B.S.C. ©"/>
    <s v="O-Ring, F9300AJ"/>
    <m/>
    <m/>
    <n v="8"/>
    <n v="8"/>
    <n v="8"/>
    <n v="0"/>
    <x v="0"/>
  </r>
  <r>
    <n v="2"/>
    <s v="1000001553"/>
    <s v="Yokogawa Middle East &amp; Africa B.S.C. ©"/>
    <s v="Signal Cable, KS1-10*B"/>
    <m/>
    <m/>
    <n v="4"/>
    <n v="4"/>
    <n v="0"/>
    <n v="-4"/>
    <x v="1"/>
  </r>
  <r>
    <n v="3"/>
    <s v="1000002563"/>
    <s v="Yokogawa Middle East &amp; Africa B.S.C. ©"/>
    <s v="Ethernet Communication Module, ALE111-S50 "/>
    <m/>
    <n v="1"/>
    <n v="1"/>
    <n v="2"/>
    <n v="2"/>
    <n v="0"/>
    <x v="0"/>
  </r>
  <r>
    <n v="4"/>
    <s v="1000002870"/>
    <s v="Yokogawa Middle East &amp; Africa B.S.C. ©"/>
    <s v="Pressure Clamp (Basic Type), NFTA4S-00"/>
    <m/>
    <m/>
    <n v="2"/>
    <n v="2"/>
    <n v="2"/>
    <n v="0"/>
    <x v="0"/>
  </r>
  <r>
    <n v="5"/>
    <s v="1000002878"/>
    <s v="Yokogawa Saudi Arabia Company"/>
    <s v="Tempetarure Transmitter , YTA610-JA1A2DB/SU2"/>
    <m/>
    <m/>
    <n v="2"/>
    <n v="2"/>
    <n v="2"/>
    <n v="0"/>
    <x v="0"/>
  </r>
  <r>
    <n v="6"/>
    <s v="1000003007"/>
    <s v="Yokogawa Middle East &amp; Africa B.S.C. ©"/>
    <s v="2 way manifold, Y24S/NA"/>
    <n v="3"/>
    <m/>
    <m/>
    <n v="3"/>
    <n v="3"/>
    <n v="0"/>
    <x v="0"/>
  </r>
  <r>
    <n v="7"/>
    <s v="1000003017"/>
    <s v="Yokogawa Middle East &amp; Africa B.S.C. ©"/>
    <s v="Teflon Gasket (1 pk consist of 5 nos of gaskets), D0114RB"/>
    <m/>
    <m/>
    <n v="2"/>
    <n v="2"/>
    <n v="2"/>
    <n v="0"/>
    <x v="0"/>
  </r>
  <r>
    <n v="8"/>
    <s v="1000009349"/>
    <s v="THERMAL INSTRUMENT INDIA PVT.LTD"/>
    <s v="Mineral Insulated RTD with Thermowell Assembly, 2xPt-100.... Duplex, 3 Wire System + TW-BF.... Bar-Stock Flanged"/>
    <m/>
    <n v="3"/>
    <m/>
    <n v="3"/>
    <n v="3"/>
    <n v="0"/>
    <x v="0"/>
  </r>
  <r>
    <n v="9"/>
    <n v="1000017135"/>
    <s v="Yokogawa Services Saudi Arabia Co."/>
    <s v="Packing &amp; Handling Charge"/>
    <m/>
    <m/>
    <n v="1"/>
    <n v="1"/>
    <n v="0"/>
    <n v="-1"/>
    <x v="2"/>
  </r>
  <r>
    <n v="10"/>
    <n v="1000017136"/>
    <s v="Yokogawa Saudi Arabia Company"/>
    <s v="Documentation"/>
    <m/>
    <m/>
    <n v="1"/>
    <n v="1"/>
    <n v="0"/>
    <n v="-1"/>
    <x v="2"/>
  </r>
  <r>
    <n v="11"/>
    <s v="1000090021"/>
    <s v="Yokogawa Middle East &amp; Africa B.S.C. ©"/>
    <s v="O-RING,OEM,P/N:B1023ER"/>
    <n v="3"/>
    <m/>
    <m/>
    <n v="3"/>
    <n v="3"/>
    <n v="0"/>
    <x v="0"/>
  </r>
  <r>
    <n v="12"/>
    <s v="1000090828"/>
    <s v="Yokogawa Middle East &amp; Africa B.S.C. ©"/>
    <s v="Yokogawa O-Ring F9341JP"/>
    <n v="8"/>
    <m/>
    <m/>
    <n v="8"/>
    <n v="8"/>
    <n v="0"/>
    <x v="0"/>
  </r>
  <r>
    <n v="13"/>
    <s v="1000090908"/>
    <s v="Thermo Electric Instrumentation B.V."/>
    <s v="Thermo Electric Make Digital Motherboard PN:0B100/01/03/PL/I9;  Statistic code:85371091-Daughterboard"/>
    <m/>
    <n v="1"/>
    <m/>
    <n v="1"/>
    <n v="1"/>
    <n v="0"/>
    <x v="0"/>
  </r>
  <r>
    <n v="14"/>
    <s v="1000091497"/>
    <s v="Oliver Valves Ltd."/>
    <s v="2-way Manifold, G12FMS/NA/PP "/>
    <m/>
    <m/>
    <n v="14"/>
    <n v="14"/>
    <n v="14"/>
    <n v="0"/>
    <x v="0"/>
  </r>
  <r>
    <n v="15"/>
    <s v="1000091674"/>
    <s v="Yokogawa Saudi Arabia Company"/>
    <s v="Temperature Transmitter YTA610-JA1A2DJ/SU2"/>
    <m/>
    <n v="12"/>
    <n v="10"/>
    <n v="22"/>
    <n v="22"/>
    <n v="0"/>
    <x v="0"/>
  </r>
  <r>
    <n v="16"/>
    <s v="10000918380"/>
    <s v="Yokogawa Middle East &amp; Africa B.S.C. ©"/>
    <s v="Voltage/Current Calibrator; Model no: CA310 "/>
    <n v="1"/>
    <m/>
    <m/>
    <n v="1"/>
    <n v="1"/>
    <n v="0"/>
    <x v="0"/>
  </r>
  <r>
    <n v="17"/>
    <s v="1000091839"/>
    <s v="Yokogawa Middle East &amp; Africa B.S.C. ©"/>
    <s v="Thermocouple Calibrator; Model no: CA320 "/>
    <n v="1"/>
    <m/>
    <m/>
    <n v="1"/>
    <n v="1"/>
    <n v="0"/>
    <x v="0"/>
  </r>
  <r>
    <n v="18"/>
    <s v="1000091841"/>
    <s v="Yokogawa Middle East &amp; Africa B.S.C. ©"/>
    <s v="Process Multimeter; Model no:CA450-E "/>
    <n v="1"/>
    <m/>
    <m/>
    <n v="1"/>
    <n v="1"/>
    <n v="0"/>
    <x v="0"/>
  </r>
  <r>
    <n v="19"/>
    <s v="1000091843"/>
    <s v="Yokogawa Middle East &amp; Africa B.S.C. ©"/>
    <s v="Supply of Yokogawa Mutifunction Calibrator;  Model no: CA150; "/>
    <m/>
    <m/>
    <n v="1"/>
    <n v="1"/>
    <n v="0"/>
    <n v="-1"/>
    <x v="1"/>
  </r>
  <r>
    <n v="20"/>
    <s v="1000091844"/>
    <s v="Yokogawa Middle East &amp; Africa B.S.C. ©"/>
    <s v="Clamp On Power Meter, Model No.: CW10 "/>
    <n v="1"/>
    <m/>
    <m/>
    <n v="1"/>
    <n v="1"/>
    <n v="0"/>
    <x v="0"/>
  </r>
  <r>
    <n v="21"/>
    <s v="1000091845"/>
    <s v="Yokogawa Middle East &amp; Africa B.S.C. ©"/>
    <s v="Current Clamp; Model no:CL120 "/>
    <n v="2"/>
    <m/>
    <m/>
    <n v="2"/>
    <n v="2"/>
    <n v="0"/>
    <x v="0"/>
  </r>
  <r>
    <n v="22"/>
    <s v="1000091847"/>
    <s v="Yokogawa Middle East &amp; Africa B.S.C. ©"/>
    <s v="Yokogawa Clamp On Process Meter with Calibration certificate; Model no:CL420 "/>
    <n v="3"/>
    <m/>
    <m/>
    <n v="3"/>
    <n v="3"/>
    <n v="0"/>
    <x v="0"/>
  </r>
  <r>
    <n v="23"/>
    <s v="1000091848"/>
    <s v="Yokogawa Middle East &amp; Africa B.S.C. ©"/>
    <s v="Digital Multimeter; Model No.: TY710 "/>
    <n v="1"/>
    <m/>
    <m/>
    <n v="1"/>
    <n v="1"/>
    <n v="0"/>
    <x v="0"/>
  </r>
  <r>
    <n v="24"/>
    <s v="1000091850"/>
    <s v="Yokogawa Middle East &amp; Africa B.S.C. ©"/>
    <s v="Digital Multimeter; Model No.: 73203 "/>
    <n v="4"/>
    <m/>
    <m/>
    <n v="4"/>
    <n v="4"/>
    <n v="0"/>
    <x v="0"/>
  </r>
  <r>
    <n v="25"/>
    <s v="1000091851"/>
    <s v="Yokogawa Middle East &amp; Africa B.S.C. ©"/>
    <s v="Earth Tester; Model no:EY200 "/>
    <n v="1"/>
    <m/>
    <m/>
    <n v="1"/>
    <n v="1"/>
    <n v="0"/>
    <x v="0"/>
  </r>
  <r>
    <n v="26"/>
    <s v="1000091853"/>
    <s v="Yokogawa Middle East &amp; Africa B.S.C. ©"/>
    <s v="Output model-Banana Plug for CL420; Model no:.98076 "/>
    <n v="2"/>
    <m/>
    <m/>
    <n v="2"/>
    <n v="2"/>
    <n v="0"/>
    <x v="0"/>
  </r>
  <r>
    <n v="27"/>
    <s v="1000091854"/>
    <s v="Yokogawa Middle East &amp; Africa B.S.C. ©"/>
    <s v="Output cable for screw terminal for CL420; Model no:.98077 "/>
    <n v="1"/>
    <m/>
    <m/>
    <n v="1"/>
    <n v="1"/>
    <n v="0"/>
    <x v="0"/>
  </r>
  <r>
    <n v="28"/>
    <n v="1000092232"/>
    <s v="Yokogawa Saudi Arabia Company"/>
    <s v="Commissioning Service &amp; SAT "/>
    <m/>
    <m/>
    <n v="1"/>
    <n v="1"/>
    <n v="0"/>
    <n v="-1"/>
    <x v="2"/>
  </r>
  <r>
    <n v="29"/>
    <s v="1000092603"/>
    <s v="Oliver Valves Ltd."/>
    <s v="Oliver Make 5 way manifold, Y53S/NA/PP "/>
    <m/>
    <n v="33"/>
    <m/>
    <n v="33"/>
    <n v="33"/>
    <n v="0"/>
    <x v="0"/>
  </r>
  <r>
    <n v="30"/>
    <s v="1000092606"/>
    <s v="Oliver Valves Ltd."/>
    <s v="Oliver Make 2 way manifold, G12MFS/NA/PP "/>
    <m/>
    <n v="38"/>
    <m/>
    <n v="38"/>
    <n v="38"/>
    <n v="0"/>
    <x v="0"/>
  </r>
  <r>
    <n v="31"/>
    <s v="1000092687"/>
    <s v="Yokogawa Middle East &amp; Africa B.S.C. ©"/>
    <s v="Analog I/O Module, AAI135-HE0  "/>
    <m/>
    <m/>
    <n v="4"/>
    <n v="4"/>
    <n v="4"/>
    <n v="0"/>
    <x v="0"/>
  </r>
  <r>
    <n v="32"/>
    <s v="1000092753"/>
    <s v="Yokogawa Middle East &amp; Africa B.S.C. ©"/>
    <s v="Bezel Assembly, Model code B8705KY + Main FFC, Model code, B8706MH "/>
    <m/>
    <m/>
    <n v="1"/>
    <n v="1"/>
    <n v="1"/>
    <n v="0"/>
    <x v="0"/>
  </r>
  <r>
    <n v="33"/>
    <s v="1000092759"/>
    <s v="Yokogawa Middle East &amp; Africa B.S.C. ©"/>
    <s v="Accessory Storage case-Probe Case; Model:B9108XA "/>
    <n v="1"/>
    <m/>
    <m/>
    <n v="1"/>
    <n v="1"/>
    <n v="0"/>
    <x v="0"/>
  </r>
  <r>
    <n v="34"/>
    <s v="1000092786"/>
    <s v="Oliver Valves Ltd."/>
    <s v="Oliver make 2 way manifolds; Model no:G12FFS/NA/PP/AG "/>
    <m/>
    <n v="9"/>
    <m/>
    <n v="9"/>
    <n v="9"/>
    <n v="0"/>
    <x v="0"/>
  </r>
  <r>
    <n v="35"/>
    <s v="1000092787"/>
    <s v="Oliver Valves Ltd."/>
    <s v="Oliver make 5 way manifolds; Model no:Y53HC/NA/PP "/>
    <m/>
    <n v="4"/>
    <m/>
    <n v="4"/>
    <n v="4"/>
    <n v="0"/>
    <x v="0"/>
  </r>
  <r>
    <n v="36"/>
    <s v="1000092788"/>
    <s v="Yokogawa Middle East &amp; Africa B.S.C. ©"/>
    <s v="20041389;Hamilton make PH Probe; Model no: 238437 "/>
    <m/>
    <m/>
    <n v="6"/>
    <n v="6"/>
    <n v="6"/>
    <n v="0"/>
    <x v="0"/>
  </r>
  <r>
    <n v="37"/>
    <s v="1000092917"/>
    <s v="Yokogawa Middle East &amp; Africa B.S.C. ©"/>
    <s v="Clamp Meter:Model:CL150"/>
    <n v="3"/>
    <m/>
    <m/>
    <n v="3"/>
    <n v="3"/>
    <n v="0"/>
    <x v="0"/>
  </r>
  <r>
    <n v="38"/>
    <s v="1000093147"/>
    <s v="WIKA Saudi Arabia LLC"/>
    <s v="WIKA make Flushing Ring ; Model No: 910.27 "/>
    <m/>
    <m/>
    <n v="12"/>
    <n v="12"/>
    <n v="12"/>
    <n v="0"/>
    <x v="0"/>
  </r>
  <r>
    <n v="39"/>
    <s v="1000093200"/>
    <s v="Yokogawa Middle East &amp; Africa B.S.C. ©"/>
    <s v=" 250 Ohms Shunt Resistor for 4 to 20 mA input;  Model: X010-250-3 "/>
    <m/>
    <m/>
    <n v="13"/>
    <n v="13"/>
    <n v="13"/>
    <n v="0"/>
    <x v="0"/>
  </r>
  <r>
    <n v="40"/>
    <s v="1000093206"/>
    <s v="Oliver Valves Ltd."/>
    <s v="Oliver make manifolds;  Model:G12MFHC/NA/PP "/>
    <m/>
    <n v="2"/>
    <m/>
    <n v="2"/>
    <n v="2"/>
    <n v="0"/>
    <x v="0"/>
  </r>
  <r>
    <n v="41"/>
    <s v="1000093222"/>
    <s v="Yokogawa Middle East &amp; Africa B.S.C. ©"/>
    <s v="Digital Input Module (16-channel, 24 V DC, module isolation, SDV144-S53/B4D10"/>
    <m/>
    <m/>
    <n v="3"/>
    <n v="3"/>
    <n v="3"/>
    <n v="0"/>
    <x v="0"/>
  </r>
  <r>
    <n v="42"/>
    <s v="1000093230"/>
    <s v="Yokogawa Middle East &amp; Africa B.S.C. ©"/>
    <s v="Foundation Fieldbus (FF-H1) module (4 Segment), ALF111-S50"/>
    <m/>
    <m/>
    <n v="1"/>
    <n v="1"/>
    <n v="1"/>
    <n v="0"/>
    <x v="0"/>
  </r>
  <r>
    <n v="43"/>
    <s v="1000093278"/>
    <s v="Oliver Valves Ltd."/>
    <s v="Oliver Make 7/16-20UNF Hexagon Head Bolt 1 3/4 inch long, Model No : SSB "/>
    <m/>
    <m/>
    <n v="156"/>
    <n v="156"/>
    <n v="156"/>
    <n v="0"/>
    <x v="0"/>
  </r>
  <r>
    <n v="44"/>
    <s v="1000093402"/>
    <s v="Yokogawa Middle East &amp; Africa B.S.C. ©"/>
    <s v="Mounting Bracket;  Part no:F9900SB "/>
    <n v="24"/>
    <m/>
    <m/>
    <n v="24"/>
    <n v="24"/>
    <n v="0"/>
    <x v="0"/>
  </r>
  <r>
    <n v="45"/>
    <s v="1000093479"/>
    <s v="Oliver Valves Ltd."/>
    <s v="Oliver make 5 way manifolds;  Model no:Y53HC/NA "/>
    <m/>
    <n v="3"/>
    <m/>
    <n v="3"/>
    <n v="3"/>
    <n v="0"/>
    <x v="0"/>
  </r>
  <r>
    <n v="46"/>
    <s v="1000093495"/>
    <s v="Yokogawa Middle East &amp; Africa B.S.C. ©"/>
    <s v="AC Adapter for CA150 - 739874-Q "/>
    <n v="1"/>
    <m/>
    <m/>
    <n v="1"/>
    <n v="1"/>
    <n v="0"/>
    <x v="0"/>
  </r>
  <r>
    <n v="47"/>
    <s v="1000093526"/>
    <s v="Yokogawa Middle East &amp; Africa B.S.C. ©"/>
    <s v="Power Assy (24 VAC/DC);B8705EA "/>
    <m/>
    <m/>
    <n v="2"/>
    <n v="2"/>
    <n v="2"/>
    <n v="0"/>
    <x v="0"/>
  </r>
  <r>
    <n v="48"/>
    <s v="1000093527"/>
    <s v="Yokogawa Middle East &amp; Africa B.S.C. ©"/>
    <s v="Main Assy (USB1);B8705ED "/>
    <m/>
    <m/>
    <n v="2"/>
    <n v="2"/>
    <n v="2"/>
    <n v="0"/>
    <x v="0"/>
  </r>
  <r>
    <n v="49"/>
    <s v="1000093528"/>
    <s v="Yokogawa Middle East &amp; Africa B.S.C. ©"/>
    <s v="CF Assy (USB1); B870EE "/>
    <m/>
    <m/>
    <n v="2"/>
    <n v="2"/>
    <n v="2"/>
    <n v="0"/>
    <x v="0"/>
  </r>
  <r>
    <n v="50"/>
    <s v="1000093529"/>
    <s v="Yokogawa Middle East &amp; Africa B.S.C. ©"/>
    <s v="AD-STD 6 CH ( not N1/N2); B8706RP "/>
    <m/>
    <m/>
    <n v="2"/>
    <n v="2"/>
    <n v="2"/>
    <n v="0"/>
    <x v="0"/>
  </r>
  <r>
    <n v="51"/>
    <s v="1000093739"/>
    <s v="WIKA Saudi Arabia LLC"/>
    <s v="Diaphargm seal;Model:990.27;  "/>
    <m/>
    <m/>
    <n v="4"/>
    <n v="4"/>
    <n v="4"/>
    <n v="0"/>
    <x v="0"/>
  </r>
  <r>
    <n v="52"/>
    <s v="1000093937"/>
    <s v="Yokogawa Saudi Arabia Company"/>
    <s v="Yokogawa make Temperature transmitter;  Model:YTA610-JA1A2DK/SU2/X2 "/>
    <m/>
    <n v="42"/>
    <m/>
    <n v="42"/>
    <n v="42"/>
    <n v="0"/>
    <x v="0"/>
  </r>
  <r>
    <n v="53"/>
    <s v="1000094130"/>
    <s v="Yokogawa Middle East &amp; Africa B.S.C. ©"/>
    <s v="Yokogawa make Current Clamp;Model;CL250 "/>
    <n v="1"/>
    <m/>
    <m/>
    <n v="1"/>
    <n v="1"/>
    <n v="0"/>
    <x v="0"/>
  </r>
  <r>
    <n v="54"/>
    <n v="1000094513"/>
    <s v="Yokogawa Middle East &amp; Africa B.S.C. ©"/>
    <s v="Digital Signal Cable Model: AKB331-M015  "/>
    <m/>
    <m/>
    <n v="2"/>
    <n v="2"/>
    <n v="0"/>
    <n v="-2"/>
    <x v="1"/>
  </r>
  <r>
    <n v="55"/>
    <s v="1000094597"/>
    <s v="Yokogawa Middle East &amp; Africa B.S.C. ©"/>
    <s v="Pressure Transmitter;  Model:EJA530E-JBS4N-017DL/SU21/D3/M15/X2;   Tag:03GKB01CP001 / 03GKB02CP001;  Cal/set range: "/>
    <m/>
    <n v="2"/>
    <m/>
    <n v="2"/>
    <n v="2"/>
    <n v="0"/>
    <x v="0"/>
  </r>
  <r>
    <n v="56"/>
    <s v="1000094598"/>
    <s v="Oliver Valves Ltd."/>
    <s v="2 WAY MANIFOLD;  Model:G12FMS/AG/NA/PP "/>
    <m/>
    <n v="2"/>
    <m/>
    <n v="2"/>
    <n v="2"/>
    <n v="0"/>
    <x v="0"/>
  </r>
  <r>
    <n v="57"/>
    <s v="1000094702"/>
    <s v="Yokogawa Middle East &amp; Africa B.S.C. ©"/>
    <s v="Yokogawa make O ring;  Model:G9303AL "/>
    <n v="15"/>
    <m/>
    <m/>
    <n v="15"/>
    <n v="15"/>
    <n v="0"/>
    <x v="0"/>
  </r>
  <r>
    <n v="58"/>
    <s v="1000094703"/>
    <s v="Yokogawa Middle East &amp; Africa B.S.C. ©"/>
    <s v="Yokogawa make O ring;   Model:G9303NB "/>
    <n v="15"/>
    <m/>
    <m/>
    <n v="15"/>
    <n v="15"/>
    <n v="0"/>
    <x v="0"/>
  </r>
  <r>
    <n v="59"/>
    <s v="1000094968"/>
    <s v="Yokogawa Middle East &amp; Africa B.S.C. ©"/>
    <s v="O-RING FLOUROCARBON;  Model:B1035ER "/>
    <n v="4"/>
    <n v="4"/>
    <m/>
    <n v="8"/>
    <n v="8"/>
    <n v="0"/>
    <x v="0"/>
  </r>
  <r>
    <n v="60"/>
    <s v="1000094969"/>
    <s v="Yokogawa Middle East &amp; Africa B.S.C. ©"/>
    <s v="Fuse Low Voltage;  Model:A1457EF"/>
    <n v="7"/>
    <m/>
    <n v="2"/>
    <n v="9"/>
    <n v="9"/>
    <n v="0"/>
    <x v="0"/>
  </r>
  <r>
    <n v="61"/>
    <s v="1000095106"/>
    <s v="Oliver Valves Ltd."/>
    <s v="Oliver make 2-way Manifold  Model No.: G12FMHC/NA/PP "/>
    <m/>
    <m/>
    <n v="10"/>
    <n v="10"/>
    <n v="10"/>
    <n v="0"/>
    <x v="0"/>
  </r>
  <r>
    <n v="62"/>
    <n v="1000095124"/>
    <s v="Yokogawa Middle East &amp; Africa B.S.C. ©"/>
    <s v="Differential Pressure Transmitter;  Model:'EJA110E-FHSWG-922DJ/SS26;  Tag:D42-234-PDT-3012  Cal/set range:0 to 60 psig "/>
    <m/>
    <m/>
    <n v="2"/>
    <n v="2"/>
    <n v="0"/>
    <n v="-2"/>
    <x v="3"/>
  </r>
  <r>
    <n v="63"/>
    <s v="1000095544"/>
    <s v="WIKA Saudi Arabia LLC"/>
    <s v="Model: 910.13 Over Pressure Protector "/>
    <m/>
    <m/>
    <n v="4"/>
    <n v="4"/>
    <n v="4"/>
    <n v="0"/>
    <x v="0"/>
  </r>
  <r>
    <n v="64"/>
    <s v="1000095711"/>
    <s v="Teledyne Analytical Instruments"/>
    <s v="SENSOR MFC B2C P/N C06689-B2C "/>
    <m/>
    <n v="1"/>
    <m/>
    <n v="1"/>
    <n v="1"/>
    <n v="0"/>
    <x v="0"/>
  </r>
  <r>
    <n v="65"/>
    <s v="1000095712"/>
    <s v="Teledyne Analytical Instruments"/>
    <s v="SENSOR MFC A2C P/N C06689-A2C "/>
    <m/>
    <n v="5"/>
    <m/>
    <n v="5"/>
    <n v="5"/>
    <n v="0"/>
    <x v="0"/>
  </r>
  <r>
    <n v="66"/>
    <s v="1000095713"/>
    <s v="Teledyne Analytical Instruments"/>
    <s v="SENSOR, INSTATRACE CO2 P/N B73016 "/>
    <m/>
    <n v="5"/>
    <m/>
    <n v="5"/>
    <n v="5"/>
    <n v="0"/>
    <x v="0"/>
  </r>
  <r>
    <n v="67"/>
    <s v="1000095722"/>
    <s v="Yokogawa Middle East &amp; Africa B.S.C. ©"/>
    <s v="Multifunction Calibrator,  Model: CA550 "/>
    <m/>
    <m/>
    <n v="1"/>
    <n v="1"/>
    <n v="1"/>
    <n v="0"/>
    <x v="0"/>
  </r>
  <r>
    <n v="68"/>
    <s v="1000096631"/>
    <s v="Oliver Valves Ltd."/>
    <s v="Oliver make 5 way Manifold;Y53S/NA/PP/AG "/>
    <m/>
    <n v="11"/>
    <m/>
    <n v="11"/>
    <n v="11"/>
    <n v="0"/>
    <x v="0"/>
  </r>
  <r>
    <n v="69"/>
    <s v="1000096783"/>
    <s v="Yokogawa Middle East &amp; Africa B.S.C. ©"/>
    <s v="Fuse Low Voltage;A1113EF  "/>
    <m/>
    <m/>
    <n v="3"/>
    <n v="3"/>
    <n v="3"/>
    <n v="0"/>
    <x v="0"/>
  </r>
  <r>
    <n v="70"/>
    <s v="1000096838"/>
    <s v="Yokogawa Middle East &amp; Africa B.S.C. ©"/>
    <s v="Process Connector  1/2 IN; SS AISI;F9277YZ  "/>
    <m/>
    <m/>
    <n v="240"/>
    <n v="240"/>
    <n v="240"/>
    <n v="0"/>
    <x v="0"/>
  </r>
  <r>
    <n v="71"/>
    <s v="1000096967"/>
    <s v="Yokogawa Middle East &amp; Africa B.S.C. ©"/>
    <s v="Power Supply Bus Unit, Vertical Type, AEPV7D-115 "/>
    <m/>
    <m/>
    <n v="15"/>
    <n v="15"/>
    <n v="15"/>
    <n v="0"/>
    <x v="0"/>
  </r>
  <r>
    <n v="72"/>
    <s v="1000097546"/>
    <s v="Yokogawa Middle East &amp; Africa B.S.C. ©"/>
    <s v="Cooling Fan, AIP602  "/>
    <m/>
    <m/>
    <n v="13"/>
    <n v="13"/>
    <n v="13"/>
    <n v="0"/>
    <x v="0"/>
  </r>
  <r>
    <n v="73"/>
    <s v="1000097811"/>
    <s v="AlNijeidi Trading Est."/>
    <s v="Parker Manifold;HNVSMSW4NBM10A3-5 "/>
    <m/>
    <m/>
    <n v="9"/>
    <n v="9"/>
    <n v="1"/>
    <n v="-8"/>
    <x v="4"/>
  </r>
  <r>
    <n v="74"/>
    <s v="1000097873"/>
    <s v="Yokogawa Middle East &amp; Africa B.S.C. ©"/>
    <s v="O-Ring for YTA series (1 pack = 10 pcs), F9165CS"/>
    <m/>
    <m/>
    <n v="4"/>
    <n v="4"/>
    <n v="4"/>
    <n v="0"/>
    <x v="0"/>
  </r>
  <r>
    <n v="75"/>
    <s v="1000098395"/>
    <s v="Yokogawa Middle East &amp; Africa B.S.C. ©"/>
    <s v="CPU Module;NFCP501-W06 "/>
    <m/>
    <m/>
    <n v="14"/>
    <n v="14"/>
    <n v="14"/>
    <n v="0"/>
    <x v="0"/>
  </r>
  <r>
    <n v="76"/>
    <s v="1000098561"/>
    <s v="Yokogawa Middle East &amp; Africa B.S.C. ©"/>
    <s v="Honeywell Make level indicator   RMA801-D-ADA-1S-71A0-F3-0000  "/>
    <m/>
    <n v="3"/>
    <m/>
    <n v="3"/>
    <n v="3"/>
    <n v="0"/>
    <x v="0"/>
  </r>
  <r>
    <n v="77"/>
    <s v="1000098729"/>
    <s v="Yokogawa Middle East &amp; Africa B.S.C. ©"/>
    <s v="Differential Pressure Transmitter EJA110E-JLH4G-917EJ/SF2/D1/M11/T12  "/>
    <n v="23"/>
    <m/>
    <m/>
    <n v="23"/>
    <n v="0"/>
    <n v="-23"/>
    <x v="5"/>
  </r>
  <r>
    <n v="78"/>
    <s v="1000098969"/>
    <s v="AMETEK Middle East FZE"/>
    <s v="Eclipse Guided Wave Radar Level Transmitter;706-512A-BA0"/>
    <m/>
    <m/>
    <n v="12"/>
    <n v="12"/>
    <n v="12"/>
    <n v="0"/>
    <x v="0"/>
  </r>
  <r>
    <n v="79"/>
    <s v="1000099101"/>
    <s v="Yokogawa Middle East &amp; Africa B.S.C. ©"/>
    <s v="Analog Input (4-20mA, 8ch, Isolated);NFAI135-H50/13S00 "/>
    <m/>
    <m/>
    <n v="2"/>
    <n v="2"/>
    <n v="2"/>
    <n v="0"/>
    <x v="0"/>
  </r>
  <r>
    <n v="80"/>
    <s v="1000099291"/>
    <s v="Yokogawa Middle East &amp; Africa B.S.C. ©"/>
    <s v="Yokogawa Spares;Model:NFPW444-50 "/>
    <m/>
    <m/>
    <n v="2"/>
    <n v="2"/>
    <n v="2"/>
    <n v="0"/>
    <x v="0"/>
  </r>
  <r>
    <n v="81"/>
    <n v="1000099428"/>
    <s v="Oliver Valves Ltd."/>
    <s v="Oliver make Isolating Needle Valve Model No : M50S/HP "/>
    <m/>
    <n v="80"/>
    <m/>
    <n v="80"/>
    <n v="0"/>
    <n v="-80"/>
    <x v="6"/>
  </r>
  <r>
    <n v="82"/>
    <s v="1000099630"/>
    <s v="Orion Instruments, LLC"/>
    <s v="Magnetic Level Indicator:X1M1-BA1B-BEAC-3333-NL3G4EC-196 "/>
    <m/>
    <m/>
    <n v="2"/>
    <n v="2"/>
    <n v="2"/>
    <n v="0"/>
    <x v="0"/>
  </r>
  <r>
    <n v="83"/>
    <s v="1000099631"/>
    <s v="Orion Instruments, LLC"/>
    <s v=" Magnetic Level Indicator:X1M1-AA1B-BEAC-3333-NL3G4EC-130 "/>
    <m/>
    <m/>
    <n v="1"/>
    <n v="1"/>
    <n v="1"/>
    <n v="0"/>
    <x v="0"/>
  </r>
  <r>
    <n v="84"/>
    <s v="1000100739"/>
    <s v="Yokogawa Middle East &amp; Africa B.S.C. ©"/>
    <s v="Pressure Transmitter:EJA530E-JDS4N-022DN/FU1/M15/T08/JH01 "/>
    <m/>
    <n v="1"/>
    <m/>
    <n v="1"/>
    <n v="1"/>
    <n v="0"/>
    <x v="0"/>
  </r>
  <r>
    <n v="85"/>
    <s v="1000101124"/>
    <s v="Teledyne Analytical Instruments"/>
    <s v="Sensor inttatrace final assy;B71875 "/>
    <m/>
    <n v="14"/>
    <m/>
    <n v="14"/>
    <n v="14"/>
    <n v="0"/>
    <x v="0"/>
  </r>
  <r>
    <n v="86"/>
    <s v="1000101642"/>
    <s v="Yokogawa Middle East &amp; Africa B.S.C. ©"/>
    <s v="Differential pressure transmitter;  EJA130E-JMS5G-93CEJ/SF2/D1/M01/T09   tag: blank plate  Range:0 to 100 kpa"/>
    <m/>
    <m/>
    <n v="2"/>
    <n v="2"/>
    <n v="2"/>
    <n v="0"/>
    <x v="0"/>
  </r>
  <r>
    <n v="87"/>
    <n v="1000101678"/>
    <s v="Teledyne Detcon"/>
    <s v="Span Gas Kit for non-reactive gases, such as O2, CO or CH4 Includes Canvas Carrying Case, 0.5LPM Male Regulator and Tygon Tubing (Does not include Gas cylinder) P/N:943-050000-000"/>
    <n v="1"/>
    <m/>
    <m/>
    <n v="1"/>
    <n v="0"/>
    <n v="-1"/>
    <x v="7"/>
  </r>
  <r>
    <n v="88"/>
    <s v="1000101736"/>
    <s v="Oliver Valves Ltd."/>
    <s v="Hand valve 316SS,Teflon packing,6000 PSI at 100 deg.F Derlin seat,  size 1/2&quot;Fx1/2&quot;M;  PN:B6MX50S"/>
    <m/>
    <n v="6"/>
    <m/>
    <n v="6"/>
    <n v="6"/>
    <n v="0"/>
    <x v="0"/>
  </r>
  <r>
    <n v="89"/>
    <s v="1000101738"/>
    <s v="Al Othman Industrial Marketing (IMCO)"/>
    <s v="Tee Screwed 316SS;size 1/2&quot; F;  PN:T8FTP316 "/>
    <m/>
    <n v="5"/>
    <m/>
    <n v="5"/>
    <n v="5"/>
    <n v="0"/>
    <x v="0"/>
  </r>
  <r>
    <n v="90"/>
    <s v="1000101739"/>
    <s v="Al Othman Industrial Marketing (IMCO)"/>
    <s v="Plug Hex head 316SS;size 1/2&quot; M;  PN:T8PP316 "/>
    <m/>
    <n v="5"/>
    <m/>
    <n v="5"/>
    <n v="5"/>
    <n v="0"/>
    <x v="0"/>
  </r>
  <r>
    <n v="91"/>
    <s v="1000101740"/>
    <s v="Al Othman Industrial Marketing (IMCO)"/>
    <s v="Hex reducing Nipple 316SS; 3/4&quot;Mx1/2&quot;M ;   PN:T12RNP8316"/>
    <m/>
    <n v="10"/>
    <m/>
    <n v="10"/>
    <n v="10"/>
    <n v="0"/>
    <x v="0"/>
  </r>
  <r>
    <n v="92"/>
    <s v="1000101742"/>
    <s v="Al Othman Industrial Marketing (IMCO)"/>
    <s v="Hex long nipple 316SS;2&quot; long;size 1/2&quot;Mx2&quot;L;   PN:T8NP316 "/>
    <m/>
    <n v="21"/>
    <m/>
    <n v="21"/>
    <n v="21"/>
    <n v="0"/>
    <x v="0"/>
  </r>
  <r>
    <n v="93"/>
    <s v="1000102079"/>
    <s v="Yokogawa Middle East &amp; Africa B.S.C. ©"/>
    <s v="Differential Pressure Transmitter;   EJA130E-FMS5G-93CDJ/SS26/D1/M01/T09 "/>
    <m/>
    <m/>
    <n v="2"/>
    <n v="2"/>
    <n v="2"/>
    <n v="0"/>
    <x v="0"/>
  </r>
  <r>
    <n v="94"/>
    <s v="1000102166"/>
    <s v="Yokogawa Middle East &amp; Africa B.S.C. ©"/>
    <s v="Gauge Pressure Transmitter;   EJA530E-JCS4N-02CDL/SF2/D1/M15/T07    Tag:blank plate   Range:-14.5 to 500 psi "/>
    <m/>
    <m/>
    <n v="3"/>
    <n v="3"/>
    <n v="3"/>
    <n v="0"/>
    <x v="0"/>
  </r>
  <r>
    <n v="95"/>
    <s v="1000102720"/>
    <s v="Yokogawa Middle East &amp; Africa B.S.C. ©"/>
    <s v="Analog I/O Module;   SAI143-S53/A4D10"/>
    <m/>
    <m/>
    <n v="2"/>
    <n v="2"/>
    <n v="2"/>
    <n v="0"/>
    <x v="0"/>
  </r>
  <r>
    <n v="96"/>
    <s v="1000102767"/>
    <s v="Yokogawa Middle East &amp; Africa B.S.C. ©"/>
    <s v="Digital module I/0;S2MDV843-0S1030 "/>
    <m/>
    <m/>
    <n v="9"/>
    <n v="9"/>
    <n v="9"/>
    <n v="0"/>
    <x v="0"/>
  </r>
  <r>
    <n v="97"/>
    <s v="1000102827"/>
    <s v="Yokogawa Middle East &amp; Africa B.S.C. ©"/>
    <s v="Vortex Flowmeter    Medium:NH3(Ammonia)    Model:DY025-JBLBA1-2D/L2/M01 "/>
    <m/>
    <n v="1"/>
    <m/>
    <n v="1"/>
    <n v="1"/>
    <n v="0"/>
    <x v="0"/>
  </r>
  <r>
    <n v="98"/>
    <s v="1000102829"/>
    <s v="Yokogawa Middle East &amp; Africa B.S.C. ©"/>
    <s v="Vortex Flowmeter    Medium:Acytelyne    Model:DY025-JBLBA1-2D/L2/M01 "/>
    <m/>
    <n v="1"/>
    <m/>
    <n v="1"/>
    <n v="1"/>
    <n v="0"/>
    <x v="0"/>
  </r>
  <r>
    <n v="99"/>
    <s v="1000102843"/>
    <s v="Yokogawa Middle East &amp; Africa B.S.C. ©"/>
    <s v="Module Digital I/O:  A2MDV843-0S1000 "/>
    <m/>
    <m/>
    <n v="9"/>
    <n v="9"/>
    <n v="9"/>
    <n v="0"/>
    <x v="0"/>
  </r>
  <r>
    <n v="100"/>
    <s v="1000103266"/>
    <s v="Yokogawa Middle East &amp; Africa B.S.C. ©"/>
    <s v="Analog Digital I/O Module, A2MMM843-SS1000"/>
    <m/>
    <m/>
    <n v="6"/>
    <n v="6"/>
    <n v="6"/>
    <n v="0"/>
    <x v="0"/>
  </r>
  <r>
    <n v="101"/>
    <s v="1000103711"/>
    <s v="Oliver Valves Ltd."/>
    <s v="MANIFOLD VALVE; 2 PORTS;G12FFS/2H/HP/NA "/>
    <m/>
    <m/>
    <n v="37"/>
    <n v="37"/>
    <n v="37"/>
    <n v="0"/>
    <x v="0"/>
  </r>
  <r>
    <n v="102"/>
    <s v="1000103765"/>
    <s v="Oliver Valves Ltd."/>
    <s v="3020 Flange Seal Ring made in PTFE- to suit oliver valves direct mount manifolds OD 23.75mm, ID 18.16mm thickness 2.92mm "/>
    <m/>
    <n v="3"/>
    <m/>
    <n v="3"/>
    <n v="3"/>
    <n v="0"/>
    <x v="0"/>
  </r>
  <r>
    <n v="103"/>
    <s v="1000103939"/>
    <s v="Yokogawa Middle East &amp; Africa B.S.C. ©"/>
    <s v="Analog input module;NFAI143-H50/A4S10 "/>
    <m/>
    <m/>
    <n v="11"/>
    <n v="11"/>
    <n v="11"/>
    <n v="0"/>
    <x v="0"/>
  </r>
  <r>
    <n v="104"/>
    <s v="1000104258"/>
    <s v="Yokogawa Services Saudi Arabia Co."/>
    <s v="Battery Pack, S9450FE  "/>
    <m/>
    <m/>
    <n v="40"/>
    <n v="40"/>
    <n v="40"/>
    <n v="0"/>
    <x v="0"/>
  </r>
  <r>
    <n v="105"/>
    <s v="1000104359"/>
    <s v="Yokogawa Middle East &amp; Africa B.S.C. ©"/>
    <s v="Loop Level Indicator;MLX-A21-10-SU2-ENG-SST "/>
    <m/>
    <n v="1"/>
    <m/>
    <n v="1"/>
    <n v="1"/>
    <n v="0"/>
    <x v="0"/>
  </r>
  <r>
    <n v="106"/>
    <s v="1000104416"/>
    <s v="AMETEK Middle East FZE"/>
    <s v="Top mounted displacer level switch;A15-AH3B-CAQ     Ex d electrical entry reducer 1&quot; NPT-M to 3/4&quot; NPT-F "/>
    <m/>
    <m/>
    <n v="6"/>
    <n v="6"/>
    <n v="6"/>
    <n v="0"/>
    <x v="0"/>
  </r>
  <r>
    <n v="107"/>
    <s v="1000104417"/>
    <s v="AMETEK Middle East FZE"/>
    <s v="Top mounted displacer level switch;A15-AG3B-CAQ     Ex d electrical entry reducer 1&quot; NPT-M to 3/4&quot; NPT-F "/>
    <m/>
    <m/>
    <n v="19"/>
    <n v="19"/>
    <n v="19"/>
    <n v="0"/>
    <x v="0"/>
  </r>
  <r>
    <n v="108"/>
    <s v="1000104575"/>
    <s v="Oliver Valves Ltd."/>
    <s v="Double Block &amp; Bleed Needle Valve;    DBB/IN/S/50F/50F/25F-PP/NA "/>
    <m/>
    <n v="2"/>
    <m/>
    <n v="2"/>
    <n v="2"/>
    <n v="0"/>
    <x v="0"/>
  </r>
  <r>
    <n v="109"/>
    <s v="1000104689"/>
    <s v="Yokogawa Middle East &amp; Africa B.S.C. ©"/>
    <s v="Module Processor;SCP461-E1 "/>
    <m/>
    <m/>
    <n v="2"/>
    <n v="2"/>
    <n v="2"/>
    <n v="0"/>
    <x v="0"/>
  </r>
  <r>
    <n v="110"/>
    <s v="1000105111"/>
    <s v="Oliver Valves Ltd."/>
    <s v="SSB- Stainless Steel Transmitter Mounting Bolts(4800 PSI Max Pressure Rating) "/>
    <m/>
    <n v="5"/>
    <m/>
    <n v="5"/>
    <n v="5"/>
    <n v="0"/>
    <x v="0"/>
  </r>
  <r>
    <n v="111"/>
    <s v="1000105115"/>
    <s v="Yokogawa Middle East &amp; Africa B.S.C. ©"/>
    <s v="Digital I/O Module(16-Channel):SDV144-S13/B4D10 "/>
    <m/>
    <m/>
    <n v="12"/>
    <n v="12"/>
    <n v="12"/>
    <n v="0"/>
    <x v="0"/>
  </r>
  <r>
    <n v="112"/>
    <s v="1000105126"/>
    <s v="Yokogawa Saudi Arabia Company"/>
    <s v="Gauge Pressure Transmitter, EJA530E-JCS4N-03CEL/SF22/D1/T07/N4/M15"/>
    <m/>
    <m/>
    <n v="4"/>
    <n v="4"/>
    <n v="4"/>
    <n v="0"/>
    <x v="0"/>
  </r>
  <r>
    <n v="113"/>
    <s v="1000105378"/>
    <s v="Yokogawa Saudi Arabia Company"/>
    <s v="Differential Pressure Transmitter:EJA110E-JVH5G-93CEJ/SF2/D1/T12/M01 "/>
    <m/>
    <n v="4"/>
    <m/>
    <n v="4"/>
    <n v="4"/>
    <n v="0"/>
    <x v="0"/>
  </r>
  <r>
    <n v="114"/>
    <s v="1000105379"/>
    <s v="Yokogawa Saudi Arabia Company"/>
    <s v="Pressure Transmitter:EJA530E-JBH4N-03CEL/SF2/D1/T06/M15 "/>
    <m/>
    <n v="12"/>
    <m/>
    <n v="12"/>
    <n v="12"/>
    <n v="0"/>
    <x v="0"/>
  </r>
  <r>
    <n v="115"/>
    <s v="1000105389"/>
    <s v="AMETEK Middle East FZE"/>
    <s v="Guided wave TDR level Transmitter:706-512A-310   Guided  wave TDR Probe:X7CF-5300-F00-00-423 "/>
    <m/>
    <n v="2"/>
    <m/>
    <n v="2"/>
    <n v="2"/>
    <n v="0"/>
    <x v="0"/>
  </r>
  <r>
    <n v="116"/>
    <s v="1000105775"/>
    <s v="Yokogawa Saudi Arabia Company"/>
    <s v="Differential Pressure Transmitter:   EJA10E-JMS5G-93CDJ/SF2/D4/M01/T12/N4   Tag;Z05-FT-5506, Z09-FT-5507, Z05-FT-5508  Range: "/>
    <m/>
    <m/>
    <n v="3"/>
    <n v="3"/>
    <n v="3"/>
    <n v="0"/>
    <x v="0"/>
  </r>
  <r>
    <n v="117"/>
    <s v="1000106163"/>
    <s v="Addamegh for Industrial Solutions Est."/>
    <s v="Parker manifold; HNLS2V8F8M4F"/>
    <m/>
    <m/>
    <n v="5"/>
    <n v="5"/>
    <n v="5"/>
    <n v="0"/>
    <x v="0"/>
  </r>
  <r>
    <n v="118"/>
    <s v="1000106314"/>
    <s v="BAUMER Bourdon Haenni SAS"/>
    <s v="Diaphragm seal:D912MD0DF9606M37QDA011 "/>
    <m/>
    <m/>
    <n v="1"/>
    <n v="1"/>
    <n v="1"/>
    <n v="0"/>
    <x v="0"/>
  </r>
  <r>
    <n v="119"/>
    <s v="1000106622"/>
    <s v="Yokogawa Saudi Arabia Company"/>
    <s v="Pressure Transmitter:   EJA530E-JDS4N-03CEL/SF22/D1/T08/MA2 "/>
    <m/>
    <n v="35"/>
    <m/>
    <n v="35"/>
    <n v="35"/>
    <n v="0"/>
    <x v="0"/>
  </r>
  <r>
    <n v="120"/>
    <s v="1000106742"/>
    <s v="Yokogawa Saudi Arabia Company"/>
    <s v="Gauge Pressure Transmitter   EJX530A-JCS4N-02CEL/SF22/D1/M15/T07/JH01/N4  "/>
    <m/>
    <m/>
    <n v="6"/>
    <n v="6"/>
    <n v="6"/>
    <n v="0"/>
    <x v="0"/>
  </r>
  <r>
    <n v="121"/>
    <s v="1000106777"/>
    <s v="AMETEK Magnetrol USA, LLC"/>
    <s v="Guided Wave Radar Level Transmitter:706-512A-B10   Probe:X7C1-63N0-P08-31-005 "/>
    <m/>
    <n v="2"/>
    <m/>
    <n v="2"/>
    <n v="2"/>
    <n v="0"/>
    <x v="0"/>
  </r>
  <r>
    <n v="122"/>
    <s v="1000106778"/>
    <s v="AMETEK Magnetrol USA, LLC"/>
    <s v="Guided Wave Radar Level Transmitter:706-512A-B10   Probe:X7C1-63N0-P08-31-007 "/>
    <m/>
    <n v="2"/>
    <m/>
    <n v="2"/>
    <n v="2"/>
    <n v="0"/>
    <x v="0"/>
  </r>
  <r>
    <n v="123"/>
    <s v="1000107114"/>
    <s v="Yokogawa Saudi Arabia Company"/>
    <s v="Temperature Transmitter:YTA610-JA1A2DK/C3/SU2 "/>
    <m/>
    <n v="1"/>
    <m/>
    <n v="1"/>
    <n v="1"/>
    <n v="0"/>
    <x v="0"/>
  </r>
  <r>
    <n v="124"/>
    <s v="1000107137"/>
    <s v="Yokogawa Saudi Arabia Company"/>
    <s v="Temperature Transmitter:YTA610-JA1A2DK/C2/SU2/N4  Tag:blank  Range: 0 - 30 deg. F  Sensor: RTD PT100 3 wire"/>
    <m/>
    <m/>
    <n v="1"/>
    <n v="1"/>
    <n v="1"/>
    <n v="0"/>
    <x v="0"/>
  </r>
  <r>
    <n v="125"/>
    <s v="1000107197"/>
    <s v="Yokogawa Saudi Arabia Company"/>
    <s v="Temperature Transmitter:YTA710-JA2A2DK/C3/SU2  "/>
    <m/>
    <m/>
    <n v="1"/>
    <n v="1"/>
    <n v="1"/>
    <n v="0"/>
    <x v="0"/>
  </r>
  <r>
    <n v="126"/>
    <s v="1000107240"/>
    <s v="Yokogawa Saudi Arabia Company"/>
    <s v="Gauge Pressure Transmitter:EJA430E-JAS4G-93CEB-SF22/D1/M11/T01"/>
    <m/>
    <m/>
    <n v="1"/>
    <n v="1"/>
    <n v="1"/>
    <n v="0"/>
    <x v="0"/>
  </r>
  <r>
    <n v="127"/>
    <s v="1000107346"/>
    <s v="Yokogawa Saudi Arabia Company"/>
    <s v="Gauge Pressure Transmitter;   EJA530E-JDH4N-03CEL/SF22/D1/T08/M15 "/>
    <m/>
    <n v="93"/>
    <n v="144"/>
    <n v="237"/>
    <n v="237"/>
    <n v="0"/>
    <x v="0"/>
  </r>
  <r>
    <n v="128"/>
    <s v="1000107710"/>
    <s v="Yokogawa Middle East &amp; Africa B.S.C. ©"/>
    <s v="Electromagnetic Flowmeter:AX050-GA000PA1AL212B-1JA11/E01/GRL/L2/L3/PM3/PT/SC/SCT/Z  "/>
    <m/>
    <n v="1"/>
    <m/>
    <n v="1"/>
    <n v="1"/>
    <n v="0"/>
    <x v="0"/>
  </r>
  <r>
    <n v="129"/>
    <s v="1000107711"/>
    <s v="Yokogawa Saudi Arabia Company"/>
    <s v="Pressure Transmitter:EJA530E-JBS4N-03CEL/SF22/D1/C2/CA/T06/M15  "/>
    <m/>
    <n v="1"/>
    <m/>
    <n v="1"/>
    <n v="1"/>
    <n v="0"/>
    <x v="0"/>
  </r>
  <r>
    <n v="130"/>
    <s v="1000107712"/>
    <s v="Yokogawa Saudi Arabia Company"/>
    <s v="Pressure Transmitter:EJA530E-JAS4N-03CEL/SF22/D1/C2/CA/T05/M15   "/>
    <m/>
    <n v="1"/>
    <m/>
    <n v="1"/>
    <n v="1"/>
    <n v="0"/>
    <x v="0"/>
  </r>
  <r>
    <n v="131"/>
    <s v="1000107970"/>
    <s v="Yokogawa Saudi Arabia Company"/>
    <s v="Pressure Transmitter:EJA530E-JCS7N-03CEL/SF22/D1/T08/M15"/>
    <m/>
    <n v="3"/>
    <m/>
    <n v="3"/>
    <n v="3"/>
    <n v="0"/>
    <x v="0"/>
  </r>
  <r>
    <n v="132"/>
    <s v="1000108095"/>
    <s v="Flow &amp; Control System Pvt. Ltd."/>
    <s v="Float &amp; Tape Level Indicator:FC-133ATLG  Make Flow &amp; Control Tag:G36-LG-0125 &amp; G38-LG-0126       "/>
    <m/>
    <n v="2"/>
    <m/>
    <n v="2"/>
    <n v="2"/>
    <n v="0"/>
    <x v="0"/>
  </r>
  <r>
    <n v="133"/>
    <s v="1000108213"/>
    <s v="Binzagr International Trading Company"/>
    <s v="2 Valve Manifold:SAFMSA-N4N4-AM01BZ"/>
    <m/>
    <n v="54"/>
    <m/>
    <n v="54"/>
    <n v="54"/>
    <n v="0"/>
    <x v="0"/>
  </r>
  <r>
    <n v="134"/>
    <s v="1000108233"/>
    <s v="Yokogawa Saudi Arabia Company"/>
    <s v="Gauge Pressure Transmitter;EJA530E-JDH4N-03CEL/SF22/D1/M15/T08"/>
    <m/>
    <m/>
    <n v="32"/>
    <n v="32"/>
    <n v="32"/>
    <n v="0"/>
    <x v="0"/>
  </r>
  <r>
    <n v="135"/>
    <s v="1000108299"/>
    <s v="Yokogawa Saudi Arabia Company"/>
    <s v="Gauge Pressure Transmitter, EJA530E-JBH4N-03CEL/SF22/D1/T06/M15 "/>
    <m/>
    <n v="3"/>
    <m/>
    <n v="3"/>
    <n v="3"/>
    <n v="0"/>
    <x v="0"/>
  </r>
  <r>
    <n v="136"/>
    <s v="1000108300"/>
    <s v="Yokogawa Saudi Arabia Company"/>
    <s v="Temperature Transmitter,  YTA610-JA2A2DB/SU2 "/>
    <m/>
    <n v="3"/>
    <m/>
    <n v="3"/>
    <n v="3"/>
    <n v="0"/>
    <x v="0"/>
  </r>
  <r>
    <n v="137"/>
    <s v="1000108319"/>
    <s v="Autocontrol Process Instrumentation LLC"/>
    <s v="Honeywell make HART loop Indicators:  RMA801-D-ADA-1S-71A0-F3-0000"/>
    <m/>
    <n v="3"/>
    <m/>
    <n v="3"/>
    <n v="3"/>
    <n v="0"/>
    <x v="0"/>
  </r>
  <r>
    <n v="138"/>
    <s v="1000108455"/>
    <s v="Yokogawa Saudi Arabia Company"/>
    <s v="Gauge Pressure Transmitter,EJA530E-JDS4N-03CEL/SF22/D1/T08/N4/M15"/>
    <m/>
    <m/>
    <n v="16"/>
    <n v="16"/>
    <n v="2"/>
    <n v="-14"/>
    <x v="8"/>
  </r>
  <r>
    <n v="139"/>
    <s v="1000108738"/>
    <s v="Yokogawa Saudi Arabia Company"/>
    <s v="Gauge Pressure Transmitter;EJA530E-FAS4N-03DDL/SF22/D1/M15/T05"/>
    <m/>
    <n v="13"/>
    <m/>
    <n v="13"/>
    <n v="13"/>
    <n v="0"/>
    <x v="0"/>
  </r>
  <r>
    <n v="140"/>
    <s v="1000108739"/>
    <s v="Yokogawa Saudi Arabia Company"/>
    <s v="Gauge Pressure Transmitter;EJA530E-FBS4N-03DDL/SF22/D1/M15/T06"/>
    <m/>
    <n v="2"/>
    <m/>
    <n v="2"/>
    <n v="2"/>
    <n v="0"/>
    <x v="0"/>
  </r>
  <r>
    <n v="141"/>
    <s v="1000108753"/>
    <s v="ABDUL AZIZ ABDUL RAHMAN BUSUBAIT FIBERGLASS COMPANY LLC"/>
    <s v="Fabrication of Fiberglass Reinforced Polyester Instrument Sunshade along with Hardware (2 sets U-Bolt &amp; stainless steel fixation plate). Thickness :3mm, Out side smooth moulded finish and Inside mat gelcoat finish. "/>
    <m/>
    <n v="3"/>
    <n v="8"/>
    <n v="11"/>
    <n v="11"/>
    <n v="0"/>
    <x v="0"/>
  </r>
  <r>
    <n v="142"/>
    <s v="1000108828"/>
    <s v="Yokogawa Saudi Arabia Company"/>
    <s v="Gauge Pressure Transmitter:EJA530E-JDS7N- 032DL/SF22/D1/M15/T08"/>
    <m/>
    <n v="3"/>
    <m/>
    <n v="3"/>
    <n v="3"/>
    <n v="0"/>
    <x v="0"/>
  </r>
  <r>
    <n v="143"/>
    <s v="1000108829"/>
    <s v="Yokogawa Saudi Arabia Company"/>
    <s v="Gauge Pressure Transmitter: EJA530E-FCS7N- 032DL/SS26/D1/M15/T07"/>
    <m/>
    <n v="3"/>
    <m/>
    <n v="3"/>
    <n v="3"/>
    <n v="0"/>
    <x v="0"/>
  </r>
  <r>
    <n v="144"/>
    <s v="1000108831"/>
    <s v="Yokogawa Saudi Arabia Company"/>
    <s v="Gauge Pressure Transmitter:EJA530E-JCS7N- 032DL/SF22/D1/M15/T07"/>
    <m/>
    <n v="1"/>
    <m/>
    <n v="1"/>
    <n v="1"/>
    <n v="0"/>
    <x v="0"/>
  </r>
  <r>
    <n v="145"/>
    <s v="1000108832"/>
    <s v="Yokogawa Saudi Arabia Company"/>
    <s v="Gauge Pressure Transmitter:EJA530E-FCH7N- 032DL/SS26/D1/M15/T07"/>
    <m/>
    <n v="8"/>
    <m/>
    <n v="8"/>
    <n v="8"/>
    <n v="0"/>
    <x v="0"/>
  </r>
  <r>
    <n v="146"/>
    <s v="1000108840"/>
    <s v="Yokogawa Saudi Arabia Company"/>
    <s v="Gauge Pressure Transmitter:EJA530E-FCS7N- 032DL/D1/M15/T07"/>
    <m/>
    <n v="3"/>
    <m/>
    <n v="3"/>
    <n v="3"/>
    <n v="0"/>
    <x v="0"/>
  </r>
  <r>
    <n v="147"/>
    <s v="1000108842"/>
    <s v="Yokogawa Middle East &amp; Africa B.S.C. ©"/>
    <s v="MODULE; ANALOG I/O TYPE,16-CHANNEL INPUT:SAI143-S53/A4D10 "/>
    <m/>
    <m/>
    <n v="16"/>
    <n v="16"/>
    <n v="16"/>
    <n v="0"/>
    <x v="0"/>
  </r>
  <r>
    <n v="148"/>
    <s v="1000108855"/>
    <s v="Yokogawa Saudi Arabia Company"/>
    <s v="Gauge Pressure Transmitter:EJA530E-FAS4N-03CDL/SS26/D1/M15/T06"/>
    <m/>
    <n v="1"/>
    <m/>
    <n v="1"/>
    <n v="1"/>
    <n v="0"/>
    <x v="0"/>
  </r>
  <r>
    <n v="149"/>
    <s v="1000108867"/>
    <s v="Yokogawa Saudi Arabia Company"/>
    <s v="Pressure Transmitter:EJX530A-EDS4N-017DF/M15/T08 "/>
    <m/>
    <m/>
    <n v="10"/>
    <n v="10"/>
    <n v="10"/>
    <n v="0"/>
    <x v="0"/>
  </r>
  <r>
    <n v="150"/>
    <s v="1000108879"/>
    <s v="Yokogawa Saudi Arabia Company"/>
    <s v="Pressure Transmitter;EJA530E-JDH4N-03CEL/SF22/D1/T15/M15/HG "/>
    <m/>
    <m/>
    <n v="48"/>
    <n v="48"/>
    <n v="48"/>
    <n v="0"/>
    <x v="0"/>
  </r>
  <r>
    <n v="151"/>
    <s v="1000108911"/>
    <s v="Binzagr International Trading Company"/>
    <s v="Block &amp; Bleed Valve:SAFFSA-N4N4-AM02BZ"/>
    <m/>
    <n v="12"/>
    <m/>
    <n v="12"/>
    <n v="12"/>
    <n v="0"/>
    <x v="0"/>
  </r>
  <r>
    <n v="152"/>
    <s v="1000108912"/>
    <s v="Binzagr International Trading Company"/>
    <s v="5 valve manifold Direct mount:W5AASA-N4TE-2AM1BZ"/>
    <m/>
    <n v="2"/>
    <m/>
    <n v="2"/>
    <n v="2"/>
    <n v="0"/>
    <x v="0"/>
  </r>
  <r>
    <n v="153"/>
    <s v="1000108914"/>
    <s v="Sensortech Saudi Manufacturing Co., Ltd."/>
    <s v="RTD with Thermowell:&quot;1102SLS3IP39B36C4M310''R2T11 TW-FL FAIDDBUD-8''2.25''G3G7RA1.063''0.625''Z "/>
    <m/>
    <n v="2"/>
    <m/>
    <n v="2"/>
    <n v="2"/>
    <n v="0"/>
    <x v="0"/>
  </r>
  <r>
    <n v="154"/>
    <s v="1000109101"/>
    <s v="Yokogawa Saudi Arabia Company"/>
    <s v="Gauge Pressure Transmitter,EJX430A-JBS4G-33CDJ/SU22/D1/M11/T12Gauge Pressure Transmitter,"/>
    <m/>
    <m/>
    <n v="1"/>
    <n v="1"/>
    <n v="1"/>
    <n v="0"/>
    <x v="0"/>
  </r>
  <r>
    <n v="155"/>
    <s v="1000109102"/>
    <s v="Yokogawa Saudi Arabia Company"/>
    <s v="Gauge Pressure Transmitter,EJX430A-JBS4N-03CEL/M15/T06/D1/C3/SF22"/>
    <m/>
    <m/>
    <n v="1"/>
    <n v="1"/>
    <n v="1"/>
    <n v="0"/>
    <x v="0"/>
  </r>
  <r>
    <n v="156"/>
    <s v="1000109103"/>
    <s v="Yokogawa Saudi Arabia Company"/>
    <s v="Gauge Pressure Transmitter,EJX110A-JLH4G-33CEJ/SF22/D1/A/C1/M11/T12"/>
    <m/>
    <m/>
    <n v="1"/>
    <n v="1"/>
    <n v="1"/>
    <n v="0"/>
    <x v="0"/>
  </r>
  <r>
    <n v="157"/>
    <s v="1000109104"/>
    <s v="Yokogawa Saudi Arabia Company"/>
    <s v="Gauge Pressure Transmitter,EJX110A-JMS4G-33CEJ/SF22/D1/A/C1/CA/T13"/>
    <m/>
    <m/>
    <n v="1"/>
    <n v="1"/>
    <n v="1"/>
    <n v="0"/>
    <x v="0"/>
  </r>
  <r>
    <n v="158"/>
    <s v="1000109105"/>
    <s v="Yokogawa Saudi Arabia Company"/>
    <s v="Gauge Pressure Transmitter,EJX110A-JLH4G-33CEJ/SF22/D1/A/C1/CA/T12/M11"/>
    <m/>
    <m/>
    <n v="1"/>
    <n v="1"/>
    <n v="1"/>
    <n v="0"/>
    <x v="0"/>
  </r>
  <r>
    <n v="159"/>
    <s v="1000109141"/>
    <s v="Yokogawa Saudi Arabia Company"/>
    <s v="Gauge Pressure Transmitter:EJA530E-JDS4N-03CEL/SF22/D1/T08/M15/N4 "/>
    <m/>
    <m/>
    <n v="13"/>
    <n v="13"/>
    <n v="13"/>
    <n v="0"/>
    <x v="0"/>
  </r>
  <r>
    <n v="160"/>
    <s v="1000109146"/>
    <s v="Yokogawa Saudi Arabia Company"/>
    <s v="Pressure Transmitter; EJA530E-JBS4N-03CDN/SU22/D3/T06/M15 "/>
    <m/>
    <n v="5"/>
    <m/>
    <n v="5"/>
    <n v="5"/>
    <n v="0"/>
    <x v="0"/>
  </r>
  <r>
    <n v="161"/>
    <s v="1000109204"/>
    <s v="Yokogawa Saudi Arabia Company"/>
    <s v="Gauge Pressure Transmitter:EJA530E-JBH4N-03CEL/SU22/D1/T06/M15"/>
    <m/>
    <n v="12"/>
    <m/>
    <n v="12"/>
    <n v="12"/>
    <n v="0"/>
    <x v="0"/>
  </r>
  <r>
    <n v="162"/>
    <s v="1000109205"/>
    <s v="Yokogawa Saudi Arabia Company"/>
    <s v="Gauge Pressure Transmitter:EJA530E-JDH4N-03CEL/SU22/D1/T08/M15"/>
    <m/>
    <n v="12"/>
    <m/>
    <n v="12"/>
    <n v="12"/>
    <n v="0"/>
    <x v="0"/>
  </r>
  <r>
    <n v="163"/>
    <s v="1000109206"/>
    <s v="Yokogawa Saudi Arabia Company"/>
    <s v="Gauge Pressure Transmitter:EJA530E-JDH4N-03CEN/SU22/D1/T08/M15"/>
    <m/>
    <n v="111"/>
    <m/>
    <n v="111"/>
    <n v="111"/>
    <n v="0"/>
    <x v="0"/>
  </r>
  <r>
    <n v="164"/>
    <s v="1000109216"/>
    <s v="Yokogawa Middle East &amp; Africa B.S.C. ©"/>
    <s v="Diaphragm seal;EJXC80A-D88MWSB-11/T58/J03/Z   "/>
    <m/>
    <m/>
    <n v="1"/>
    <n v="1"/>
    <n v="1"/>
    <n v="0"/>
    <x v="0"/>
  </r>
  <r>
    <n v="165"/>
    <s v="1000109217"/>
    <s v="Yokogawa Middle East &amp; Africa B.S.C. ©"/>
    <s v="Differential Pressure Transmitter,EJX110A-FMSBG-917DB/D1/EE"/>
    <m/>
    <m/>
    <n v="1"/>
    <n v="1"/>
    <n v="1"/>
    <n v="0"/>
    <x v="0"/>
  </r>
  <r>
    <n v="166"/>
    <s v="1000109218"/>
    <s v="Yokogawa Middle East &amp; Africa B.S.C. ©"/>
    <s v="Yokogawa make DFS (H-side):C80FW-HB-S52SS-3J2SS9NNA-3A5JC-00N"/>
    <m/>
    <m/>
    <n v="1"/>
    <n v="1"/>
    <n v="1"/>
    <n v="0"/>
    <x v="0"/>
  </r>
  <r>
    <n v="167"/>
    <s v="1000109219"/>
    <s v="Yokogawa Middle East &amp; Africa B.S.C. ©"/>
    <s v="Yokogawa make DFS (L-side):C80FW-LB-S52SS-3J2SS9NNA-3A5JC-00N"/>
    <m/>
    <m/>
    <n v="1"/>
    <n v="1"/>
    <n v="1"/>
    <n v="0"/>
    <x v="0"/>
  </r>
  <r>
    <n v="168"/>
    <s v="1000109220"/>
    <s v="Yokogawa Middle East &amp; Africa B.S.C. ©"/>
    <s v="Yokogawa make Flushing connection ring  (H-side):C10FR-HS-S3CA5J22ZLN-NNNN"/>
    <m/>
    <m/>
    <n v="1"/>
    <n v="1"/>
    <n v="1"/>
    <n v="0"/>
    <x v="0"/>
  </r>
  <r>
    <n v="169"/>
    <s v="1000109221"/>
    <s v="Yokogawa Middle East &amp; Africa B.S.C. ©"/>
    <s v="Yokogawa make Flushing connection ring  (L-side):C10FR-LS-S3CA5J22ZLN-NNNN"/>
    <m/>
    <m/>
    <n v="1"/>
    <n v="1"/>
    <n v="1"/>
    <n v="0"/>
    <x v="0"/>
  </r>
  <r>
    <n v="170"/>
    <s v="1000109230"/>
    <s v="Yokogawa Saudi Arabia Company"/>
    <s v="Differential Pressure Transmitter:EJA110E-FHS5G-93CDJ/SF22/D1/M01/T12 "/>
    <m/>
    <n v="2"/>
    <m/>
    <n v="2"/>
    <n v="2"/>
    <n v="0"/>
    <x v="0"/>
  </r>
  <r>
    <n v="171"/>
    <s v="1000109275"/>
    <s v="Saudi Electric Supply Company(SESCO)"/>
    <s v="Parker make Manifold:HDS2HLHFRCMLME12D4N-5B "/>
    <m/>
    <m/>
    <n v="3"/>
    <n v="3"/>
    <n v="3"/>
    <n v="0"/>
    <x v="0"/>
  </r>
  <r>
    <n v="172"/>
    <s v="1000109291"/>
    <s v="AMETEK Magnetrol USA, LLC"/>
    <s v="Pulsar® radar level transmitter:R80-511A-310   RC3-64N0-10N-00-000 - Antenna "/>
    <m/>
    <m/>
    <n v="1"/>
    <n v="1"/>
    <n v="1"/>
    <n v="0"/>
    <x v="0"/>
  </r>
  <r>
    <n v="173"/>
    <s v="1000109315"/>
    <s v="Yokogawa Saudi Arabia Company"/>
    <s v="Temperature Transmitter:YTA710-JA1A4DN/X2/KF2/C3    "/>
    <m/>
    <n v="1"/>
    <m/>
    <n v="1"/>
    <n v="1"/>
    <n v="0"/>
    <x v="0"/>
  </r>
  <r>
    <n v="174"/>
    <s v="1000109324"/>
    <s v="Magnetrol International NV"/>
    <s v="Top mounted displacer level switch;A15-DH5A-BA9  011-21407-404 ;1&quot; NPT to 3/4&quot; NPT-F Ex d electrical entry adaptor "/>
    <m/>
    <m/>
    <n v="4"/>
    <n v="4"/>
    <n v="0"/>
    <n v="-4"/>
    <x v="8"/>
  </r>
  <r>
    <n v="175"/>
    <s v="1000109327"/>
    <s v="Yokogawa Middle East &amp; Africa B.S.C. ©"/>
    <s v="Yokogawa make Node Unit for ESB Bus;ANB10D-425/CU2N  "/>
    <m/>
    <m/>
    <n v="3"/>
    <n v="3"/>
    <n v="3"/>
    <n v="0"/>
    <x v="0"/>
  </r>
  <r>
    <n v="176"/>
    <s v="1000109328"/>
    <s v="Yokogawa Middle East &amp; Africa B.S.C. ©"/>
    <s v="Yokogawa make Node Unit for ESB Bus;ANB10D-425/CU2T  "/>
    <m/>
    <m/>
    <n v="4"/>
    <n v="4"/>
    <n v="4"/>
    <n v="0"/>
    <x v="0"/>
  </r>
  <r>
    <n v="177"/>
    <s v="1000109329"/>
    <s v="Yokogawa Middle East &amp; Africa B.S.C. ©"/>
    <s v="Yokogawa make Optical ESB Bus Repeater Master Module;ANT401-5E/A2EE2A-T  "/>
    <m/>
    <m/>
    <n v="1"/>
    <n v="1"/>
    <n v="1"/>
    <n v="0"/>
    <x v="0"/>
  </r>
  <r>
    <n v="178"/>
    <s v="1000109335"/>
    <s v="Yokogawa Saudi Arabia Company"/>
    <s v="Pressure Transmitter: EJA530E-JCS4N-03CEL/SF22/D1/T07/MA2"/>
    <m/>
    <n v="19"/>
    <m/>
    <n v="19"/>
    <n v="19"/>
    <n v="0"/>
    <x v="0"/>
  </r>
  <r>
    <n v="179"/>
    <s v="1000109346"/>
    <s v="Yokogawa Saudi Arabia Company"/>
    <s v="Differential Pressure Transmitter;EJA110E-JMSWG-92CEJ/SF22/C3 "/>
    <m/>
    <m/>
    <n v="2"/>
    <n v="2"/>
    <n v="2"/>
    <n v="0"/>
    <x v="0"/>
  </r>
  <r>
    <n v="180"/>
    <s v="1000109421"/>
    <s v="Yokogawa Middle East &amp; Africa B.S.C. ©"/>
    <s v="Clamp; Mounting Type,For Case to Panel Mounting;E9760RJ     "/>
    <m/>
    <m/>
    <n v="2"/>
    <n v="2"/>
    <n v="2"/>
    <n v="0"/>
    <x v="0"/>
  </r>
  <r>
    <n v="181"/>
    <s v="1000109422"/>
    <s v="Yokogawa Middle East &amp; Africa B.S.C. ©"/>
    <s v="Screw; Clamp Type,Case Mounting:E9760RN      "/>
    <m/>
    <m/>
    <n v="2"/>
    <n v="2"/>
    <n v="2"/>
    <n v="0"/>
    <x v="0"/>
  </r>
  <r>
    <n v="182"/>
    <s v="1000109423"/>
    <s v="Yokogawa Middle East &amp; Africa B.S.C. ©"/>
    <s v="Screw; Fixing Type, For Link:E9760LK "/>
    <m/>
    <m/>
    <n v="2"/>
    <n v="2"/>
    <n v="2"/>
    <n v="0"/>
    <x v="0"/>
  </r>
  <r>
    <n v="183"/>
    <s v="1000109426"/>
    <s v="Yokogawa Middle East &amp; Africa B.S.C. ©"/>
    <s v="Spring; Display Assembly, Mounting (TOP):E9760LH "/>
    <m/>
    <m/>
    <n v="2"/>
    <n v="2"/>
    <n v="2"/>
    <n v="0"/>
    <x v="0"/>
  </r>
  <r>
    <n v="184"/>
    <s v="1000109430"/>
    <s v="Yokogawa Middle East &amp; Africa B.S.C. ©"/>
    <s v="Coriolis Mass Flow Meter;RCUT08K-16TA91-0C8E-SF22-2-JB1/BG/L005/P3/P6/P8   "/>
    <m/>
    <n v="2"/>
    <m/>
    <n v="2"/>
    <n v="2"/>
    <n v="0"/>
    <x v="0"/>
  </r>
  <r>
    <n v="185"/>
    <s v="1000109440"/>
    <s v="Yokogawa Saudi Arabia Company"/>
    <s v="Temperature Transmitter:YTA610-FA1A4DB/SU25  "/>
    <m/>
    <n v="2"/>
    <m/>
    <n v="2"/>
    <n v="2"/>
    <n v="0"/>
    <x v="0"/>
  </r>
  <r>
    <n v="186"/>
    <s v="1000109498"/>
    <s v="Yokogawa Middle East &amp; Africa B.S.C. ©"/>
    <s v="Wireless Differential Pressure Transmitter;EJX110B-1MS5G-98JDB/SS27/D1/M01/T13   *Accessories included: *Battery *Antenna *Support Brackets *Isolation manifold "/>
    <m/>
    <m/>
    <n v="1"/>
    <n v="1"/>
    <n v="1"/>
    <n v="0"/>
    <x v="0"/>
  </r>
  <r>
    <n v="187"/>
    <s v="1000109500"/>
    <s v="Yokogawa Middle East &amp; Africa B.S.C. ©"/>
    <s v="Flow Assembly;ISC40FF-FA/FF3/MP "/>
    <m/>
    <n v="2"/>
    <m/>
    <n v="2"/>
    <n v="2"/>
    <n v="0"/>
    <x v="0"/>
  </r>
  <r>
    <n v="188"/>
    <s v="1000109675"/>
    <s v="Yokogawa Middle East &amp; Africa B.S.C. ©"/>
    <s v="Variable Area Flowmeter;RAKD01-D4SS-34NNN-E80424/P6 "/>
    <m/>
    <n v="3"/>
    <m/>
    <n v="3"/>
    <n v="3"/>
    <n v="0"/>
    <x v="0"/>
  </r>
  <r>
    <n v="189"/>
    <s v="1000109676"/>
    <s v="Yokogawa Middle East &amp; Africa B.S.C. ©"/>
    <s v="Variable Area Flowmeter;RAKD01-D4SS-31NNN-E80424/P6  "/>
    <m/>
    <n v="2"/>
    <m/>
    <n v="2"/>
    <n v="2"/>
    <n v="0"/>
    <x v="0"/>
  </r>
  <r>
    <n v="190"/>
    <s v="1000109677"/>
    <s v="Yokogawa Middle East &amp; Africa B.S.C. ©"/>
    <s v="Variable Area Flowmeter;RAKD01-D4SS-41NNN-E80424/P6   "/>
    <m/>
    <n v="2"/>
    <m/>
    <n v="2"/>
    <n v="2"/>
    <n v="0"/>
    <x v="0"/>
  </r>
  <r>
    <n v="191"/>
    <s v="1000109684"/>
    <s v="Yokogawa Middle East &amp; Africa B.S.C. ©"/>
    <s v="Coriolis Flowmeter;RCEN08K-15BA21-0E8J-SF22-2-JB1/BG/P6/P8/Y005 "/>
    <m/>
    <m/>
    <n v="5"/>
    <n v="5"/>
    <n v="5"/>
    <n v="0"/>
    <x v="0"/>
  </r>
  <r>
    <n v="192"/>
    <s v="1000109794"/>
    <s v="Binzagr International Trading Company"/>
    <s v="Block &amp; Bleed Valve inlet;SAMFSA-N4N4 "/>
    <m/>
    <m/>
    <n v="8"/>
    <n v="8"/>
    <n v="8"/>
    <n v="0"/>
    <x v="0"/>
  </r>
  <r>
    <n v="193"/>
    <s v="1000109818"/>
    <s v="Yokogawa Middle East &amp; Africa B.S.C. ©"/>
    <s v="Magnetic Flowmeter;AXG015-CASF2PA1AT212B-1JA11/E01/GC/GRT/L3/PM3/SCT/T01  "/>
    <m/>
    <m/>
    <n v="1"/>
    <n v="1"/>
    <n v="1"/>
    <n v="0"/>
    <x v="0"/>
  </r>
  <r>
    <n v="194"/>
    <s v="1000109892"/>
    <s v="Yokogawa Middle East &amp; Africa B.S.C. ©"/>
    <s v="UNIT; SAFETY NODE TYPE,RACK MOUNTABLE, 24 VDC POWER SUPPLY;SNB10D-44E/CU2N  "/>
    <m/>
    <m/>
    <n v="1"/>
    <n v="1"/>
    <n v="1"/>
    <n v="0"/>
    <x v="0"/>
  </r>
  <r>
    <n v="195"/>
    <s v="1000109940"/>
    <s v="AMETEK Magnetrol USA, LLC"/>
    <s v="Thermatel® thermal dispersion switch;XTD2-7D01-030   Probe;TMA-A240-020 "/>
    <m/>
    <m/>
    <n v="2"/>
    <n v="2"/>
    <n v="2"/>
    <n v="0"/>
    <x v="0"/>
  </r>
  <r>
    <n v="196"/>
    <s v="1000109954"/>
    <s v="Yokogawa Middle East &amp; Africa B.S.C. ©"/>
    <s v="Module Duplexed Safety Control Unit Type; S2SC70D-F411010  "/>
    <m/>
    <m/>
    <n v="1"/>
    <n v="1"/>
    <n v="1"/>
    <n v="0"/>
    <x v="0"/>
  </r>
  <r>
    <n v="197"/>
    <s v="1000109969"/>
    <s v="AMETEK Magnetrol USA, LLC"/>
    <s v="Eclipse® Guided Wave Radar Level Transmitter;   Probe:X7AF-64N0-A08-01-052 "/>
    <m/>
    <m/>
    <n v="3"/>
    <n v="3"/>
    <n v="3"/>
    <n v="0"/>
    <x v="0"/>
  </r>
  <r>
    <n v="198"/>
    <s v="1000109971"/>
    <s v="Yokogawa Middle East &amp; Africa B.S.C. ©"/>
    <s v="Conductivity Sensor Type;SC4A-S-PR-NN-002-15-T1 "/>
    <m/>
    <m/>
    <n v="1"/>
    <n v="1"/>
    <n v="1"/>
    <n v="0"/>
    <x v="0"/>
  </r>
  <r>
    <n v="199"/>
    <s v="1000109977"/>
    <s v="Magnetrol International NV"/>
    <s v="Top Mounted Displacer Level Switch;XA15-AG3M-BB9   011-2407-404;1&quot; NPT-M to 3/4&quot; NPT-F Ex d electrical entry adaptor (nickel plated brass)  "/>
    <m/>
    <m/>
    <n v="6"/>
    <n v="6"/>
    <n v="6"/>
    <n v="0"/>
    <x v="0"/>
  </r>
  <r>
    <n v="200"/>
    <s v="1000110117"/>
    <s v="Yokogawa Middle East &amp; Africa B.S.C. ©"/>
    <s v="Coriolis Mass Flow Meter;RCUN08K-15TT90-0C8E-SF22-2-JB1/BG/L005/P3/P6/P8   "/>
    <m/>
    <n v="13"/>
    <m/>
    <n v="13"/>
    <n v="13"/>
    <n v="0"/>
    <x v="0"/>
  </r>
  <r>
    <n v="201"/>
    <s v="1000110188"/>
    <s v="Yokogawa Middle East &amp; Africa B.S.C. ©"/>
    <s v="RAMC scale incl.EEPROM E/G/H 90/91 no Ex ;M3814JM-01 (As per quote)"/>
    <m/>
    <m/>
    <n v="2"/>
    <n v="2"/>
    <n v="2"/>
    <n v="0"/>
    <x v="0"/>
  </r>
  <r>
    <m/>
    <s v="Grand Total"/>
    <m/>
    <m/>
    <n v="127"/>
    <n v="799"/>
    <n v="1130"/>
    <n v="2056"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23C9C-EE3C-42CB-87AD-C15F88F525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ed items ">
  <location ref="B2:C1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5"/>
        <item x="3"/>
        <item x="1"/>
        <item x="2"/>
        <item x="7"/>
        <item x="8"/>
        <item x="4"/>
        <item x="6"/>
        <item x="0"/>
        <item h="1" x="9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pdate " fld="10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0" type="button" dataOnly="0" labelOnly="1" outline="0" axis="axisRow" fieldPosition="0"/>
    </format>
    <format dxfId="16">
      <pivotArea dataOnly="0" labelOnly="1" fieldPosition="0">
        <references count="1">
          <reference field="1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73F2-EEFD-4914-90C6-BDF1F32EC8F3}">
  <dimension ref="B2:G12"/>
  <sheetViews>
    <sheetView tabSelected="1" workbookViewId="0">
      <selection activeCell="G3" sqref="G3"/>
    </sheetView>
  </sheetViews>
  <sheetFormatPr defaultRowHeight="15" x14ac:dyDescent="0.25"/>
  <cols>
    <col min="2" max="2" width="44" bestFit="1" customWidth="1"/>
    <col min="3" max="3" width="16.140625" bestFit="1" customWidth="1"/>
    <col min="4" max="4" width="46.5703125" bestFit="1" customWidth="1"/>
  </cols>
  <sheetData>
    <row r="2" spans="2:7" x14ac:dyDescent="0.25">
      <c r="B2" s="10" t="s">
        <v>450</v>
      </c>
      <c r="C2" s="11" t="s">
        <v>449</v>
      </c>
      <c r="D2" s="12" t="s">
        <v>451</v>
      </c>
      <c r="G2">
        <f>GETPIVOTDATA("Update ",$B$2,"Update ","Stock Matching ")+GETPIVOTDATA("Update ",$B$2,"Update ","Qty 8 we sent to WIKA in 2021 ")+GETPIVOTDATA("Update ",$B$2,"Update ","Pending for closing ")+GETPIVOTDATA("Update ",$B$2,"Update ","Expnese line item")+GETPIVOTDATA("Update ",$B$2,"Update ","CLOSED")+GETPIVOTDATA("Update ",$B$2,"Update ","As per Mustfa Material should be in Head office")+GETPIVOTDATA("Update ",$B$2,"Update ","RMA (790433) 4506472667")</f>
        <v>197</v>
      </c>
    </row>
    <row r="3" spans="2:7" x14ac:dyDescent="0.25">
      <c r="B3" s="13" t="s">
        <v>442</v>
      </c>
      <c r="C3" s="11">
        <v>1</v>
      </c>
      <c r="D3" s="14" t="s">
        <v>452</v>
      </c>
    </row>
    <row r="4" spans="2:7" x14ac:dyDescent="0.25">
      <c r="B4" s="13" t="s">
        <v>445</v>
      </c>
      <c r="C4" s="11">
        <v>1</v>
      </c>
      <c r="D4" s="14" t="s">
        <v>453</v>
      </c>
    </row>
    <row r="5" spans="2:7" x14ac:dyDescent="0.25">
      <c r="B5" s="13" t="s">
        <v>444</v>
      </c>
      <c r="C5" s="11">
        <v>3</v>
      </c>
      <c r="D5" s="14" t="s">
        <v>454</v>
      </c>
    </row>
    <row r="6" spans="2:7" x14ac:dyDescent="0.25">
      <c r="B6" s="13" t="s">
        <v>438</v>
      </c>
      <c r="C6" s="11">
        <v>3</v>
      </c>
      <c r="D6" s="14" t="s">
        <v>455</v>
      </c>
    </row>
    <row r="7" spans="2:7" x14ac:dyDescent="0.25">
      <c r="B7" s="13" t="s">
        <v>441</v>
      </c>
      <c r="C7" s="11">
        <v>1</v>
      </c>
      <c r="D7" s="14" t="s">
        <v>456</v>
      </c>
    </row>
    <row r="8" spans="2:7" x14ac:dyDescent="0.25">
      <c r="B8" s="13" t="s">
        <v>446</v>
      </c>
      <c r="C8" s="11">
        <v>2</v>
      </c>
      <c r="D8" s="14" t="s">
        <v>453</v>
      </c>
    </row>
    <row r="9" spans="2:7" x14ac:dyDescent="0.25">
      <c r="B9" s="13" t="s">
        <v>440</v>
      </c>
      <c r="C9" s="11">
        <v>1</v>
      </c>
      <c r="D9" s="14" t="s">
        <v>455</v>
      </c>
    </row>
    <row r="10" spans="2:7" x14ac:dyDescent="0.25">
      <c r="B10" s="13" t="s">
        <v>447</v>
      </c>
      <c r="C10" s="11">
        <v>1</v>
      </c>
      <c r="D10" s="14" t="s">
        <v>457</v>
      </c>
    </row>
    <row r="11" spans="2:7" x14ac:dyDescent="0.25">
      <c r="B11" s="13" t="s">
        <v>443</v>
      </c>
      <c r="C11" s="11">
        <v>188</v>
      </c>
      <c r="D11" s="14" t="s">
        <v>453</v>
      </c>
    </row>
    <row r="12" spans="2:7" x14ac:dyDescent="0.25">
      <c r="B12" s="13" t="s">
        <v>433</v>
      </c>
      <c r="C12" s="11">
        <v>201</v>
      </c>
      <c r="D12" s="15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E7F4-98CD-49D7-8F7D-51062640604E}">
  <sheetPr filterMode="1">
    <tabColor rgb="FF00B050"/>
  </sheetPr>
  <dimension ref="A1:K203"/>
  <sheetViews>
    <sheetView workbookViewId="0">
      <pane ySplit="1" topLeftCell="A3" activePane="bottomLeft" state="frozen"/>
      <selection pane="bottomLeft" activeCell="B78" sqref="B78"/>
    </sheetView>
  </sheetViews>
  <sheetFormatPr defaultRowHeight="15" x14ac:dyDescent="0.25"/>
  <cols>
    <col min="1" max="1" width="4" bestFit="1" customWidth="1"/>
    <col min="2" max="2" width="12" style="8" bestFit="1" customWidth="1"/>
    <col min="3" max="3" width="24" customWidth="1"/>
    <col min="4" max="4" width="73.140625" customWidth="1"/>
    <col min="5" max="6" width="4" bestFit="1" customWidth="1"/>
    <col min="7" max="7" width="5" bestFit="1" customWidth="1"/>
    <col min="8" max="8" width="10.42578125" bestFit="1" customWidth="1"/>
    <col min="10" max="10" width="9.140625" style="8"/>
    <col min="11" max="11" width="44" bestFit="1" customWidth="1"/>
  </cols>
  <sheetData>
    <row r="1" spans="1:11" x14ac:dyDescent="0.25">
      <c r="A1" s="3" t="s">
        <v>434</v>
      </c>
      <c r="B1" s="16" t="s">
        <v>1</v>
      </c>
      <c r="C1" s="3" t="s">
        <v>437</v>
      </c>
      <c r="D1" s="4" t="s">
        <v>2</v>
      </c>
      <c r="E1" s="4" t="s">
        <v>375</v>
      </c>
      <c r="F1" s="4" t="s">
        <v>224</v>
      </c>
      <c r="G1" s="4" t="s">
        <v>3</v>
      </c>
      <c r="H1" s="4" t="s">
        <v>433</v>
      </c>
      <c r="I1" s="5" t="s">
        <v>435</v>
      </c>
      <c r="J1" s="6" t="s">
        <v>436</v>
      </c>
      <c r="K1" s="5" t="s">
        <v>448</v>
      </c>
    </row>
    <row r="2" spans="1:11" hidden="1" x14ac:dyDescent="0.25">
      <c r="A2" s="2">
        <v>1</v>
      </c>
      <c r="B2" s="2" t="s">
        <v>161</v>
      </c>
      <c r="C2" s="2" t="s">
        <v>5</v>
      </c>
      <c r="D2" s="2" t="s">
        <v>162</v>
      </c>
      <c r="E2" s="2"/>
      <c r="F2" s="2"/>
      <c r="G2">
        <v>8</v>
      </c>
      <c r="H2" s="2">
        <v>8</v>
      </c>
      <c r="I2" s="2">
        <v>8</v>
      </c>
      <c r="J2" s="7">
        <f>I2-H2</f>
        <v>0</v>
      </c>
      <c r="K2" s="2" t="s">
        <v>443</v>
      </c>
    </row>
    <row r="3" spans="1:11" x14ac:dyDescent="0.25">
      <c r="A3" s="2">
        <v>2</v>
      </c>
      <c r="B3" s="17" t="s">
        <v>4</v>
      </c>
      <c r="C3" s="2" t="s">
        <v>5</v>
      </c>
      <c r="D3" s="2" t="s">
        <v>6</v>
      </c>
      <c r="E3" s="2"/>
      <c r="F3" s="2"/>
      <c r="G3" s="2">
        <v>4</v>
      </c>
      <c r="H3" s="2">
        <v>4</v>
      </c>
      <c r="I3" s="2">
        <v>0</v>
      </c>
      <c r="J3" s="9">
        <f t="shared" ref="J3:J66" si="0">I3-H3</f>
        <v>-4</v>
      </c>
      <c r="K3" s="2" t="s">
        <v>444</v>
      </c>
    </row>
    <row r="4" spans="1:11" hidden="1" x14ac:dyDescent="0.25">
      <c r="A4" s="2">
        <v>3</v>
      </c>
      <c r="B4" s="2" t="s">
        <v>58</v>
      </c>
      <c r="C4" s="2" t="s">
        <v>5</v>
      </c>
      <c r="D4" s="2" t="s">
        <v>59</v>
      </c>
      <c r="E4" s="2"/>
      <c r="F4" s="2">
        <v>1</v>
      </c>
      <c r="G4" s="2">
        <v>1</v>
      </c>
      <c r="H4" s="2">
        <v>2</v>
      </c>
      <c r="I4" s="2">
        <v>2</v>
      </c>
      <c r="J4" s="7">
        <f t="shared" si="0"/>
        <v>0</v>
      </c>
      <c r="K4" s="2" t="s">
        <v>443</v>
      </c>
    </row>
    <row r="5" spans="1:11" hidden="1" x14ac:dyDescent="0.25">
      <c r="A5" s="2">
        <v>4</v>
      </c>
      <c r="B5" s="2" t="s">
        <v>163</v>
      </c>
      <c r="C5" s="2" t="s">
        <v>5</v>
      </c>
      <c r="D5" s="2" t="s">
        <v>164</v>
      </c>
      <c r="E5" s="2"/>
      <c r="F5" s="2"/>
      <c r="G5" s="2">
        <v>2</v>
      </c>
      <c r="H5" s="2">
        <v>2</v>
      </c>
      <c r="I5" s="2">
        <v>2</v>
      </c>
      <c r="J5" s="7">
        <f t="shared" si="0"/>
        <v>0</v>
      </c>
      <c r="K5" s="2" t="s">
        <v>443</v>
      </c>
    </row>
    <row r="6" spans="1:11" hidden="1" x14ac:dyDescent="0.25">
      <c r="A6" s="2">
        <v>5</v>
      </c>
      <c r="B6" s="2" t="s">
        <v>24</v>
      </c>
      <c r="C6" s="2" t="s">
        <v>18</v>
      </c>
      <c r="D6" s="2" t="s">
        <v>25</v>
      </c>
      <c r="E6" s="2"/>
      <c r="F6" s="2"/>
      <c r="G6" s="2">
        <v>2</v>
      </c>
      <c r="H6" s="2">
        <v>2</v>
      </c>
      <c r="I6" s="2">
        <v>2</v>
      </c>
      <c r="J6" s="7">
        <f t="shared" si="0"/>
        <v>0</v>
      </c>
      <c r="K6" s="2" t="s">
        <v>443</v>
      </c>
    </row>
    <row r="7" spans="1:11" hidden="1" x14ac:dyDescent="0.25">
      <c r="A7" s="2">
        <v>6</v>
      </c>
      <c r="B7" s="2" t="s">
        <v>395</v>
      </c>
      <c r="C7" s="2" t="s">
        <v>5</v>
      </c>
      <c r="D7" s="2" t="s">
        <v>396</v>
      </c>
      <c r="E7" s="2">
        <v>3</v>
      </c>
      <c r="F7" s="2"/>
      <c r="G7" s="2"/>
      <c r="H7" s="2">
        <v>3</v>
      </c>
      <c r="I7" s="2">
        <v>3</v>
      </c>
      <c r="J7" s="7">
        <f t="shared" si="0"/>
        <v>0</v>
      </c>
      <c r="K7" s="2" t="s">
        <v>443</v>
      </c>
    </row>
    <row r="8" spans="1:11" hidden="1" x14ac:dyDescent="0.25">
      <c r="A8" s="2">
        <v>7</v>
      </c>
      <c r="B8" s="2" t="s">
        <v>7</v>
      </c>
      <c r="C8" s="2" t="s">
        <v>5</v>
      </c>
      <c r="D8" s="2" t="s">
        <v>8</v>
      </c>
      <c r="E8" s="2"/>
      <c r="F8" s="2"/>
      <c r="G8" s="2">
        <v>2</v>
      </c>
      <c r="H8" s="2">
        <v>2</v>
      </c>
      <c r="I8" s="2">
        <v>2</v>
      </c>
      <c r="J8" s="7">
        <f t="shared" si="0"/>
        <v>0</v>
      </c>
      <c r="K8" s="2" t="s">
        <v>443</v>
      </c>
    </row>
    <row r="9" spans="1:11" hidden="1" x14ac:dyDescent="0.25">
      <c r="A9" s="2">
        <v>8</v>
      </c>
      <c r="B9" s="2" t="s">
        <v>359</v>
      </c>
      <c r="C9" s="2" t="s">
        <v>360</v>
      </c>
      <c r="D9" s="2" t="s">
        <v>361</v>
      </c>
      <c r="E9" s="2"/>
      <c r="F9" s="2">
        <v>3</v>
      </c>
      <c r="G9" s="2"/>
      <c r="H9" s="2">
        <v>3</v>
      </c>
      <c r="I9" s="2">
        <v>3</v>
      </c>
      <c r="J9" s="7">
        <f t="shared" si="0"/>
        <v>0</v>
      </c>
      <c r="K9" s="2" t="s">
        <v>443</v>
      </c>
    </row>
    <row r="10" spans="1:11" hidden="1" x14ac:dyDescent="0.25">
      <c r="A10" s="2">
        <v>9</v>
      </c>
      <c r="B10" s="2">
        <v>1000017135</v>
      </c>
      <c r="C10" s="2" t="s">
        <v>26</v>
      </c>
      <c r="D10" s="2" t="s">
        <v>27</v>
      </c>
      <c r="E10" s="2"/>
      <c r="F10" s="2"/>
      <c r="G10" s="2">
        <v>1</v>
      </c>
      <c r="H10" s="2">
        <v>1</v>
      </c>
      <c r="I10" s="2">
        <v>0</v>
      </c>
      <c r="J10" s="9">
        <f t="shared" si="0"/>
        <v>-1</v>
      </c>
      <c r="K10" s="18" t="s">
        <v>445</v>
      </c>
    </row>
    <row r="11" spans="1:11" hidden="1" x14ac:dyDescent="0.25">
      <c r="A11" s="2">
        <v>10</v>
      </c>
      <c r="B11" s="2">
        <v>1000017136</v>
      </c>
      <c r="C11" s="2" t="s">
        <v>18</v>
      </c>
      <c r="D11" s="2" t="s">
        <v>109</v>
      </c>
      <c r="E11" s="2"/>
      <c r="F11" s="2"/>
      <c r="G11" s="2">
        <v>1</v>
      </c>
      <c r="H11" s="2">
        <v>1</v>
      </c>
      <c r="I11" s="2">
        <v>0</v>
      </c>
      <c r="J11" s="9">
        <f t="shared" si="0"/>
        <v>-1</v>
      </c>
      <c r="K11" s="18" t="s">
        <v>445</v>
      </c>
    </row>
    <row r="12" spans="1:11" hidden="1" x14ac:dyDescent="0.25">
      <c r="A12" s="2">
        <v>11</v>
      </c>
      <c r="B12" s="2" t="s">
        <v>379</v>
      </c>
      <c r="C12" s="2" t="s">
        <v>5</v>
      </c>
      <c r="D12" s="2" t="s">
        <v>380</v>
      </c>
      <c r="E12" s="2">
        <v>3</v>
      </c>
      <c r="F12" s="2"/>
      <c r="G12" s="2"/>
      <c r="H12" s="2">
        <v>3</v>
      </c>
      <c r="I12" s="2">
        <v>3</v>
      </c>
      <c r="J12" s="7">
        <f t="shared" si="0"/>
        <v>0</v>
      </c>
      <c r="K12" s="2" t="s">
        <v>443</v>
      </c>
    </row>
    <row r="13" spans="1:11" hidden="1" x14ac:dyDescent="0.25">
      <c r="A13" s="2">
        <v>12</v>
      </c>
      <c r="B13" s="2" t="s">
        <v>389</v>
      </c>
      <c r="C13" s="2" t="s">
        <v>5</v>
      </c>
      <c r="D13" s="2" t="s">
        <v>390</v>
      </c>
      <c r="E13" s="2">
        <v>8</v>
      </c>
      <c r="F13" s="2"/>
      <c r="G13" s="2"/>
      <c r="H13" s="2">
        <v>8</v>
      </c>
      <c r="I13" s="2">
        <v>8</v>
      </c>
      <c r="J13" s="7">
        <f t="shared" si="0"/>
        <v>0</v>
      </c>
      <c r="K13" s="2" t="s">
        <v>443</v>
      </c>
    </row>
    <row r="14" spans="1:11" hidden="1" x14ac:dyDescent="0.25">
      <c r="A14" s="2">
        <v>13</v>
      </c>
      <c r="B14" s="2" t="s">
        <v>249</v>
      </c>
      <c r="C14" s="2" t="s">
        <v>250</v>
      </c>
      <c r="D14" s="2" t="s">
        <v>251</v>
      </c>
      <c r="E14" s="2"/>
      <c r="F14" s="2">
        <v>1</v>
      </c>
      <c r="G14" s="2"/>
      <c r="H14" s="2">
        <v>1</v>
      </c>
      <c r="I14" s="2">
        <v>1</v>
      </c>
      <c r="J14" s="7">
        <f t="shared" si="0"/>
        <v>0</v>
      </c>
      <c r="K14" s="2" t="s">
        <v>443</v>
      </c>
    </row>
    <row r="15" spans="1:11" hidden="1" x14ac:dyDescent="0.25">
      <c r="A15" s="2">
        <v>14</v>
      </c>
      <c r="B15" s="2" t="s">
        <v>165</v>
      </c>
      <c r="C15" s="2" t="s">
        <v>43</v>
      </c>
      <c r="D15" s="2" t="s">
        <v>166</v>
      </c>
      <c r="E15" s="2"/>
      <c r="F15" s="2"/>
      <c r="G15" s="2">
        <v>14</v>
      </c>
      <c r="H15" s="2">
        <v>14</v>
      </c>
      <c r="I15" s="2">
        <v>14</v>
      </c>
      <c r="J15" s="7">
        <f t="shared" si="0"/>
        <v>0</v>
      </c>
      <c r="K15" s="2" t="s">
        <v>443</v>
      </c>
    </row>
    <row r="16" spans="1:11" hidden="1" x14ac:dyDescent="0.25">
      <c r="A16" s="2">
        <v>15</v>
      </c>
      <c r="B16" s="2" t="s">
        <v>79</v>
      </c>
      <c r="C16" s="2" t="s">
        <v>18</v>
      </c>
      <c r="D16" s="2" t="s">
        <v>80</v>
      </c>
      <c r="E16" s="2"/>
      <c r="F16" s="2">
        <v>12</v>
      </c>
      <c r="G16" s="2">
        <v>10</v>
      </c>
      <c r="H16" s="2">
        <v>22</v>
      </c>
      <c r="I16" s="2">
        <v>22</v>
      </c>
      <c r="J16" s="7">
        <f t="shared" si="0"/>
        <v>0</v>
      </c>
      <c r="K16" s="2" t="s">
        <v>443</v>
      </c>
    </row>
    <row r="17" spans="1:11" hidden="1" x14ac:dyDescent="0.25">
      <c r="A17" s="2">
        <v>16</v>
      </c>
      <c r="B17" s="2" t="s">
        <v>391</v>
      </c>
      <c r="C17" s="2" t="s">
        <v>5</v>
      </c>
      <c r="D17" s="2" t="s">
        <v>392</v>
      </c>
      <c r="E17" s="2">
        <v>1</v>
      </c>
      <c r="F17" s="2"/>
      <c r="G17" s="2"/>
      <c r="H17" s="2">
        <v>1</v>
      </c>
      <c r="I17" s="2">
        <v>1</v>
      </c>
      <c r="J17" s="7">
        <f t="shared" si="0"/>
        <v>0</v>
      </c>
      <c r="K17" s="2" t="s">
        <v>443</v>
      </c>
    </row>
    <row r="18" spans="1:11" hidden="1" x14ac:dyDescent="0.25">
      <c r="A18" s="2">
        <v>17</v>
      </c>
      <c r="B18" s="2" t="s">
        <v>411</v>
      </c>
      <c r="C18" s="2" t="s">
        <v>5</v>
      </c>
      <c r="D18" s="2" t="s">
        <v>412</v>
      </c>
      <c r="E18" s="2">
        <v>1</v>
      </c>
      <c r="F18" s="2"/>
      <c r="G18" s="2"/>
      <c r="H18" s="2">
        <v>1</v>
      </c>
      <c r="I18" s="2">
        <v>1</v>
      </c>
      <c r="J18" s="7">
        <f t="shared" si="0"/>
        <v>0</v>
      </c>
      <c r="K18" s="2" t="s">
        <v>443</v>
      </c>
    </row>
    <row r="19" spans="1:11" hidden="1" x14ac:dyDescent="0.25">
      <c r="A19" s="2">
        <v>18</v>
      </c>
      <c r="B19" s="2" t="s">
        <v>393</v>
      </c>
      <c r="C19" s="2" t="s">
        <v>5</v>
      </c>
      <c r="D19" s="2" t="s">
        <v>394</v>
      </c>
      <c r="E19" s="2">
        <v>1</v>
      </c>
      <c r="F19" s="2"/>
      <c r="G19" s="2"/>
      <c r="H19" s="2">
        <v>1</v>
      </c>
      <c r="I19" s="2">
        <v>1</v>
      </c>
      <c r="J19" s="7">
        <f t="shared" si="0"/>
        <v>0</v>
      </c>
      <c r="K19" s="2" t="s">
        <v>443</v>
      </c>
    </row>
    <row r="20" spans="1:11" x14ac:dyDescent="0.25">
      <c r="A20" s="2">
        <v>19</v>
      </c>
      <c r="B20" s="17" t="s">
        <v>167</v>
      </c>
      <c r="C20" s="2" t="s">
        <v>5</v>
      </c>
      <c r="D20" s="2" t="s">
        <v>168</v>
      </c>
      <c r="E20" s="2"/>
      <c r="F20" s="2"/>
      <c r="G20" s="2">
        <v>1</v>
      </c>
      <c r="H20" s="2">
        <v>1</v>
      </c>
      <c r="I20" s="2">
        <v>0</v>
      </c>
      <c r="J20" s="9">
        <f t="shared" si="0"/>
        <v>-1</v>
      </c>
      <c r="K20" s="2" t="s">
        <v>444</v>
      </c>
    </row>
    <row r="21" spans="1:11" hidden="1" x14ac:dyDescent="0.25">
      <c r="A21" s="2">
        <v>20</v>
      </c>
      <c r="B21" s="2" t="s">
        <v>385</v>
      </c>
      <c r="C21" s="2" t="s">
        <v>5</v>
      </c>
      <c r="D21" s="2" t="s">
        <v>386</v>
      </c>
      <c r="E21" s="2">
        <v>1</v>
      </c>
      <c r="F21" s="2"/>
      <c r="G21" s="2"/>
      <c r="H21" s="2">
        <v>1</v>
      </c>
      <c r="I21" s="2">
        <v>1</v>
      </c>
      <c r="J21" s="7">
        <f t="shared" si="0"/>
        <v>0</v>
      </c>
      <c r="K21" s="2" t="s">
        <v>443</v>
      </c>
    </row>
    <row r="22" spans="1:11" hidden="1" x14ac:dyDescent="0.25">
      <c r="A22" s="2">
        <v>21</v>
      </c>
      <c r="B22" s="2" t="s">
        <v>401</v>
      </c>
      <c r="C22" s="2" t="s">
        <v>5</v>
      </c>
      <c r="D22" s="2" t="s">
        <v>402</v>
      </c>
      <c r="E22" s="2">
        <v>2</v>
      </c>
      <c r="F22" s="2"/>
      <c r="G22" s="2"/>
      <c r="H22" s="2">
        <v>2</v>
      </c>
      <c r="I22" s="2">
        <v>2</v>
      </c>
      <c r="J22" s="7">
        <f t="shared" si="0"/>
        <v>0</v>
      </c>
      <c r="K22" s="2" t="s">
        <v>443</v>
      </c>
    </row>
    <row r="23" spans="1:11" hidden="1" x14ac:dyDescent="0.25">
      <c r="A23" s="2">
        <v>22</v>
      </c>
      <c r="B23" s="2" t="s">
        <v>397</v>
      </c>
      <c r="C23" s="2" t="s">
        <v>5</v>
      </c>
      <c r="D23" s="2" t="s">
        <v>398</v>
      </c>
      <c r="E23" s="2">
        <v>3</v>
      </c>
      <c r="F23" s="2"/>
      <c r="G23" s="2"/>
      <c r="H23" s="2">
        <v>3</v>
      </c>
      <c r="I23" s="2">
        <v>3</v>
      </c>
      <c r="J23" s="7">
        <f t="shared" si="0"/>
        <v>0</v>
      </c>
      <c r="K23" s="2" t="s">
        <v>443</v>
      </c>
    </row>
    <row r="24" spans="1:11" hidden="1" x14ac:dyDescent="0.25">
      <c r="A24" s="2">
        <v>23</v>
      </c>
      <c r="B24" s="2" t="s">
        <v>403</v>
      </c>
      <c r="C24" s="2" t="s">
        <v>5</v>
      </c>
      <c r="D24" s="2" t="s">
        <v>404</v>
      </c>
      <c r="E24" s="2">
        <v>1</v>
      </c>
      <c r="F24" s="2"/>
      <c r="G24" s="2"/>
      <c r="H24" s="2">
        <v>1</v>
      </c>
      <c r="I24" s="2">
        <v>1</v>
      </c>
      <c r="J24" s="7">
        <f t="shared" si="0"/>
        <v>0</v>
      </c>
      <c r="K24" s="2" t="s">
        <v>443</v>
      </c>
    </row>
    <row r="25" spans="1:11" hidden="1" x14ac:dyDescent="0.25">
      <c r="A25" s="2">
        <v>24</v>
      </c>
      <c r="B25" s="2" t="s">
        <v>405</v>
      </c>
      <c r="C25" s="2" t="s">
        <v>5</v>
      </c>
      <c r="D25" s="2" t="s">
        <v>406</v>
      </c>
      <c r="E25" s="2">
        <v>4</v>
      </c>
      <c r="F25" s="2"/>
      <c r="G25" s="2"/>
      <c r="H25" s="2">
        <v>4</v>
      </c>
      <c r="I25" s="2">
        <v>4</v>
      </c>
      <c r="J25" s="7">
        <f t="shared" si="0"/>
        <v>0</v>
      </c>
      <c r="K25" s="2" t="s">
        <v>443</v>
      </c>
    </row>
    <row r="26" spans="1:11" hidden="1" x14ac:dyDescent="0.25">
      <c r="A26" s="2">
        <v>25</v>
      </c>
      <c r="B26" s="2" t="s">
        <v>381</v>
      </c>
      <c r="C26" s="2" t="s">
        <v>5</v>
      </c>
      <c r="D26" s="2" t="s">
        <v>382</v>
      </c>
      <c r="E26" s="2">
        <v>1</v>
      </c>
      <c r="F26" s="2"/>
      <c r="G26" s="2"/>
      <c r="H26" s="2">
        <v>1</v>
      </c>
      <c r="I26" s="2">
        <v>1</v>
      </c>
      <c r="J26" s="7">
        <f t="shared" si="0"/>
        <v>0</v>
      </c>
      <c r="K26" s="2" t="s">
        <v>443</v>
      </c>
    </row>
    <row r="27" spans="1:11" hidden="1" x14ac:dyDescent="0.25">
      <c r="A27" s="2">
        <v>26</v>
      </c>
      <c r="B27" s="2" t="s">
        <v>413</v>
      </c>
      <c r="C27" s="2" t="s">
        <v>5</v>
      </c>
      <c r="D27" s="2" t="s">
        <v>414</v>
      </c>
      <c r="E27" s="2">
        <v>2</v>
      </c>
      <c r="F27" s="2"/>
      <c r="G27" s="2"/>
      <c r="H27" s="2">
        <v>2</v>
      </c>
      <c r="I27" s="2">
        <v>2</v>
      </c>
      <c r="J27" s="7">
        <f t="shared" si="0"/>
        <v>0</v>
      </c>
      <c r="K27" s="2" t="s">
        <v>443</v>
      </c>
    </row>
    <row r="28" spans="1:11" hidden="1" x14ac:dyDescent="0.25">
      <c r="A28" s="2">
        <v>27</v>
      </c>
      <c r="B28" s="2" t="s">
        <v>387</v>
      </c>
      <c r="C28" s="2" t="s">
        <v>5</v>
      </c>
      <c r="D28" s="2" t="s">
        <v>388</v>
      </c>
      <c r="E28" s="2">
        <v>1</v>
      </c>
      <c r="F28" s="2"/>
      <c r="G28" s="2"/>
      <c r="H28" s="2">
        <v>1</v>
      </c>
      <c r="I28" s="2">
        <v>1</v>
      </c>
      <c r="J28" s="7">
        <f t="shared" si="0"/>
        <v>0</v>
      </c>
      <c r="K28" s="2" t="s">
        <v>443</v>
      </c>
    </row>
    <row r="29" spans="1:11" hidden="1" x14ac:dyDescent="0.25">
      <c r="A29" s="2">
        <v>28</v>
      </c>
      <c r="B29" s="2">
        <v>1000092232</v>
      </c>
      <c r="C29" s="2" t="s">
        <v>18</v>
      </c>
      <c r="D29" s="2" t="s">
        <v>81</v>
      </c>
      <c r="E29" s="2"/>
      <c r="F29" s="2"/>
      <c r="G29" s="2">
        <v>1</v>
      </c>
      <c r="H29" s="2">
        <v>1</v>
      </c>
      <c r="I29" s="2">
        <v>0</v>
      </c>
      <c r="J29" s="9">
        <f t="shared" si="0"/>
        <v>-1</v>
      </c>
      <c r="K29" s="18" t="s">
        <v>445</v>
      </c>
    </row>
    <row r="30" spans="1:11" hidden="1" x14ac:dyDescent="0.25">
      <c r="A30" s="2">
        <v>29</v>
      </c>
      <c r="B30" s="2" t="s">
        <v>330</v>
      </c>
      <c r="C30" s="2" t="s">
        <v>43</v>
      </c>
      <c r="D30" s="2" t="s">
        <v>331</v>
      </c>
      <c r="E30" s="2"/>
      <c r="F30" s="2">
        <v>33</v>
      </c>
      <c r="G30" s="2"/>
      <c r="H30" s="2">
        <v>33</v>
      </c>
      <c r="I30" s="2">
        <v>33</v>
      </c>
      <c r="J30" s="7">
        <f t="shared" si="0"/>
        <v>0</v>
      </c>
      <c r="K30" s="2" t="s">
        <v>443</v>
      </c>
    </row>
    <row r="31" spans="1:11" hidden="1" x14ac:dyDescent="0.25">
      <c r="A31" s="2">
        <v>30</v>
      </c>
      <c r="B31" s="2" t="s">
        <v>305</v>
      </c>
      <c r="C31" s="2" t="s">
        <v>43</v>
      </c>
      <c r="D31" s="2" t="s">
        <v>306</v>
      </c>
      <c r="E31" s="2"/>
      <c r="F31" s="2">
        <v>38</v>
      </c>
      <c r="G31" s="2"/>
      <c r="H31" s="2">
        <v>38</v>
      </c>
      <c r="I31" s="2">
        <v>38</v>
      </c>
      <c r="J31" s="7">
        <f t="shared" si="0"/>
        <v>0</v>
      </c>
      <c r="K31" s="2" t="s">
        <v>443</v>
      </c>
    </row>
    <row r="32" spans="1:11" hidden="1" x14ac:dyDescent="0.25">
      <c r="A32" s="2">
        <v>31</v>
      </c>
      <c r="B32" s="2" t="s">
        <v>82</v>
      </c>
      <c r="C32" s="2" t="s">
        <v>5</v>
      </c>
      <c r="D32" s="2" t="s">
        <v>83</v>
      </c>
      <c r="E32" s="2"/>
      <c r="F32" s="2"/>
      <c r="G32" s="2">
        <v>4</v>
      </c>
      <c r="H32" s="2">
        <v>4</v>
      </c>
      <c r="I32" s="2">
        <v>4</v>
      </c>
      <c r="J32" s="7">
        <f t="shared" si="0"/>
        <v>0</v>
      </c>
      <c r="K32" s="2" t="s">
        <v>443</v>
      </c>
    </row>
    <row r="33" spans="1:11" hidden="1" x14ac:dyDescent="0.25">
      <c r="A33" s="2">
        <v>32</v>
      </c>
      <c r="B33" s="2" t="s">
        <v>9</v>
      </c>
      <c r="C33" s="2" t="s">
        <v>5</v>
      </c>
      <c r="D33" s="2" t="s">
        <v>10</v>
      </c>
      <c r="E33" s="2"/>
      <c r="F33" s="2"/>
      <c r="G33" s="2">
        <v>1</v>
      </c>
      <c r="H33" s="2">
        <v>1</v>
      </c>
      <c r="I33" s="2">
        <v>1</v>
      </c>
      <c r="J33" s="7">
        <f t="shared" si="0"/>
        <v>0</v>
      </c>
      <c r="K33" s="2" t="s">
        <v>443</v>
      </c>
    </row>
    <row r="34" spans="1:11" hidden="1" x14ac:dyDescent="0.25">
      <c r="A34" s="2">
        <v>33</v>
      </c>
      <c r="B34" s="2" t="s">
        <v>383</v>
      </c>
      <c r="C34" s="2" t="s">
        <v>5</v>
      </c>
      <c r="D34" s="2" t="s">
        <v>384</v>
      </c>
      <c r="E34" s="2">
        <v>1</v>
      </c>
      <c r="F34" s="2"/>
      <c r="G34" s="2"/>
      <c r="H34" s="2">
        <v>1</v>
      </c>
      <c r="I34" s="2">
        <v>1</v>
      </c>
      <c r="J34" s="7">
        <f t="shared" si="0"/>
        <v>0</v>
      </c>
      <c r="K34" s="2" t="s">
        <v>443</v>
      </c>
    </row>
    <row r="35" spans="1:11" hidden="1" x14ac:dyDescent="0.25">
      <c r="A35" s="2">
        <v>34</v>
      </c>
      <c r="B35" s="2" t="s">
        <v>307</v>
      </c>
      <c r="C35" s="2" t="s">
        <v>43</v>
      </c>
      <c r="D35" s="2" t="s">
        <v>308</v>
      </c>
      <c r="E35" s="2"/>
      <c r="F35" s="2">
        <v>9</v>
      </c>
      <c r="G35" s="2"/>
      <c r="H35" s="2">
        <v>9</v>
      </c>
      <c r="I35" s="2">
        <v>9</v>
      </c>
      <c r="J35" s="7">
        <f t="shared" si="0"/>
        <v>0</v>
      </c>
      <c r="K35" s="2" t="s">
        <v>443</v>
      </c>
    </row>
    <row r="36" spans="1:11" hidden="1" x14ac:dyDescent="0.25">
      <c r="A36" s="2">
        <v>35</v>
      </c>
      <c r="B36" s="2" t="s">
        <v>309</v>
      </c>
      <c r="C36" s="2" t="s">
        <v>43</v>
      </c>
      <c r="D36" s="2" t="s">
        <v>310</v>
      </c>
      <c r="E36" s="2"/>
      <c r="F36" s="2">
        <v>4</v>
      </c>
      <c r="G36" s="2"/>
      <c r="H36" s="2">
        <v>4</v>
      </c>
      <c r="I36" s="2">
        <v>4</v>
      </c>
      <c r="J36" s="7">
        <f t="shared" si="0"/>
        <v>0</v>
      </c>
      <c r="K36" s="2" t="s">
        <v>443</v>
      </c>
    </row>
    <row r="37" spans="1:11" hidden="1" x14ac:dyDescent="0.25">
      <c r="A37" s="2">
        <v>36</v>
      </c>
      <c r="B37" s="2" t="s">
        <v>197</v>
      </c>
      <c r="C37" s="2" t="s">
        <v>5</v>
      </c>
      <c r="D37" s="2" t="s">
        <v>198</v>
      </c>
      <c r="E37" s="2"/>
      <c r="F37" s="2"/>
      <c r="G37" s="2">
        <v>6</v>
      </c>
      <c r="H37" s="2">
        <v>6</v>
      </c>
      <c r="I37" s="2">
        <v>6</v>
      </c>
      <c r="J37" s="7">
        <f t="shared" si="0"/>
        <v>0</v>
      </c>
      <c r="K37" s="2" t="s">
        <v>443</v>
      </c>
    </row>
    <row r="38" spans="1:11" hidden="1" x14ac:dyDescent="0.25">
      <c r="A38" s="2">
        <v>37</v>
      </c>
      <c r="B38" s="2" t="s">
        <v>417</v>
      </c>
      <c r="C38" s="2" t="s">
        <v>5</v>
      </c>
      <c r="D38" s="2" t="s">
        <v>418</v>
      </c>
      <c r="E38" s="2">
        <v>3</v>
      </c>
      <c r="F38" s="2"/>
      <c r="G38" s="2"/>
      <c r="H38" s="2">
        <v>3</v>
      </c>
      <c r="I38" s="2">
        <v>3</v>
      </c>
      <c r="J38" s="7">
        <f t="shared" si="0"/>
        <v>0</v>
      </c>
      <c r="K38" s="2" t="s">
        <v>443</v>
      </c>
    </row>
    <row r="39" spans="1:11" hidden="1" x14ac:dyDescent="0.25">
      <c r="A39" s="2">
        <v>38</v>
      </c>
      <c r="B39" s="2" t="s">
        <v>28</v>
      </c>
      <c r="C39" s="2" t="s">
        <v>12</v>
      </c>
      <c r="D39" s="2" t="s">
        <v>29</v>
      </c>
      <c r="E39" s="2"/>
      <c r="F39" s="2"/>
      <c r="G39" s="2">
        <v>12</v>
      </c>
      <c r="H39" s="2">
        <v>12</v>
      </c>
      <c r="I39" s="2">
        <v>12</v>
      </c>
      <c r="J39" s="7">
        <f t="shared" si="0"/>
        <v>0</v>
      </c>
      <c r="K39" s="2" t="s">
        <v>443</v>
      </c>
    </row>
    <row r="40" spans="1:11" hidden="1" x14ac:dyDescent="0.25">
      <c r="A40" s="2">
        <v>39</v>
      </c>
      <c r="B40" s="2" t="s">
        <v>136</v>
      </c>
      <c r="C40" s="2" t="s">
        <v>5</v>
      </c>
      <c r="D40" s="2" t="s">
        <v>137</v>
      </c>
      <c r="E40" s="2"/>
      <c r="F40" s="2"/>
      <c r="G40" s="2">
        <v>13</v>
      </c>
      <c r="H40" s="2">
        <v>13</v>
      </c>
      <c r="I40" s="2">
        <v>13</v>
      </c>
      <c r="J40" s="7">
        <f t="shared" si="0"/>
        <v>0</v>
      </c>
      <c r="K40" s="2" t="s">
        <v>443</v>
      </c>
    </row>
    <row r="41" spans="1:11" hidden="1" x14ac:dyDescent="0.25">
      <c r="A41" s="2">
        <v>40</v>
      </c>
      <c r="B41" s="2" t="s">
        <v>293</v>
      </c>
      <c r="C41" s="2" t="s">
        <v>43</v>
      </c>
      <c r="D41" s="2" t="s">
        <v>294</v>
      </c>
      <c r="E41" s="2"/>
      <c r="F41" s="2">
        <v>2</v>
      </c>
      <c r="G41" s="2"/>
      <c r="H41" s="2">
        <v>2</v>
      </c>
      <c r="I41" s="2">
        <v>2</v>
      </c>
      <c r="J41" s="7">
        <f t="shared" si="0"/>
        <v>0</v>
      </c>
      <c r="K41" s="2" t="s">
        <v>443</v>
      </c>
    </row>
    <row r="42" spans="1:11" hidden="1" x14ac:dyDescent="0.25">
      <c r="A42" s="2">
        <v>41</v>
      </c>
      <c r="B42" s="2" t="s">
        <v>199</v>
      </c>
      <c r="C42" s="2" t="s">
        <v>5</v>
      </c>
      <c r="D42" s="2" t="s">
        <v>200</v>
      </c>
      <c r="E42" s="2"/>
      <c r="F42" s="2"/>
      <c r="G42" s="2">
        <v>3</v>
      </c>
      <c r="H42" s="2">
        <v>3</v>
      </c>
      <c r="I42" s="2">
        <v>3</v>
      </c>
      <c r="J42" s="7">
        <f t="shared" si="0"/>
        <v>0</v>
      </c>
      <c r="K42" s="2" t="s">
        <v>443</v>
      </c>
    </row>
    <row r="43" spans="1:11" hidden="1" x14ac:dyDescent="0.25">
      <c r="A43" s="2">
        <v>42</v>
      </c>
      <c r="B43" s="2" t="s">
        <v>30</v>
      </c>
      <c r="C43" s="2" t="s">
        <v>5</v>
      </c>
      <c r="D43" s="2" t="s">
        <v>31</v>
      </c>
      <c r="E43" s="2"/>
      <c r="F43" s="2"/>
      <c r="G43" s="2">
        <v>1</v>
      </c>
      <c r="H43" s="2">
        <v>1</v>
      </c>
      <c r="I43" s="2">
        <v>1</v>
      </c>
      <c r="J43" s="7">
        <f t="shared" si="0"/>
        <v>0</v>
      </c>
      <c r="K43" s="2" t="s">
        <v>443</v>
      </c>
    </row>
    <row r="44" spans="1:11" hidden="1" x14ac:dyDescent="0.25">
      <c r="A44" s="2">
        <v>43</v>
      </c>
      <c r="B44" s="2" t="s">
        <v>169</v>
      </c>
      <c r="C44" s="2" t="s">
        <v>43</v>
      </c>
      <c r="D44" s="2" t="s">
        <v>170</v>
      </c>
      <c r="E44" s="2"/>
      <c r="F44" s="2"/>
      <c r="G44" s="2">
        <v>156</v>
      </c>
      <c r="H44" s="2">
        <v>156</v>
      </c>
      <c r="I44" s="2">
        <v>156</v>
      </c>
      <c r="J44" s="7">
        <f t="shared" si="0"/>
        <v>0</v>
      </c>
      <c r="K44" s="2" t="s">
        <v>443</v>
      </c>
    </row>
    <row r="45" spans="1:11" hidden="1" x14ac:dyDescent="0.25">
      <c r="A45" s="2">
        <v>44</v>
      </c>
      <c r="B45" s="2" t="s">
        <v>407</v>
      </c>
      <c r="C45" s="2" t="s">
        <v>5</v>
      </c>
      <c r="D45" s="2" t="s">
        <v>408</v>
      </c>
      <c r="E45" s="2">
        <v>24</v>
      </c>
      <c r="F45" s="2"/>
      <c r="G45" s="2"/>
      <c r="H45" s="2">
        <v>24</v>
      </c>
      <c r="I45" s="2">
        <v>24</v>
      </c>
      <c r="J45" s="7">
        <f t="shared" si="0"/>
        <v>0</v>
      </c>
      <c r="K45" s="2" t="s">
        <v>443</v>
      </c>
    </row>
    <row r="46" spans="1:11" hidden="1" x14ac:dyDescent="0.25">
      <c r="A46" s="2">
        <v>45</v>
      </c>
      <c r="B46" s="2" t="s">
        <v>252</v>
      </c>
      <c r="C46" s="2" t="s">
        <v>43</v>
      </c>
      <c r="D46" s="2" t="s">
        <v>253</v>
      </c>
      <c r="E46" s="2"/>
      <c r="F46" s="2">
        <v>3</v>
      </c>
      <c r="G46" s="2"/>
      <c r="H46" s="2">
        <v>3</v>
      </c>
      <c r="I46" s="2">
        <v>3</v>
      </c>
      <c r="J46" s="7">
        <f t="shared" si="0"/>
        <v>0</v>
      </c>
      <c r="K46" s="2" t="s">
        <v>443</v>
      </c>
    </row>
    <row r="47" spans="1:11" hidden="1" x14ac:dyDescent="0.25">
      <c r="A47" s="2">
        <v>46</v>
      </c>
      <c r="B47" s="2" t="s">
        <v>409</v>
      </c>
      <c r="C47" s="2" t="s">
        <v>5</v>
      </c>
      <c r="D47" s="2" t="s">
        <v>410</v>
      </c>
      <c r="E47" s="2">
        <v>1</v>
      </c>
      <c r="F47" s="2"/>
      <c r="G47" s="2"/>
      <c r="H47" s="2">
        <v>1</v>
      </c>
      <c r="I47" s="2">
        <v>1</v>
      </c>
      <c r="J47" s="7">
        <f t="shared" si="0"/>
        <v>0</v>
      </c>
      <c r="K47" s="2" t="s">
        <v>443</v>
      </c>
    </row>
    <row r="48" spans="1:11" hidden="1" x14ac:dyDescent="0.25">
      <c r="A48" s="2">
        <v>47</v>
      </c>
      <c r="B48" s="2" t="s">
        <v>171</v>
      </c>
      <c r="C48" s="2" t="s">
        <v>5</v>
      </c>
      <c r="D48" s="2" t="s">
        <v>172</v>
      </c>
      <c r="E48" s="2"/>
      <c r="F48" s="2"/>
      <c r="G48" s="2">
        <v>2</v>
      </c>
      <c r="H48" s="2">
        <v>2</v>
      </c>
      <c r="I48" s="2">
        <v>2</v>
      </c>
      <c r="J48" s="7">
        <f t="shared" si="0"/>
        <v>0</v>
      </c>
      <c r="K48" s="2" t="s">
        <v>443</v>
      </c>
    </row>
    <row r="49" spans="1:11" hidden="1" x14ac:dyDescent="0.25">
      <c r="A49" s="2">
        <v>48</v>
      </c>
      <c r="B49" s="2" t="s">
        <v>110</v>
      </c>
      <c r="C49" s="2" t="s">
        <v>5</v>
      </c>
      <c r="D49" s="2" t="s">
        <v>111</v>
      </c>
      <c r="E49" s="2"/>
      <c r="F49" s="2"/>
      <c r="G49" s="2">
        <v>2</v>
      </c>
      <c r="H49" s="2">
        <v>2</v>
      </c>
      <c r="I49" s="2">
        <v>2</v>
      </c>
      <c r="J49" s="7">
        <f t="shared" si="0"/>
        <v>0</v>
      </c>
      <c r="K49" s="2" t="s">
        <v>443</v>
      </c>
    </row>
    <row r="50" spans="1:11" hidden="1" x14ac:dyDescent="0.25">
      <c r="A50" s="2">
        <v>49</v>
      </c>
      <c r="B50" s="2" t="s">
        <v>112</v>
      </c>
      <c r="C50" s="2" t="s">
        <v>5</v>
      </c>
      <c r="D50" s="2" t="s">
        <v>113</v>
      </c>
      <c r="E50" s="2"/>
      <c r="F50" s="2"/>
      <c r="G50" s="2">
        <v>2</v>
      </c>
      <c r="H50" s="2">
        <v>2</v>
      </c>
      <c r="I50" s="2">
        <v>2</v>
      </c>
      <c r="J50" s="7">
        <f t="shared" si="0"/>
        <v>0</v>
      </c>
      <c r="K50" s="2" t="s">
        <v>443</v>
      </c>
    </row>
    <row r="51" spans="1:11" hidden="1" x14ac:dyDescent="0.25">
      <c r="A51" s="2">
        <v>50</v>
      </c>
      <c r="B51" s="2" t="s">
        <v>32</v>
      </c>
      <c r="C51" s="2" t="s">
        <v>5</v>
      </c>
      <c r="D51" s="2" t="s">
        <v>33</v>
      </c>
      <c r="E51" s="2"/>
      <c r="F51" s="2"/>
      <c r="G51" s="2">
        <v>2</v>
      </c>
      <c r="H51" s="2">
        <v>2</v>
      </c>
      <c r="I51" s="2">
        <v>2</v>
      </c>
      <c r="J51" s="7">
        <f t="shared" si="0"/>
        <v>0</v>
      </c>
      <c r="K51" s="2" t="s">
        <v>443</v>
      </c>
    </row>
    <row r="52" spans="1:11" hidden="1" x14ac:dyDescent="0.25">
      <c r="A52" s="2">
        <v>51</v>
      </c>
      <c r="B52" s="2" t="s">
        <v>138</v>
      </c>
      <c r="C52" s="2" t="s">
        <v>12</v>
      </c>
      <c r="D52" s="2" t="s">
        <v>139</v>
      </c>
      <c r="E52" s="2"/>
      <c r="F52" s="2"/>
      <c r="G52" s="2">
        <v>4</v>
      </c>
      <c r="H52" s="2">
        <v>4</v>
      </c>
      <c r="I52" s="2">
        <v>4</v>
      </c>
      <c r="J52" s="7">
        <f t="shared" si="0"/>
        <v>0</v>
      </c>
      <c r="K52" s="2" t="s">
        <v>443</v>
      </c>
    </row>
    <row r="53" spans="1:11" hidden="1" x14ac:dyDescent="0.25">
      <c r="A53" s="2">
        <v>52</v>
      </c>
      <c r="B53" s="2" t="s">
        <v>237</v>
      </c>
      <c r="C53" s="2" t="s">
        <v>18</v>
      </c>
      <c r="D53" s="2" t="s">
        <v>238</v>
      </c>
      <c r="E53" s="2"/>
      <c r="F53" s="2">
        <v>42</v>
      </c>
      <c r="G53" s="2"/>
      <c r="H53" s="2">
        <v>42</v>
      </c>
      <c r="I53" s="2">
        <v>42</v>
      </c>
      <c r="J53" s="7">
        <f t="shared" si="0"/>
        <v>0</v>
      </c>
      <c r="K53" s="2" t="s">
        <v>443</v>
      </c>
    </row>
    <row r="54" spans="1:11" hidden="1" x14ac:dyDescent="0.25">
      <c r="A54" s="2">
        <v>53</v>
      </c>
      <c r="B54" s="2" t="s">
        <v>399</v>
      </c>
      <c r="C54" s="2" t="s">
        <v>5</v>
      </c>
      <c r="D54" s="2" t="s">
        <v>400</v>
      </c>
      <c r="E54" s="2">
        <v>1</v>
      </c>
      <c r="F54" s="2"/>
      <c r="G54" s="2"/>
      <c r="H54" s="2">
        <v>1</v>
      </c>
      <c r="I54" s="2">
        <v>1</v>
      </c>
      <c r="J54" s="7">
        <f t="shared" si="0"/>
        <v>0</v>
      </c>
      <c r="K54" s="2" t="s">
        <v>443</v>
      </c>
    </row>
    <row r="55" spans="1:11" x14ac:dyDescent="0.25">
      <c r="A55" s="2">
        <v>54</v>
      </c>
      <c r="B55" s="17">
        <v>1000094513</v>
      </c>
      <c r="C55" s="2" t="s">
        <v>5</v>
      </c>
      <c r="D55" s="2" t="s">
        <v>140</v>
      </c>
      <c r="E55" s="2"/>
      <c r="F55" s="2"/>
      <c r="G55" s="2">
        <v>2</v>
      </c>
      <c r="H55" s="2">
        <v>2</v>
      </c>
      <c r="I55" s="2">
        <v>0</v>
      </c>
      <c r="J55" s="9">
        <f t="shared" si="0"/>
        <v>-2</v>
      </c>
      <c r="K55" s="2" t="s">
        <v>444</v>
      </c>
    </row>
    <row r="56" spans="1:11" hidden="1" x14ac:dyDescent="0.25">
      <c r="A56" s="2">
        <v>55</v>
      </c>
      <c r="B56" s="2" t="s">
        <v>351</v>
      </c>
      <c r="C56" s="2" t="s">
        <v>5</v>
      </c>
      <c r="D56" s="2" t="s">
        <v>352</v>
      </c>
      <c r="E56" s="2"/>
      <c r="F56" s="2">
        <v>2</v>
      </c>
      <c r="G56" s="2"/>
      <c r="H56" s="2">
        <v>2</v>
      </c>
      <c r="I56" s="2">
        <v>2</v>
      </c>
      <c r="J56" s="7">
        <f t="shared" si="0"/>
        <v>0</v>
      </c>
      <c r="K56" s="2" t="s">
        <v>443</v>
      </c>
    </row>
    <row r="57" spans="1:11" hidden="1" x14ac:dyDescent="0.25">
      <c r="A57" s="2">
        <v>56</v>
      </c>
      <c r="B57" s="2" t="s">
        <v>273</v>
      </c>
      <c r="C57" s="2" t="s">
        <v>43</v>
      </c>
      <c r="D57" s="2" t="s">
        <v>274</v>
      </c>
      <c r="E57" s="2"/>
      <c r="F57" s="2">
        <v>2</v>
      </c>
      <c r="G57" s="2"/>
      <c r="H57" s="2">
        <v>2</v>
      </c>
      <c r="I57" s="2">
        <v>2</v>
      </c>
      <c r="J57" s="7">
        <f t="shared" si="0"/>
        <v>0</v>
      </c>
      <c r="K57" s="2" t="s">
        <v>443</v>
      </c>
    </row>
    <row r="58" spans="1:11" hidden="1" x14ac:dyDescent="0.25">
      <c r="A58" s="2">
        <v>57</v>
      </c>
      <c r="B58" s="2" t="s">
        <v>415</v>
      </c>
      <c r="C58" s="2" t="s">
        <v>5</v>
      </c>
      <c r="D58" s="2" t="s">
        <v>416</v>
      </c>
      <c r="E58" s="2">
        <v>15</v>
      </c>
      <c r="F58" s="2"/>
      <c r="G58" s="2"/>
      <c r="H58" s="2">
        <v>15</v>
      </c>
      <c r="I58" s="2">
        <v>15</v>
      </c>
      <c r="J58" s="7">
        <f t="shared" si="0"/>
        <v>0</v>
      </c>
      <c r="K58" s="2" t="s">
        <v>443</v>
      </c>
    </row>
    <row r="59" spans="1:11" hidden="1" x14ac:dyDescent="0.25">
      <c r="A59" s="2">
        <v>58</v>
      </c>
      <c r="B59" s="2" t="s">
        <v>419</v>
      </c>
      <c r="C59" s="2" t="s">
        <v>5</v>
      </c>
      <c r="D59" s="2" t="s">
        <v>420</v>
      </c>
      <c r="E59" s="2">
        <v>15</v>
      </c>
      <c r="F59" s="2"/>
      <c r="G59" s="2"/>
      <c r="H59" s="2">
        <v>15</v>
      </c>
      <c r="I59" s="2">
        <v>15</v>
      </c>
      <c r="J59" s="7">
        <f t="shared" si="0"/>
        <v>0</v>
      </c>
      <c r="K59" s="2" t="s">
        <v>443</v>
      </c>
    </row>
    <row r="60" spans="1:11" hidden="1" x14ac:dyDescent="0.25">
      <c r="A60" s="2">
        <v>59</v>
      </c>
      <c r="B60" s="2" t="s">
        <v>311</v>
      </c>
      <c r="C60" s="2" t="s">
        <v>5</v>
      </c>
      <c r="D60" s="2" t="s">
        <v>312</v>
      </c>
      <c r="E60" s="2">
        <v>4</v>
      </c>
      <c r="F60" s="2">
        <v>4</v>
      </c>
      <c r="G60" s="2"/>
      <c r="H60" s="2">
        <v>8</v>
      </c>
      <c r="I60" s="2">
        <v>8</v>
      </c>
      <c r="J60" s="7">
        <f t="shared" si="0"/>
        <v>0</v>
      </c>
      <c r="K60" s="2" t="s">
        <v>443</v>
      </c>
    </row>
    <row r="61" spans="1:11" hidden="1" x14ac:dyDescent="0.25">
      <c r="A61" s="2">
        <v>60</v>
      </c>
      <c r="B61" s="2" t="s">
        <v>173</v>
      </c>
      <c r="C61" s="2" t="s">
        <v>5</v>
      </c>
      <c r="D61" s="2" t="s">
        <v>439</v>
      </c>
      <c r="E61" s="2">
        <v>7</v>
      </c>
      <c r="F61" s="2"/>
      <c r="G61" s="2">
        <v>2</v>
      </c>
      <c r="H61" s="2">
        <v>9</v>
      </c>
      <c r="I61" s="2">
        <v>9</v>
      </c>
      <c r="J61" s="7">
        <f t="shared" si="0"/>
        <v>0</v>
      </c>
      <c r="K61" s="2" t="s">
        <v>443</v>
      </c>
    </row>
    <row r="62" spans="1:11" hidden="1" x14ac:dyDescent="0.25">
      <c r="A62" s="2">
        <v>61</v>
      </c>
      <c r="B62" s="2" t="s">
        <v>114</v>
      </c>
      <c r="C62" s="2" t="s">
        <v>43</v>
      </c>
      <c r="D62" s="2" t="s">
        <v>115</v>
      </c>
      <c r="E62" s="2"/>
      <c r="F62" s="2"/>
      <c r="G62" s="2">
        <v>10</v>
      </c>
      <c r="H62" s="2">
        <v>10</v>
      </c>
      <c r="I62" s="2">
        <v>10</v>
      </c>
      <c r="J62" s="7">
        <f t="shared" si="0"/>
        <v>0</v>
      </c>
      <c r="K62" s="2" t="s">
        <v>443</v>
      </c>
    </row>
    <row r="63" spans="1:11" hidden="1" x14ac:dyDescent="0.25">
      <c r="A63" s="2">
        <v>62</v>
      </c>
      <c r="B63" s="2">
        <v>1000095124</v>
      </c>
      <c r="C63" s="2" t="s">
        <v>5</v>
      </c>
      <c r="D63" s="2" t="s">
        <v>174</v>
      </c>
      <c r="E63" s="2"/>
      <c r="F63" s="2"/>
      <c r="G63" s="2">
        <v>2</v>
      </c>
      <c r="H63" s="2">
        <v>2</v>
      </c>
      <c r="I63" s="2">
        <v>0</v>
      </c>
      <c r="J63" s="9">
        <f t="shared" si="0"/>
        <v>-2</v>
      </c>
      <c r="K63" s="2" t="s">
        <v>445</v>
      </c>
    </row>
    <row r="64" spans="1:11" hidden="1" x14ac:dyDescent="0.25">
      <c r="A64" s="2">
        <v>63</v>
      </c>
      <c r="B64" s="2" t="s">
        <v>11</v>
      </c>
      <c r="C64" s="2" t="s">
        <v>12</v>
      </c>
      <c r="D64" s="2" t="s">
        <v>13</v>
      </c>
      <c r="E64" s="2"/>
      <c r="F64" s="2"/>
      <c r="G64" s="2">
        <v>4</v>
      </c>
      <c r="H64" s="2">
        <v>4</v>
      </c>
      <c r="I64" s="2">
        <v>4</v>
      </c>
      <c r="J64" s="7">
        <f t="shared" si="0"/>
        <v>0</v>
      </c>
      <c r="K64" s="2" t="s">
        <v>443</v>
      </c>
    </row>
    <row r="65" spans="1:11" hidden="1" x14ac:dyDescent="0.25">
      <c r="A65" s="2">
        <v>64</v>
      </c>
      <c r="B65" s="2" t="s">
        <v>332</v>
      </c>
      <c r="C65" s="2" t="s">
        <v>257</v>
      </c>
      <c r="D65" s="2" t="s">
        <v>333</v>
      </c>
      <c r="E65" s="2"/>
      <c r="F65" s="2">
        <v>1</v>
      </c>
      <c r="G65" s="2"/>
      <c r="H65" s="2">
        <v>1</v>
      </c>
      <c r="I65" s="2">
        <v>1</v>
      </c>
      <c r="J65" s="7">
        <f t="shared" si="0"/>
        <v>0</v>
      </c>
      <c r="K65" s="2" t="s">
        <v>443</v>
      </c>
    </row>
    <row r="66" spans="1:11" hidden="1" x14ac:dyDescent="0.25">
      <c r="A66" s="2">
        <v>65</v>
      </c>
      <c r="B66" s="2" t="s">
        <v>353</v>
      </c>
      <c r="C66" s="2" t="s">
        <v>257</v>
      </c>
      <c r="D66" s="2" t="s">
        <v>354</v>
      </c>
      <c r="E66" s="2"/>
      <c r="F66" s="2">
        <v>5</v>
      </c>
      <c r="G66" s="2"/>
      <c r="H66" s="2">
        <v>5</v>
      </c>
      <c r="I66" s="2">
        <v>5</v>
      </c>
      <c r="J66" s="7">
        <f t="shared" si="0"/>
        <v>0</v>
      </c>
      <c r="K66" s="2" t="s">
        <v>443</v>
      </c>
    </row>
    <row r="67" spans="1:11" hidden="1" x14ac:dyDescent="0.25">
      <c r="A67" s="2">
        <v>66</v>
      </c>
      <c r="B67" s="2" t="s">
        <v>355</v>
      </c>
      <c r="C67" s="2" t="s">
        <v>257</v>
      </c>
      <c r="D67" s="2" t="s">
        <v>356</v>
      </c>
      <c r="E67" s="2"/>
      <c r="F67" s="2">
        <v>5</v>
      </c>
      <c r="G67" s="2"/>
      <c r="H67" s="2">
        <v>5</v>
      </c>
      <c r="I67" s="2">
        <v>5</v>
      </c>
      <c r="J67" s="7">
        <f t="shared" ref="J67:J73" si="1">I67-H67</f>
        <v>0</v>
      </c>
      <c r="K67" s="2" t="s">
        <v>443</v>
      </c>
    </row>
    <row r="68" spans="1:11" hidden="1" x14ac:dyDescent="0.25">
      <c r="A68" s="2">
        <v>67</v>
      </c>
      <c r="B68" s="2" t="s">
        <v>34</v>
      </c>
      <c r="C68" s="2" t="s">
        <v>5</v>
      </c>
      <c r="D68" s="2" t="s">
        <v>35</v>
      </c>
      <c r="E68" s="2"/>
      <c r="F68" s="2"/>
      <c r="G68" s="2">
        <v>1</v>
      </c>
      <c r="H68" s="2">
        <v>1</v>
      </c>
      <c r="I68" s="2">
        <v>1</v>
      </c>
      <c r="J68" s="7">
        <f t="shared" si="1"/>
        <v>0</v>
      </c>
      <c r="K68" s="2" t="s">
        <v>443</v>
      </c>
    </row>
    <row r="69" spans="1:11" hidden="1" x14ac:dyDescent="0.25">
      <c r="A69" s="2">
        <v>68</v>
      </c>
      <c r="B69" s="2" t="s">
        <v>295</v>
      </c>
      <c r="C69" s="2" t="s">
        <v>43</v>
      </c>
      <c r="D69" s="2" t="s">
        <v>296</v>
      </c>
      <c r="E69" s="2"/>
      <c r="F69" s="2">
        <v>11</v>
      </c>
      <c r="G69" s="2"/>
      <c r="H69" s="2">
        <v>11</v>
      </c>
      <c r="I69" s="2">
        <v>11</v>
      </c>
      <c r="J69" s="7">
        <f t="shared" si="1"/>
        <v>0</v>
      </c>
      <c r="K69" s="2" t="s">
        <v>443</v>
      </c>
    </row>
    <row r="70" spans="1:11" hidden="1" x14ac:dyDescent="0.25">
      <c r="A70" s="2">
        <v>69</v>
      </c>
      <c r="B70" s="2" t="s">
        <v>36</v>
      </c>
      <c r="C70" s="2" t="s">
        <v>5</v>
      </c>
      <c r="D70" s="2" t="s">
        <v>37</v>
      </c>
      <c r="E70" s="2"/>
      <c r="F70" s="2"/>
      <c r="G70" s="2">
        <v>3</v>
      </c>
      <c r="H70" s="2">
        <v>3</v>
      </c>
      <c r="I70" s="2">
        <v>3</v>
      </c>
      <c r="J70" s="7">
        <f t="shared" si="1"/>
        <v>0</v>
      </c>
      <c r="K70" s="2" t="s">
        <v>443</v>
      </c>
    </row>
    <row r="71" spans="1:11" hidden="1" x14ac:dyDescent="0.25">
      <c r="A71" s="2">
        <v>70</v>
      </c>
      <c r="B71" s="2" t="s">
        <v>201</v>
      </c>
      <c r="C71" s="2" t="s">
        <v>5</v>
      </c>
      <c r="D71" s="2" t="s">
        <v>202</v>
      </c>
      <c r="E71" s="2"/>
      <c r="F71" s="2"/>
      <c r="G71" s="2">
        <v>240</v>
      </c>
      <c r="H71" s="2">
        <v>240</v>
      </c>
      <c r="I71" s="2">
        <v>240</v>
      </c>
      <c r="J71" s="7">
        <f t="shared" si="1"/>
        <v>0</v>
      </c>
      <c r="K71" s="2" t="s">
        <v>443</v>
      </c>
    </row>
    <row r="72" spans="1:11" hidden="1" x14ac:dyDescent="0.25">
      <c r="A72" s="2">
        <v>71</v>
      </c>
      <c r="B72" s="2" t="s">
        <v>60</v>
      </c>
      <c r="C72" s="2" t="s">
        <v>5</v>
      </c>
      <c r="D72" s="2" t="s">
        <v>61</v>
      </c>
      <c r="E72" s="2"/>
      <c r="F72" s="2"/>
      <c r="G72" s="2">
        <v>15</v>
      </c>
      <c r="H72" s="2">
        <v>15</v>
      </c>
      <c r="I72" s="2">
        <v>15</v>
      </c>
      <c r="J72" s="7">
        <f t="shared" si="1"/>
        <v>0</v>
      </c>
      <c r="K72" s="2" t="s">
        <v>443</v>
      </c>
    </row>
    <row r="73" spans="1:11" hidden="1" x14ac:dyDescent="0.25">
      <c r="A73" s="2">
        <v>72</v>
      </c>
      <c r="B73" s="2" t="s">
        <v>38</v>
      </c>
      <c r="C73" s="2" t="s">
        <v>5</v>
      </c>
      <c r="D73" s="2" t="s">
        <v>39</v>
      </c>
      <c r="E73" s="2"/>
      <c r="F73" s="2"/>
      <c r="G73" s="2">
        <v>13</v>
      </c>
      <c r="H73" s="2">
        <v>13</v>
      </c>
      <c r="I73" s="2">
        <v>13</v>
      </c>
      <c r="J73" s="7">
        <f t="shared" si="1"/>
        <v>0</v>
      </c>
      <c r="K73" s="2" t="s">
        <v>443</v>
      </c>
    </row>
    <row r="74" spans="1:11" hidden="1" x14ac:dyDescent="0.25">
      <c r="A74" s="2">
        <v>73</v>
      </c>
      <c r="B74" s="2" t="s">
        <v>62</v>
      </c>
      <c r="C74" s="2" t="s">
        <v>63</v>
      </c>
      <c r="D74" s="2" t="s">
        <v>64</v>
      </c>
      <c r="E74" s="2"/>
      <c r="F74" s="2"/>
      <c r="G74" s="2">
        <v>9</v>
      </c>
      <c r="H74" s="2">
        <v>9</v>
      </c>
      <c r="I74" s="2">
        <v>1</v>
      </c>
      <c r="J74" s="9">
        <f t="shared" ref="J74:J130" si="2">I74-H74</f>
        <v>-8</v>
      </c>
      <c r="K74" s="2" t="s">
        <v>440</v>
      </c>
    </row>
    <row r="75" spans="1:11" hidden="1" x14ac:dyDescent="0.25">
      <c r="A75" s="2">
        <v>74</v>
      </c>
      <c r="B75" s="2" t="s">
        <v>141</v>
      </c>
      <c r="C75" s="2" t="s">
        <v>5</v>
      </c>
      <c r="D75" s="2" t="s">
        <v>142</v>
      </c>
      <c r="E75" s="2"/>
      <c r="F75" s="2"/>
      <c r="G75" s="2">
        <v>4</v>
      </c>
      <c r="H75" s="2">
        <v>4</v>
      </c>
      <c r="I75" s="2">
        <v>4</v>
      </c>
      <c r="J75" s="7">
        <f t="shared" si="2"/>
        <v>0</v>
      </c>
      <c r="K75" s="2" t="s">
        <v>443</v>
      </c>
    </row>
    <row r="76" spans="1:11" hidden="1" x14ac:dyDescent="0.25">
      <c r="A76" s="2">
        <v>75</v>
      </c>
      <c r="B76" s="2" t="s">
        <v>143</v>
      </c>
      <c r="C76" s="2" t="s">
        <v>5</v>
      </c>
      <c r="D76" s="2" t="s">
        <v>144</v>
      </c>
      <c r="E76" s="2"/>
      <c r="F76" s="2"/>
      <c r="G76" s="2">
        <v>14</v>
      </c>
      <c r="H76" s="2">
        <v>14</v>
      </c>
      <c r="I76" s="2">
        <v>14</v>
      </c>
      <c r="J76" s="7">
        <f t="shared" si="2"/>
        <v>0</v>
      </c>
      <c r="K76" s="2" t="s">
        <v>443</v>
      </c>
    </row>
    <row r="77" spans="1:11" hidden="1" x14ac:dyDescent="0.25">
      <c r="A77" s="2">
        <v>76</v>
      </c>
      <c r="B77" s="2" t="s">
        <v>225</v>
      </c>
      <c r="C77" s="2" t="s">
        <v>5</v>
      </c>
      <c r="D77" s="2" t="s">
        <v>226</v>
      </c>
      <c r="E77" s="2"/>
      <c r="F77" s="2">
        <v>3</v>
      </c>
      <c r="G77" s="2"/>
      <c r="H77" s="2">
        <v>3</v>
      </c>
      <c r="I77" s="2">
        <v>3</v>
      </c>
      <c r="J77" s="7">
        <f t="shared" si="2"/>
        <v>0</v>
      </c>
      <c r="K77" s="2" t="s">
        <v>443</v>
      </c>
    </row>
    <row r="78" spans="1:11" hidden="1" x14ac:dyDescent="0.25">
      <c r="A78" s="2">
        <v>77</v>
      </c>
      <c r="B78" s="2">
        <v>1000098729</v>
      </c>
      <c r="C78" s="2" t="s">
        <v>5</v>
      </c>
      <c r="D78" s="2" t="s">
        <v>376</v>
      </c>
      <c r="E78" s="2">
        <v>23</v>
      </c>
      <c r="F78" s="2"/>
      <c r="G78" s="2"/>
      <c r="H78" s="2">
        <v>23</v>
      </c>
      <c r="I78" s="2">
        <v>0</v>
      </c>
      <c r="J78" s="9">
        <f t="shared" si="2"/>
        <v>-23</v>
      </c>
      <c r="K78" s="2" t="s">
        <v>442</v>
      </c>
    </row>
    <row r="79" spans="1:11" hidden="1" x14ac:dyDescent="0.25">
      <c r="A79" s="2">
        <v>78</v>
      </c>
      <c r="B79" s="2" t="s">
        <v>203</v>
      </c>
      <c r="C79" s="2" t="s">
        <v>123</v>
      </c>
      <c r="D79" s="2" t="s">
        <v>204</v>
      </c>
      <c r="E79" s="2"/>
      <c r="F79" s="2"/>
      <c r="G79" s="2">
        <v>12</v>
      </c>
      <c r="H79" s="2">
        <v>12</v>
      </c>
      <c r="I79" s="2">
        <v>12</v>
      </c>
      <c r="J79" s="7">
        <f t="shared" si="2"/>
        <v>0</v>
      </c>
      <c r="K79" s="2" t="s">
        <v>443</v>
      </c>
    </row>
    <row r="80" spans="1:11" hidden="1" x14ac:dyDescent="0.25">
      <c r="A80" s="2">
        <v>79</v>
      </c>
      <c r="B80" s="2" t="s">
        <v>145</v>
      </c>
      <c r="C80" s="2" t="s">
        <v>5</v>
      </c>
      <c r="D80" s="2" t="s">
        <v>146</v>
      </c>
      <c r="E80" s="2"/>
      <c r="F80" s="2"/>
      <c r="G80" s="2">
        <v>2</v>
      </c>
      <c r="H80" s="2">
        <v>2</v>
      </c>
      <c r="I80" s="2">
        <v>2</v>
      </c>
      <c r="J80" s="7">
        <f t="shared" si="2"/>
        <v>0</v>
      </c>
      <c r="K80" s="2" t="s">
        <v>443</v>
      </c>
    </row>
    <row r="81" spans="1:11" hidden="1" x14ac:dyDescent="0.25">
      <c r="A81" s="2">
        <v>80</v>
      </c>
      <c r="B81" s="2" t="s">
        <v>65</v>
      </c>
      <c r="C81" s="2" t="s">
        <v>5</v>
      </c>
      <c r="D81" s="2" t="s">
        <v>66</v>
      </c>
      <c r="E81" s="2"/>
      <c r="F81" s="2"/>
      <c r="G81" s="2">
        <v>2</v>
      </c>
      <c r="H81" s="2">
        <v>2</v>
      </c>
      <c r="I81" s="2">
        <v>2</v>
      </c>
      <c r="J81" s="7">
        <f t="shared" si="2"/>
        <v>0</v>
      </c>
      <c r="K81" s="2" t="s">
        <v>443</v>
      </c>
    </row>
    <row r="82" spans="1:11" hidden="1" x14ac:dyDescent="0.25">
      <c r="A82" s="2">
        <v>81</v>
      </c>
      <c r="B82" s="2">
        <v>1000099428</v>
      </c>
      <c r="C82" s="2" t="s">
        <v>43</v>
      </c>
      <c r="D82" s="2" t="s">
        <v>275</v>
      </c>
      <c r="E82" s="2"/>
      <c r="F82" s="2">
        <v>80</v>
      </c>
      <c r="G82" s="2"/>
      <c r="H82" s="2">
        <v>80</v>
      </c>
      <c r="I82" s="2">
        <v>0</v>
      </c>
      <c r="J82" s="9">
        <f t="shared" si="2"/>
        <v>-80</v>
      </c>
      <c r="K82" s="2" t="s">
        <v>447</v>
      </c>
    </row>
    <row r="83" spans="1:11" hidden="1" x14ac:dyDescent="0.25">
      <c r="A83" s="2">
        <v>82</v>
      </c>
      <c r="B83" s="2" t="s">
        <v>84</v>
      </c>
      <c r="C83" s="2" t="s">
        <v>15</v>
      </c>
      <c r="D83" s="2" t="s">
        <v>85</v>
      </c>
      <c r="E83" s="2"/>
      <c r="F83" s="2"/>
      <c r="G83" s="2">
        <v>2</v>
      </c>
      <c r="H83" s="2">
        <v>2</v>
      </c>
      <c r="I83" s="2">
        <v>2</v>
      </c>
      <c r="J83" s="7">
        <f t="shared" si="2"/>
        <v>0</v>
      </c>
      <c r="K83" s="2" t="s">
        <v>443</v>
      </c>
    </row>
    <row r="84" spans="1:11" hidden="1" x14ac:dyDescent="0.25">
      <c r="A84" s="2">
        <v>83</v>
      </c>
      <c r="B84" s="2" t="s">
        <v>14</v>
      </c>
      <c r="C84" s="2" t="s">
        <v>15</v>
      </c>
      <c r="D84" s="2" t="s">
        <v>16</v>
      </c>
      <c r="E84" s="2"/>
      <c r="F84" s="2"/>
      <c r="G84" s="2">
        <v>1</v>
      </c>
      <c r="H84" s="2">
        <v>1</v>
      </c>
      <c r="I84" s="2">
        <v>1</v>
      </c>
      <c r="J84" s="7">
        <f t="shared" si="2"/>
        <v>0</v>
      </c>
      <c r="K84" s="2" t="s">
        <v>443</v>
      </c>
    </row>
    <row r="85" spans="1:11" hidden="1" x14ac:dyDescent="0.25">
      <c r="A85" s="2">
        <v>84</v>
      </c>
      <c r="B85" s="2" t="s">
        <v>254</v>
      </c>
      <c r="C85" s="2" t="s">
        <v>5</v>
      </c>
      <c r="D85" s="2" t="s">
        <v>255</v>
      </c>
      <c r="E85" s="2"/>
      <c r="F85" s="2">
        <v>1</v>
      </c>
      <c r="G85" s="2"/>
      <c r="H85" s="2">
        <v>1</v>
      </c>
      <c r="I85" s="2">
        <v>1</v>
      </c>
      <c r="J85" s="7">
        <f t="shared" si="2"/>
        <v>0</v>
      </c>
      <c r="K85" s="2" t="s">
        <v>443</v>
      </c>
    </row>
    <row r="86" spans="1:11" hidden="1" x14ac:dyDescent="0.25">
      <c r="A86" s="2">
        <v>85</v>
      </c>
      <c r="B86" s="2" t="s">
        <v>256</v>
      </c>
      <c r="C86" s="2" t="s">
        <v>257</v>
      </c>
      <c r="D86" s="2" t="s">
        <v>258</v>
      </c>
      <c r="E86" s="2"/>
      <c r="F86" s="2">
        <v>14</v>
      </c>
      <c r="G86" s="2"/>
      <c r="H86" s="2">
        <v>14</v>
      </c>
      <c r="I86" s="2">
        <v>14</v>
      </c>
      <c r="J86" s="7">
        <f t="shared" si="2"/>
        <v>0</v>
      </c>
      <c r="K86" s="2" t="s">
        <v>443</v>
      </c>
    </row>
    <row r="87" spans="1:11" hidden="1" x14ac:dyDescent="0.25">
      <c r="A87" s="2">
        <v>86</v>
      </c>
      <c r="B87" s="2" t="s">
        <v>205</v>
      </c>
      <c r="C87" s="2" t="s">
        <v>5</v>
      </c>
      <c r="D87" s="2" t="s">
        <v>206</v>
      </c>
      <c r="E87" s="2"/>
      <c r="F87" s="2"/>
      <c r="G87" s="2">
        <v>2</v>
      </c>
      <c r="H87" s="2">
        <v>2</v>
      </c>
      <c r="I87" s="2">
        <v>2</v>
      </c>
      <c r="J87" s="7">
        <f t="shared" si="2"/>
        <v>0</v>
      </c>
      <c r="K87" s="2" t="s">
        <v>443</v>
      </c>
    </row>
    <row r="88" spans="1:11" hidden="1" x14ac:dyDescent="0.25">
      <c r="A88" s="2">
        <v>87</v>
      </c>
      <c r="B88" s="2">
        <v>1000101678</v>
      </c>
      <c r="C88" s="2" t="s">
        <v>377</v>
      </c>
      <c r="D88" s="2" t="s">
        <v>378</v>
      </c>
      <c r="E88" s="2">
        <v>1</v>
      </c>
      <c r="F88" s="2"/>
      <c r="G88" s="2"/>
      <c r="H88" s="2">
        <v>1</v>
      </c>
      <c r="I88" s="2">
        <v>0</v>
      </c>
      <c r="J88" s="9">
        <f t="shared" si="2"/>
        <v>-1</v>
      </c>
      <c r="K88" s="18" t="s">
        <v>445</v>
      </c>
    </row>
    <row r="89" spans="1:11" hidden="1" x14ac:dyDescent="0.25">
      <c r="A89" s="2">
        <v>88</v>
      </c>
      <c r="B89" s="2" t="s">
        <v>259</v>
      </c>
      <c r="C89" s="2" t="s">
        <v>43</v>
      </c>
      <c r="D89" s="2" t="s">
        <v>260</v>
      </c>
      <c r="E89" s="2"/>
      <c r="F89" s="2">
        <v>6</v>
      </c>
      <c r="G89" s="2"/>
      <c r="H89" s="2">
        <v>6</v>
      </c>
      <c r="I89" s="2">
        <v>6</v>
      </c>
      <c r="J89" s="7">
        <f t="shared" si="2"/>
        <v>0</v>
      </c>
      <c r="K89" s="2" t="s">
        <v>443</v>
      </c>
    </row>
    <row r="90" spans="1:11" hidden="1" x14ac:dyDescent="0.25">
      <c r="A90" s="2">
        <v>89</v>
      </c>
      <c r="B90" s="2" t="s">
        <v>357</v>
      </c>
      <c r="C90" s="2" t="s">
        <v>277</v>
      </c>
      <c r="D90" s="2" t="s">
        <v>358</v>
      </c>
      <c r="E90" s="2"/>
      <c r="F90" s="2">
        <v>5</v>
      </c>
      <c r="G90" s="2"/>
      <c r="H90" s="2">
        <v>5</v>
      </c>
      <c r="I90" s="2">
        <v>5</v>
      </c>
      <c r="J90" s="7">
        <f t="shared" si="2"/>
        <v>0</v>
      </c>
      <c r="K90" s="2" t="s">
        <v>443</v>
      </c>
    </row>
    <row r="91" spans="1:11" hidden="1" x14ac:dyDescent="0.25">
      <c r="A91" s="2">
        <v>90</v>
      </c>
      <c r="B91" s="2" t="s">
        <v>276</v>
      </c>
      <c r="C91" s="2" t="s">
        <v>277</v>
      </c>
      <c r="D91" s="2" t="s">
        <v>278</v>
      </c>
      <c r="E91" s="2"/>
      <c r="F91" s="2">
        <v>5</v>
      </c>
      <c r="G91" s="2"/>
      <c r="H91" s="2">
        <v>5</v>
      </c>
      <c r="I91" s="2">
        <v>5</v>
      </c>
      <c r="J91" s="7">
        <f t="shared" si="2"/>
        <v>0</v>
      </c>
      <c r="K91" s="2" t="s">
        <v>443</v>
      </c>
    </row>
    <row r="92" spans="1:11" hidden="1" x14ac:dyDescent="0.25">
      <c r="A92" s="2">
        <v>91</v>
      </c>
      <c r="B92" s="2" t="s">
        <v>279</v>
      </c>
      <c r="C92" s="2" t="s">
        <v>277</v>
      </c>
      <c r="D92" s="2" t="s">
        <v>280</v>
      </c>
      <c r="E92" s="2"/>
      <c r="F92" s="2">
        <v>10</v>
      </c>
      <c r="G92" s="2"/>
      <c r="H92" s="2">
        <v>10</v>
      </c>
      <c r="I92" s="2">
        <v>10</v>
      </c>
      <c r="J92" s="7">
        <f t="shared" si="2"/>
        <v>0</v>
      </c>
      <c r="K92" s="2" t="s">
        <v>443</v>
      </c>
    </row>
    <row r="93" spans="1:11" hidden="1" x14ac:dyDescent="0.25">
      <c r="A93" s="2">
        <v>92</v>
      </c>
      <c r="B93" s="2" t="s">
        <v>313</v>
      </c>
      <c r="C93" s="2" t="s">
        <v>277</v>
      </c>
      <c r="D93" s="2" t="s">
        <v>314</v>
      </c>
      <c r="E93" s="2"/>
      <c r="F93" s="2">
        <v>21</v>
      </c>
      <c r="G93" s="2"/>
      <c r="H93" s="2">
        <v>21</v>
      </c>
      <c r="I93" s="2">
        <v>21</v>
      </c>
      <c r="J93" s="7">
        <f t="shared" si="2"/>
        <v>0</v>
      </c>
      <c r="K93" s="2" t="s">
        <v>443</v>
      </c>
    </row>
    <row r="94" spans="1:11" hidden="1" x14ac:dyDescent="0.25">
      <c r="A94" s="2">
        <v>93</v>
      </c>
      <c r="B94" s="2" t="s">
        <v>67</v>
      </c>
      <c r="C94" s="2" t="s">
        <v>5</v>
      </c>
      <c r="D94" s="2" t="s">
        <v>68</v>
      </c>
      <c r="E94" s="2"/>
      <c r="F94" s="2"/>
      <c r="G94" s="2">
        <v>2</v>
      </c>
      <c r="H94" s="2">
        <v>2</v>
      </c>
      <c r="I94" s="2">
        <v>2</v>
      </c>
      <c r="J94" s="7">
        <f t="shared" si="2"/>
        <v>0</v>
      </c>
      <c r="K94" s="2" t="s">
        <v>443</v>
      </c>
    </row>
    <row r="95" spans="1:11" hidden="1" x14ac:dyDescent="0.25">
      <c r="A95" s="2">
        <v>94</v>
      </c>
      <c r="B95" s="2" t="s">
        <v>116</v>
      </c>
      <c r="C95" s="2" t="s">
        <v>5</v>
      </c>
      <c r="D95" s="2" t="s">
        <v>117</v>
      </c>
      <c r="E95" s="2"/>
      <c r="F95" s="2"/>
      <c r="G95" s="2">
        <v>3</v>
      </c>
      <c r="H95" s="2">
        <v>3</v>
      </c>
      <c r="I95" s="2">
        <v>3</v>
      </c>
      <c r="J95" s="7">
        <f t="shared" si="2"/>
        <v>0</v>
      </c>
      <c r="K95" s="2" t="s">
        <v>443</v>
      </c>
    </row>
    <row r="96" spans="1:11" hidden="1" x14ac:dyDescent="0.25">
      <c r="A96" s="2">
        <v>95</v>
      </c>
      <c r="B96" s="2" t="s">
        <v>118</v>
      </c>
      <c r="C96" s="2" t="s">
        <v>5</v>
      </c>
      <c r="D96" s="2" t="s">
        <v>119</v>
      </c>
      <c r="E96" s="2"/>
      <c r="F96" s="2"/>
      <c r="G96" s="2">
        <v>2</v>
      </c>
      <c r="H96" s="2">
        <v>2</v>
      </c>
      <c r="I96" s="2">
        <v>2</v>
      </c>
      <c r="J96" s="7">
        <f t="shared" si="2"/>
        <v>0</v>
      </c>
      <c r="K96" s="2" t="s">
        <v>443</v>
      </c>
    </row>
    <row r="97" spans="1:11" hidden="1" x14ac:dyDescent="0.25">
      <c r="A97" s="2">
        <v>96</v>
      </c>
      <c r="B97" s="2" t="s">
        <v>86</v>
      </c>
      <c r="C97" s="2" t="s">
        <v>5</v>
      </c>
      <c r="D97" s="2" t="s">
        <v>87</v>
      </c>
      <c r="E97" s="2"/>
      <c r="F97" s="2"/>
      <c r="G97" s="2">
        <v>9</v>
      </c>
      <c r="H97" s="2">
        <v>9</v>
      </c>
      <c r="I97" s="2">
        <v>9</v>
      </c>
      <c r="J97" s="7">
        <f t="shared" si="2"/>
        <v>0</v>
      </c>
      <c r="K97" s="2" t="s">
        <v>443</v>
      </c>
    </row>
    <row r="98" spans="1:11" hidden="1" x14ac:dyDescent="0.25">
      <c r="A98" s="2">
        <v>97</v>
      </c>
      <c r="B98" s="2" t="s">
        <v>315</v>
      </c>
      <c r="C98" s="2" t="s">
        <v>5</v>
      </c>
      <c r="D98" s="2" t="s">
        <v>316</v>
      </c>
      <c r="E98" s="2"/>
      <c r="F98" s="2">
        <v>1</v>
      </c>
      <c r="G98" s="2"/>
      <c r="H98" s="2">
        <v>1</v>
      </c>
      <c r="I98" s="2">
        <v>1</v>
      </c>
      <c r="J98" s="7">
        <f t="shared" si="2"/>
        <v>0</v>
      </c>
      <c r="K98" s="2" t="s">
        <v>443</v>
      </c>
    </row>
    <row r="99" spans="1:11" hidden="1" x14ac:dyDescent="0.25">
      <c r="A99" s="2">
        <v>98</v>
      </c>
      <c r="B99" s="2" t="s">
        <v>334</v>
      </c>
      <c r="C99" s="2" t="s">
        <v>5</v>
      </c>
      <c r="D99" s="2" t="s">
        <v>335</v>
      </c>
      <c r="E99" s="2"/>
      <c r="F99" s="2">
        <v>1</v>
      </c>
      <c r="G99" s="2"/>
      <c r="H99" s="2">
        <v>1</v>
      </c>
      <c r="I99" s="2">
        <v>1</v>
      </c>
      <c r="J99" s="7">
        <f t="shared" si="2"/>
        <v>0</v>
      </c>
      <c r="K99" s="2" t="s">
        <v>443</v>
      </c>
    </row>
    <row r="100" spans="1:11" hidden="1" x14ac:dyDescent="0.25">
      <c r="A100" s="2">
        <v>99</v>
      </c>
      <c r="B100" s="2" t="s">
        <v>175</v>
      </c>
      <c r="C100" s="2" t="s">
        <v>5</v>
      </c>
      <c r="D100" s="2" t="s">
        <v>176</v>
      </c>
      <c r="E100" s="2"/>
      <c r="F100" s="2"/>
      <c r="G100" s="2">
        <v>9</v>
      </c>
      <c r="H100" s="2">
        <v>9</v>
      </c>
      <c r="I100" s="2">
        <v>9</v>
      </c>
      <c r="J100" s="7">
        <f t="shared" si="2"/>
        <v>0</v>
      </c>
      <c r="K100" s="2" t="s">
        <v>443</v>
      </c>
    </row>
    <row r="101" spans="1:11" hidden="1" x14ac:dyDescent="0.25">
      <c r="A101" s="2">
        <v>100</v>
      </c>
      <c r="B101" s="2" t="s">
        <v>40</v>
      </c>
      <c r="C101" s="2" t="s">
        <v>5</v>
      </c>
      <c r="D101" s="2" t="s">
        <v>41</v>
      </c>
      <c r="E101" s="2"/>
      <c r="F101" s="2"/>
      <c r="G101" s="2">
        <v>6</v>
      </c>
      <c r="H101" s="2">
        <v>6</v>
      </c>
      <c r="I101" s="2">
        <v>6</v>
      </c>
      <c r="J101" s="7">
        <f t="shared" si="2"/>
        <v>0</v>
      </c>
      <c r="K101" s="2" t="s">
        <v>443</v>
      </c>
    </row>
    <row r="102" spans="1:11" hidden="1" x14ac:dyDescent="0.25">
      <c r="A102" s="2">
        <v>101</v>
      </c>
      <c r="B102" s="2" t="s">
        <v>42</v>
      </c>
      <c r="C102" s="2" t="s">
        <v>43</v>
      </c>
      <c r="D102" s="2" t="s">
        <v>44</v>
      </c>
      <c r="E102" s="2"/>
      <c r="F102" s="2"/>
      <c r="G102" s="2">
        <v>37</v>
      </c>
      <c r="H102" s="2">
        <v>37</v>
      </c>
      <c r="I102" s="2">
        <v>37</v>
      </c>
      <c r="J102" s="7">
        <f t="shared" si="2"/>
        <v>0</v>
      </c>
      <c r="K102" s="2" t="s">
        <v>443</v>
      </c>
    </row>
    <row r="103" spans="1:11" hidden="1" x14ac:dyDescent="0.25">
      <c r="A103" s="2">
        <v>102</v>
      </c>
      <c r="B103" s="2" t="s">
        <v>317</v>
      </c>
      <c r="C103" s="2" t="s">
        <v>43</v>
      </c>
      <c r="D103" s="2" t="s">
        <v>318</v>
      </c>
      <c r="E103" s="2"/>
      <c r="F103" s="2">
        <v>3</v>
      </c>
      <c r="G103" s="2"/>
      <c r="H103" s="2">
        <v>3</v>
      </c>
      <c r="I103" s="2">
        <v>3</v>
      </c>
      <c r="J103" s="7">
        <f t="shared" si="2"/>
        <v>0</v>
      </c>
      <c r="K103" s="2" t="s">
        <v>443</v>
      </c>
    </row>
    <row r="104" spans="1:11" hidden="1" x14ac:dyDescent="0.25">
      <c r="A104" s="2">
        <v>103</v>
      </c>
      <c r="B104" s="2" t="s">
        <v>120</v>
      </c>
      <c r="C104" s="2" t="s">
        <v>5</v>
      </c>
      <c r="D104" s="2" t="s">
        <v>121</v>
      </c>
      <c r="E104" s="2"/>
      <c r="F104" s="2"/>
      <c r="G104" s="2">
        <v>11</v>
      </c>
      <c r="H104" s="2">
        <v>11</v>
      </c>
      <c r="I104" s="2">
        <v>11</v>
      </c>
      <c r="J104" s="7">
        <f t="shared" si="2"/>
        <v>0</v>
      </c>
      <c r="K104" s="2" t="s">
        <v>443</v>
      </c>
    </row>
    <row r="105" spans="1:11" hidden="1" x14ac:dyDescent="0.25">
      <c r="A105" s="2">
        <v>104</v>
      </c>
      <c r="B105" s="2" t="s">
        <v>45</v>
      </c>
      <c r="C105" s="2" t="s">
        <v>26</v>
      </c>
      <c r="D105" s="2" t="s">
        <v>46</v>
      </c>
      <c r="E105" s="2"/>
      <c r="F105" s="2"/>
      <c r="G105" s="2">
        <v>40</v>
      </c>
      <c r="H105" s="2">
        <v>40</v>
      </c>
      <c r="I105" s="2">
        <v>40</v>
      </c>
      <c r="J105" s="7">
        <f t="shared" si="2"/>
        <v>0</v>
      </c>
      <c r="K105" s="2" t="s">
        <v>443</v>
      </c>
    </row>
    <row r="106" spans="1:11" hidden="1" x14ac:dyDescent="0.25">
      <c r="A106" s="2">
        <v>105</v>
      </c>
      <c r="B106" s="2" t="s">
        <v>227</v>
      </c>
      <c r="C106" s="2" t="s">
        <v>5</v>
      </c>
      <c r="D106" s="2" t="s">
        <v>228</v>
      </c>
      <c r="E106" s="2"/>
      <c r="F106" s="2">
        <v>1</v>
      </c>
      <c r="G106" s="2"/>
      <c r="H106" s="2">
        <v>1</v>
      </c>
      <c r="I106" s="2">
        <v>1</v>
      </c>
      <c r="J106" s="7">
        <f t="shared" si="2"/>
        <v>0</v>
      </c>
      <c r="K106" s="2" t="s">
        <v>443</v>
      </c>
    </row>
    <row r="107" spans="1:11" hidden="1" x14ac:dyDescent="0.25">
      <c r="A107" s="2">
        <v>106</v>
      </c>
      <c r="B107" s="2" t="s">
        <v>207</v>
      </c>
      <c r="C107" s="2" t="s">
        <v>123</v>
      </c>
      <c r="D107" s="2" t="s">
        <v>208</v>
      </c>
      <c r="E107" s="2"/>
      <c r="F107" s="2"/>
      <c r="G107" s="2">
        <v>6</v>
      </c>
      <c r="H107" s="2">
        <v>6</v>
      </c>
      <c r="I107" s="2">
        <v>6</v>
      </c>
      <c r="J107" s="7">
        <f t="shared" si="2"/>
        <v>0</v>
      </c>
      <c r="K107" s="2" t="s">
        <v>443</v>
      </c>
    </row>
    <row r="108" spans="1:11" hidden="1" x14ac:dyDescent="0.25">
      <c r="A108" s="2">
        <v>107</v>
      </c>
      <c r="B108" s="2" t="s">
        <v>122</v>
      </c>
      <c r="C108" s="2" t="s">
        <v>123</v>
      </c>
      <c r="D108" s="2" t="s">
        <v>124</v>
      </c>
      <c r="E108" s="2"/>
      <c r="F108" s="2"/>
      <c r="G108" s="2">
        <v>19</v>
      </c>
      <c r="H108" s="2">
        <v>19</v>
      </c>
      <c r="I108" s="2">
        <v>19</v>
      </c>
      <c r="J108" s="7">
        <f t="shared" si="2"/>
        <v>0</v>
      </c>
      <c r="K108" s="2" t="s">
        <v>443</v>
      </c>
    </row>
    <row r="109" spans="1:11" hidden="1" x14ac:dyDescent="0.25">
      <c r="A109" s="2">
        <v>108</v>
      </c>
      <c r="B109" s="2" t="s">
        <v>261</v>
      </c>
      <c r="C109" s="2" t="s">
        <v>43</v>
      </c>
      <c r="D109" s="2" t="s">
        <v>262</v>
      </c>
      <c r="E109" s="2"/>
      <c r="F109" s="2">
        <v>2</v>
      </c>
      <c r="G109" s="2"/>
      <c r="H109" s="2">
        <v>2</v>
      </c>
      <c r="I109" s="2">
        <v>2</v>
      </c>
      <c r="J109" s="7">
        <f t="shared" si="2"/>
        <v>0</v>
      </c>
      <c r="K109" s="2" t="s">
        <v>443</v>
      </c>
    </row>
    <row r="110" spans="1:11" hidden="1" x14ac:dyDescent="0.25">
      <c r="A110" s="2">
        <v>109</v>
      </c>
      <c r="B110" s="2" t="s">
        <v>125</v>
      </c>
      <c r="C110" s="2" t="s">
        <v>5</v>
      </c>
      <c r="D110" s="2" t="s">
        <v>126</v>
      </c>
      <c r="E110" s="2"/>
      <c r="F110" s="2"/>
      <c r="G110" s="2">
        <v>2</v>
      </c>
      <c r="H110" s="2">
        <v>2</v>
      </c>
      <c r="I110" s="2">
        <v>2</v>
      </c>
      <c r="J110" s="7">
        <f t="shared" si="2"/>
        <v>0</v>
      </c>
      <c r="K110" s="2" t="s">
        <v>443</v>
      </c>
    </row>
    <row r="111" spans="1:11" hidden="1" x14ac:dyDescent="0.25">
      <c r="A111" s="2">
        <v>110</v>
      </c>
      <c r="B111" s="2" t="s">
        <v>263</v>
      </c>
      <c r="C111" s="2" t="s">
        <v>43</v>
      </c>
      <c r="D111" s="2" t="s">
        <v>264</v>
      </c>
      <c r="E111" s="2"/>
      <c r="F111" s="2">
        <v>5</v>
      </c>
      <c r="G111" s="2"/>
      <c r="H111" s="2">
        <v>5</v>
      </c>
      <c r="I111" s="2">
        <v>5</v>
      </c>
      <c r="J111" s="7">
        <f t="shared" si="2"/>
        <v>0</v>
      </c>
      <c r="K111" s="2" t="s">
        <v>443</v>
      </c>
    </row>
    <row r="112" spans="1:11" hidden="1" x14ac:dyDescent="0.25">
      <c r="A112" s="2">
        <v>111</v>
      </c>
      <c r="B112" s="2" t="s">
        <v>147</v>
      </c>
      <c r="C112" s="2" t="s">
        <v>5</v>
      </c>
      <c r="D112" s="2" t="s">
        <v>148</v>
      </c>
      <c r="E112" s="2"/>
      <c r="F112" s="2"/>
      <c r="G112" s="2">
        <v>12</v>
      </c>
      <c r="H112" s="2">
        <v>12</v>
      </c>
      <c r="I112" s="2">
        <v>12</v>
      </c>
      <c r="J112" s="7">
        <f t="shared" si="2"/>
        <v>0</v>
      </c>
      <c r="K112" s="2" t="s">
        <v>443</v>
      </c>
    </row>
    <row r="113" spans="1:11" hidden="1" x14ac:dyDescent="0.25">
      <c r="A113" s="2">
        <v>112</v>
      </c>
      <c r="B113" s="2" t="s">
        <v>209</v>
      </c>
      <c r="C113" s="2" t="s">
        <v>18</v>
      </c>
      <c r="D113" s="2" t="s">
        <v>210</v>
      </c>
      <c r="E113" s="2"/>
      <c r="F113" s="2"/>
      <c r="G113" s="2">
        <v>4</v>
      </c>
      <c r="H113" s="2">
        <v>4</v>
      </c>
      <c r="I113" s="2">
        <v>4</v>
      </c>
      <c r="J113" s="7">
        <f t="shared" si="2"/>
        <v>0</v>
      </c>
      <c r="K113" s="2" t="s">
        <v>443</v>
      </c>
    </row>
    <row r="114" spans="1:11" hidden="1" x14ac:dyDescent="0.25">
      <c r="A114" s="2">
        <v>113</v>
      </c>
      <c r="B114" s="2" t="s">
        <v>336</v>
      </c>
      <c r="C114" s="2" t="s">
        <v>18</v>
      </c>
      <c r="D114" s="2" t="s">
        <v>337</v>
      </c>
      <c r="E114" s="2"/>
      <c r="F114" s="2">
        <v>4</v>
      </c>
      <c r="G114" s="2"/>
      <c r="H114" s="2">
        <v>4</v>
      </c>
      <c r="I114" s="2">
        <v>4</v>
      </c>
      <c r="J114" s="7">
        <f t="shared" si="2"/>
        <v>0</v>
      </c>
      <c r="K114" s="2" t="s">
        <v>443</v>
      </c>
    </row>
    <row r="115" spans="1:11" hidden="1" x14ac:dyDescent="0.25">
      <c r="A115" s="2">
        <v>114</v>
      </c>
      <c r="B115" s="2" t="s">
        <v>239</v>
      </c>
      <c r="C115" s="2" t="s">
        <v>18</v>
      </c>
      <c r="D115" s="2" t="s">
        <v>240</v>
      </c>
      <c r="E115" s="2"/>
      <c r="F115" s="2">
        <v>12</v>
      </c>
      <c r="G115" s="2"/>
      <c r="H115" s="2">
        <v>12</v>
      </c>
      <c r="I115" s="2">
        <v>12</v>
      </c>
      <c r="J115" s="7">
        <f t="shared" si="2"/>
        <v>0</v>
      </c>
      <c r="K115" s="2" t="s">
        <v>443</v>
      </c>
    </row>
    <row r="116" spans="1:11" hidden="1" x14ac:dyDescent="0.25">
      <c r="A116" s="2">
        <v>115</v>
      </c>
      <c r="B116" s="2" t="s">
        <v>281</v>
      </c>
      <c r="C116" s="2" t="s">
        <v>123</v>
      </c>
      <c r="D116" s="2" t="s">
        <v>282</v>
      </c>
      <c r="E116" s="2"/>
      <c r="F116" s="2">
        <v>2</v>
      </c>
      <c r="G116" s="2"/>
      <c r="H116" s="2">
        <v>2</v>
      </c>
      <c r="I116" s="2">
        <v>2</v>
      </c>
      <c r="J116" s="7">
        <f t="shared" si="2"/>
        <v>0</v>
      </c>
      <c r="K116" s="2" t="s">
        <v>443</v>
      </c>
    </row>
    <row r="117" spans="1:11" hidden="1" x14ac:dyDescent="0.25">
      <c r="A117" s="2">
        <v>116</v>
      </c>
      <c r="B117" s="2" t="s">
        <v>69</v>
      </c>
      <c r="C117" s="2" t="s">
        <v>18</v>
      </c>
      <c r="D117" s="2" t="s">
        <v>70</v>
      </c>
      <c r="E117" s="2"/>
      <c r="F117" s="2"/>
      <c r="G117" s="2">
        <v>3</v>
      </c>
      <c r="H117" s="2">
        <v>3</v>
      </c>
      <c r="I117" s="2">
        <v>3</v>
      </c>
      <c r="J117" s="7">
        <f t="shared" si="2"/>
        <v>0</v>
      </c>
      <c r="K117" s="2" t="s">
        <v>443</v>
      </c>
    </row>
    <row r="118" spans="1:11" hidden="1" x14ac:dyDescent="0.25">
      <c r="A118" s="2">
        <v>117</v>
      </c>
      <c r="B118" s="2" t="s">
        <v>177</v>
      </c>
      <c r="C118" s="2" t="s">
        <v>178</v>
      </c>
      <c r="D118" s="2" t="s">
        <v>179</v>
      </c>
      <c r="E118" s="2"/>
      <c r="F118" s="2"/>
      <c r="G118" s="2">
        <v>5</v>
      </c>
      <c r="H118" s="2">
        <v>5</v>
      </c>
      <c r="I118" s="2">
        <v>5</v>
      </c>
      <c r="J118" s="7">
        <f t="shared" si="2"/>
        <v>0</v>
      </c>
      <c r="K118" s="2" t="s">
        <v>443</v>
      </c>
    </row>
    <row r="119" spans="1:11" hidden="1" x14ac:dyDescent="0.25">
      <c r="A119" s="2">
        <v>118</v>
      </c>
      <c r="B119" s="2" t="s">
        <v>47</v>
      </c>
      <c r="C119" s="2" t="s">
        <v>48</v>
      </c>
      <c r="D119" s="2" t="s">
        <v>49</v>
      </c>
      <c r="E119" s="2"/>
      <c r="F119" s="2"/>
      <c r="G119" s="2">
        <v>1</v>
      </c>
      <c r="H119" s="2">
        <v>1</v>
      </c>
      <c r="I119" s="2">
        <v>1</v>
      </c>
      <c r="J119" s="7">
        <f t="shared" si="2"/>
        <v>0</v>
      </c>
      <c r="K119" s="2" t="s">
        <v>443</v>
      </c>
    </row>
    <row r="120" spans="1:11" hidden="1" x14ac:dyDescent="0.25">
      <c r="A120" s="2">
        <v>119</v>
      </c>
      <c r="B120" s="2" t="s">
        <v>265</v>
      </c>
      <c r="C120" s="2" t="s">
        <v>18</v>
      </c>
      <c r="D120" s="2" t="s">
        <v>266</v>
      </c>
      <c r="E120" s="2"/>
      <c r="F120" s="2">
        <v>35</v>
      </c>
      <c r="G120" s="2"/>
      <c r="H120" s="2">
        <v>35</v>
      </c>
      <c r="I120" s="2">
        <v>35</v>
      </c>
      <c r="J120" s="7">
        <f t="shared" si="2"/>
        <v>0</v>
      </c>
      <c r="K120" s="2" t="s">
        <v>443</v>
      </c>
    </row>
    <row r="121" spans="1:11" hidden="1" x14ac:dyDescent="0.25">
      <c r="A121" s="2">
        <v>120</v>
      </c>
      <c r="B121" s="2" t="s">
        <v>50</v>
      </c>
      <c r="C121" s="2" t="s">
        <v>18</v>
      </c>
      <c r="D121" s="2" t="s">
        <v>51</v>
      </c>
      <c r="E121" s="2"/>
      <c r="F121" s="2"/>
      <c r="G121" s="2">
        <v>6</v>
      </c>
      <c r="H121" s="2">
        <v>6</v>
      </c>
      <c r="I121" s="2">
        <v>6</v>
      </c>
      <c r="J121" s="7">
        <f t="shared" si="2"/>
        <v>0</v>
      </c>
      <c r="K121" s="2" t="s">
        <v>443</v>
      </c>
    </row>
    <row r="122" spans="1:11" hidden="1" x14ac:dyDescent="0.25">
      <c r="A122" s="2">
        <v>121</v>
      </c>
      <c r="B122" s="2" t="s">
        <v>229</v>
      </c>
      <c r="C122" s="2" t="s">
        <v>134</v>
      </c>
      <c r="D122" s="2" t="s">
        <v>230</v>
      </c>
      <c r="E122" s="2"/>
      <c r="F122" s="2">
        <v>2</v>
      </c>
      <c r="G122" s="2"/>
      <c r="H122" s="2">
        <v>2</v>
      </c>
      <c r="I122" s="2">
        <v>2</v>
      </c>
      <c r="J122" s="7">
        <f t="shared" si="2"/>
        <v>0</v>
      </c>
      <c r="K122" s="2" t="s">
        <v>443</v>
      </c>
    </row>
    <row r="123" spans="1:11" hidden="1" x14ac:dyDescent="0.25">
      <c r="A123" s="2">
        <v>122</v>
      </c>
      <c r="B123" s="2" t="s">
        <v>267</v>
      </c>
      <c r="C123" s="2" t="s">
        <v>134</v>
      </c>
      <c r="D123" s="2" t="s">
        <v>268</v>
      </c>
      <c r="E123" s="2"/>
      <c r="F123" s="2">
        <v>2</v>
      </c>
      <c r="G123" s="2"/>
      <c r="H123" s="2">
        <v>2</v>
      </c>
      <c r="I123" s="2">
        <v>2</v>
      </c>
      <c r="J123" s="7">
        <f t="shared" si="2"/>
        <v>0</v>
      </c>
      <c r="K123" s="2" t="s">
        <v>443</v>
      </c>
    </row>
    <row r="124" spans="1:11" hidden="1" x14ac:dyDescent="0.25">
      <c r="A124" s="2">
        <v>123</v>
      </c>
      <c r="B124" s="2" t="s">
        <v>231</v>
      </c>
      <c r="C124" s="2" t="s">
        <v>18</v>
      </c>
      <c r="D124" s="2" t="s">
        <v>232</v>
      </c>
      <c r="E124" s="2"/>
      <c r="F124" s="2">
        <v>1</v>
      </c>
      <c r="G124" s="2"/>
      <c r="H124" s="2">
        <v>1</v>
      </c>
      <c r="I124" s="2">
        <v>1</v>
      </c>
      <c r="J124" s="7">
        <f t="shared" si="2"/>
        <v>0</v>
      </c>
      <c r="K124" s="2" t="s">
        <v>443</v>
      </c>
    </row>
    <row r="125" spans="1:11" hidden="1" x14ac:dyDescent="0.25">
      <c r="A125" s="2">
        <v>124</v>
      </c>
      <c r="B125" s="2" t="s">
        <v>211</v>
      </c>
      <c r="C125" s="2" t="s">
        <v>18</v>
      </c>
      <c r="D125" s="2" t="s">
        <v>212</v>
      </c>
      <c r="E125" s="2"/>
      <c r="F125" s="2"/>
      <c r="G125" s="2">
        <v>1</v>
      </c>
      <c r="H125" s="2">
        <v>1</v>
      </c>
      <c r="I125" s="2">
        <v>1</v>
      </c>
      <c r="J125" s="7">
        <f t="shared" si="2"/>
        <v>0</v>
      </c>
      <c r="K125" s="2" t="s">
        <v>443</v>
      </c>
    </row>
    <row r="126" spans="1:11" hidden="1" x14ac:dyDescent="0.25">
      <c r="A126" s="2">
        <v>125</v>
      </c>
      <c r="B126" s="2" t="s">
        <v>17</v>
      </c>
      <c r="C126" s="2" t="s">
        <v>18</v>
      </c>
      <c r="D126" s="2" t="s">
        <v>19</v>
      </c>
      <c r="E126" s="2"/>
      <c r="F126" s="2"/>
      <c r="G126" s="2">
        <v>1</v>
      </c>
      <c r="H126" s="2">
        <v>1</v>
      </c>
      <c r="I126" s="2">
        <v>1</v>
      </c>
      <c r="J126" s="7">
        <f t="shared" si="2"/>
        <v>0</v>
      </c>
      <c r="K126" s="2" t="s">
        <v>443</v>
      </c>
    </row>
    <row r="127" spans="1:11" hidden="1" x14ac:dyDescent="0.25">
      <c r="A127" s="2">
        <v>126</v>
      </c>
      <c r="B127" s="2" t="s">
        <v>180</v>
      </c>
      <c r="C127" s="2" t="s">
        <v>18</v>
      </c>
      <c r="D127" s="2" t="s">
        <v>181</v>
      </c>
      <c r="E127" s="2"/>
      <c r="F127" s="2"/>
      <c r="G127" s="2">
        <v>1</v>
      </c>
      <c r="H127" s="2">
        <v>1</v>
      </c>
      <c r="I127" s="2">
        <v>1</v>
      </c>
      <c r="J127" s="7">
        <f t="shared" si="2"/>
        <v>0</v>
      </c>
      <c r="K127" s="2" t="s">
        <v>443</v>
      </c>
    </row>
    <row r="128" spans="1:11" hidden="1" x14ac:dyDescent="0.25">
      <c r="A128" s="2">
        <v>127</v>
      </c>
      <c r="B128" s="2" t="s">
        <v>149</v>
      </c>
      <c r="C128" s="2" t="s">
        <v>18</v>
      </c>
      <c r="D128" s="2" t="s">
        <v>150</v>
      </c>
      <c r="E128" s="2"/>
      <c r="F128" s="2">
        <v>93</v>
      </c>
      <c r="G128" s="2">
        <v>144</v>
      </c>
      <c r="H128" s="2">
        <v>237</v>
      </c>
      <c r="I128" s="2">
        <v>237</v>
      </c>
      <c r="J128" s="7">
        <f t="shared" si="2"/>
        <v>0</v>
      </c>
      <c r="K128" s="2" t="s">
        <v>443</v>
      </c>
    </row>
    <row r="129" spans="1:11" hidden="1" x14ac:dyDescent="0.25">
      <c r="A129" s="2">
        <v>128</v>
      </c>
      <c r="B129" s="2" t="s">
        <v>233</v>
      </c>
      <c r="C129" s="2" t="s">
        <v>5</v>
      </c>
      <c r="D129" s="2" t="s">
        <v>234</v>
      </c>
      <c r="E129" s="2"/>
      <c r="F129" s="2">
        <v>1</v>
      </c>
      <c r="G129" s="2"/>
      <c r="H129" s="2">
        <v>1</v>
      </c>
      <c r="I129" s="2">
        <v>1</v>
      </c>
      <c r="J129" s="7">
        <f t="shared" si="2"/>
        <v>0</v>
      </c>
      <c r="K129" s="2" t="s">
        <v>443</v>
      </c>
    </row>
    <row r="130" spans="1:11" hidden="1" x14ac:dyDescent="0.25">
      <c r="A130" s="2">
        <v>129</v>
      </c>
      <c r="B130" s="2" t="s">
        <v>235</v>
      </c>
      <c r="C130" s="2" t="s">
        <v>18</v>
      </c>
      <c r="D130" s="2" t="s">
        <v>236</v>
      </c>
      <c r="E130" s="2"/>
      <c r="F130" s="2">
        <v>1</v>
      </c>
      <c r="G130" s="2"/>
      <c r="H130" s="2">
        <v>1</v>
      </c>
      <c r="I130" s="2">
        <v>1</v>
      </c>
      <c r="J130" s="7">
        <f t="shared" si="2"/>
        <v>0</v>
      </c>
      <c r="K130" s="2" t="s">
        <v>443</v>
      </c>
    </row>
    <row r="131" spans="1:11" hidden="1" x14ac:dyDescent="0.25">
      <c r="A131" s="2">
        <v>130</v>
      </c>
      <c r="B131" s="2" t="s">
        <v>297</v>
      </c>
      <c r="C131" s="2" t="s">
        <v>18</v>
      </c>
      <c r="D131" s="2" t="s">
        <v>298</v>
      </c>
      <c r="E131" s="2"/>
      <c r="F131" s="2">
        <v>1</v>
      </c>
      <c r="G131" s="2"/>
      <c r="H131" s="2">
        <v>1</v>
      </c>
      <c r="I131" s="2">
        <v>1</v>
      </c>
      <c r="J131" s="7">
        <f t="shared" ref="J131:J138" si="3">I131-H131</f>
        <v>0</v>
      </c>
      <c r="K131" s="2" t="s">
        <v>443</v>
      </c>
    </row>
    <row r="132" spans="1:11" hidden="1" x14ac:dyDescent="0.25">
      <c r="A132" s="2">
        <v>131</v>
      </c>
      <c r="B132" s="2" t="s">
        <v>319</v>
      </c>
      <c r="C132" s="2" t="s">
        <v>18</v>
      </c>
      <c r="D132" s="2" t="s">
        <v>320</v>
      </c>
      <c r="E132" s="2"/>
      <c r="F132" s="2">
        <v>3</v>
      </c>
      <c r="G132" s="2"/>
      <c r="H132" s="2">
        <v>3</v>
      </c>
      <c r="I132" s="2">
        <v>3</v>
      </c>
      <c r="J132" s="7">
        <f t="shared" si="3"/>
        <v>0</v>
      </c>
      <c r="K132" s="2" t="s">
        <v>443</v>
      </c>
    </row>
    <row r="133" spans="1:11" hidden="1" x14ac:dyDescent="0.25">
      <c r="A133" s="2">
        <v>132</v>
      </c>
      <c r="B133" s="2" t="s">
        <v>338</v>
      </c>
      <c r="C133" s="2" t="s">
        <v>339</v>
      </c>
      <c r="D133" s="2" t="s">
        <v>340</v>
      </c>
      <c r="E133" s="2"/>
      <c r="F133" s="2">
        <v>2</v>
      </c>
      <c r="G133" s="2"/>
      <c r="H133" s="2">
        <v>2</v>
      </c>
      <c r="I133" s="2">
        <v>2</v>
      </c>
      <c r="J133" s="7">
        <f t="shared" si="3"/>
        <v>0</v>
      </c>
      <c r="K133" s="2" t="s">
        <v>443</v>
      </c>
    </row>
    <row r="134" spans="1:11" hidden="1" x14ac:dyDescent="0.25">
      <c r="A134" s="2">
        <v>133</v>
      </c>
      <c r="B134" s="2" t="s">
        <v>341</v>
      </c>
      <c r="C134" s="2" t="s">
        <v>191</v>
      </c>
      <c r="D134" s="2" t="s">
        <v>342</v>
      </c>
      <c r="E134" s="2"/>
      <c r="F134" s="2">
        <v>54</v>
      </c>
      <c r="G134" s="2"/>
      <c r="H134" s="2">
        <v>54</v>
      </c>
      <c r="I134" s="2">
        <v>54</v>
      </c>
      <c r="J134" s="7">
        <f t="shared" si="3"/>
        <v>0</v>
      </c>
      <c r="K134" s="2" t="s">
        <v>443</v>
      </c>
    </row>
    <row r="135" spans="1:11" hidden="1" x14ac:dyDescent="0.25">
      <c r="A135" s="2">
        <v>134</v>
      </c>
      <c r="B135" s="2" t="s">
        <v>213</v>
      </c>
      <c r="C135" s="2" t="s">
        <v>18</v>
      </c>
      <c r="D135" s="2" t="s">
        <v>214</v>
      </c>
      <c r="E135" s="2"/>
      <c r="F135" s="2"/>
      <c r="G135" s="2">
        <v>32</v>
      </c>
      <c r="H135" s="2">
        <v>32</v>
      </c>
      <c r="I135" s="2">
        <v>32</v>
      </c>
      <c r="J135" s="7">
        <f t="shared" si="3"/>
        <v>0</v>
      </c>
      <c r="K135" s="2" t="s">
        <v>443</v>
      </c>
    </row>
    <row r="136" spans="1:11" hidden="1" x14ac:dyDescent="0.25">
      <c r="A136" s="2">
        <v>135</v>
      </c>
      <c r="B136" s="2" t="s">
        <v>241</v>
      </c>
      <c r="C136" s="2" t="s">
        <v>18</v>
      </c>
      <c r="D136" s="2" t="s">
        <v>242</v>
      </c>
      <c r="E136" s="2"/>
      <c r="F136" s="2">
        <v>3</v>
      </c>
      <c r="G136" s="2"/>
      <c r="H136" s="2">
        <v>3</v>
      </c>
      <c r="I136" s="2">
        <v>3</v>
      </c>
      <c r="J136" s="7">
        <f t="shared" si="3"/>
        <v>0</v>
      </c>
      <c r="K136" s="2" t="s">
        <v>443</v>
      </c>
    </row>
    <row r="137" spans="1:11" hidden="1" x14ac:dyDescent="0.25">
      <c r="A137" s="2">
        <v>136</v>
      </c>
      <c r="B137" s="2" t="s">
        <v>343</v>
      </c>
      <c r="C137" s="2" t="s">
        <v>18</v>
      </c>
      <c r="D137" s="2" t="s">
        <v>344</v>
      </c>
      <c r="E137" s="2"/>
      <c r="F137" s="2">
        <v>3</v>
      </c>
      <c r="G137" s="2"/>
      <c r="H137" s="2">
        <v>3</v>
      </c>
      <c r="I137" s="2">
        <v>3</v>
      </c>
      <c r="J137" s="7">
        <f t="shared" si="3"/>
        <v>0</v>
      </c>
      <c r="K137" s="2" t="s">
        <v>443</v>
      </c>
    </row>
    <row r="138" spans="1:11" hidden="1" x14ac:dyDescent="0.25">
      <c r="A138" s="2">
        <v>137</v>
      </c>
      <c r="B138" s="2" t="s">
        <v>362</v>
      </c>
      <c r="C138" s="2" t="s">
        <v>363</v>
      </c>
      <c r="D138" s="2" t="s">
        <v>364</v>
      </c>
      <c r="E138" s="2"/>
      <c r="F138" s="2">
        <v>3</v>
      </c>
      <c r="G138" s="2"/>
      <c r="H138" s="2">
        <v>3</v>
      </c>
      <c r="I138" s="2">
        <v>3</v>
      </c>
      <c r="J138" s="7">
        <f t="shared" si="3"/>
        <v>0</v>
      </c>
      <c r="K138" s="2" t="s">
        <v>443</v>
      </c>
    </row>
    <row r="139" spans="1:11" hidden="1" x14ac:dyDescent="0.25">
      <c r="A139" s="2">
        <v>138</v>
      </c>
      <c r="B139" s="2" t="s">
        <v>182</v>
      </c>
      <c r="C139" s="2" t="s">
        <v>18</v>
      </c>
      <c r="D139" s="2" t="s">
        <v>183</v>
      </c>
      <c r="E139" s="2"/>
      <c r="F139" s="2"/>
      <c r="G139" s="2">
        <v>16</v>
      </c>
      <c r="H139" s="2">
        <v>16</v>
      </c>
      <c r="I139" s="2">
        <v>2</v>
      </c>
      <c r="J139" s="9">
        <f t="shared" ref="J139:J194" si="4">I139-H139</f>
        <v>-14</v>
      </c>
      <c r="K139" s="2" t="s">
        <v>446</v>
      </c>
    </row>
    <row r="140" spans="1:11" hidden="1" x14ac:dyDescent="0.25">
      <c r="A140" s="2">
        <v>139</v>
      </c>
      <c r="B140" s="2" t="s">
        <v>365</v>
      </c>
      <c r="C140" s="2" t="s">
        <v>18</v>
      </c>
      <c r="D140" s="2" t="s">
        <v>366</v>
      </c>
      <c r="E140" s="2"/>
      <c r="F140" s="2">
        <v>13</v>
      </c>
      <c r="G140" s="2"/>
      <c r="H140" s="2">
        <v>13</v>
      </c>
      <c r="I140" s="2">
        <v>13</v>
      </c>
      <c r="J140" s="7">
        <f t="shared" si="4"/>
        <v>0</v>
      </c>
      <c r="K140" s="2" t="s">
        <v>443</v>
      </c>
    </row>
    <row r="141" spans="1:11" hidden="1" x14ac:dyDescent="0.25">
      <c r="A141" s="2">
        <v>140</v>
      </c>
      <c r="B141" s="2" t="s">
        <v>243</v>
      </c>
      <c r="C141" s="2" t="s">
        <v>18</v>
      </c>
      <c r="D141" s="2" t="s">
        <v>244</v>
      </c>
      <c r="E141" s="2"/>
      <c r="F141" s="2">
        <v>2</v>
      </c>
      <c r="G141" s="2"/>
      <c r="H141" s="2">
        <v>2</v>
      </c>
      <c r="I141" s="2">
        <v>2</v>
      </c>
      <c r="J141" s="7">
        <f t="shared" si="4"/>
        <v>0</v>
      </c>
      <c r="K141" s="2" t="s">
        <v>443</v>
      </c>
    </row>
    <row r="142" spans="1:11" hidden="1" x14ac:dyDescent="0.25">
      <c r="A142" s="2">
        <v>141</v>
      </c>
      <c r="B142" s="2" t="s">
        <v>215</v>
      </c>
      <c r="C142" s="2" t="s">
        <v>216</v>
      </c>
      <c r="D142" s="2" t="s">
        <v>217</v>
      </c>
      <c r="E142" s="2"/>
      <c r="F142" s="2">
        <v>3</v>
      </c>
      <c r="G142" s="2">
        <v>8</v>
      </c>
      <c r="H142" s="2">
        <v>11</v>
      </c>
      <c r="I142" s="2">
        <v>11</v>
      </c>
      <c r="J142" s="7">
        <f t="shared" si="4"/>
        <v>0</v>
      </c>
      <c r="K142" s="2" t="s">
        <v>443</v>
      </c>
    </row>
    <row r="143" spans="1:11" hidden="1" x14ac:dyDescent="0.25">
      <c r="A143" s="2">
        <v>142</v>
      </c>
      <c r="B143" s="2" t="s">
        <v>345</v>
      </c>
      <c r="C143" s="2" t="s">
        <v>18</v>
      </c>
      <c r="D143" s="2" t="s">
        <v>346</v>
      </c>
      <c r="E143" s="2"/>
      <c r="F143" s="2">
        <v>3</v>
      </c>
      <c r="G143" s="2"/>
      <c r="H143" s="2">
        <v>3</v>
      </c>
      <c r="I143" s="2">
        <v>3</v>
      </c>
      <c r="J143" s="7">
        <f t="shared" si="4"/>
        <v>0</v>
      </c>
      <c r="K143" s="2" t="s">
        <v>443</v>
      </c>
    </row>
    <row r="144" spans="1:11" hidden="1" x14ac:dyDescent="0.25">
      <c r="A144" s="2">
        <v>143</v>
      </c>
      <c r="B144" s="2" t="s">
        <v>301</v>
      </c>
      <c r="C144" s="2" t="s">
        <v>18</v>
      </c>
      <c r="D144" s="2" t="s">
        <v>302</v>
      </c>
      <c r="E144" s="2"/>
      <c r="F144" s="2">
        <v>3</v>
      </c>
      <c r="G144" s="2"/>
      <c r="H144" s="2">
        <v>3</v>
      </c>
      <c r="I144" s="2">
        <v>3</v>
      </c>
      <c r="J144" s="7">
        <f t="shared" si="4"/>
        <v>0</v>
      </c>
      <c r="K144" s="2" t="s">
        <v>443</v>
      </c>
    </row>
    <row r="145" spans="1:11" hidden="1" x14ac:dyDescent="0.25">
      <c r="A145" s="2">
        <v>144</v>
      </c>
      <c r="B145" s="2" t="s">
        <v>299</v>
      </c>
      <c r="C145" s="2" t="s">
        <v>18</v>
      </c>
      <c r="D145" s="2" t="s">
        <v>300</v>
      </c>
      <c r="E145" s="2"/>
      <c r="F145" s="2">
        <v>1</v>
      </c>
      <c r="G145" s="2"/>
      <c r="H145" s="2">
        <v>1</v>
      </c>
      <c r="I145" s="2">
        <v>1</v>
      </c>
      <c r="J145" s="7">
        <f t="shared" si="4"/>
        <v>0</v>
      </c>
      <c r="K145" s="2" t="s">
        <v>443</v>
      </c>
    </row>
    <row r="146" spans="1:11" hidden="1" x14ac:dyDescent="0.25">
      <c r="A146" s="2">
        <v>145</v>
      </c>
      <c r="B146" s="2" t="s">
        <v>323</v>
      </c>
      <c r="C146" s="2" t="s">
        <v>18</v>
      </c>
      <c r="D146" s="2" t="s">
        <v>324</v>
      </c>
      <c r="E146" s="2"/>
      <c r="F146" s="2">
        <v>8</v>
      </c>
      <c r="G146" s="2"/>
      <c r="H146" s="2">
        <v>8</v>
      </c>
      <c r="I146" s="2">
        <v>8</v>
      </c>
      <c r="J146" s="7">
        <f t="shared" si="4"/>
        <v>0</v>
      </c>
      <c r="K146" s="2" t="s">
        <v>443</v>
      </c>
    </row>
    <row r="147" spans="1:11" hidden="1" x14ac:dyDescent="0.25">
      <c r="A147" s="2">
        <v>146</v>
      </c>
      <c r="B147" s="2" t="s">
        <v>321</v>
      </c>
      <c r="C147" s="2" t="s">
        <v>18</v>
      </c>
      <c r="D147" s="2" t="s">
        <v>322</v>
      </c>
      <c r="E147" s="2"/>
      <c r="F147" s="2">
        <v>3</v>
      </c>
      <c r="G147" s="2"/>
      <c r="H147" s="2">
        <v>3</v>
      </c>
      <c r="I147" s="2">
        <v>3</v>
      </c>
      <c r="J147" s="7">
        <f t="shared" si="4"/>
        <v>0</v>
      </c>
      <c r="K147" s="2" t="s">
        <v>443</v>
      </c>
    </row>
    <row r="148" spans="1:11" hidden="1" x14ac:dyDescent="0.25">
      <c r="A148" s="2">
        <v>147</v>
      </c>
      <c r="B148" s="2" t="s">
        <v>218</v>
      </c>
      <c r="C148" s="2" t="s">
        <v>5</v>
      </c>
      <c r="D148" s="2" t="s">
        <v>219</v>
      </c>
      <c r="E148" s="2"/>
      <c r="F148" s="2"/>
      <c r="G148" s="2">
        <v>16</v>
      </c>
      <c r="H148" s="2">
        <v>16</v>
      </c>
      <c r="I148" s="2">
        <v>16</v>
      </c>
      <c r="J148" s="7">
        <f t="shared" si="4"/>
        <v>0</v>
      </c>
      <c r="K148" s="2" t="s">
        <v>443</v>
      </c>
    </row>
    <row r="149" spans="1:11" hidden="1" x14ac:dyDescent="0.25">
      <c r="A149" s="2">
        <v>148</v>
      </c>
      <c r="B149" s="2" t="s">
        <v>283</v>
      </c>
      <c r="C149" s="2" t="s">
        <v>18</v>
      </c>
      <c r="D149" s="2" t="s">
        <v>284</v>
      </c>
      <c r="E149" s="2"/>
      <c r="F149" s="2">
        <v>1</v>
      </c>
      <c r="G149" s="2"/>
      <c r="H149" s="2">
        <v>1</v>
      </c>
      <c r="I149" s="2">
        <v>1</v>
      </c>
      <c r="J149" s="7">
        <f t="shared" si="4"/>
        <v>0</v>
      </c>
      <c r="K149" s="2" t="s">
        <v>443</v>
      </c>
    </row>
    <row r="150" spans="1:11" hidden="1" x14ac:dyDescent="0.25">
      <c r="A150" s="2">
        <v>149</v>
      </c>
      <c r="B150" s="2" t="s">
        <v>88</v>
      </c>
      <c r="C150" s="2" t="s">
        <v>18</v>
      </c>
      <c r="D150" s="2" t="s">
        <v>89</v>
      </c>
      <c r="E150" s="2"/>
      <c r="F150" s="2"/>
      <c r="G150" s="2">
        <v>10</v>
      </c>
      <c r="H150" s="2">
        <v>10</v>
      </c>
      <c r="I150" s="2">
        <v>10</v>
      </c>
      <c r="J150" s="7">
        <f t="shared" si="4"/>
        <v>0</v>
      </c>
      <c r="K150" s="2" t="s">
        <v>443</v>
      </c>
    </row>
    <row r="151" spans="1:11" hidden="1" x14ac:dyDescent="0.25">
      <c r="A151" s="2">
        <v>150</v>
      </c>
      <c r="B151" s="2" t="s">
        <v>151</v>
      </c>
      <c r="C151" s="2" t="s">
        <v>18</v>
      </c>
      <c r="D151" s="2" t="s">
        <v>152</v>
      </c>
      <c r="E151" s="2"/>
      <c r="F151" s="2"/>
      <c r="G151" s="2">
        <v>48</v>
      </c>
      <c r="H151" s="2">
        <v>48</v>
      </c>
      <c r="I151" s="2">
        <v>48</v>
      </c>
      <c r="J151" s="7">
        <f t="shared" si="4"/>
        <v>0</v>
      </c>
      <c r="K151" s="2" t="s">
        <v>443</v>
      </c>
    </row>
    <row r="152" spans="1:11" hidden="1" x14ac:dyDescent="0.25">
      <c r="A152" s="2">
        <v>151</v>
      </c>
      <c r="B152" s="2" t="s">
        <v>245</v>
      </c>
      <c r="C152" s="2" t="s">
        <v>191</v>
      </c>
      <c r="D152" s="2" t="s">
        <v>246</v>
      </c>
      <c r="E152" s="2"/>
      <c r="F152" s="2">
        <v>12</v>
      </c>
      <c r="G152" s="2"/>
      <c r="H152" s="2">
        <v>12</v>
      </c>
      <c r="I152" s="2">
        <v>12</v>
      </c>
      <c r="J152" s="7">
        <f t="shared" si="4"/>
        <v>0</v>
      </c>
      <c r="K152" s="2" t="s">
        <v>443</v>
      </c>
    </row>
    <row r="153" spans="1:11" hidden="1" x14ac:dyDescent="0.25">
      <c r="A153" s="2">
        <v>152</v>
      </c>
      <c r="B153" s="2" t="s">
        <v>269</v>
      </c>
      <c r="C153" s="2" t="s">
        <v>191</v>
      </c>
      <c r="D153" s="2" t="s">
        <v>270</v>
      </c>
      <c r="E153" s="2"/>
      <c r="F153" s="2">
        <v>2</v>
      </c>
      <c r="G153" s="2"/>
      <c r="H153" s="2">
        <v>2</v>
      </c>
      <c r="I153" s="2">
        <v>2</v>
      </c>
      <c r="J153" s="7">
        <f t="shared" si="4"/>
        <v>0</v>
      </c>
      <c r="K153" s="2" t="s">
        <v>443</v>
      </c>
    </row>
    <row r="154" spans="1:11" hidden="1" x14ac:dyDescent="0.25">
      <c r="A154" s="2">
        <v>153</v>
      </c>
      <c r="B154" s="2" t="s">
        <v>325</v>
      </c>
      <c r="C154" s="2" t="s">
        <v>326</v>
      </c>
      <c r="D154" s="2" t="s">
        <v>327</v>
      </c>
      <c r="E154" s="2"/>
      <c r="F154" s="2">
        <v>2</v>
      </c>
      <c r="G154" s="2"/>
      <c r="H154" s="2">
        <v>2</v>
      </c>
      <c r="I154" s="2">
        <v>2</v>
      </c>
      <c r="J154" s="7">
        <f t="shared" si="4"/>
        <v>0</v>
      </c>
      <c r="K154" s="2" t="s">
        <v>443</v>
      </c>
    </row>
    <row r="155" spans="1:11" hidden="1" x14ac:dyDescent="0.25">
      <c r="A155" s="2">
        <v>154</v>
      </c>
      <c r="B155" s="2" t="s">
        <v>90</v>
      </c>
      <c r="C155" s="2" t="s">
        <v>18</v>
      </c>
      <c r="D155" s="2" t="s">
        <v>91</v>
      </c>
      <c r="E155" s="2"/>
      <c r="F155" s="2"/>
      <c r="G155" s="2">
        <v>1</v>
      </c>
      <c r="H155" s="2">
        <v>1</v>
      </c>
      <c r="I155" s="2">
        <v>1</v>
      </c>
      <c r="J155" s="7">
        <f t="shared" si="4"/>
        <v>0</v>
      </c>
      <c r="K155" s="2" t="s">
        <v>443</v>
      </c>
    </row>
    <row r="156" spans="1:11" hidden="1" x14ac:dyDescent="0.25">
      <c r="A156" s="2">
        <v>155</v>
      </c>
      <c r="B156" s="2" t="s">
        <v>96</v>
      </c>
      <c r="C156" s="2" t="s">
        <v>18</v>
      </c>
      <c r="D156" s="2" t="s">
        <v>97</v>
      </c>
      <c r="E156" s="2"/>
      <c r="F156" s="2"/>
      <c r="G156" s="2">
        <v>1</v>
      </c>
      <c r="H156" s="2">
        <v>1</v>
      </c>
      <c r="I156" s="2">
        <v>1</v>
      </c>
      <c r="J156" s="7">
        <f t="shared" si="4"/>
        <v>0</v>
      </c>
      <c r="K156" s="2" t="s">
        <v>443</v>
      </c>
    </row>
    <row r="157" spans="1:11" hidden="1" x14ac:dyDescent="0.25">
      <c r="A157" s="2">
        <v>156</v>
      </c>
      <c r="B157" s="2" t="s">
        <v>94</v>
      </c>
      <c r="C157" s="2" t="s">
        <v>18</v>
      </c>
      <c r="D157" s="2" t="s">
        <v>95</v>
      </c>
      <c r="E157" s="2"/>
      <c r="F157" s="2"/>
      <c r="G157" s="2">
        <v>1</v>
      </c>
      <c r="H157" s="2">
        <v>1</v>
      </c>
      <c r="I157" s="2">
        <v>1</v>
      </c>
      <c r="J157" s="7">
        <f t="shared" si="4"/>
        <v>0</v>
      </c>
      <c r="K157" s="2" t="s">
        <v>443</v>
      </c>
    </row>
    <row r="158" spans="1:11" hidden="1" x14ac:dyDescent="0.25">
      <c r="A158" s="2">
        <v>157</v>
      </c>
      <c r="B158" s="2" t="s">
        <v>127</v>
      </c>
      <c r="C158" s="2" t="s">
        <v>18</v>
      </c>
      <c r="D158" s="2" t="s">
        <v>128</v>
      </c>
      <c r="E158" s="2"/>
      <c r="F158" s="2"/>
      <c r="G158" s="2">
        <v>1</v>
      </c>
      <c r="H158" s="2">
        <v>1</v>
      </c>
      <c r="I158" s="2">
        <v>1</v>
      </c>
      <c r="J158" s="7">
        <f t="shared" si="4"/>
        <v>0</v>
      </c>
      <c r="K158" s="2" t="s">
        <v>443</v>
      </c>
    </row>
    <row r="159" spans="1:11" hidden="1" x14ac:dyDescent="0.25">
      <c r="A159" s="2">
        <v>158</v>
      </c>
      <c r="B159" s="2" t="s">
        <v>92</v>
      </c>
      <c r="C159" s="2" t="s">
        <v>18</v>
      </c>
      <c r="D159" s="2" t="s">
        <v>93</v>
      </c>
      <c r="E159" s="2"/>
      <c r="F159" s="2"/>
      <c r="G159" s="2">
        <v>1</v>
      </c>
      <c r="H159" s="2">
        <v>1</v>
      </c>
      <c r="I159" s="2">
        <v>1</v>
      </c>
      <c r="J159" s="7">
        <f t="shared" si="4"/>
        <v>0</v>
      </c>
      <c r="K159" s="2" t="s">
        <v>443</v>
      </c>
    </row>
    <row r="160" spans="1:11" hidden="1" x14ac:dyDescent="0.25">
      <c r="A160" s="2">
        <v>159</v>
      </c>
      <c r="B160" s="2" t="s">
        <v>71</v>
      </c>
      <c r="C160" s="2" t="s">
        <v>18</v>
      </c>
      <c r="D160" s="2" t="s">
        <v>72</v>
      </c>
      <c r="E160" s="2"/>
      <c r="F160" s="2"/>
      <c r="G160" s="2">
        <v>13</v>
      </c>
      <c r="H160" s="2">
        <v>13</v>
      </c>
      <c r="I160" s="2">
        <v>13</v>
      </c>
      <c r="J160" s="7">
        <f t="shared" si="4"/>
        <v>0</v>
      </c>
      <c r="K160" s="2" t="s">
        <v>443</v>
      </c>
    </row>
    <row r="161" spans="1:11" hidden="1" x14ac:dyDescent="0.25">
      <c r="A161" s="2">
        <v>160</v>
      </c>
      <c r="B161" s="2" t="s">
        <v>367</v>
      </c>
      <c r="C161" s="2" t="s">
        <v>18</v>
      </c>
      <c r="D161" s="2" t="s">
        <v>368</v>
      </c>
      <c r="E161" s="2"/>
      <c r="F161" s="2">
        <v>5</v>
      </c>
      <c r="G161" s="2"/>
      <c r="H161" s="2">
        <v>5</v>
      </c>
      <c r="I161" s="2">
        <v>5</v>
      </c>
      <c r="J161" s="7">
        <f t="shared" si="4"/>
        <v>0</v>
      </c>
      <c r="K161" s="2" t="s">
        <v>443</v>
      </c>
    </row>
    <row r="162" spans="1:11" hidden="1" x14ac:dyDescent="0.25">
      <c r="A162" s="2">
        <v>161</v>
      </c>
      <c r="B162" s="2" t="s">
        <v>285</v>
      </c>
      <c r="C162" s="2" t="s">
        <v>18</v>
      </c>
      <c r="D162" s="2" t="s">
        <v>286</v>
      </c>
      <c r="E162" s="2"/>
      <c r="F162" s="2">
        <v>12</v>
      </c>
      <c r="G162" s="2"/>
      <c r="H162" s="2">
        <v>12</v>
      </c>
      <c r="I162" s="2">
        <v>12</v>
      </c>
      <c r="J162" s="7">
        <f t="shared" si="4"/>
        <v>0</v>
      </c>
      <c r="K162" s="2" t="s">
        <v>443</v>
      </c>
    </row>
    <row r="163" spans="1:11" hidden="1" x14ac:dyDescent="0.25">
      <c r="A163" s="2">
        <v>162</v>
      </c>
      <c r="B163" s="2" t="s">
        <v>369</v>
      </c>
      <c r="C163" s="2" t="s">
        <v>18</v>
      </c>
      <c r="D163" s="2" t="s">
        <v>370</v>
      </c>
      <c r="E163" s="2"/>
      <c r="F163" s="2">
        <v>12</v>
      </c>
      <c r="G163" s="2"/>
      <c r="H163" s="2">
        <v>12</v>
      </c>
      <c r="I163" s="2">
        <v>12</v>
      </c>
      <c r="J163" s="7">
        <f t="shared" si="4"/>
        <v>0</v>
      </c>
      <c r="K163" s="2" t="s">
        <v>443</v>
      </c>
    </row>
    <row r="164" spans="1:11" hidden="1" x14ac:dyDescent="0.25">
      <c r="A164" s="2">
        <v>163</v>
      </c>
      <c r="B164" s="2" t="s">
        <v>271</v>
      </c>
      <c r="C164" s="2" t="s">
        <v>18</v>
      </c>
      <c r="D164" s="2" t="s">
        <v>272</v>
      </c>
      <c r="E164" s="2"/>
      <c r="F164" s="2">
        <v>111</v>
      </c>
      <c r="G164" s="2"/>
      <c r="H164" s="2">
        <v>111</v>
      </c>
      <c r="I164" s="2">
        <v>111</v>
      </c>
      <c r="J164" s="7">
        <f t="shared" si="4"/>
        <v>0</v>
      </c>
      <c r="K164" s="2" t="s">
        <v>443</v>
      </c>
    </row>
    <row r="165" spans="1:11" hidden="1" x14ac:dyDescent="0.25">
      <c r="A165" s="2">
        <v>164</v>
      </c>
      <c r="B165" s="2" t="s">
        <v>184</v>
      </c>
      <c r="C165" s="2" t="s">
        <v>5</v>
      </c>
      <c r="D165" s="2" t="s">
        <v>185</v>
      </c>
      <c r="E165" s="2"/>
      <c r="F165" s="2"/>
      <c r="G165" s="2">
        <v>1</v>
      </c>
      <c r="H165" s="2">
        <v>1</v>
      </c>
      <c r="I165" s="2">
        <v>1</v>
      </c>
      <c r="J165" s="7">
        <f t="shared" si="4"/>
        <v>0</v>
      </c>
      <c r="K165" s="2" t="s">
        <v>443</v>
      </c>
    </row>
    <row r="166" spans="1:11" hidden="1" x14ac:dyDescent="0.25">
      <c r="A166" s="2">
        <v>165</v>
      </c>
      <c r="B166" s="2" t="s">
        <v>220</v>
      </c>
      <c r="C166" s="2" t="s">
        <v>5</v>
      </c>
      <c r="D166" s="2" t="s">
        <v>221</v>
      </c>
      <c r="E166" s="2"/>
      <c r="F166" s="2"/>
      <c r="G166" s="2">
        <v>1</v>
      </c>
      <c r="H166" s="2">
        <v>1</v>
      </c>
      <c r="I166" s="2">
        <v>1</v>
      </c>
      <c r="J166" s="7">
        <f t="shared" si="4"/>
        <v>0</v>
      </c>
      <c r="K166" s="2" t="s">
        <v>443</v>
      </c>
    </row>
    <row r="167" spans="1:11" hidden="1" x14ac:dyDescent="0.25">
      <c r="A167" s="2">
        <v>166</v>
      </c>
      <c r="B167" s="2" t="s">
        <v>98</v>
      </c>
      <c r="C167" s="2" t="s">
        <v>5</v>
      </c>
      <c r="D167" s="2" t="s">
        <v>99</v>
      </c>
      <c r="E167" s="2"/>
      <c r="F167" s="2"/>
      <c r="G167" s="2">
        <v>1</v>
      </c>
      <c r="H167" s="2">
        <v>1</v>
      </c>
      <c r="I167" s="2">
        <v>1</v>
      </c>
      <c r="J167" s="7">
        <f t="shared" si="4"/>
        <v>0</v>
      </c>
      <c r="K167" s="2" t="s">
        <v>443</v>
      </c>
    </row>
    <row r="168" spans="1:11" hidden="1" x14ac:dyDescent="0.25">
      <c r="A168" s="2">
        <v>167</v>
      </c>
      <c r="B168" s="2" t="s">
        <v>100</v>
      </c>
      <c r="C168" s="2" t="s">
        <v>5</v>
      </c>
      <c r="D168" s="2" t="s">
        <v>101</v>
      </c>
      <c r="E168" s="2"/>
      <c r="F168" s="2"/>
      <c r="G168" s="2">
        <v>1</v>
      </c>
      <c r="H168" s="2">
        <v>1</v>
      </c>
      <c r="I168" s="2">
        <v>1</v>
      </c>
      <c r="J168" s="7">
        <f t="shared" si="4"/>
        <v>0</v>
      </c>
      <c r="K168" s="2" t="s">
        <v>443</v>
      </c>
    </row>
    <row r="169" spans="1:11" hidden="1" x14ac:dyDescent="0.25">
      <c r="A169" s="2">
        <v>168</v>
      </c>
      <c r="B169" s="2" t="s">
        <v>52</v>
      </c>
      <c r="C169" s="2" t="s">
        <v>5</v>
      </c>
      <c r="D169" s="2" t="s">
        <v>53</v>
      </c>
      <c r="E169" s="2"/>
      <c r="F169" s="2"/>
      <c r="G169" s="2">
        <v>1</v>
      </c>
      <c r="H169" s="2">
        <v>1</v>
      </c>
      <c r="I169" s="2">
        <v>1</v>
      </c>
      <c r="J169" s="7">
        <f t="shared" si="4"/>
        <v>0</v>
      </c>
      <c r="K169" s="2" t="s">
        <v>443</v>
      </c>
    </row>
    <row r="170" spans="1:11" hidden="1" x14ac:dyDescent="0.25">
      <c r="A170" s="2">
        <v>169</v>
      </c>
      <c r="B170" s="2" t="s">
        <v>20</v>
      </c>
      <c r="C170" s="2" t="s">
        <v>5</v>
      </c>
      <c r="D170" s="2" t="s">
        <v>21</v>
      </c>
      <c r="E170" s="2"/>
      <c r="F170" s="2"/>
      <c r="G170" s="2">
        <v>1</v>
      </c>
      <c r="H170" s="2">
        <v>1</v>
      </c>
      <c r="I170" s="2">
        <v>1</v>
      </c>
      <c r="J170" s="7">
        <f t="shared" si="4"/>
        <v>0</v>
      </c>
      <c r="K170" s="2" t="s">
        <v>443</v>
      </c>
    </row>
    <row r="171" spans="1:11" hidden="1" x14ac:dyDescent="0.25">
      <c r="A171" s="2">
        <v>170</v>
      </c>
      <c r="B171" s="2" t="s">
        <v>347</v>
      </c>
      <c r="C171" s="2" t="s">
        <v>18</v>
      </c>
      <c r="D171" s="2" t="s">
        <v>348</v>
      </c>
      <c r="E171" s="2"/>
      <c r="F171" s="2">
        <v>2</v>
      </c>
      <c r="G171" s="2"/>
      <c r="H171" s="2">
        <v>2</v>
      </c>
      <c r="I171" s="2">
        <v>2</v>
      </c>
      <c r="J171" s="7">
        <f t="shared" si="4"/>
        <v>0</v>
      </c>
      <c r="K171" s="2" t="s">
        <v>443</v>
      </c>
    </row>
    <row r="172" spans="1:11" hidden="1" x14ac:dyDescent="0.25">
      <c r="A172" s="2">
        <v>171</v>
      </c>
      <c r="B172" s="2" t="s">
        <v>102</v>
      </c>
      <c r="C172" s="2" t="s">
        <v>103</v>
      </c>
      <c r="D172" s="2" t="s">
        <v>104</v>
      </c>
      <c r="E172" s="2"/>
      <c r="F172" s="2"/>
      <c r="G172" s="2">
        <v>3</v>
      </c>
      <c r="H172" s="2">
        <v>3</v>
      </c>
      <c r="I172" s="2">
        <v>3</v>
      </c>
      <c r="J172" s="7">
        <f t="shared" si="4"/>
        <v>0</v>
      </c>
      <c r="K172" s="2" t="s">
        <v>443</v>
      </c>
    </row>
    <row r="173" spans="1:11" hidden="1" x14ac:dyDescent="0.25">
      <c r="A173" s="2">
        <v>172</v>
      </c>
      <c r="B173" s="2" t="s">
        <v>186</v>
      </c>
      <c r="C173" s="2" t="s">
        <v>134</v>
      </c>
      <c r="D173" s="2" t="s">
        <v>187</v>
      </c>
      <c r="E173" s="2"/>
      <c r="F173" s="2"/>
      <c r="G173" s="2">
        <v>1</v>
      </c>
      <c r="H173" s="2">
        <v>1</v>
      </c>
      <c r="I173" s="2">
        <v>1</v>
      </c>
      <c r="J173" s="7">
        <f t="shared" si="4"/>
        <v>0</v>
      </c>
      <c r="K173" s="2" t="s">
        <v>443</v>
      </c>
    </row>
    <row r="174" spans="1:11" hidden="1" x14ac:dyDescent="0.25">
      <c r="A174" s="2">
        <v>173</v>
      </c>
      <c r="B174" s="2" t="s">
        <v>371</v>
      </c>
      <c r="C174" s="2" t="s">
        <v>18</v>
      </c>
      <c r="D174" s="2" t="s">
        <v>372</v>
      </c>
      <c r="E174" s="2"/>
      <c r="F174" s="2">
        <v>1</v>
      </c>
      <c r="G174" s="2"/>
      <c r="H174" s="2">
        <v>1</v>
      </c>
      <c r="I174" s="2">
        <v>1</v>
      </c>
      <c r="J174" s="7">
        <f t="shared" si="4"/>
        <v>0</v>
      </c>
      <c r="K174" s="2" t="s">
        <v>443</v>
      </c>
    </row>
    <row r="175" spans="1:11" hidden="1" x14ac:dyDescent="0.25">
      <c r="A175" s="2">
        <v>174</v>
      </c>
      <c r="B175" s="2" t="s">
        <v>153</v>
      </c>
      <c r="C175" s="2" t="s">
        <v>106</v>
      </c>
      <c r="D175" s="2" t="s">
        <v>154</v>
      </c>
      <c r="E175" s="2"/>
      <c r="F175" s="2"/>
      <c r="G175" s="2">
        <v>4</v>
      </c>
      <c r="H175" s="2">
        <v>4</v>
      </c>
      <c r="I175" s="2">
        <v>0</v>
      </c>
      <c r="J175" s="9">
        <f t="shared" si="4"/>
        <v>-4</v>
      </c>
      <c r="K175" s="2" t="s">
        <v>446</v>
      </c>
    </row>
    <row r="176" spans="1:11" hidden="1" x14ac:dyDescent="0.25">
      <c r="A176" s="2">
        <v>175</v>
      </c>
      <c r="B176" s="2" t="s">
        <v>155</v>
      </c>
      <c r="C176" s="2" t="s">
        <v>5</v>
      </c>
      <c r="D176" s="2" t="s">
        <v>156</v>
      </c>
      <c r="E176" s="2"/>
      <c r="F176" s="2"/>
      <c r="G176" s="2">
        <v>3</v>
      </c>
      <c r="H176" s="2">
        <v>3</v>
      </c>
      <c r="I176" s="2">
        <v>3</v>
      </c>
      <c r="J176" s="7">
        <f t="shared" si="4"/>
        <v>0</v>
      </c>
      <c r="K176" s="2" t="s">
        <v>443</v>
      </c>
    </row>
    <row r="177" spans="1:11" hidden="1" x14ac:dyDescent="0.25">
      <c r="A177" s="2">
        <v>176</v>
      </c>
      <c r="B177" s="2" t="s">
        <v>157</v>
      </c>
      <c r="C177" s="2" t="s">
        <v>5</v>
      </c>
      <c r="D177" s="2" t="s">
        <v>158</v>
      </c>
      <c r="E177" s="2"/>
      <c r="F177" s="2"/>
      <c r="G177" s="2">
        <v>4</v>
      </c>
      <c r="H177" s="2">
        <v>4</v>
      </c>
      <c r="I177" s="2">
        <v>4</v>
      </c>
      <c r="J177" s="7">
        <f t="shared" si="4"/>
        <v>0</v>
      </c>
      <c r="K177" s="2" t="s">
        <v>443</v>
      </c>
    </row>
    <row r="178" spans="1:11" hidden="1" x14ac:dyDescent="0.25">
      <c r="A178" s="2">
        <v>177</v>
      </c>
      <c r="B178" s="2" t="s">
        <v>129</v>
      </c>
      <c r="C178" s="2" t="s">
        <v>5</v>
      </c>
      <c r="D178" s="2" t="s">
        <v>130</v>
      </c>
      <c r="E178" s="2"/>
      <c r="F178" s="2"/>
      <c r="G178" s="2">
        <v>1</v>
      </c>
      <c r="H178" s="2">
        <v>1</v>
      </c>
      <c r="I178" s="2">
        <v>1</v>
      </c>
      <c r="J178" s="7">
        <f t="shared" si="4"/>
        <v>0</v>
      </c>
      <c r="K178" s="2" t="s">
        <v>443</v>
      </c>
    </row>
    <row r="179" spans="1:11" hidden="1" x14ac:dyDescent="0.25">
      <c r="A179" s="2">
        <v>178</v>
      </c>
      <c r="B179" s="2" t="s">
        <v>247</v>
      </c>
      <c r="C179" s="2" t="s">
        <v>18</v>
      </c>
      <c r="D179" s="2" t="s">
        <v>248</v>
      </c>
      <c r="E179" s="2"/>
      <c r="F179" s="2">
        <v>19</v>
      </c>
      <c r="G179" s="2"/>
      <c r="H179" s="2">
        <v>19</v>
      </c>
      <c r="I179" s="2">
        <v>19</v>
      </c>
      <c r="J179" s="7">
        <f t="shared" si="4"/>
        <v>0</v>
      </c>
      <c r="K179" s="2" t="s">
        <v>443</v>
      </c>
    </row>
    <row r="180" spans="1:11" hidden="1" x14ac:dyDescent="0.25">
      <c r="A180" s="2">
        <v>179</v>
      </c>
      <c r="B180" s="2" t="s">
        <v>54</v>
      </c>
      <c r="C180" s="2" t="s">
        <v>18</v>
      </c>
      <c r="D180" s="2" t="s">
        <v>55</v>
      </c>
      <c r="E180" s="2"/>
      <c r="F180" s="2"/>
      <c r="G180" s="2">
        <v>2</v>
      </c>
      <c r="H180" s="2">
        <v>2</v>
      </c>
      <c r="I180" s="2">
        <v>2</v>
      </c>
      <c r="J180" s="7">
        <f t="shared" si="4"/>
        <v>0</v>
      </c>
      <c r="K180" s="2" t="s">
        <v>443</v>
      </c>
    </row>
    <row r="181" spans="1:11" hidden="1" x14ac:dyDescent="0.25">
      <c r="A181" s="2">
        <v>180</v>
      </c>
      <c r="B181" s="2" t="s">
        <v>56</v>
      </c>
      <c r="C181" s="2" t="s">
        <v>5</v>
      </c>
      <c r="D181" s="2" t="s">
        <v>57</v>
      </c>
      <c r="E181" s="2"/>
      <c r="F181" s="2"/>
      <c r="G181" s="2">
        <v>2</v>
      </c>
      <c r="H181" s="2">
        <v>2</v>
      </c>
      <c r="I181" s="2">
        <v>2</v>
      </c>
      <c r="J181" s="7">
        <f t="shared" si="4"/>
        <v>0</v>
      </c>
      <c r="K181" s="2" t="s">
        <v>443</v>
      </c>
    </row>
    <row r="182" spans="1:11" hidden="1" x14ac:dyDescent="0.25">
      <c r="A182" s="2">
        <v>181</v>
      </c>
      <c r="B182" s="2" t="s">
        <v>222</v>
      </c>
      <c r="C182" s="2" t="s">
        <v>5</v>
      </c>
      <c r="D182" s="2" t="s">
        <v>223</v>
      </c>
      <c r="E182" s="2"/>
      <c r="F182" s="2"/>
      <c r="G182" s="2">
        <v>2</v>
      </c>
      <c r="H182" s="2">
        <v>2</v>
      </c>
      <c r="I182" s="2">
        <v>2</v>
      </c>
      <c r="J182" s="7">
        <f t="shared" si="4"/>
        <v>0</v>
      </c>
      <c r="K182" s="2" t="s">
        <v>443</v>
      </c>
    </row>
    <row r="183" spans="1:11" hidden="1" x14ac:dyDescent="0.25">
      <c r="A183" s="2">
        <v>182</v>
      </c>
      <c r="B183" s="2" t="s">
        <v>73</v>
      </c>
      <c r="C183" s="2" t="s">
        <v>5</v>
      </c>
      <c r="D183" s="2" t="s">
        <v>74</v>
      </c>
      <c r="E183" s="2"/>
      <c r="F183" s="2"/>
      <c r="G183" s="2">
        <v>2</v>
      </c>
      <c r="H183" s="2">
        <v>2</v>
      </c>
      <c r="I183" s="2">
        <v>2</v>
      </c>
      <c r="J183" s="7">
        <f t="shared" si="4"/>
        <v>0</v>
      </c>
      <c r="K183" s="2" t="s">
        <v>443</v>
      </c>
    </row>
    <row r="184" spans="1:11" hidden="1" x14ac:dyDescent="0.25">
      <c r="A184" s="2">
        <v>183</v>
      </c>
      <c r="B184" s="2" t="s">
        <v>188</v>
      </c>
      <c r="C184" s="2" t="s">
        <v>5</v>
      </c>
      <c r="D184" s="2" t="s">
        <v>189</v>
      </c>
      <c r="E184" s="2"/>
      <c r="F184" s="2"/>
      <c r="G184" s="2">
        <v>2</v>
      </c>
      <c r="H184" s="2">
        <v>2</v>
      </c>
      <c r="I184" s="2">
        <v>2</v>
      </c>
      <c r="J184" s="7">
        <f t="shared" si="4"/>
        <v>0</v>
      </c>
      <c r="K184" s="2" t="s">
        <v>443</v>
      </c>
    </row>
    <row r="185" spans="1:11" hidden="1" x14ac:dyDescent="0.25">
      <c r="A185" s="2">
        <v>184</v>
      </c>
      <c r="B185" s="2" t="s">
        <v>303</v>
      </c>
      <c r="C185" s="2" t="s">
        <v>5</v>
      </c>
      <c r="D185" s="2" t="s">
        <v>304</v>
      </c>
      <c r="E185" s="2"/>
      <c r="F185" s="2">
        <v>2</v>
      </c>
      <c r="G185" s="2"/>
      <c r="H185" s="2">
        <v>2</v>
      </c>
      <c r="I185" s="2">
        <v>2</v>
      </c>
      <c r="J185" s="7">
        <f t="shared" si="4"/>
        <v>0</v>
      </c>
      <c r="K185" s="2" t="s">
        <v>443</v>
      </c>
    </row>
    <row r="186" spans="1:11" hidden="1" x14ac:dyDescent="0.25">
      <c r="A186" s="2">
        <v>185</v>
      </c>
      <c r="B186" s="2" t="s">
        <v>287</v>
      </c>
      <c r="C186" s="2" t="s">
        <v>18</v>
      </c>
      <c r="D186" s="2" t="s">
        <v>288</v>
      </c>
      <c r="E186" s="2"/>
      <c r="F186" s="2">
        <v>2</v>
      </c>
      <c r="G186" s="2"/>
      <c r="H186" s="2">
        <v>2</v>
      </c>
      <c r="I186" s="2">
        <v>2</v>
      </c>
      <c r="J186" s="7">
        <f t="shared" si="4"/>
        <v>0</v>
      </c>
      <c r="K186" s="2" t="s">
        <v>443</v>
      </c>
    </row>
    <row r="187" spans="1:11" hidden="1" x14ac:dyDescent="0.25">
      <c r="A187" s="2">
        <v>186</v>
      </c>
      <c r="B187" s="2" t="s">
        <v>22</v>
      </c>
      <c r="C187" s="2" t="s">
        <v>5</v>
      </c>
      <c r="D187" s="2" t="s">
        <v>23</v>
      </c>
      <c r="E187" s="2"/>
      <c r="F187" s="2"/>
      <c r="G187" s="2">
        <v>1</v>
      </c>
      <c r="H187" s="2">
        <v>1</v>
      </c>
      <c r="I187" s="2">
        <v>1</v>
      </c>
      <c r="J187" s="7">
        <f t="shared" si="4"/>
        <v>0</v>
      </c>
      <c r="K187" s="2" t="s">
        <v>443</v>
      </c>
    </row>
    <row r="188" spans="1:11" hidden="1" x14ac:dyDescent="0.25">
      <c r="A188" s="2">
        <v>187</v>
      </c>
      <c r="B188" s="2" t="s">
        <v>289</v>
      </c>
      <c r="C188" s="2" t="s">
        <v>5</v>
      </c>
      <c r="D188" s="2" t="s">
        <v>290</v>
      </c>
      <c r="E188" s="2"/>
      <c r="F188" s="2">
        <v>2</v>
      </c>
      <c r="G188" s="2"/>
      <c r="H188" s="2">
        <v>2</v>
      </c>
      <c r="I188" s="2">
        <v>2</v>
      </c>
      <c r="J188" s="7">
        <f t="shared" si="4"/>
        <v>0</v>
      </c>
      <c r="K188" s="2" t="s">
        <v>443</v>
      </c>
    </row>
    <row r="189" spans="1:11" hidden="1" x14ac:dyDescent="0.25">
      <c r="A189" s="2">
        <v>188</v>
      </c>
      <c r="B189" s="2" t="s">
        <v>373</v>
      </c>
      <c r="C189" s="2" t="s">
        <v>5</v>
      </c>
      <c r="D189" s="2" t="s">
        <v>374</v>
      </c>
      <c r="E189" s="2"/>
      <c r="F189" s="2">
        <v>3</v>
      </c>
      <c r="G189" s="2"/>
      <c r="H189" s="2">
        <v>3</v>
      </c>
      <c r="I189" s="2">
        <v>3</v>
      </c>
      <c r="J189" s="7">
        <f t="shared" si="4"/>
        <v>0</v>
      </c>
      <c r="K189" s="2" t="s">
        <v>443</v>
      </c>
    </row>
    <row r="190" spans="1:11" hidden="1" x14ac:dyDescent="0.25">
      <c r="A190" s="2">
        <v>189</v>
      </c>
      <c r="B190" s="2" t="s">
        <v>349</v>
      </c>
      <c r="C190" s="2" t="s">
        <v>5</v>
      </c>
      <c r="D190" s="2" t="s">
        <v>350</v>
      </c>
      <c r="E190" s="2"/>
      <c r="F190" s="2">
        <v>2</v>
      </c>
      <c r="G190" s="2"/>
      <c r="H190" s="2">
        <v>2</v>
      </c>
      <c r="I190" s="2">
        <v>2</v>
      </c>
      <c r="J190" s="7">
        <f t="shared" si="4"/>
        <v>0</v>
      </c>
      <c r="K190" s="2" t="s">
        <v>443</v>
      </c>
    </row>
    <row r="191" spans="1:11" hidden="1" x14ac:dyDescent="0.25">
      <c r="A191" s="2">
        <v>190</v>
      </c>
      <c r="B191" s="2" t="s">
        <v>328</v>
      </c>
      <c r="C191" s="2" t="s">
        <v>5</v>
      </c>
      <c r="D191" s="2" t="s">
        <v>329</v>
      </c>
      <c r="E191" s="2"/>
      <c r="F191" s="2">
        <v>2</v>
      </c>
      <c r="G191" s="2"/>
      <c r="H191" s="2">
        <v>2</v>
      </c>
      <c r="I191" s="2">
        <v>2</v>
      </c>
      <c r="J191" s="7">
        <f t="shared" si="4"/>
        <v>0</v>
      </c>
      <c r="K191" s="2" t="s">
        <v>443</v>
      </c>
    </row>
    <row r="192" spans="1:11" hidden="1" x14ac:dyDescent="0.25">
      <c r="A192" s="2">
        <v>191</v>
      </c>
      <c r="B192" s="2" t="s">
        <v>131</v>
      </c>
      <c r="C192" s="2" t="s">
        <v>5</v>
      </c>
      <c r="D192" s="2" t="s">
        <v>132</v>
      </c>
      <c r="E192" s="2"/>
      <c r="F192" s="2"/>
      <c r="G192" s="2">
        <v>5</v>
      </c>
      <c r="H192" s="2">
        <v>5</v>
      </c>
      <c r="I192" s="2">
        <v>5</v>
      </c>
      <c r="J192" s="7">
        <f t="shared" si="4"/>
        <v>0</v>
      </c>
      <c r="K192" s="2" t="s">
        <v>443</v>
      </c>
    </row>
    <row r="193" spans="1:11" hidden="1" x14ac:dyDescent="0.25">
      <c r="A193" s="2">
        <v>192</v>
      </c>
      <c r="B193" s="2" t="s">
        <v>190</v>
      </c>
      <c r="C193" s="2" t="s">
        <v>191</v>
      </c>
      <c r="D193" s="2" t="s">
        <v>192</v>
      </c>
      <c r="E193" s="2"/>
      <c r="F193" s="2"/>
      <c r="G193" s="2">
        <v>8</v>
      </c>
      <c r="H193" s="2">
        <v>8</v>
      </c>
      <c r="I193" s="2">
        <v>8</v>
      </c>
      <c r="J193" s="7">
        <f t="shared" si="4"/>
        <v>0</v>
      </c>
      <c r="K193" s="2" t="s">
        <v>443</v>
      </c>
    </row>
    <row r="194" spans="1:11" hidden="1" x14ac:dyDescent="0.25">
      <c r="A194" s="2">
        <v>193</v>
      </c>
      <c r="B194" s="2" t="s">
        <v>159</v>
      </c>
      <c r="C194" s="2" t="s">
        <v>5</v>
      </c>
      <c r="D194" s="2" t="s">
        <v>160</v>
      </c>
      <c r="E194" s="2"/>
      <c r="F194" s="2"/>
      <c r="G194" s="2">
        <v>1</v>
      </c>
      <c r="H194" s="2">
        <v>1</v>
      </c>
      <c r="I194" s="2">
        <v>1</v>
      </c>
      <c r="J194" s="7">
        <f t="shared" si="4"/>
        <v>0</v>
      </c>
      <c r="K194" s="2" t="s">
        <v>443</v>
      </c>
    </row>
    <row r="195" spans="1:11" hidden="1" x14ac:dyDescent="0.25">
      <c r="A195" s="2">
        <v>194</v>
      </c>
      <c r="B195" s="2" t="s">
        <v>75</v>
      </c>
      <c r="C195" s="2" t="s">
        <v>5</v>
      </c>
      <c r="D195" s="2" t="s">
        <v>76</v>
      </c>
      <c r="E195" s="2"/>
      <c r="F195" s="2"/>
      <c r="G195" s="2">
        <v>1</v>
      </c>
      <c r="H195" s="2">
        <v>1</v>
      </c>
      <c r="I195" s="2">
        <v>1</v>
      </c>
      <c r="J195" s="7">
        <f t="shared" ref="J195:J202" si="5">I195-H195</f>
        <v>0</v>
      </c>
      <c r="K195" s="2" t="s">
        <v>443</v>
      </c>
    </row>
    <row r="196" spans="1:11" hidden="1" x14ac:dyDescent="0.25">
      <c r="A196" s="2">
        <v>195</v>
      </c>
      <c r="B196" s="2" t="s">
        <v>193</v>
      </c>
      <c r="C196" s="2" t="s">
        <v>134</v>
      </c>
      <c r="D196" s="2" t="s">
        <v>194</v>
      </c>
      <c r="E196" s="2"/>
      <c r="F196" s="2"/>
      <c r="G196" s="2">
        <v>2</v>
      </c>
      <c r="H196" s="2">
        <v>2</v>
      </c>
      <c r="I196" s="2">
        <v>2</v>
      </c>
      <c r="J196" s="7">
        <f t="shared" si="5"/>
        <v>0</v>
      </c>
      <c r="K196" s="2" t="s">
        <v>443</v>
      </c>
    </row>
    <row r="197" spans="1:11" hidden="1" x14ac:dyDescent="0.25">
      <c r="A197" s="2">
        <v>196</v>
      </c>
      <c r="B197" s="2" t="s">
        <v>195</v>
      </c>
      <c r="C197" s="2" t="s">
        <v>5</v>
      </c>
      <c r="D197" s="2" t="s">
        <v>196</v>
      </c>
      <c r="E197" s="2"/>
      <c r="F197" s="2"/>
      <c r="G197" s="2">
        <v>1</v>
      </c>
      <c r="H197" s="2">
        <v>1</v>
      </c>
      <c r="I197" s="2">
        <v>1</v>
      </c>
      <c r="J197" s="7">
        <f t="shared" si="5"/>
        <v>0</v>
      </c>
      <c r="K197" s="2" t="s">
        <v>443</v>
      </c>
    </row>
    <row r="198" spans="1:11" hidden="1" x14ac:dyDescent="0.25">
      <c r="A198" s="2">
        <v>197</v>
      </c>
      <c r="B198" s="2" t="s">
        <v>133</v>
      </c>
      <c r="C198" s="2" t="s">
        <v>134</v>
      </c>
      <c r="D198" s="2" t="s">
        <v>135</v>
      </c>
      <c r="E198" s="2"/>
      <c r="F198" s="2"/>
      <c r="G198" s="2">
        <v>3</v>
      </c>
      <c r="H198" s="2">
        <v>3</v>
      </c>
      <c r="I198" s="2">
        <v>3</v>
      </c>
      <c r="J198" s="7">
        <f t="shared" si="5"/>
        <v>0</v>
      </c>
      <c r="K198" s="2" t="s">
        <v>443</v>
      </c>
    </row>
    <row r="199" spans="1:11" hidden="1" x14ac:dyDescent="0.25">
      <c r="A199" s="2">
        <v>198</v>
      </c>
      <c r="B199" s="2" t="s">
        <v>77</v>
      </c>
      <c r="C199" s="2" t="s">
        <v>5</v>
      </c>
      <c r="D199" s="2" t="s">
        <v>78</v>
      </c>
      <c r="E199" s="2"/>
      <c r="F199" s="2"/>
      <c r="G199" s="2">
        <v>1</v>
      </c>
      <c r="H199" s="2">
        <v>1</v>
      </c>
      <c r="I199" s="2">
        <v>1</v>
      </c>
      <c r="J199" s="7">
        <f t="shared" si="5"/>
        <v>0</v>
      </c>
      <c r="K199" s="2" t="s">
        <v>443</v>
      </c>
    </row>
    <row r="200" spans="1:11" hidden="1" x14ac:dyDescent="0.25">
      <c r="A200" s="2">
        <v>199</v>
      </c>
      <c r="B200" s="2" t="s">
        <v>105</v>
      </c>
      <c r="C200" s="2" t="s">
        <v>106</v>
      </c>
      <c r="D200" s="2" t="s">
        <v>107</v>
      </c>
      <c r="E200" s="2"/>
      <c r="F200" s="2"/>
      <c r="G200" s="2">
        <v>6</v>
      </c>
      <c r="H200" s="2">
        <v>6</v>
      </c>
      <c r="I200" s="2">
        <v>6</v>
      </c>
      <c r="J200" s="7">
        <f t="shared" si="5"/>
        <v>0</v>
      </c>
      <c r="K200" s="2" t="s">
        <v>443</v>
      </c>
    </row>
    <row r="201" spans="1:11" hidden="1" x14ac:dyDescent="0.25">
      <c r="A201" s="2">
        <v>200</v>
      </c>
      <c r="B201" s="2" t="s">
        <v>291</v>
      </c>
      <c r="C201" s="2" t="s">
        <v>5</v>
      </c>
      <c r="D201" s="2" t="s">
        <v>292</v>
      </c>
      <c r="E201" s="2"/>
      <c r="F201" s="2">
        <v>13</v>
      </c>
      <c r="G201" s="2"/>
      <c r="H201" s="2">
        <v>13</v>
      </c>
      <c r="I201" s="2">
        <v>13</v>
      </c>
      <c r="J201" s="7">
        <f t="shared" si="5"/>
        <v>0</v>
      </c>
      <c r="K201" s="2" t="s">
        <v>443</v>
      </c>
    </row>
    <row r="202" spans="1:11" hidden="1" x14ac:dyDescent="0.25">
      <c r="A202" s="2">
        <v>201</v>
      </c>
      <c r="B202" s="2" t="s">
        <v>0</v>
      </c>
      <c r="C202" s="2" t="s">
        <v>5</v>
      </c>
      <c r="D202" s="2" t="s">
        <v>108</v>
      </c>
      <c r="E202" s="2"/>
      <c r="F202" s="2"/>
      <c r="G202" s="2">
        <v>2</v>
      </c>
      <c r="H202" s="2">
        <v>2</v>
      </c>
      <c r="I202" s="2">
        <v>2</v>
      </c>
      <c r="J202" s="7">
        <f t="shared" si="5"/>
        <v>0</v>
      </c>
      <c r="K202" s="2" t="s">
        <v>443</v>
      </c>
    </row>
    <row r="203" spans="1:11" hidden="1" x14ac:dyDescent="0.25">
      <c r="B203" s="2" t="s">
        <v>433</v>
      </c>
      <c r="C203" s="2"/>
      <c r="D203" s="2"/>
      <c r="E203" s="2">
        <v>127</v>
      </c>
      <c r="F203" s="2">
        <v>799</v>
      </c>
      <c r="G203" s="2">
        <v>1130</v>
      </c>
      <c r="H203" s="2">
        <v>2056</v>
      </c>
    </row>
  </sheetData>
  <autoFilter ref="A1:K203" xr:uid="{EE6CE7F4-98CD-49D7-8F7D-51062640604E}">
    <filterColumn colId="10">
      <filters>
        <filter val="ERP ISSU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1A85-ACA6-4C2D-BEF8-047043B2597C}">
  <dimension ref="A1:A12"/>
  <sheetViews>
    <sheetView workbookViewId="0">
      <selection activeCell="D31" sqref="D31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421</v>
      </c>
    </row>
    <row r="2" spans="1:1" x14ac:dyDescent="0.25">
      <c r="A2" s="1" t="s">
        <v>422</v>
      </c>
    </row>
    <row r="3" spans="1:1" x14ac:dyDescent="0.25">
      <c r="A3" s="1" t="s">
        <v>423</v>
      </c>
    </row>
    <row r="4" spans="1:1" x14ac:dyDescent="0.25">
      <c r="A4" s="1" t="s">
        <v>424</v>
      </c>
    </row>
    <row r="5" spans="1:1" x14ac:dyDescent="0.25">
      <c r="A5" s="1" t="s">
        <v>425</v>
      </c>
    </row>
    <row r="6" spans="1:1" x14ac:dyDescent="0.25">
      <c r="A6" s="1" t="s">
        <v>426</v>
      </c>
    </row>
    <row r="7" spans="1:1" x14ac:dyDescent="0.25">
      <c r="A7" s="1" t="s">
        <v>427</v>
      </c>
    </row>
    <row r="8" spans="1:1" x14ac:dyDescent="0.25">
      <c r="A8" s="1" t="s">
        <v>428</v>
      </c>
    </row>
    <row r="9" spans="1:1" x14ac:dyDescent="0.25">
      <c r="A9" s="1" t="s">
        <v>429</v>
      </c>
    </row>
    <row r="10" spans="1:1" x14ac:dyDescent="0.25">
      <c r="A10" s="1" t="s">
        <v>430</v>
      </c>
    </row>
    <row r="11" spans="1:1" x14ac:dyDescent="0.25">
      <c r="A11" s="1" t="s">
        <v>431</v>
      </c>
    </row>
    <row r="12" spans="1:1" x14ac:dyDescent="0.25">
      <c r="A12" s="1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Counting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2025-11-17T05:48:25Z</dcterms:created>
  <dcterms:modified xsi:type="dcterms:W3CDTF">2025-12-07T07:20:34Z</dcterms:modified>
</cp:coreProperties>
</file>