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gasarabian-my.sharepoint.com/personal/mafas_gasarabian_com/Documents/Desktop/"/>
    </mc:Choice>
  </mc:AlternateContent>
  <xr:revisionPtr revIDLastSave="110" documentId="13_ncr:1_{67337A04-A266-4335-8669-6206963FFEAA}" xr6:coauthVersionLast="47" xr6:coauthVersionMax="47" xr10:uidLastSave="{7FF6667D-4F3B-4F62-AD04-BBAE45D9E018}"/>
  <bookViews>
    <workbookView xWindow="-120" yWindow="-120" windowWidth="20730" windowHeight="11040" xr2:uid="{1BFCE342-8C4D-40CF-AC39-169E95560743}"/>
  </bookViews>
  <sheets>
    <sheet name="Summary " sheetId="7" r:id="rId1"/>
    <sheet name="Counting Sheet" sheetId="3" r:id="rId2"/>
    <sheet name="Sheet2" sheetId="1" r:id="rId3"/>
  </sheets>
  <definedNames>
    <definedName name="_xlnm._FilterDatabase" localSheetId="1" hidden="1">'Counting Sheet'!$A$1:$J$267</definedName>
    <definedName name="_xlnm._FilterDatabase" localSheetId="2" hidden="1">Sheet2!$B$1:$AC$269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H30" i="3" s="1"/>
  <c r="F266" i="3"/>
  <c r="H266" i="3" s="1"/>
  <c r="F265" i="3"/>
  <c r="H265" i="3" s="1"/>
  <c r="F264" i="3"/>
  <c r="H264" i="3" s="1"/>
  <c r="F263" i="3"/>
  <c r="H263" i="3" s="1"/>
  <c r="F262" i="3"/>
  <c r="H262" i="3" s="1"/>
  <c r="F261" i="3"/>
  <c r="H261" i="3" s="1"/>
  <c r="F260" i="3"/>
  <c r="H260" i="3" s="1"/>
  <c r="F259" i="3"/>
  <c r="H259" i="3" s="1"/>
  <c r="F258" i="3"/>
  <c r="H258" i="3" s="1"/>
  <c r="F257" i="3"/>
  <c r="H257" i="3" s="1"/>
  <c r="F256" i="3"/>
  <c r="H256" i="3" s="1"/>
  <c r="F255" i="3"/>
  <c r="H255" i="3" s="1"/>
  <c r="F254" i="3"/>
  <c r="H254" i="3" s="1"/>
  <c r="F253" i="3"/>
  <c r="H253" i="3" s="1"/>
  <c r="F252" i="3"/>
  <c r="H252" i="3" s="1"/>
  <c r="F251" i="3"/>
  <c r="H251" i="3" s="1"/>
  <c r="F250" i="3"/>
  <c r="H250" i="3" s="1"/>
  <c r="F249" i="3"/>
  <c r="H249" i="3" s="1"/>
  <c r="F248" i="3"/>
  <c r="H248" i="3" s="1"/>
  <c r="F247" i="3"/>
  <c r="H247" i="3" s="1"/>
  <c r="F246" i="3"/>
  <c r="H246" i="3" s="1"/>
  <c r="F245" i="3"/>
  <c r="H245" i="3" s="1"/>
  <c r="F244" i="3"/>
  <c r="H244" i="3" s="1"/>
  <c r="F243" i="3"/>
  <c r="H243" i="3" s="1"/>
  <c r="F242" i="3"/>
  <c r="H242" i="3" s="1"/>
  <c r="F241" i="3"/>
  <c r="H241" i="3" s="1"/>
  <c r="F240" i="3"/>
  <c r="H240" i="3" s="1"/>
  <c r="F239" i="3"/>
  <c r="H239" i="3" s="1"/>
  <c r="F238" i="3"/>
  <c r="H238" i="3" s="1"/>
  <c r="F237" i="3"/>
  <c r="H237" i="3" s="1"/>
  <c r="F236" i="3"/>
  <c r="H236" i="3" s="1"/>
  <c r="F235" i="3"/>
  <c r="H235" i="3" s="1"/>
  <c r="F234" i="3"/>
  <c r="H234" i="3" s="1"/>
  <c r="F233" i="3"/>
  <c r="H233" i="3" s="1"/>
  <c r="F232" i="3"/>
  <c r="H232" i="3" s="1"/>
  <c r="F231" i="3"/>
  <c r="H231" i="3" s="1"/>
  <c r="F230" i="3"/>
  <c r="H230" i="3" s="1"/>
  <c r="F229" i="3"/>
  <c r="H229" i="3" s="1"/>
  <c r="F228" i="3"/>
  <c r="H228" i="3" s="1"/>
  <c r="F227" i="3"/>
  <c r="H227" i="3" s="1"/>
  <c r="F226" i="3"/>
  <c r="H226" i="3" s="1"/>
  <c r="F225" i="3"/>
  <c r="H225" i="3" s="1"/>
  <c r="F224" i="3"/>
  <c r="H224" i="3" s="1"/>
  <c r="F223" i="3"/>
  <c r="H223" i="3" s="1"/>
  <c r="F222" i="3"/>
  <c r="H222" i="3" s="1"/>
  <c r="F221" i="3"/>
  <c r="H221" i="3" s="1"/>
  <c r="F220" i="3"/>
  <c r="H220" i="3" s="1"/>
  <c r="F219" i="3"/>
  <c r="H219" i="3" s="1"/>
  <c r="F218" i="3"/>
  <c r="H218" i="3" s="1"/>
  <c r="F217" i="3"/>
  <c r="H217" i="3" s="1"/>
  <c r="F216" i="3"/>
  <c r="H216" i="3" s="1"/>
  <c r="F215" i="3"/>
  <c r="H215" i="3" s="1"/>
  <c r="F214" i="3"/>
  <c r="H214" i="3" s="1"/>
  <c r="F213" i="3"/>
  <c r="H213" i="3" s="1"/>
  <c r="F212" i="3"/>
  <c r="H212" i="3" s="1"/>
  <c r="F211" i="3"/>
  <c r="H211" i="3" s="1"/>
  <c r="F210" i="3"/>
  <c r="H210" i="3" s="1"/>
  <c r="F209" i="3"/>
  <c r="H209" i="3" s="1"/>
  <c r="F208" i="3"/>
  <c r="H208" i="3" s="1"/>
  <c r="F207" i="3"/>
  <c r="H207" i="3" s="1"/>
  <c r="F206" i="3"/>
  <c r="H206" i="3" s="1"/>
  <c r="F205" i="3"/>
  <c r="H205" i="3" s="1"/>
  <c r="F204" i="3"/>
  <c r="H204" i="3" s="1"/>
  <c r="F203" i="3"/>
  <c r="H203" i="3" s="1"/>
  <c r="F202" i="3"/>
  <c r="H202" i="3" s="1"/>
  <c r="F201" i="3"/>
  <c r="H201" i="3" s="1"/>
  <c r="F200" i="3"/>
  <c r="H200" i="3" s="1"/>
  <c r="F199" i="3"/>
  <c r="H199" i="3" s="1"/>
  <c r="F198" i="3"/>
  <c r="H198" i="3" s="1"/>
  <c r="F197" i="3"/>
  <c r="H197" i="3" s="1"/>
  <c r="F196" i="3"/>
  <c r="H196" i="3" s="1"/>
  <c r="F195" i="3"/>
  <c r="H195" i="3" s="1"/>
  <c r="F194" i="3"/>
  <c r="H194" i="3" s="1"/>
  <c r="F193" i="3"/>
  <c r="H193" i="3" s="1"/>
  <c r="F192" i="3"/>
  <c r="H192" i="3" s="1"/>
  <c r="F191" i="3"/>
  <c r="H191" i="3" s="1"/>
  <c r="F190" i="3"/>
  <c r="H190" i="3" s="1"/>
  <c r="F189" i="3"/>
  <c r="H189" i="3" s="1"/>
  <c r="F188" i="3"/>
  <c r="H188" i="3" s="1"/>
  <c r="F187" i="3"/>
  <c r="H187" i="3" s="1"/>
  <c r="F186" i="3"/>
  <c r="H186" i="3" s="1"/>
  <c r="F185" i="3"/>
  <c r="H185" i="3" s="1"/>
  <c r="F184" i="3"/>
  <c r="H184" i="3" s="1"/>
  <c r="F183" i="3"/>
  <c r="H183" i="3" s="1"/>
  <c r="F182" i="3"/>
  <c r="H182" i="3" s="1"/>
  <c r="F181" i="3"/>
  <c r="H181" i="3" s="1"/>
  <c r="F180" i="3"/>
  <c r="H180" i="3" s="1"/>
  <c r="F179" i="3"/>
  <c r="H179" i="3" s="1"/>
  <c r="F178" i="3"/>
  <c r="H178" i="3" s="1"/>
  <c r="F177" i="3"/>
  <c r="H177" i="3" s="1"/>
  <c r="F176" i="3"/>
  <c r="H176" i="3" s="1"/>
  <c r="F175" i="3"/>
  <c r="H175" i="3" s="1"/>
  <c r="F174" i="3"/>
  <c r="H174" i="3" s="1"/>
  <c r="F173" i="3"/>
  <c r="H173" i="3" s="1"/>
  <c r="F172" i="3"/>
  <c r="H172" i="3" s="1"/>
  <c r="F171" i="3"/>
  <c r="H171" i="3" s="1"/>
  <c r="F170" i="3"/>
  <c r="H170" i="3" s="1"/>
  <c r="F169" i="3"/>
  <c r="H169" i="3" s="1"/>
  <c r="F168" i="3"/>
  <c r="H168" i="3" s="1"/>
  <c r="F167" i="3"/>
  <c r="H167" i="3" s="1"/>
  <c r="F166" i="3"/>
  <c r="H166" i="3" s="1"/>
  <c r="F165" i="3"/>
  <c r="H165" i="3" s="1"/>
  <c r="F164" i="3"/>
  <c r="H164" i="3" s="1"/>
  <c r="F163" i="3"/>
  <c r="H163" i="3" s="1"/>
  <c r="F162" i="3"/>
  <c r="H162" i="3" s="1"/>
  <c r="F161" i="3"/>
  <c r="H161" i="3" s="1"/>
  <c r="F160" i="3"/>
  <c r="H160" i="3" s="1"/>
  <c r="F159" i="3"/>
  <c r="H159" i="3" s="1"/>
  <c r="F158" i="3"/>
  <c r="H158" i="3" s="1"/>
  <c r="F157" i="3"/>
  <c r="H157" i="3" s="1"/>
  <c r="F156" i="3"/>
  <c r="H156" i="3" s="1"/>
  <c r="F155" i="3"/>
  <c r="H155" i="3" s="1"/>
  <c r="F154" i="3"/>
  <c r="H154" i="3" s="1"/>
  <c r="F153" i="3"/>
  <c r="H153" i="3" s="1"/>
  <c r="F152" i="3"/>
  <c r="H152" i="3" s="1"/>
  <c r="F151" i="3"/>
  <c r="H151" i="3" s="1"/>
  <c r="F150" i="3"/>
  <c r="H150" i="3" s="1"/>
  <c r="F149" i="3"/>
  <c r="H149" i="3" s="1"/>
  <c r="F148" i="3"/>
  <c r="H148" i="3" s="1"/>
  <c r="F147" i="3"/>
  <c r="H147" i="3" s="1"/>
  <c r="F146" i="3"/>
  <c r="H146" i="3" s="1"/>
  <c r="F145" i="3"/>
  <c r="H145" i="3" s="1"/>
  <c r="F144" i="3"/>
  <c r="H144" i="3" s="1"/>
  <c r="F143" i="3"/>
  <c r="H143" i="3" s="1"/>
  <c r="F142" i="3"/>
  <c r="H142" i="3" s="1"/>
  <c r="F141" i="3"/>
  <c r="H141" i="3" s="1"/>
  <c r="F140" i="3"/>
  <c r="H140" i="3" s="1"/>
  <c r="F139" i="3"/>
  <c r="H139" i="3" s="1"/>
  <c r="F138" i="3"/>
  <c r="H138" i="3" s="1"/>
  <c r="F137" i="3"/>
  <c r="H137" i="3" s="1"/>
  <c r="F136" i="3"/>
  <c r="H136" i="3" s="1"/>
  <c r="F135" i="3"/>
  <c r="H135" i="3" s="1"/>
  <c r="F134" i="3"/>
  <c r="H134" i="3" s="1"/>
  <c r="F133" i="3"/>
  <c r="H133" i="3" s="1"/>
  <c r="F132" i="3"/>
  <c r="H132" i="3" s="1"/>
  <c r="F131" i="3"/>
  <c r="H131" i="3" s="1"/>
  <c r="F130" i="3"/>
  <c r="H130" i="3" s="1"/>
  <c r="F129" i="3"/>
  <c r="H129" i="3" s="1"/>
  <c r="F128" i="3"/>
  <c r="H128" i="3" s="1"/>
  <c r="F127" i="3"/>
  <c r="H127" i="3" s="1"/>
  <c r="F126" i="3"/>
  <c r="H126" i="3" s="1"/>
  <c r="F125" i="3"/>
  <c r="H125" i="3" s="1"/>
  <c r="F124" i="3"/>
  <c r="H124" i="3" s="1"/>
  <c r="F123" i="3"/>
  <c r="H123" i="3" s="1"/>
  <c r="F122" i="3"/>
  <c r="H122" i="3" s="1"/>
  <c r="F121" i="3"/>
  <c r="H121" i="3" s="1"/>
  <c r="F120" i="3"/>
  <c r="H120" i="3" s="1"/>
  <c r="F119" i="3"/>
  <c r="H119" i="3" s="1"/>
  <c r="F118" i="3"/>
  <c r="H118" i="3" s="1"/>
  <c r="F117" i="3"/>
  <c r="H117" i="3" s="1"/>
  <c r="F116" i="3"/>
  <c r="H116" i="3" s="1"/>
  <c r="F115" i="3"/>
  <c r="H115" i="3" s="1"/>
  <c r="F114" i="3"/>
  <c r="H114" i="3" s="1"/>
  <c r="F113" i="3"/>
  <c r="H113" i="3" s="1"/>
  <c r="F112" i="3"/>
  <c r="H112" i="3" s="1"/>
  <c r="F111" i="3"/>
  <c r="H111" i="3" s="1"/>
  <c r="F110" i="3"/>
  <c r="H110" i="3" s="1"/>
  <c r="F109" i="3"/>
  <c r="H109" i="3" s="1"/>
  <c r="F108" i="3"/>
  <c r="H108" i="3" s="1"/>
  <c r="F107" i="3"/>
  <c r="H107" i="3" s="1"/>
  <c r="F106" i="3"/>
  <c r="H106" i="3" s="1"/>
  <c r="F105" i="3"/>
  <c r="H105" i="3" s="1"/>
  <c r="F104" i="3"/>
  <c r="H104" i="3" s="1"/>
  <c r="F103" i="3"/>
  <c r="H103" i="3" s="1"/>
  <c r="F102" i="3"/>
  <c r="H102" i="3" s="1"/>
  <c r="F101" i="3"/>
  <c r="H101" i="3" s="1"/>
  <c r="F100" i="3"/>
  <c r="H100" i="3" s="1"/>
  <c r="F99" i="3"/>
  <c r="H99" i="3" s="1"/>
  <c r="F98" i="3"/>
  <c r="H98" i="3" s="1"/>
  <c r="F97" i="3"/>
  <c r="H97" i="3" s="1"/>
  <c r="F96" i="3"/>
  <c r="H96" i="3" s="1"/>
  <c r="F95" i="3"/>
  <c r="H95" i="3" s="1"/>
  <c r="F94" i="3"/>
  <c r="H94" i="3" s="1"/>
  <c r="F93" i="3"/>
  <c r="H93" i="3" s="1"/>
  <c r="F92" i="3"/>
  <c r="H92" i="3" s="1"/>
  <c r="F91" i="3"/>
  <c r="H91" i="3" s="1"/>
  <c r="F90" i="3"/>
  <c r="H90" i="3" s="1"/>
  <c r="F89" i="3"/>
  <c r="H89" i="3" s="1"/>
  <c r="F88" i="3"/>
  <c r="H88" i="3" s="1"/>
  <c r="F87" i="3"/>
  <c r="H87" i="3" s="1"/>
  <c r="F86" i="3"/>
  <c r="H86" i="3" s="1"/>
  <c r="F85" i="3"/>
  <c r="H85" i="3" s="1"/>
  <c r="F84" i="3"/>
  <c r="H84" i="3" s="1"/>
  <c r="F83" i="3"/>
  <c r="H83" i="3" s="1"/>
  <c r="F82" i="3"/>
  <c r="H82" i="3" s="1"/>
  <c r="F81" i="3"/>
  <c r="H81" i="3" s="1"/>
  <c r="F80" i="3"/>
  <c r="H80" i="3" s="1"/>
  <c r="F79" i="3"/>
  <c r="H79" i="3" s="1"/>
  <c r="F78" i="3"/>
  <c r="H78" i="3" s="1"/>
  <c r="F77" i="3"/>
  <c r="H77" i="3" s="1"/>
  <c r="F76" i="3"/>
  <c r="H76" i="3" s="1"/>
  <c r="F75" i="3"/>
  <c r="H75" i="3" s="1"/>
  <c r="F74" i="3"/>
  <c r="H74" i="3" s="1"/>
  <c r="F73" i="3"/>
  <c r="H73" i="3" s="1"/>
  <c r="F72" i="3"/>
  <c r="H72" i="3" s="1"/>
  <c r="F71" i="3"/>
  <c r="H71" i="3" s="1"/>
  <c r="F70" i="3"/>
  <c r="H70" i="3" s="1"/>
  <c r="F69" i="3"/>
  <c r="H69" i="3" s="1"/>
  <c r="F68" i="3"/>
  <c r="H68" i="3" s="1"/>
  <c r="F67" i="3"/>
  <c r="H67" i="3" s="1"/>
  <c r="F66" i="3"/>
  <c r="H66" i="3" s="1"/>
  <c r="F65" i="3"/>
  <c r="H65" i="3" s="1"/>
  <c r="F64" i="3"/>
  <c r="H64" i="3" s="1"/>
  <c r="F63" i="3"/>
  <c r="H63" i="3" s="1"/>
  <c r="F62" i="3"/>
  <c r="H62" i="3" s="1"/>
  <c r="F61" i="3"/>
  <c r="H61" i="3" s="1"/>
  <c r="F60" i="3"/>
  <c r="H60" i="3" s="1"/>
  <c r="F59" i="3"/>
  <c r="H59" i="3" s="1"/>
  <c r="F58" i="3"/>
  <c r="H58" i="3" s="1"/>
  <c r="F57" i="3"/>
  <c r="H57" i="3" s="1"/>
  <c r="F56" i="3"/>
  <c r="H56" i="3" s="1"/>
  <c r="F55" i="3"/>
  <c r="H55" i="3" s="1"/>
  <c r="F54" i="3"/>
  <c r="H54" i="3" s="1"/>
  <c r="F53" i="3"/>
  <c r="H53" i="3" s="1"/>
  <c r="F52" i="3"/>
  <c r="H52" i="3" s="1"/>
  <c r="F51" i="3"/>
  <c r="H51" i="3" s="1"/>
  <c r="F50" i="3"/>
  <c r="H50" i="3" s="1"/>
  <c r="F49" i="3"/>
  <c r="H49" i="3" s="1"/>
  <c r="F48" i="3"/>
  <c r="H48" i="3" s="1"/>
  <c r="F47" i="3"/>
  <c r="H47" i="3" s="1"/>
  <c r="F46" i="3"/>
  <c r="H46" i="3" s="1"/>
  <c r="F45" i="3"/>
  <c r="H45" i="3" s="1"/>
  <c r="F44" i="3"/>
  <c r="H44" i="3" s="1"/>
  <c r="F43" i="3"/>
  <c r="H43" i="3" s="1"/>
  <c r="F42" i="3"/>
  <c r="H42" i="3" s="1"/>
  <c r="F41" i="3"/>
  <c r="H41" i="3" s="1"/>
  <c r="F40" i="3"/>
  <c r="H40" i="3" s="1"/>
  <c r="F39" i="3"/>
  <c r="H39" i="3" s="1"/>
  <c r="F38" i="3"/>
  <c r="H38" i="3" s="1"/>
  <c r="F37" i="3"/>
  <c r="H37" i="3" s="1"/>
  <c r="F36" i="3"/>
  <c r="H36" i="3" s="1"/>
  <c r="F35" i="3"/>
  <c r="H35" i="3" s="1"/>
  <c r="F34" i="3"/>
  <c r="H34" i="3" s="1"/>
  <c r="F33" i="3"/>
  <c r="H33" i="3" s="1"/>
  <c r="F32" i="3"/>
  <c r="H32" i="3" s="1"/>
  <c r="F31" i="3"/>
  <c r="H31" i="3" s="1"/>
  <c r="F29" i="3"/>
  <c r="H29" i="3" s="1"/>
  <c r="F28" i="3"/>
  <c r="H28" i="3" s="1"/>
  <c r="F27" i="3"/>
  <c r="H27" i="3" s="1"/>
  <c r="F26" i="3"/>
  <c r="H26" i="3" s="1"/>
  <c r="F25" i="3"/>
  <c r="H25" i="3" s="1"/>
  <c r="F24" i="3"/>
  <c r="H24" i="3" s="1"/>
  <c r="F23" i="3"/>
  <c r="H23" i="3" s="1"/>
  <c r="F22" i="3"/>
  <c r="H22" i="3" s="1"/>
  <c r="F21" i="3"/>
  <c r="H21" i="3" s="1"/>
  <c r="F20" i="3"/>
  <c r="H20" i="3" s="1"/>
  <c r="F19" i="3"/>
  <c r="H19" i="3" s="1"/>
  <c r="F18" i="3"/>
  <c r="H18" i="3" s="1"/>
  <c r="F17" i="3"/>
  <c r="H17" i="3" s="1"/>
  <c r="F16" i="3"/>
  <c r="H16" i="3" s="1"/>
  <c r="F15" i="3"/>
  <c r="H15" i="3" s="1"/>
  <c r="F14" i="3"/>
  <c r="H14" i="3" s="1"/>
  <c r="F13" i="3"/>
  <c r="H13" i="3" s="1"/>
  <c r="F12" i="3"/>
  <c r="H12" i="3" s="1"/>
  <c r="F11" i="3"/>
  <c r="H11" i="3" s="1"/>
  <c r="F10" i="3"/>
  <c r="H10" i="3" s="1"/>
  <c r="F9" i="3"/>
  <c r="H9" i="3" s="1"/>
  <c r="F8" i="3"/>
  <c r="H8" i="3" s="1"/>
  <c r="F7" i="3"/>
  <c r="H7" i="3" s="1"/>
  <c r="F6" i="3"/>
  <c r="H6" i="3" s="1"/>
  <c r="F5" i="3"/>
  <c r="H5" i="3" s="1"/>
  <c r="F4" i="3"/>
  <c r="H4" i="3" s="1"/>
  <c r="F3" i="3"/>
  <c r="F2" i="3"/>
  <c r="H2" i="3" s="1"/>
  <c r="E267" i="3"/>
  <c r="D267" i="3"/>
  <c r="F270" i="1"/>
  <c r="F267" i="3" l="1"/>
  <c r="H3" i="3"/>
</calcChain>
</file>

<file path=xl/sharedStrings.xml><?xml version="1.0" encoding="utf-8"?>
<sst xmlns="http://schemas.openxmlformats.org/spreadsheetml/2006/main" count="1871" uniqueCount="561">
  <si>
    <t>VAL_UNIT_CODE</t>
  </si>
  <si>
    <t>ITEM_CODE</t>
  </si>
  <si>
    <t>PARTY_NAME</t>
  </si>
  <si>
    <t>ITEM_DESCRIPTION</t>
  </si>
  <si>
    <t>ISR</t>
  </si>
  <si>
    <t>1000093504</t>
  </si>
  <si>
    <t xml:space="preserve">Junction Box FXLS811D P&amp;F </t>
  </si>
  <si>
    <t>1000093497</t>
  </si>
  <si>
    <t xml:space="preserve">Junction Box SLS41 P&amp;F </t>
  </si>
  <si>
    <t>1000098393</t>
  </si>
  <si>
    <t>Pepperl+Fuchs (ME) FZE</t>
  </si>
  <si>
    <t>P+F, Segment Protector for Cabinet Installation Model No.: R2-SP-IC6</t>
  </si>
  <si>
    <t>1000094819</t>
  </si>
  <si>
    <t xml:space="preserve">P+F,Inductive Sensor; Model:NCB2-12GM35-N0-V1;   PN:70133040  </t>
  </si>
  <si>
    <t>1000010164</t>
  </si>
  <si>
    <t>P+F, Inductive Sensor Model No.: NBB8-18GM60-A2-V1</t>
  </si>
  <si>
    <t>1000093496</t>
  </si>
  <si>
    <t xml:space="preserve">Junction Box GL5 P&amp;F </t>
  </si>
  <si>
    <t>INS</t>
  </si>
  <si>
    <t>1000010108</t>
  </si>
  <si>
    <t>Pepperl+Fuchs Inductive Sensor (NBN4-12GM50-E2-V1)</t>
  </si>
  <si>
    <t>1000010134</t>
  </si>
  <si>
    <t>Pepperl+Fuchs Cable Connector (V1-W-2M-PVC)</t>
  </si>
  <si>
    <t>1000010172</t>
  </si>
  <si>
    <t>P+F, Inductive Sensor; Model No.: NCB2-12GM35-N0; PN:70133038</t>
  </si>
  <si>
    <t>1000010174</t>
  </si>
  <si>
    <t>P+F, Inductive Sensor Model No.: NBB15-U1-A2</t>
  </si>
  <si>
    <t>1000010178</t>
  </si>
  <si>
    <t>P+F, Inductive Sensor Model No.: NCN8-18GM40-N0-5M</t>
  </si>
  <si>
    <t>1000010215</t>
  </si>
  <si>
    <t>P+F, Inductive Sensor;  Model No. NCB8-18GM40-N0 Part#:181088 Contract#:4600011810 Matl#:801457</t>
  </si>
  <si>
    <t>1000010224</t>
  </si>
  <si>
    <t xml:space="preserve">P+F, Reflector   Model No. REF-C110-2 </t>
  </si>
  <si>
    <t>Ralph Messring GmbH</t>
  </si>
  <si>
    <t>1000010252</t>
  </si>
  <si>
    <t xml:space="preserve">P+F, Inductive Sensor   Model No. NBN15-30GM50-E2 </t>
  </si>
  <si>
    <t>1000092374</t>
  </si>
  <si>
    <t xml:space="preserve">P+F, Capacitive Sensor Model No. CJ15+U1+A2; P/N:001604 </t>
  </si>
  <si>
    <t>1000093095</t>
  </si>
  <si>
    <t xml:space="preserve">P+F,Inductive Sensor; Model:SJ5-N; P/N:106607; Contract#:46000012734; Matl#:471845 </t>
  </si>
  <si>
    <t>1000093290</t>
  </si>
  <si>
    <t>P+F, Inductive Sensor; Model No. NCN8-18GM40-Z0 PN:70133267</t>
  </si>
  <si>
    <t>1000094465</t>
  </si>
  <si>
    <t xml:space="preserve">P+F, Inductive Sensor;  Model:NJ10-30GKK-N  </t>
  </si>
  <si>
    <t>1000095596</t>
  </si>
  <si>
    <t xml:space="preserve">P+F;Switch Photoelectric,P/N:OJ500-M1K-E23/18937S </t>
  </si>
  <si>
    <t>1000096104</t>
  </si>
  <si>
    <t xml:space="preserve">P+F, Inductive sensor; NCB10-30GM40-N0; P/N: 70133068 </t>
  </si>
  <si>
    <t>1000096439</t>
  </si>
  <si>
    <t xml:space="preserve">P+F, Switch Amplifier Model No.: WE 77/Ex-1 115V;PN:129199 </t>
  </si>
  <si>
    <t>1000096954</t>
  </si>
  <si>
    <t xml:space="preserve">Fieldbus Power Supply;Model:HCD2-FBPS-1.23.500;Part No: 275283 </t>
  </si>
  <si>
    <t>1000098776</t>
  </si>
  <si>
    <t xml:space="preserve">P+F; Inductive Sensor:NMB15-30GM65-E2-V1;  PN:911274;  </t>
  </si>
  <si>
    <t>1000098893</t>
  </si>
  <si>
    <t xml:space="preserve">P+F, Inductive Sensor;Model:NBN4-12GM40-Z0; Part No:088194 </t>
  </si>
  <si>
    <t>1000098905</t>
  </si>
  <si>
    <t xml:space="preserve">Pepperl+Fuchs Inductive Sensor; Model:NBN5-F7-E2  PN:800731 </t>
  </si>
  <si>
    <t>1000099110</t>
  </si>
  <si>
    <t xml:space="preserve">P+F;CURRENT REPEATER; Model:KFD2-STC5-EX1, PN:239206 </t>
  </si>
  <si>
    <t>1000099333</t>
  </si>
  <si>
    <t xml:space="preserve">Pepperl+Fuchs make Inductive sensor:NRN30-30GS50-E2-V1;  PN:261032 </t>
  </si>
  <si>
    <t>1000100727</t>
  </si>
  <si>
    <t>P+F, Inductive Sensor    Model No. NJ15-30GK-SN-5M    Part No: 70133158</t>
  </si>
  <si>
    <t>1000100940</t>
  </si>
  <si>
    <t xml:space="preserve">Pepperl+Fuchs Inductive Sensor (NBB20-U1-UU)   PN:238884 </t>
  </si>
  <si>
    <t>1000103637</t>
  </si>
  <si>
    <t xml:space="preserve">Pepperl+Fuchs Inductive Sensor; Model:NBN40-U1L-A2; P/N:214020 </t>
  </si>
  <si>
    <t>1000106051</t>
  </si>
  <si>
    <t>P&amp;F Inductive Sensor; NJ15-30GK-N; P/N:70133317</t>
  </si>
  <si>
    <t>1000106059</t>
  </si>
  <si>
    <t>P&amp;F Female cordset; V1-G-15M-PUR-ABG; P/N: 207168</t>
  </si>
  <si>
    <t>1000106063</t>
  </si>
  <si>
    <t>P&amp;F Inductive Sensor; NJ1,5-PD-E02-1.250-V95; P/N: 904455</t>
  </si>
  <si>
    <t>1000106072</t>
  </si>
  <si>
    <t>P&amp;F Tachometer; TC-LCDC-8A-24VDC; P/T: 70103127</t>
  </si>
  <si>
    <t>1000107209</t>
  </si>
  <si>
    <t>P&amp;F Product; NBB8-18GM60-US; P/N:198076</t>
  </si>
  <si>
    <t>1000107341</t>
  </si>
  <si>
    <t>P&amp;F Product; R2-SP-IC4; P/N: 235826 (S/P)</t>
  </si>
  <si>
    <t>1000107345</t>
  </si>
  <si>
    <t>P&amp;F Product; R2-SP-IC8; P/N: 235828 (S/P)</t>
  </si>
  <si>
    <t>1000107659</t>
  </si>
  <si>
    <t>"P&amp;F Product; NCB15-30GM50-Z5; P/N: 182912 "</t>
  </si>
  <si>
    <t>1000010069</t>
  </si>
  <si>
    <t>Pepperl+Fuchs Inductive Sensor (NJ5-18GK-N)</t>
  </si>
  <si>
    <t>1000010088</t>
  </si>
  <si>
    <t xml:space="preserve">Pepperl+Fuchs Inductive Sensor;  Model:NJ2-12GK-N;  PN:70133049  </t>
  </si>
  <si>
    <t>1000010094</t>
  </si>
  <si>
    <t>Pepperl+Fuchs Inductive Sensor (NJ40+U1+A2)</t>
  </si>
  <si>
    <t>1000010070</t>
  </si>
  <si>
    <t>Pepperl+Fuchs Inductive Sensor (SJ3,5-N); P/N: 70132984</t>
  </si>
  <si>
    <t>1000010232</t>
  </si>
  <si>
    <t xml:space="preserve">P+F, Inductive Sensor  Model No. NCN4-12GM35-N0 </t>
  </si>
  <si>
    <t>1000010219</t>
  </si>
  <si>
    <t>P+F, Cable Connector  Model No. V1-W-N-2M-PUR PN:109477</t>
  </si>
  <si>
    <t>1000010222</t>
  </si>
  <si>
    <t xml:space="preserve">P+F, Inductive Sensor   Model No. NCB1,5-8GM25-N0-10M; P/N:70133078 </t>
  </si>
  <si>
    <t>1000092372</t>
  </si>
  <si>
    <t xml:space="preserve">P+F, Inductive Sensor Model No. NCB10-30GM40-N0-10M </t>
  </si>
  <si>
    <t>1000092873</t>
  </si>
  <si>
    <t>P+F, Inductive Sensor   Model No. NJ4-12GM-N-V1; P/N: 70133253</t>
  </si>
  <si>
    <t>1000093318</t>
  </si>
  <si>
    <t xml:space="preserve">P+F, Inductive Sensor  Model No. NCN15-30GM40-N0-V1 </t>
  </si>
  <si>
    <t>1000093454</t>
  </si>
  <si>
    <t xml:space="preserve">P+F, Diagnostic Module Basic Model No. (HD2-DM-B) </t>
  </si>
  <si>
    <t>1000093473</t>
  </si>
  <si>
    <t xml:space="preserve">P+F, Inductive Sensor Model No. NJ3-18GK-S1N-10M;   PN:70133167  </t>
  </si>
  <si>
    <t>1000096168</t>
  </si>
  <si>
    <t xml:space="preserve">P+F, Inductive sensor;UC SLP-SLC 1530 MM;  Matl:1601731 </t>
  </si>
  <si>
    <t>1000096440</t>
  </si>
  <si>
    <t xml:space="preserve">Pepperl+Fuchs make Inductive sensor;NBN8-18GM50-EO;  PN:083996 </t>
  </si>
  <si>
    <t>1000096565</t>
  </si>
  <si>
    <t xml:space="preserve">P+F;Inductive Sensor (NBB15-U1-Z2) Part No:203011 </t>
  </si>
  <si>
    <t>1000096571</t>
  </si>
  <si>
    <t xml:space="preserve">P+F, Ultrasonic  Sensor Model No.: UB2000-F42-E6-V15;  PN:133988;Matl:74906 </t>
  </si>
  <si>
    <t>1000096963</t>
  </si>
  <si>
    <t xml:space="preserve">Pepperl+Fuchs Inductive Sensor;Model:NBB5-18GM40-Z0; P/N: 088200 </t>
  </si>
  <si>
    <t>1000097117</t>
  </si>
  <si>
    <t xml:space="preserve">Mounting Flange;BF 18,Part No: 000050 </t>
  </si>
  <si>
    <t>1000097131</t>
  </si>
  <si>
    <t xml:space="preserve">Pepperl+Fuchs Inductive Sensor;Model:NCB2-12GM40-E2-3G-3D;  PN:310840  CONTRACT:4600011810 Material No:1022453  </t>
  </si>
  <si>
    <t>1000097295</t>
  </si>
  <si>
    <t xml:space="preserve">P+F;Thru-beam Sensor;LV28/F1/3974/47/82b/112 ( Transmitter ) &amp; LD28/F1/3974/76a/112 ( Receiver ) </t>
  </si>
  <si>
    <t>1000098490</t>
  </si>
  <si>
    <t>P+F;: INDUCTIVE SENSOR: Model:NBB2-8GM40-E2-0,3M-V3;  PN:304615-0057</t>
  </si>
  <si>
    <t>1000098778</t>
  </si>
  <si>
    <t xml:space="preserve">P+F; Inductive Sensor:NJ10-30GM-N 5M   Contract:4600012734 matl:471833 PN:106482 </t>
  </si>
  <si>
    <t>1000098849</t>
  </si>
  <si>
    <t xml:space="preserve">P+F;Inductive sensor;Model:NBB15-30GM50-E2-3G-3D </t>
  </si>
  <si>
    <t>1000098934</t>
  </si>
  <si>
    <t xml:space="preserve">Pepperl+Fuchs Inductive Sensor (NJ15-30GM-N) PN:70133321 </t>
  </si>
  <si>
    <t>1000099987</t>
  </si>
  <si>
    <t xml:space="preserve">P+F INDUCTIVE SENSOR; Model: NCB5-18GM40-Z0-3G-3D  Part No: 1042406    </t>
  </si>
  <si>
    <t>1000104995</t>
  </si>
  <si>
    <t xml:space="preserve">P&amp;F Product; Inductive Sensor NJ4-12GK-N-5M; P/N:70133243 </t>
  </si>
  <si>
    <t>1000105023</t>
  </si>
  <si>
    <t xml:space="preserve">P&amp;F Smart Current Drive; KCD2-SCD-1; P/N: 321420 </t>
  </si>
  <si>
    <t>1000106066</t>
  </si>
  <si>
    <t>P&amp;F Inductive Sensor; NJ10-30GM-N-V1; P/N: 70133315</t>
  </si>
  <si>
    <t>1000106069</t>
  </si>
  <si>
    <t>P&amp;F Safety thru beam sensor; SLA29-R/116; P/S: 118437</t>
  </si>
  <si>
    <t>1000106107</t>
  </si>
  <si>
    <t>P&amp;F TEMPERATURE MULTI INPUT DEVICE; RDO-TI-EX8-FF.ST; P/N: 7011572</t>
  </si>
  <si>
    <t>1000106110</t>
  </si>
  <si>
    <t>P&amp;F SMART Transmitter Power Supply, KFD2-STC4-Ex1-Y1; P/N: 236680</t>
  </si>
  <si>
    <t>1000106112</t>
  </si>
  <si>
    <t>P&amp;F RELAY MODULE; KFD0‐RO‐2; P/N: 247196</t>
  </si>
  <si>
    <t>1000010075</t>
  </si>
  <si>
    <t xml:space="preserve">Pepperl+Fuchs Switch Amplifier (KFD2-SR2-EX2.W) </t>
  </si>
  <si>
    <t>1000010096</t>
  </si>
  <si>
    <t>Pepperl+Fuchs Inductive Sensor; Model:NCB5-18GM40-N0; PN:70133055;</t>
  </si>
  <si>
    <t>1000010097</t>
  </si>
  <si>
    <t xml:space="preserve">P+F, Female Connector </t>
  </si>
  <si>
    <t>1000010105</t>
  </si>
  <si>
    <t>Pepperl+Fuchs Inductive Sensor (NBB8-18GM50-E2); P/N: 326161-008</t>
  </si>
  <si>
    <t>1000010107</t>
  </si>
  <si>
    <t>Pepperl+Fuchs Inductive Sensor (NBB20-L2M-E2-V1)</t>
  </si>
  <si>
    <t>1000010137</t>
  </si>
  <si>
    <t>Pepperl+Fuchs Smart Transmitter Power Supply (KFD2-STC4-EX1.2O)</t>
  </si>
  <si>
    <t>1000010138</t>
  </si>
  <si>
    <t>Pepperl+Fuchs Smart Transmitter Power Supply (KFD2-STC4-1)</t>
  </si>
  <si>
    <t>1000010079</t>
  </si>
  <si>
    <t>Pepperl+Fuchs Inductive Sensor Model:(NCB1,5-8GM25-N0) P/N:128868: Contract#:4600011810; Matl#:1000330</t>
  </si>
  <si>
    <t>1000010167</t>
  </si>
  <si>
    <t>P+F, Inductive Sensor Model No.: NBB15-U1K-N0 Part No: 70133098</t>
  </si>
  <si>
    <t>1000010176</t>
  </si>
  <si>
    <t>P+F, Inductive Sensor Model No.: NJ2-12GK-SN</t>
  </si>
  <si>
    <t>1000010229</t>
  </si>
  <si>
    <t xml:space="preserve">P+F, Inductive Sensor  Model No. NJ15S+U1+N </t>
  </si>
  <si>
    <t>1000010236</t>
  </si>
  <si>
    <t>P+F, Inductive Sensor Model No. NJ15-30GKK-N Part no:70133073</t>
  </si>
  <si>
    <t>1000010249</t>
  </si>
  <si>
    <t xml:space="preserve">P+F, Background Suppression Sensor  Model No. RL28-8-H-2000-IR-3974/47/112 </t>
  </si>
  <si>
    <t>1000010250</t>
  </si>
  <si>
    <t xml:space="preserve">P+F, Inductive Sensor   Model No. NJ8-18-GK-SN  Part No: 70133113  </t>
  </si>
  <si>
    <t>1000092371</t>
  </si>
  <si>
    <t xml:space="preserve">P+F, Thru-beam Sensor Model No. LV28-Z-F1/47/82B/116 P/N 121568 </t>
  </si>
  <si>
    <t>1000092373</t>
  </si>
  <si>
    <t xml:space="preserve">P+F, Inductive Sensor Model No. NJ2-11-N-G </t>
  </si>
  <si>
    <t>1000092623</t>
  </si>
  <si>
    <t xml:space="preserve">P+F, Inductive Sensor   Model No. NJ5-11-N-G </t>
  </si>
  <si>
    <t>1000093006</t>
  </si>
  <si>
    <t xml:space="preserve">P+F, Inductive Sensor; Model No. NBB2-12GM50-E2; P/N:326161-0028 </t>
  </si>
  <si>
    <t>1000093008</t>
  </si>
  <si>
    <t>P+F, Inductive Sensor ; Model No. NJ2-12GM-N P/N:70133050</t>
  </si>
  <si>
    <t>1000093139</t>
  </si>
  <si>
    <t xml:space="preserve">P&amp;F, make temperature multi input device;  Model no:RDO-TI-Ex8.FF.ST; Part no:125520 </t>
  </si>
  <si>
    <t>1000094576</t>
  </si>
  <si>
    <t xml:space="preserve">P+F,Inductive Sensor; Model: NCN40-FP-W-T-P1; P/N:130539 </t>
  </si>
  <si>
    <t>1000095976</t>
  </si>
  <si>
    <t xml:space="preserve">1001066561;P+F,HiC Fieldbus motherboard;Model:MBHC-FB-8R.HSC.R </t>
  </si>
  <si>
    <t>1000096304</t>
  </si>
  <si>
    <t xml:space="preserve">P+F,Safety light grid w/integrated control unit; Model:SLPCM8-2-L/31; PN:114869; Matl:924258; Contract:4800011810 </t>
  </si>
  <si>
    <t>1000096901</t>
  </si>
  <si>
    <t xml:space="preserve">P+F,Inductive Sensor;Model:NJ8-18GM50-A2, Part No: 222503 </t>
  </si>
  <si>
    <t>1000097557</t>
  </si>
  <si>
    <t xml:space="preserve">P+F;Retroreflective Sensor: Model No:RL28-55-V-3974/47/82b/112,  PN:205805,  Mat'l No:924262  </t>
  </si>
  <si>
    <t>1000098507</t>
  </si>
  <si>
    <t>P+F;CABLE PULL:ECN30PL-10A1A-X1:NN Part No: 269988-0043</t>
  </si>
  <si>
    <t>1000100571</t>
  </si>
  <si>
    <t xml:space="preserve">P+F, Viator USB HART Interface  Model No: HM-MT-USB-010031; Part No: 915548 </t>
  </si>
  <si>
    <t>1000100688</t>
  </si>
  <si>
    <t>Digital LHDC Dual Channel Galvanic - P&amp;F - KFD0-CS-EX2.51P; P/N:294987</t>
  </si>
  <si>
    <t>1000101747</t>
  </si>
  <si>
    <t xml:space="preserve">P+F,Inductive Sensor; Model:NCB1,5-8GM25-N0-V1;  PN:70133079 </t>
  </si>
  <si>
    <t>1000101776</t>
  </si>
  <si>
    <t xml:space="preserve">P+F, Inductive Sensor; Model No: NCB15-30GM40-N0;  PN:70133070 </t>
  </si>
  <si>
    <t>1000102784</t>
  </si>
  <si>
    <t xml:space="preserve">P&amp;F Unicom Com Unit;  Model:LB8109H0908;   PN:70106282 </t>
  </si>
  <si>
    <t>1000102921</t>
  </si>
  <si>
    <t xml:space="preserve">PEPPERL+FUSH;   Model  No.:NBN4-12GM50-A2-V1;  PN:326161-0072  Matl: 923586 </t>
  </si>
  <si>
    <t>1000103025</t>
  </si>
  <si>
    <t xml:space="preserve">PEPPERL+FUSH; NCB5-18GM40-Z0 P/N: 089258 </t>
  </si>
  <si>
    <t>1000103692</t>
  </si>
  <si>
    <t xml:space="preserve">Pepperl+Fuchs Inductive Sensor; Model No:NJ40-FP-SN-P4;   PN:70133170  </t>
  </si>
  <si>
    <t>1000103785</t>
  </si>
  <si>
    <t xml:space="preserve">P+F, Inductive Sensor; Model No. NCB2-12GM40-Z0; PN:089250;   </t>
  </si>
  <si>
    <t>1000104228</t>
  </si>
  <si>
    <t xml:space="preserve">Pepperl and fuchs Product; NJ6-22-N-G-15M; P/N: 70133290 </t>
  </si>
  <si>
    <t>1000105778</t>
  </si>
  <si>
    <t xml:space="preserve">Pepperl &amp; Fuch, Power Hub; HD2-DM-A; P/N: 131000 </t>
  </si>
  <si>
    <t>1000106054</t>
  </si>
  <si>
    <t>P&amp;F Inductive Sensor; V3-WM-2M-PUR; P/N: 104022</t>
  </si>
  <si>
    <t>1000106058</t>
  </si>
  <si>
    <t>P&amp;F Female cordset, NAMUR; V1-G-N-10M-PUR; P/N: 054138</t>
  </si>
  <si>
    <t>1000106068</t>
  </si>
  <si>
    <t>P&amp;F Inductive Sensor; NBB4-12GM75-US; P/N: 197866</t>
  </si>
  <si>
    <t>1000106075</t>
  </si>
  <si>
    <t>P&amp;F Inductive Sensor; NJ15-30GK-N-150-Y38977; P/N: 70133190</t>
  </si>
  <si>
    <t>1000106119</t>
  </si>
  <si>
    <t>P&amp;F SMART Transmitter Power Supply; KCD2‐STC‐Ex1.ES; P/N: 322426</t>
  </si>
  <si>
    <t>1000106120</t>
  </si>
  <si>
    <t>P&amp;F Standstill and Rotational Direction; KFD2-SR2-Ex2.W.SM; P/N: 132964</t>
  </si>
  <si>
    <t>1000106125</t>
  </si>
  <si>
    <t>P&amp;F FIELDBUS DIAGNOSTIC HANDHELD; FDH-1; P/N: 250382</t>
  </si>
  <si>
    <t>1000106182</t>
  </si>
  <si>
    <t xml:space="preserve">P&amp;F Inductive Sensor; NBB2-V3-US; P/N: 094347 </t>
  </si>
  <si>
    <t>1000106591</t>
  </si>
  <si>
    <t>P+F Zener Barrier; Z 978; P/N:017862</t>
  </si>
  <si>
    <t>1000010091</t>
  </si>
  <si>
    <t>Pepperl+Fuchs Inductive Sensor (NJ5-11-NG-6M)</t>
  </si>
  <si>
    <t>1000010092</t>
  </si>
  <si>
    <t>Pepperl+Fuchs Inductive Sensor (KSD2-GW2-PRO)</t>
  </si>
  <si>
    <t>1000010111</t>
  </si>
  <si>
    <t>Pepperl+Fuchs Inductive Sensor (NBB20-U1-E2)</t>
  </si>
  <si>
    <t>1000010119</t>
  </si>
  <si>
    <t>Pepperl Fuchs Inductive Sensor; Model: NJ3-18GK-S1N; PN:70133107; Matl: 8053089</t>
  </si>
  <si>
    <t>1000010156</t>
  </si>
  <si>
    <t xml:space="preserve">P+F, Ultrasonic  Sensor Model No.: UB2000-F42-I-V15  </t>
  </si>
  <si>
    <t>P+F, Inductive Sensor Model No.: NBB8-18GM60-A2-V1 PN: 326161 - 0194</t>
  </si>
  <si>
    <t>1000010231</t>
  </si>
  <si>
    <t xml:space="preserve">P+F, Inductive Sensor Model No. SC3,5-G-N0-6M; P/N: 70132959 </t>
  </si>
  <si>
    <t>1000010242</t>
  </si>
  <si>
    <t xml:space="preserve">P+F, Inductive Sensor    Model No. NJ8-18GK-N </t>
  </si>
  <si>
    <t>1000092874</t>
  </si>
  <si>
    <t>P+F, Inductive Sensor   Model No. NBB20-U1-A2; P/N: 194784</t>
  </si>
  <si>
    <t>1000093483</t>
  </si>
  <si>
    <t xml:space="preserve">P+F, Inductive Sensor   Model No. NCN4-12GM35-N0-V1; P/N: 70133048 </t>
  </si>
  <si>
    <t>1000093532</t>
  </si>
  <si>
    <t xml:space="preserve">P+F, Inductive Sensor   Model No. NJ4-12GM40-E </t>
  </si>
  <si>
    <t>1000095943</t>
  </si>
  <si>
    <t xml:space="preserve">Pepperl+Fuchs Inductive Sensor;NJ8-18-GK-SN; P/N:70133113 </t>
  </si>
  <si>
    <t>1000096875</t>
  </si>
  <si>
    <t xml:space="preserve">P+F; Inductive sensor:NBB3-V3-Z4-3G-3D;  PN: 301161 </t>
  </si>
  <si>
    <t>1000097052</t>
  </si>
  <si>
    <t xml:space="preserve">P+F;RELAY MODULE:KFD0-RSH-14S.PS2 </t>
  </si>
  <si>
    <t>1000097118</t>
  </si>
  <si>
    <t xml:space="preserve">P+F;Inductive Sensor;NCN50-FP-A2-P1; PN:187587 </t>
  </si>
  <si>
    <t>1000097847</t>
  </si>
  <si>
    <t xml:space="preserve">P+F;Inclination Sensor; INY360D-F99-2I2E2-5M  PN:201502 </t>
  </si>
  <si>
    <t>1000098377</t>
  </si>
  <si>
    <t xml:space="preserve">P+F, Inductive Sensor;Model:NJ5-18GM-N-10M PN:106451 </t>
  </si>
  <si>
    <t>1000098971</t>
  </si>
  <si>
    <t>P+F;INDUCTIVE SENSOR:Model:NBN15-30GM40-Z0-V1 PN:088215</t>
  </si>
  <si>
    <t>1000099196</t>
  </si>
  <si>
    <t xml:space="preserve">P+F Cable Connector Model:V1-W-N-25M-PUR    PN:034131 </t>
  </si>
  <si>
    <t>1000099335</t>
  </si>
  <si>
    <t xml:space="preserve">P+F, Inductive Sensor Model No. SC3,5-G-N0  PN:045585 </t>
  </si>
  <si>
    <t>1000099990</t>
  </si>
  <si>
    <t xml:space="preserve">P+F, Ultrasonic Sensor Model No: UC500-F65-E8R2-V15 </t>
  </si>
  <si>
    <t>1000102445</t>
  </si>
  <si>
    <t xml:space="preserve">Pepperl+Fuchs Inductive Sensor;  Model No. NBB2-12GM40-Z0; P.N: 088190  </t>
  </si>
  <si>
    <t>1000102863</t>
  </si>
  <si>
    <t>PEPPERL+FUCHS; FDH-SW-P; Software</t>
  </si>
  <si>
    <t>1000103441</t>
  </si>
  <si>
    <t xml:space="preserve">Pepperl &amp; Fuchs Product; NJ2-PD-E02-2.062-V95 </t>
  </si>
  <si>
    <t>1000104754</t>
  </si>
  <si>
    <t xml:space="preserve">P&amp;F Product; P/N: 000051; Mtrl: 1047365; BF30 </t>
  </si>
  <si>
    <t>1000105457</t>
  </si>
  <si>
    <t xml:space="preserve">P+F, Inductive sensor: NCB1,5-8GM40-Z0; P/N:126095 </t>
  </si>
  <si>
    <t>1000105834</t>
  </si>
  <si>
    <t xml:space="preserve">P&amp;F Product; NJ4-12GM50-WS; P/N: 026579 </t>
  </si>
  <si>
    <t>1000106052</t>
  </si>
  <si>
    <t>P&amp;F Background suppression sensor; OBD200-18GM60-E4-IR-1C; P/N:70113328-100149</t>
  </si>
  <si>
    <t>1000106055</t>
  </si>
  <si>
    <t>P&amp;F Inductive Sensor; SJ3,5-S1N; P/N: 70133007</t>
  </si>
  <si>
    <t>1000106060</t>
  </si>
  <si>
    <t>P&amp;F Inductive Sensor; NJ50-FP-N-P1; P/N: 70133037</t>
  </si>
  <si>
    <t>1000106067</t>
  </si>
  <si>
    <t>P&amp;F Ultrasonic sensor; UB6000-F42-I-V1-Y220443; P/U: 220443</t>
  </si>
  <si>
    <t>1000106114</t>
  </si>
  <si>
    <t>P&amp;F SWITCH AMPLIFIER; KCD2-SOT-EX1.LB; P/N: 212240</t>
  </si>
  <si>
    <t>1000106116</t>
  </si>
  <si>
    <t>P&amp;F Temperature Converter with Trip; KFU8‐GUT‐Ex1.D; P/N: 231229</t>
  </si>
  <si>
    <t>1000106121</t>
  </si>
  <si>
    <t>P&amp;F SMART Transmitter Power Supply; KCD2‐STC‐1.2O; P/N: 304228</t>
  </si>
  <si>
    <t>1000107342</t>
  </si>
  <si>
    <t xml:space="preserve"> P&amp;F Product; R2-SP-IC12; P/N: 235825 (S/P) "</t>
  </si>
  <si>
    <t>1000107343</t>
  </si>
  <si>
    <t>P&amp;F Product; ACC-R2-SW.3; P/N:221501 (S/P)</t>
  </si>
  <si>
    <t>1000108302</t>
  </si>
  <si>
    <t>P&amp;F Product; NCB40-FP-N0-P1; P/N: 70133036</t>
  </si>
  <si>
    <t>1000010090</t>
  </si>
  <si>
    <t>Pepperl+Fuchs Inductive Sensor (NBB2-8GM40-E2-V1)</t>
  </si>
  <si>
    <t>1000010154</t>
  </si>
  <si>
    <t xml:space="preserve">P+F, Inductive Sensor Model No.: NJ10-30GM-N-5M PN:70133313  </t>
  </si>
  <si>
    <t>1000010227</t>
  </si>
  <si>
    <t>P+F, Inductive Sensor;  Model No. NJ5-18GM50-E2 PN:282955</t>
  </si>
  <si>
    <t>1000092872</t>
  </si>
  <si>
    <t xml:space="preserve">P+F, Inductive Sensor; Model No. NJ15S+U4+N; Part No:7013314 </t>
  </si>
  <si>
    <t>1000092876</t>
  </si>
  <si>
    <t xml:space="preserve">P+F, Inductive Sensor Model No. NJ5-30GK-S1N-15M; P/N: 70133176 </t>
  </si>
  <si>
    <t>1000093328</t>
  </si>
  <si>
    <t xml:space="preserve">P+F, Inductive Sensor   Model No. NJ2-F-E02-1.025-V1; P/N: 9044774 </t>
  </si>
  <si>
    <t>1000093466</t>
  </si>
  <si>
    <t xml:space="preserve">P+F, Inductive Sensor Model No. (NBB4-12GM50-E2-V1-3G-3D) </t>
  </si>
  <si>
    <t>1000093811</t>
  </si>
  <si>
    <t xml:space="preserve">P+F, Inductive Slot Sensor Model No. SJ3,5-S1N; P/N: 70133007  </t>
  </si>
  <si>
    <t>1000096825</t>
  </si>
  <si>
    <t xml:space="preserve">P+F; Inductive Sensor;NCB4-12GM40-N0-V1;   PN:181087; Matl:1028170; Contract#:4600011810 </t>
  </si>
  <si>
    <t>1000097812</t>
  </si>
  <si>
    <t>P+F Inductive Sensor;NJ4-30GM-N-200; P/N:70133020</t>
  </si>
  <si>
    <t>1000098086</t>
  </si>
  <si>
    <t>P+F,ULTRASONIC SENSOR;UC2000-30GM-E6R2-V15; P/N:102-159</t>
  </si>
  <si>
    <t>1000098914</t>
  </si>
  <si>
    <t>P+F;INDUCTIVE SENSOR:Model:NCN4-12GM60-B3-C2-V1 PN:226331</t>
  </si>
  <si>
    <t>1000099354</t>
  </si>
  <si>
    <t>P+F;Transmitter power supply:Model:KFD2-STC5-1;  PN:239209</t>
  </si>
  <si>
    <t>1000099489</t>
  </si>
  <si>
    <t>P+F, Potemtiometer Converter  Model No. KFD2-PT2-EX1-5  PN:072023</t>
  </si>
  <si>
    <t>1000099642</t>
  </si>
  <si>
    <t xml:space="preserve">P+F, Inductive Sensor Model No.: NJ2-12-GK-N-5M </t>
  </si>
  <si>
    <t>1000099688</t>
  </si>
  <si>
    <t xml:space="preserve">P+F, Inductive Sensor Model No. NJ10-30GK-SN; PN:70133103 </t>
  </si>
  <si>
    <t>1000100896</t>
  </si>
  <si>
    <t xml:space="preserve">P+F, Inductive Sensor  Model No. NJ5-18GM-N-V1 P/N:70133064 </t>
  </si>
  <si>
    <t>1000102370</t>
  </si>
  <si>
    <t xml:space="preserve">P+F; Inductive Sensor;NCB4-12GM40-N0;  PN:70133041 </t>
  </si>
  <si>
    <t>1000106038</t>
  </si>
  <si>
    <t xml:space="preserve">P&amp;F Product;Connector Lug Female cordset,; V1-G-N-05M-PUR; P/N: 034536 </t>
  </si>
  <si>
    <t>1000106070</t>
  </si>
  <si>
    <t>P&amp;F Diffuse mode Sensor; OBD200-18GM60-E5-IR-1C; P/O: 70113328-100151</t>
  </si>
  <si>
    <t>1000107062</t>
  </si>
  <si>
    <t xml:space="preserve">P&amp;F Product; UC500-30GM-E6R2-V15; P/N:102157 </t>
  </si>
  <si>
    <t>1000107208</t>
  </si>
  <si>
    <t xml:space="preserve">P&amp;F Product; NBB20-U1K-N0; P/N:70133099 </t>
  </si>
  <si>
    <t>1000010067</t>
  </si>
  <si>
    <t>Pepperl+Fuchs Inductive Sensor Model: NJ4-12GM-N  PN:70133109</t>
  </si>
  <si>
    <t>1000010110</t>
  </si>
  <si>
    <t>Pepperl+Fuchs Inductive Sensor (NBB2-8GM50-E2)</t>
  </si>
  <si>
    <t>1000010127</t>
  </si>
  <si>
    <t>Pepperl+Fuchs Ultrasonic Sensor (UB800-F12P-EP-V15)</t>
  </si>
  <si>
    <t>1000010129</t>
  </si>
  <si>
    <t>Pepperl+Fuchs Diffuse Mode Sensor (3RG7010-0AA01-PF P/N 554278)</t>
  </si>
  <si>
    <t>1000010147</t>
  </si>
  <si>
    <t xml:space="preserve">P+F, Segment  Protector for Cabinet Installation  Model No.: R2-SP-IC4 </t>
  </si>
  <si>
    <t>1000010157</t>
  </si>
  <si>
    <t xml:space="preserve">P+F, Inductive Sensor Model No.: NCB10-30GM40-Z0; P/N: 089266    </t>
  </si>
  <si>
    <t>1000010165</t>
  </si>
  <si>
    <t>P+F, Mounting Flange Model No.: BF 30; Part No:000051</t>
  </si>
  <si>
    <t>1000010214</t>
  </si>
  <si>
    <t xml:space="preserve">P+F, Thru-Beam Sensor  Model No. LD28/LV28-F1-3974/47/82b/112;   PN:205836  </t>
  </si>
  <si>
    <t>1000010223</t>
  </si>
  <si>
    <t>P+F, Inductive Sensor Model No. NCB5-18GM40-N0-10M; P/N:70133259</t>
  </si>
  <si>
    <t>1000010256</t>
  </si>
  <si>
    <t xml:space="preserve">P+F, Inductive Sensor Model No. NJ5-30GK-S1N-10M;  PN:70133175;  Mat’l No.: 268850 </t>
  </si>
  <si>
    <t>1000093093</t>
  </si>
  <si>
    <t xml:space="preserve">P+F,Inductive Sensor; Model:NRN75-FP-A2-C-P3-V1; P/N:187796 </t>
  </si>
  <si>
    <t>1000093141</t>
  </si>
  <si>
    <t xml:space="preserve">P&amp;F;make frequency voltage current converter;  Model;KFU8-FSSP-1-D; Part no:181191; Contract#:4600011810; Matl#:982583 </t>
  </si>
  <si>
    <t>1000096140</t>
  </si>
  <si>
    <t xml:space="preserve">P+F Transmitter Power Supply, KFD2-STC4-EX1  </t>
  </si>
  <si>
    <t>1000096437</t>
  </si>
  <si>
    <t xml:space="preserve">Pepperl+Fuchs Inductive Sensor (NBB8-18GM50-E2-5M) P/N-186564 </t>
  </si>
  <si>
    <t>1000097477</t>
  </si>
  <si>
    <t xml:space="preserve">P+F, Inductive Sensor Model No. NBB5-18GM50-E2; P/N:326161-0105 </t>
  </si>
  <si>
    <t>1000098618</t>
  </si>
  <si>
    <t xml:space="preserve">P+F;SMART TRANSMITTER SUPPLY; PN:KFD2-STC5-1.2O; Matl:1000924660 </t>
  </si>
  <si>
    <t>1000099977</t>
  </si>
  <si>
    <t>Pepperl+Fuchs Gulf LLC</t>
  </si>
  <si>
    <t>P+F, Inductive Sensor; Model No. NBB15-U4K-N0; PN:70133132; Mtrl No: 8003417</t>
  </si>
  <si>
    <t>1000102322</t>
  </si>
  <si>
    <t>P+F Capacitive Sensor; Model:CBB4-12GH70-E2;  PN:210620</t>
  </si>
  <si>
    <t>1000104057</t>
  </si>
  <si>
    <t xml:space="preserve">P+F, Inductive Sensor; Model No.NBB4-12GM50-E2-V1;   PN:326161-0001   </t>
  </si>
  <si>
    <t>1000105767</t>
  </si>
  <si>
    <t>P&amp;F Segment Protector; R2-SP-IC4</t>
  </si>
  <si>
    <t>1000105768</t>
  </si>
  <si>
    <t>P&amp;F Segment Protector; R2-SP-IC10</t>
  </si>
  <si>
    <t>1000106062</t>
  </si>
  <si>
    <t>P&amp;F Inductive Sensor; NCN8-18GM40-N0-10M; P/N: 70133268</t>
  </si>
  <si>
    <t>1000106590</t>
  </si>
  <si>
    <t>P+F R2-Seperation Wall, ACC-R2-SW3; P/N:221501</t>
  </si>
  <si>
    <t>1000106684</t>
  </si>
  <si>
    <t xml:space="preserve">P+F Compact Fieldbus Power Hub Motherboard with Redundant Host Terminals, MBHC-FB-8R.RH, P/N:225104 </t>
  </si>
  <si>
    <t>1000107210</t>
  </si>
  <si>
    <t>P&amp;F Product; NBB20-U1-Z2; P/N:70126034</t>
  </si>
  <si>
    <t>1000107658</t>
  </si>
  <si>
    <t>P&amp;F Product; NBN15-30GM40-Z0; P/N: 088214</t>
  </si>
  <si>
    <t>1000109465</t>
  </si>
  <si>
    <t xml:space="preserve">Field Installation on Trunk Model No.  TCP-LBF-IA1.36.IE.0 P&amp;F </t>
  </si>
  <si>
    <t>1000010066</t>
  </si>
  <si>
    <t>Pepperl+Fuchs Inductive Sensor NBB2-V3-E2; Part No:087719</t>
  </si>
  <si>
    <t>1000010072</t>
  </si>
  <si>
    <t>Pepperl+Fuchs Inductive Sensor (UB800-18GM40-E5-V1)</t>
  </si>
  <si>
    <t>1000010104</t>
  </si>
  <si>
    <t>Pepperl+Fuchs Inductive Sensor (NBB2-12GM40-Z0-V1)</t>
  </si>
  <si>
    <t>1000010122</t>
  </si>
  <si>
    <t xml:space="preserve">Pepperl+Fuchs Inductive Sensor (NJ4-12GK-N)  Part No:70133052 </t>
  </si>
  <si>
    <t>1000010144</t>
  </si>
  <si>
    <t xml:space="preserve">P+F, SMART CURRENT DRIVER  Model No.: KFD2-SCD2-1.LK P/N:193429 </t>
  </si>
  <si>
    <t>1000010163</t>
  </si>
  <si>
    <t xml:space="preserve">P+F, Inductive Sensor Model No.: NJ1,5-8GM-N </t>
  </si>
  <si>
    <t>1000010255</t>
  </si>
  <si>
    <t xml:space="preserve">P+F, Magnetic Field Sensor; Model No. (MC60-12GM50-1N-V1) Replaced By MMB70-12GH50-1N-V1  PN:70108302 (183132) </t>
  </si>
  <si>
    <t>1000092530</t>
  </si>
  <si>
    <t>Pepperl+Fuchs Inductive sensor KFD2-UFC-EX1.D PN:231194</t>
  </si>
  <si>
    <t>1000093560</t>
  </si>
  <si>
    <t>P+F, Inductive Snsor   Model No. NBB5-18GM50-E2-V1; P/N: 326161-0104</t>
  </si>
  <si>
    <t>1000095536</t>
  </si>
  <si>
    <t xml:space="preserve">P+F:Cell photoelectric; Model: RL28-55-Z/47/76A/82B/116; P/N:421142 </t>
  </si>
  <si>
    <t>1000098841</t>
  </si>
  <si>
    <t xml:space="preserve">P+F; Accessories trigger cable;Model:ACC-FDH-CTRG </t>
  </si>
  <si>
    <t>1000099971</t>
  </si>
  <si>
    <t xml:space="preserve">P+F ULTRASONIC SENSOR UC4000-30GM-E7R2-V15 </t>
  </si>
  <si>
    <t>1000102334</t>
  </si>
  <si>
    <t xml:space="preserve">P+F, Ultrasonic Sensor; Model No. UC4000-30GM-IUEP-IO-V15;  PN:191240 </t>
  </si>
  <si>
    <t>1000103026</t>
  </si>
  <si>
    <t xml:space="preserve">PEPPERL+FUSH; NBB2-6,5S40-E2-PUR P/N: 304615-0025 </t>
  </si>
  <si>
    <t>1000104146</t>
  </si>
  <si>
    <t xml:space="preserve">P+F,Ultrasonic sensor; Model:UC6000-30GM-E6R2-V15;   PN:102163   </t>
  </si>
  <si>
    <t>1000104192</t>
  </si>
  <si>
    <t xml:space="preserve">P&amp;F Product; 3003-LPS-CI-YZ-HPM;   Mat'l No:1610360 </t>
  </si>
  <si>
    <t>1000105118</t>
  </si>
  <si>
    <t>P&amp;F Product; Compact Fieldbus Power Hub Motherboard with Common Interface; MBHC-FB-4R-HSC; P/N: 169681</t>
  </si>
  <si>
    <t>1000105769</t>
  </si>
  <si>
    <t xml:space="preserve">P&amp;F R2-Seperation Wall; ACC-R2-SW.3 </t>
  </si>
  <si>
    <t>1000105957</t>
  </si>
  <si>
    <t xml:space="preserve">P&amp;F Product; LVL-M4-C-DG41500-AIAANA-CDSL..500 </t>
  </si>
  <si>
    <t>1000106108</t>
  </si>
  <si>
    <t>P&amp;F Power Supply; PS1000-A6-24.5; P/N: 70103517</t>
  </si>
  <si>
    <t>1000106109</t>
  </si>
  <si>
    <t>P&amp;F Power Feed Module; KFD2-EB2; P/N: 189783</t>
  </si>
  <si>
    <t>1000106113</t>
  </si>
  <si>
    <t>P&amp;F Compact Fieldbus Power Hub Motherboard with Common Interface; MBHC-FB-4R; P/N: 169681</t>
  </si>
  <si>
    <t>1000106115</t>
  </si>
  <si>
    <t>P&amp;F SMART CURRENT DRIVER; KCD2‐SCD‐EX1; P/N: 316911</t>
  </si>
  <si>
    <t>1000106117</t>
  </si>
  <si>
    <t>P&amp;F Universal Temperature Converter; KCD2-UT2-1; P/N: 70157017</t>
  </si>
  <si>
    <t>1000106118</t>
  </si>
  <si>
    <t>P&amp;F Frequency Converter with Direction and Synchronization Monitor; KFU8-UFT-2.D; P/N: 231201</t>
  </si>
  <si>
    <t>1000106594</t>
  </si>
  <si>
    <t>P+F Mounting Kit; SMK 4</t>
  </si>
  <si>
    <t>1000107344</t>
  </si>
  <si>
    <t>P&amp;F Product; R2-SP-IC6; P/N: 235827 (S/P)</t>
  </si>
  <si>
    <t>1000010074</t>
  </si>
  <si>
    <t>Pepperl+Fuchs Inductive Sensor (KFD2-EB2.R4A.B)</t>
  </si>
  <si>
    <t>1000010087</t>
  </si>
  <si>
    <t xml:space="preserve">Pepperl+Fuchs Inductive Sensor; Model No.:NJ2-V3-N; PN:70133090 </t>
  </si>
  <si>
    <t>1000010098</t>
  </si>
  <si>
    <t>Pepperl+Fuchs Inductive Sensor (NBB15-30GM50-E2-V1)</t>
  </si>
  <si>
    <t>1000010101</t>
  </si>
  <si>
    <t>Pepperl+Fuchs Inductive Sensor (NJ2-11-SN-G)</t>
  </si>
  <si>
    <t>1000010102</t>
  </si>
  <si>
    <t>Pepperl+Fuchs Inductive Sensor (NJ40+U1+E2)</t>
  </si>
  <si>
    <t>1000010106</t>
  </si>
  <si>
    <t xml:space="preserve">Pepperl+Fuchs Inductive Sensor; NBB20-L2-E2-V1; P/N:187481 </t>
  </si>
  <si>
    <t>1000010113</t>
  </si>
  <si>
    <t>Pepperl+Fuchs Inductive Sensor (NBB4-12GM50-E2); P/N: 326161-0002</t>
  </si>
  <si>
    <t>1000010121</t>
  </si>
  <si>
    <t xml:space="preserve">Pepperl+Fuchs Inductive Sensor; Model: NJ2-12GM40-E2; PN: 282939 </t>
  </si>
  <si>
    <t>1000010126</t>
  </si>
  <si>
    <t>Pepperl+Fuchs Capacitive Sensor (CJ6-18GK-N)</t>
  </si>
  <si>
    <t>1000010177</t>
  </si>
  <si>
    <t>P+F, Inductive Sensor Model No.: NJ1,5-18GM-N-D-V1; PN:70133017</t>
  </si>
  <si>
    <t>1000010213</t>
  </si>
  <si>
    <t xml:space="preserve">P+F, Thru-Beam Sensor  Model No. LD28/LV28-Z-F1/47/76a/82b/116 Set of Model LD28-F1/76a/116 and LV28-Z-F1/47/82b/116 </t>
  </si>
  <si>
    <t>1000010216</t>
  </si>
  <si>
    <t xml:space="preserve">P+F, Inductive Sensor  Model No. NJ2-V3-N-V5 </t>
  </si>
  <si>
    <t>1000010226</t>
  </si>
  <si>
    <t xml:space="preserve">P+F, Inductive Sensor  Model No. NBB4-12GM50-E2-VI  PN:326161-0001 </t>
  </si>
  <si>
    <t>1000010253</t>
  </si>
  <si>
    <t xml:space="preserve">P+F, Retroreflective Sensor   Model No. RL28-55-V-3974/47/82b/112  PN: 205805 </t>
  </si>
  <si>
    <t>1000010254</t>
  </si>
  <si>
    <t xml:space="preserve">P+F, Float Switch   Model No. LFL2-BK-U-PUR5-EMS Part No:262202 </t>
  </si>
  <si>
    <t>1000092871</t>
  </si>
  <si>
    <t xml:space="preserve">P+F, Inductive Sensor  Model No. NBN4-12GK50-E2 </t>
  </si>
  <si>
    <t>1000094464</t>
  </si>
  <si>
    <t>P+F, Inductive Sensor; Model:NJ5-18GM-N-5M;  PN:70133063</t>
  </si>
  <si>
    <t>1000095552</t>
  </si>
  <si>
    <t xml:space="preserve">P+F;Inductive sensor:V1-W-N-5M-PUR PN:033596 </t>
  </si>
  <si>
    <t>1000095898</t>
  </si>
  <si>
    <t>1000095965</t>
  </si>
  <si>
    <t xml:space="preserve">P+F inductive positioning system,Part No:315191;Model:PMI40-F90-IU2EP-IO-V15-3G-3D;Matl#1633697 </t>
  </si>
  <si>
    <t>1000095995</t>
  </si>
  <si>
    <t xml:space="preserve">P+F,Adapter with USB interface:Model:K-ADP-USB,Matl#10802418;PN#188916 </t>
  </si>
  <si>
    <t>1000098195</t>
  </si>
  <si>
    <t xml:space="preserve">P+F, Transmitter power supply;KFD2-CRG2-Ex1.D;Part No:255620       </t>
  </si>
  <si>
    <t>1000098476</t>
  </si>
  <si>
    <t xml:space="preserve">1PH,230V,60Hz EXIT LIGHT WITH 2HRS BAT.BACK UP WITH ARABIC &amp; ENGLISH TEXTURE;LX-740-3.8W/2RC/220-240V/IP23 (LX-740) </t>
  </si>
  <si>
    <t>1000098940</t>
  </si>
  <si>
    <t>Pepperl+Fuchs Frequency Converter:Model KFU8-UFC-1.D PN:231195</t>
  </si>
  <si>
    <t>1000103251</t>
  </si>
  <si>
    <t xml:space="preserve">Pepperl+Fuchs; KFD0-CS-Ex1.54 </t>
  </si>
  <si>
    <t>1000103891</t>
  </si>
  <si>
    <t xml:space="preserve">Pepperl+Fuchs Inductive Sensor;  Model:NBN15-18GM60-US;  PN:198082   </t>
  </si>
  <si>
    <t>1000103958</t>
  </si>
  <si>
    <t xml:space="preserve">Stainless Steel JB with 1 x R2‐SP‐IC10 ‐ Material: SS316L ‐ Enclosure Size (WxHxD): 380 x 380 x 215mm </t>
  </si>
  <si>
    <t>1000104204</t>
  </si>
  <si>
    <t xml:space="preserve">P&amp;F HiC Fieldbus Motherboard; Model No.:MBHC-FB-8R.RH;   Mat'l No.:1001166299  PN:255104  </t>
  </si>
  <si>
    <t>1000105246</t>
  </si>
  <si>
    <t xml:space="preserve">P+F Measuring Resistor:K-250R; P/N:311713 </t>
  </si>
  <si>
    <t>1000105764</t>
  </si>
  <si>
    <t xml:space="preserve">P&amp;F Segment Protector; R2-SP-IC12 </t>
  </si>
  <si>
    <t>1000105766</t>
  </si>
  <si>
    <t>P&amp;F Segment Protector;R2-SP-IC6</t>
  </si>
  <si>
    <t>1000106053</t>
  </si>
  <si>
    <t>P&amp;F Inductive Sensor; NBB20-U4K-N0; P/N: 70133134</t>
  </si>
  <si>
    <t>1000106064</t>
  </si>
  <si>
    <t>P&amp;F Female cordset, NAMUR; V1-G-N-15M-PUR; P/N: 038249</t>
  </si>
  <si>
    <t>1000106071</t>
  </si>
  <si>
    <t>P&amp;F Background suppression Sensor; RLK28-8-H-700-RT-Z/31/116; P/R: 134135</t>
  </si>
  <si>
    <t>1000106074</t>
  </si>
  <si>
    <t>P&amp;F Inductive analog sensor; IA6-12GM50-IU-Y70109008; P/I: 70109008</t>
  </si>
  <si>
    <t>1000106111</t>
  </si>
  <si>
    <t>P&amp;F SMART TRANSMITTER SUPPLY; FI‐PFH‐NS0137‐R; P/N: 225293</t>
  </si>
  <si>
    <t>1000106808</t>
  </si>
  <si>
    <t xml:space="preserve">P&amp;F Product; NCB2-12GM40-Z0-V1-3G-3D; P/N:70126034 </t>
  </si>
  <si>
    <t>NO</t>
  </si>
  <si>
    <t>Grand Total</t>
  </si>
  <si>
    <t>PHY</t>
  </si>
  <si>
    <t>DIF</t>
  </si>
  <si>
    <t>REMARKS</t>
  </si>
  <si>
    <t>QTY</t>
  </si>
  <si>
    <t>No</t>
  </si>
  <si>
    <t xml:space="preserve">P+F, Inductive Sensor Model No. (NBB4-12GM50-A2-V1) </t>
  </si>
  <si>
    <t>TO BE CLOSED</t>
  </si>
  <si>
    <t>ISR not Available</t>
  </si>
  <si>
    <t>PO331534</t>
  </si>
  <si>
    <t>Matching</t>
  </si>
  <si>
    <t>Count of REMARKS</t>
  </si>
  <si>
    <t xml:space="preserve">Counting Reports </t>
  </si>
  <si>
    <t>Description</t>
  </si>
  <si>
    <t xml:space="preserve">Action </t>
  </si>
  <si>
    <t xml:space="preserve">Physically we don’t have </t>
  </si>
  <si>
    <t xml:space="preserve">Available in stock </t>
  </si>
  <si>
    <t>Cross checking</t>
  </si>
  <si>
    <t xml:space="preserve">Delivered to be close </t>
  </si>
  <si>
    <t xml:space="preserve">Will address to division </t>
  </si>
  <si>
    <t xml:space="preserve">Logistic will be responsible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</si>
</sst>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8"/>
      <color theme="1"/>
      <name val="Tahoma"/>
    </font>
    <font>
      <b/>
      <sz val="11"/>
      <color theme="0"/>
      <name val="Calibri"/>
      <family val="2"/>
    </font>
    <font>
      <sz val="8"/>
      <color theme="1"/>
      <name val="Tahoma"/>
      <family val="2"/>
    </font>
    <font>
      <b/>
      <sz val="8"/>
      <color theme="0"/>
      <name val="Tahoma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rgb="FF333333"/>
      <name val="Arial"/>
      <family val="2"/>
    </font>
    <font>
      <sz val="11"/>
      <color theme="1"/>
      <name val="Arial"/>
      <family val="2"/>
    </font>
    <font>
      <sz val="12"/>
      <color theme="1"/>
      <name val="Aptos"/>
      <family val="2"/>
    </font>
    <font>
      <sz val="11"/>
      <color theme="1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3" fontId="2" fillId="0" borderId="1" xfId="0" applyNumberFormat="1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0" fontId="3" fillId="2" borderId="2" xfId="0" applyFont="1" applyFill="1" applyBorder="1"/>
    <xf numFmtId="164" fontId="3" fillId="2" borderId="2" xfId="1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 vertical="top"/>
    </xf>
    <xf numFmtId="3" fontId="0" fillId="0" borderId="2" xfId="0" applyNumberFormat="1" applyBorder="1"/>
    <xf numFmtId="0" fontId="0" fillId="0" borderId="2" xfId="0" applyBorder="1"/>
    <xf numFmtId="0" fontId="5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7" fillId="0" borderId="2" xfId="0" applyFont="1" applyBorder="1"/>
    <xf numFmtId="0" fontId="0" fillId="3" borderId="2" xfId="0" applyFill="1" applyBorder="1"/>
    <xf numFmtId="0" fontId="9" fillId="4" borderId="0" xfId="0" applyFont="1" applyFill="1" applyAlignment="1">
      <alignment vertical="top" wrapText="1" indent="3"/>
    </xf>
    <xf numFmtId="0" fontId="8" fillId="0" borderId="2" xfId="0" applyFont="1" applyBorder="1"/>
    <xf numFmtId="164" fontId="6" fillId="0" borderId="4" xfId="0" applyNumberFormat="1" applyFont="1" applyBorder="1"/>
    <xf numFmtId="0" fontId="10" fillId="4" borderId="2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/>
    <xf numFmtId="0" fontId="12" fillId="0" borderId="2" xfId="0" applyFont="1" applyBorder="1" applyAlignment="1">
      <alignment horizontal="left"/>
    </xf>
    <xf numFmtId="0" fontId="1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12" fillId="5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74">
    <dxf>
      <font>
        <sz val="11"/>
      </font>
    </dxf>
    <dxf>
      <font>
        <sz val="11"/>
      </font>
    </dxf>
    <dxf>
      <font>
        <sz val="10"/>
      </font>
    </dxf>
    <dxf>
      <font>
        <sz val="11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mmed Mafas Najibu Deen" refreshedDate="45967.531761921295" createdVersion="8" refreshedVersion="8" minRefreshableVersion="3" recordCount="266" xr:uid="{053AEDDB-BED4-4BB7-BB79-5EB064469EAB}">
  <cacheSource type="worksheet">
    <worksheetSource ref="A1:I267" sheet="Counting Sheet"/>
  </cacheSource>
  <cacheFields count="9">
    <cacheField name="No" numFmtId="0">
      <sharedItems containsString="0" containsBlank="1" containsNumber="1" containsInteger="1" minValue="1" maxValue="265"/>
    </cacheField>
    <cacheField name="ITEM_CODE" numFmtId="0">
      <sharedItems containsMixedTypes="1" containsNumber="1" containsInteger="1" minValue="1000010121" maxValue="1000108302"/>
    </cacheField>
    <cacheField name="ITEM_DESCRIPTION" numFmtId="0">
      <sharedItems containsBlank="1"/>
    </cacheField>
    <cacheField name="INS" numFmtId="0">
      <sharedItems containsString="0" containsBlank="1" containsNumber="1" containsInteger="1" minValue="1" maxValue="2508"/>
    </cacheField>
    <cacheField name="ISR" numFmtId="0">
      <sharedItems containsString="0" containsBlank="1" containsNumber="1" containsInteger="1" minValue="1" maxValue="20"/>
    </cacheField>
    <cacheField name="Grand Total" numFmtId="0">
      <sharedItems containsSemiMixedTypes="0" containsString="0" containsNumber="1" containsInteger="1" minValue="1" maxValue="2528"/>
    </cacheField>
    <cacheField name="PHY" numFmtId="0">
      <sharedItems containsString="0" containsBlank="1" containsNumber="1" containsInteger="1" minValue="0" maxValue="371"/>
    </cacheField>
    <cacheField name="DIF" numFmtId="0">
      <sharedItems containsString="0" containsBlank="1" containsNumber="1" containsInteger="1" minValue="-60" maxValue="0"/>
    </cacheField>
    <cacheField name="REMARKS" numFmtId="0">
      <sharedItems containsBlank="1" count="5">
        <s v="Matching"/>
        <s v="TO BE CLOSED"/>
        <s v="ISR not Available"/>
        <s v="PO33153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n v="1"/>
    <s v="1000010066"/>
    <s v="Pepperl+Fuchs Inductive Sensor NBB2-V3-E2; Part No:087719"/>
    <n v="5"/>
    <m/>
    <n v="5"/>
    <n v="5"/>
    <n v="0"/>
    <x v="0"/>
  </r>
  <r>
    <n v="2"/>
    <s v="1000010067"/>
    <s v="Pepperl+Fuchs Inductive Sensor Model: NJ4-12GM-N  PN:70133109"/>
    <n v="21"/>
    <m/>
    <n v="21"/>
    <n v="21"/>
    <n v="0"/>
    <x v="0"/>
  </r>
  <r>
    <n v="3"/>
    <s v="1000010069"/>
    <s v="Pepperl+Fuchs Inductive Sensor (NJ5-18GK-N)"/>
    <n v="8"/>
    <m/>
    <n v="8"/>
    <n v="8"/>
    <n v="0"/>
    <x v="0"/>
  </r>
  <r>
    <n v="4"/>
    <s v="1000010070"/>
    <s v="Pepperl+Fuchs Inductive Sensor (SJ3,5-N); P/N: 70132984"/>
    <n v="19"/>
    <m/>
    <n v="19"/>
    <n v="19"/>
    <n v="0"/>
    <x v="0"/>
  </r>
  <r>
    <n v="5"/>
    <s v="1000010072"/>
    <s v="Pepperl+Fuchs Inductive Sensor (UB800-18GM40-E5-V1)"/>
    <n v="3"/>
    <m/>
    <n v="3"/>
    <n v="3"/>
    <n v="0"/>
    <x v="0"/>
  </r>
  <r>
    <n v="6"/>
    <s v="1000010074"/>
    <s v="Pepperl+Fuchs Inductive Sensor (KFD2-EB2.R4A.B)"/>
    <n v="4"/>
    <m/>
    <n v="4"/>
    <n v="4"/>
    <n v="0"/>
    <x v="0"/>
  </r>
  <r>
    <n v="7"/>
    <s v="1000010075"/>
    <s v="Pepperl+Fuchs Switch Amplifier (KFD2-SR2-EX2.W) "/>
    <n v="8"/>
    <m/>
    <n v="8"/>
    <n v="8"/>
    <n v="0"/>
    <x v="0"/>
  </r>
  <r>
    <n v="8"/>
    <s v="1000010079"/>
    <s v="Pepperl+Fuchs Inductive Sensor Model:(NCB1,5-8GM25-N0) P/N:128868: Contract#:4600011810; Matl#:1000330"/>
    <n v="6"/>
    <m/>
    <n v="6"/>
    <n v="6"/>
    <n v="0"/>
    <x v="0"/>
  </r>
  <r>
    <n v="9"/>
    <s v="1000010087"/>
    <s v="Pepperl+Fuchs Inductive Sensor; Model No.:NJ2-V3-N; PN:70133090 "/>
    <n v="20"/>
    <m/>
    <n v="20"/>
    <n v="20"/>
    <n v="0"/>
    <x v="0"/>
  </r>
  <r>
    <n v="10"/>
    <s v="1000010088"/>
    <s v="Pepperl+Fuchs Inductive Sensor;  Model:NJ2-12GK-N;  PN:70133049  "/>
    <n v="6"/>
    <m/>
    <n v="6"/>
    <n v="6"/>
    <n v="0"/>
    <x v="0"/>
  </r>
  <r>
    <n v="11"/>
    <s v="1000010090"/>
    <s v="Pepperl+Fuchs Inductive Sensor (NBB2-8GM40-E2-V1)"/>
    <n v="5"/>
    <m/>
    <n v="5"/>
    <n v="5"/>
    <n v="0"/>
    <x v="0"/>
  </r>
  <r>
    <n v="12"/>
    <s v="1000010091"/>
    <s v="Pepperl+Fuchs Inductive Sensor (NJ5-11-NG-6M)"/>
    <n v="3"/>
    <m/>
    <n v="3"/>
    <n v="3"/>
    <n v="0"/>
    <x v="0"/>
  </r>
  <r>
    <n v="13"/>
    <s v="1000010092"/>
    <s v="Pepperl+Fuchs Inductive Sensor (KSD2-GW2-PRO)"/>
    <n v="3"/>
    <m/>
    <n v="3"/>
    <n v="3"/>
    <n v="0"/>
    <x v="0"/>
  </r>
  <r>
    <n v="14"/>
    <s v="1000010094"/>
    <s v="Pepperl+Fuchs Inductive Sensor (NJ40+U1+A2)"/>
    <n v="1"/>
    <m/>
    <n v="1"/>
    <n v="1"/>
    <n v="0"/>
    <x v="0"/>
  </r>
  <r>
    <n v="15"/>
    <s v="1000010096"/>
    <s v="Pepperl+Fuchs Inductive Sensor; Model:NCB5-18GM40-N0; PN:70133055;"/>
    <n v="21"/>
    <m/>
    <n v="21"/>
    <n v="21"/>
    <n v="0"/>
    <x v="0"/>
  </r>
  <r>
    <n v="16"/>
    <s v="1000010097"/>
    <s v="P+F, Female Connector "/>
    <n v="10"/>
    <m/>
    <n v="10"/>
    <n v="10"/>
    <n v="0"/>
    <x v="0"/>
  </r>
  <r>
    <n v="17"/>
    <s v="1000010098"/>
    <s v="Pepperl+Fuchs Inductive Sensor (NBB15-30GM50-E2-V1)"/>
    <n v="5"/>
    <m/>
    <n v="5"/>
    <n v="5"/>
    <n v="0"/>
    <x v="0"/>
  </r>
  <r>
    <n v="18"/>
    <s v="1000010101"/>
    <s v="Pepperl+Fuchs Inductive Sensor (NJ2-11-SN-G)"/>
    <n v="5"/>
    <m/>
    <n v="5"/>
    <n v="5"/>
    <n v="0"/>
    <x v="0"/>
  </r>
  <r>
    <n v="19"/>
    <s v="1000010102"/>
    <s v="Pepperl+Fuchs Inductive Sensor (NJ40+U1+E2)"/>
    <n v="5"/>
    <m/>
    <n v="5"/>
    <n v="5"/>
    <n v="0"/>
    <x v="0"/>
  </r>
  <r>
    <n v="20"/>
    <s v="1000010104"/>
    <s v="Pepperl+Fuchs Inductive Sensor (NBB2-12GM40-Z0-V1)"/>
    <n v="6"/>
    <m/>
    <n v="6"/>
    <n v="6"/>
    <n v="0"/>
    <x v="0"/>
  </r>
  <r>
    <n v="21"/>
    <s v="1000010105"/>
    <s v="Pepperl+Fuchs Inductive Sensor (NBB8-18GM50-E2); P/N: 326161-008"/>
    <n v="11"/>
    <m/>
    <n v="11"/>
    <n v="11"/>
    <n v="0"/>
    <x v="0"/>
  </r>
  <r>
    <n v="22"/>
    <s v="1000010106"/>
    <s v="Pepperl+Fuchs Inductive Sensor; NBB20-L2-E2-V1; P/N:187481 "/>
    <n v="5"/>
    <m/>
    <n v="5"/>
    <n v="5"/>
    <n v="0"/>
    <x v="0"/>
  </r>
  <r>
    <n v="23"/>
    <s v="1000010107"/>
    <s v="Pepperl+Fuchs Inductive Sensor (NBB20-L2M-E2-V1)"/>
    <n v="8"/>
    <m/>
    <n v="8"/>
    <n v="8"/>
    <n v="0"/>
    <x v="0"/>
  </r>
  <r>
    <n v="24"/>
    <s v="1000010108"/>
    <s v="Pepperl+Fuchs Inductive Sensor (NBN4-12GM50-E2-V1)"/>
    <n v="8"/>
    <m/>
    <n v="8"/>
    <n v="8"/>
    <n v="0"/>
    <x v="0"/>
  </r>
  <r>
    <n v="25"/>
    <s v="1000010110"/>
    <s v="Pepperl+Fuchs Inductive Sensor (NBB2-8GM50-E2)"/>
    <n v="10"/>
    <m/>
    <n v="10"/>
    <n v="10"/>
    <n v="0"/>
    <x v="0"/>
  </r>
  <r>
    <n v="26"/>
    <s v="1000010111"/>
    <s v="Pepperl+Fuchs Inductive Sensor (NBB20-U1-E2)"/>
    <n v="6"/>
    <m/>
    <n v="6"/>
    <n v="6"/>
    <n v="0"/>
    <x v="0"/>
  </r>
  <r>
    <n v="27"/>
    <s v="1000010113"/>
    <s v="Pepperl+Fuchs Inductive Sensor (NBB4-12GM50-E2); P/N: 326161-0002"/>
    <n v="10"/>
    <m/>
    <n v="10"/>
    <n v="10"/>
    <n v="0"/>
    <x v="0"/>
  </r>
  <r>
    <n v="28"/>
    <s v="1000010119"/>
    <s v="Pepperl Fuchs Inductive Sensor; Model: NJ3-18GK-S1N; PN:70133107; Matl: 8053089"/>
    <n v="1"/>
    <m/>
    <n v="1"/>
    <n v="1"/>
    <n v="0"/>
    <x v="0"/>
  </r>
  <r>
    <n v="29"/>
    <n v="1000010121"/>
    <s v="Pepperl+Fuchs Inductive Sensor; Model: NJ2-12GM40-E2; PN: 282939 "/>
    <n v="65"/>
    <m/>
    <n v="65"/>
    <n v="5"/>
    <n v="-60"/>
    <x v="1"/>
  </r>
  <r>
    <n v="30"/>
    <s v="1000010122"/>
    <s v="Pepperl+Fuchs Inductive Sensor (NJ4-12GK-N)  Part No:70133052 "/>
    <n v="2"/>
    <m/>
    <n v="2"/>
    <n v="2"/>
    <n v="0"/>
    <x v="0"/>
  </r>
  <r>
    <n v="31"/>
    <s v="1000010126"/>
    <s v="Pepperl+Fuchs Capacitive Sensor (CJ6-18GK-N)"/>
    <n v="2"/>
    <m/>
    <n v="2"/>
    <n v="2"/>
    <n v="0"/>
    <x v="0"/>
  </r>
  <r>
    <n v="32"/>
    <s v="1000010127"/>
    <s v="Pepperl+Fuchs Ultrasonic Sensor (UB800-F12P-EP-V15)"/>
    <n v="1"/>
    <m/>
    <n v="1"/>
    <n v="1"/>
    <n v="0"/>
    <x v="0"/>
  </r>
  <r>
    <n v="33"/>
    <s v="1000010129"/>
    <s v="Pepperl+Fuchs Diffuse Mode Sensor (3RG7010-0AA01-PF P/N 554278)"/>
    <n v="30"/>
    <m/>
    <n v="30"/>
    <n v="30"/>
    <n v="0"/>
    <x v="0"/>
  </r>
  <r>
    <n v="34"/>
    <s v="1000010134"/>
    <s v="Pepperl+Fuchs Cable Connector (V1-W-2M-PVC)"/>
    <n v="8"/>
    <m/>
    <n v="8"/>
    <n v="8"/>
    <n v="0"/>
    <x v="0"/>
  </r>
  <r>
    <n v="35"/>
    <s v="1000010137"/>
    <s v="Pepperl+Fuchs Smart Transmitter Power Supply (KFD2-STC4-EX1.2O)"/>
    <n v="8"/>
    <m/>
    <n v="8"/>
    <n v="1"/>
    <n v="-7"/>
    <x v="1"/>
  </r>
  <r>
    <n v="36"/>
    <s v="1000010138"/>
    <s v="Pepperl+Fuchs Smart Transmitter Power Supply (KFD2-STC4-1)"/>
    <n v="1"/>
    <m/>
    <n v="1"/>
    <n v="1"/>
    <n v="0"/>
    <x v="0"/>
  </r>
  <r>
    <n v="37"/>
    <s v="1000010144"/>
    <s v="P+F, SMART CURRENT DRIVER  Model No.: KFD2-SCD2-1.LK P/N:193429 "/>
    <n v="3"/>
    <m/>
    <n v="3"/>
    <n v="3"/>
    <n v="0"/>
    <x v="0"/>
  </r>
  <r>
    <n v="38"/>
    <s v="1000010147"/>
    <s v="P+F, Segment  Protector for Cabinet Installation  Model No.: R2-SP-IC4 "/>
    <n v="17"/>
    <m/>
    <n v="17"/>
    <n v="17"/>
    <n v="0"/>
    <x v="0"/>
  </r>
  <r>
    <n v="39"/>
    <s v="1000010154"/>
    <s v="P+F, Inductive Sensor Model No.: NJ10-30GM-N-5M PN:70133313  "/>
    <n v="6"/>
    <m/>
    <n v="6"/>
    <n v="6"/>
    <n v="0"/>
    <x v="0"/>
  </r>
  <r>
    <n v="40"/>
    <s v="1000010156"/>
    <s v="P+F, Ultrasonic  Sensor Model No.: UB2000-F42-I-V15  "/>
    <n v="3"/>
    <m/>
    <n v="3"/>
    <n v="3"/>
    <n v="0"/>
    <x v="0"/>
  </r>
  <r>
    <n v="41"/>
    <s v="1000010157"/>
    <s v="P+F, Inductive Sensor Model No.: NCB10-30GM40-Z0; P/N: 089266    "/>
    <n v="3"/>
    <m/>
    <n v="3"/>
    <n v="3"/>
    <n v="0"/>
    <x v="0"/>
  </r>
  <r>
    <n v="42"/>
    <s v="1000010163"/>
    <s v="P+F, Inductive Sensor Model No.: NJ1,5-8GM-N "/>
    <n v="5"/>
    <m/>
    <n v="5"/>
    <n v="5"/>
    <n v="0"/>
    <x v="0"/>
  </r>
  <r>
    <n v="43"/>
    <s v="1000010164"/>
    <s v="P+F, Inductive Sensor Model No.: NBB8-18GM60-A2-V1"/>
    <n v="21"/>
    <n v="10"/>
    <n v="31"/>
    <n v="21"/>
    <n v="-10"/>
    <x v="2"/>
  </r>
  <r>
    <n v="44"/>
    <s v="1000010165"/>
    <s v="P+F, Mounting Flange Model No.: BF 30; Part No:000051"/>
    <n v="1"/>
    <m/>
    <n v="1"/>
    <n v="1"/>
    <n v="0"/>
    <x v="0"/>
  </r>
  <r>
    <n v="45"/>
    <s v="1000010167"/>
    <s v="P+F, Inductive Sensor Model No.: NBB15-U1K-N0 Part No: 70133098"/>
    <n v="13"/>
    <m/>
    <n v="13"/>
    <n v="13"/>
    <n v="0"/>
    <x v="0"/>
  </r>
  <r>
    <n v="46"/>
    <s v="1000010172"/>
    <s v="P+F, Inductive Sensor; Model No.: NCB2-12GM35-N0; PN:70133038"/>
    <n v="11"/>
    <m/>
    <n v="11"/>
    <n v="11"/>
    <n v="0"/>
    <x v="0"/>
  </r>
  <r>
    <n v="47"/>
    <s v="1000010174"/>
    <s v="P+F, Inductive Sensor Model No.: NBB15-U1-A2"/>
    <n v="1"/>
    <m/>
    <n v="1"/>
    <n v="1"/>
    <n v="0"/>
    <x v="0"/>
  </r>
  <r>
    <n v="48"/>
    <s v="1000010176"/>
    <s v="P+F, Inductive Sensor Model No.: NJ2-12GK-SN"/>
    <n v="6"/>
    <m/>
    <n v="6"/>
    <n v="6"/>
    <n v="0"/>
    <x v="0"/>
  </r>
  <r>
    <n v="49"/>
    <s v="1000010177"/>
    <s v="P+F, Inductive Sensor Model No.: NJ1,5-18GM-N-D-V1; PN:70133017"/>
    <n v="5"/>
    <m/>
    <n v="5"/>
    <n v="5"/>
    <n v="0"/>
    <x v="0"/>
  </r>
  <r>
    <n v="50"/>
    <s v="1000010178"/>
    <s v="P+F, Inductive Sensor Model No.: NCN8-18GM40-N0-5M"/>
    <n v="1"/>
    <m/>
    <n v="1"/>
    <n v="1"/>
    <n v="0"/>
    <x v="0"/>
  </r>
  <r>
    <n v="51"/>
    <s v="1000010213"/>
    <s v="P+F, Thru-Beam Sensor  Model No. LD28/LV28-Z-F1/47/76a/82b/116 Set of Model LD28-F1/76a/116 and LV28-Z-F1/47/82b/116 "/>
    <n v="1"/>
    <m/>
    <n v="1"/>
    <n v="1"/>
    <n v="0"/>
    <x v="0"/>
  </r>
  <r>
    <n v="52"/>
    <s v="1000010214"/>
    <s v="P+F, Thru-Beam Sensor  Model No. LD28/LV28-F1-3974/47/82b/112;   PN:205836  "/>
    <n v="1"/>
    <m/>
    <n v="1"/>
    <n v="1"/>
    <n v="0"/>
    <x v="0"/>
  </r>
  <r>
    <n v="53"/>
    <s v="1000010215"/>
    <s v="P+F, Inductive Sensor;  Model No. NCB8-18GM40-N0 Part#:181088 Contract#:4600011810 Matl#:801457"/>
    <n v="10"/>
    <m/>
    <n v="10"/>
    <n v="10"/>
    <n v="0"/>
    <x v="0"/>
  </r>
  <r>
    <n v="54"/>
    <s v="1000010216"/>
    <s v="P+F, Inductive Sensor  Model No. NJ2-V3-N-V5 "/>
    <n v="7"/>
    <m/>
    <n v="7"/>
    <n v="7"/>
    <n v="0"/>
    <x v="0"/>
  </r>
  <r>
    <n v="55"/>
    <s v="1000010219"/>
    <s v="P+F, Cable Connector  Model No. V1-W-N-2M-PUR PN:109477"/>
    <n v="5"/>
    <m/>
    <n v="5"/>
    <n v="5"/>
    <n v="0"/>
    <x v="0"/>
  </r>
  <r>
    <n v="56"/>
    <s v="1000010222"/>
    <s v="P+F, Inductive Sensor   Model No. NCB1,5-8GM25-N0-10M; P/N:70133078 "/>
    <n v="2"/>
    <m/>
    <n v="2"/>
    <n v="2"/>
    <n v="0"/>
    <x v="0"/>
  </r>
  <r>
    <n v="57"/>
    <s v="1000010223"/>
    <s v="P+F, Inductive Sensor Model No. NCB5-18GM40-N0-10M; P/N:70133259"/>
    <n v="6"/>
    <m/>
    <n v="6"/>
    <n v="6"/>
    <n v="0"/>
    <x v="0"/>
  </r>
  <r>
    <n v="58"/>
    <s v="1000010224"/>
    <s v="P+F, Reflector   Model No. REF-C110-2 "/>
    <n v="5"/>
    <m/>
    <n v="5"/>
    <n v="5"/>
    <n v="0"/>
    <x v="0"/>
  </r>
  <r>
    <n v="59"/>
    <s v="1000010226"/>
    <s v="P+F, Inductive Sensor  Model No. NBB4-12GM50-E2-VI  PN:326161-0001 "/>
    <n v="5"/>
    <m/>
    <n v="5"/>
    <n v="5"/>
    <n v="0"/>
    <x v="0"/>
  </r>
  <r>
    <n v="60"/>
    <s v="1000010227"/>
    <s v="P+F, Inductive Sensor;  Model No. NJ5-18GM50-E2 PN:282955"/>
    <n v="17"/>
    <m/>
    <n v="17"/>
    <n v="17"/>
    <n v="0"/>
    <x v="0"/>
  </r>
  <r>
    <n v="61"/>
    <s v="1000010229"/>
    <s v="P+F, Inductive Sensor  Model No. NJ15S+U1+N "/>
    <n v="3"/>
    <m/>
    <n v="3"/>
    <n v="3"/>
    <n v="0"/>
    <x v="0"/>
  </r>
  <r>
    <n v="62"/>
    <s v="1000010231"/>
    <s v="P+F, Inductive Sensor Model No. SC3,5-G-N0-6M; P/N: 70132959 "/>
    <n v="10"/>
    <m/>
    <n v="10"/>
    <n v="10"/>
    <n v="0"/>
    <x v="0"/>
  </r>
  <r>
    <n v="63"/>
    <s v="1000010232"/>
    <s v="P+F, Inductive Sensor  Model No. NCN4-12GM35-N0 "/>
    <n v="6"/>
    <m/>
    <n v="6"/>
    <n v="6"/>
    <n v="0"/>
    <x v="0"/>
  </r>
  <r>
    <n v="64"/>
    <s v="1000010236"/>
    <s v="P+F, Inductive Sensor Model No. NJ15-30GKK-N Part no:70133073"/>
    <n v="12"/>
    <m/>
    <n v="12"/>
    <n v="12"/>
    <n v="0"/>
    <x v="0"/>
  </r>
  <r>
    <n v="65"/>
    <s v="1000010242"/>
    <s v="P+F, Inductive Sensor    Model No. NJ8-18GK-N "/>
    <n v="3"/>
    <m/>
    <n v="3"/>
    <n v="3"/>
    <n v="0"/>
    <x v="0"/>
  </r>
  <r>
    <n v="66"/>
    <s v="1000010249"/>
    <s v="P+F, Background Suppression Sensor  Model No. RL28-8-H-2000-IR-3974/47/112 "/>
    <n v="18"/>
    <m/>
    <n v="18"/>
    <n v="18"/>
    <n v="0"/>
    <x v="0"/>
  </r>
  <r>
    <n v="67"/>
    <s v="1000010250"/>
    <s v="P+F, Inductive Sensor   Model No. NJ8-18-GK-SN  Part No: 70133113  "/>
    <n v="23"/>
    <m/>
    <n v="23"/>
    <n v="23"/>
    <n v="0"/>
    <x v="0"/>
  </r>
  <r>
    <n v="68"/>
    <s v="1000010252"/>
    <s v="P+F, Inductive Sensor   Model No. NBN15-30GM50-E2 "/>
    <n v="5"/>
    <m/>
    <n v="5"/>
    <n v="5"/>
    <n v="0"/>
    <x v="0"/>
  </r>
  <r>
    <n v="69"/>
    <s v="1000010253"/>
    <s v="P+F, Retroreflective Sensor   Model No. RL28-55-V-3974/47/82b/112  PN: 205805 "/>
    <n v="3"/>
    <m/>
    <n v="3"/>
    <n v="3"/>
    <n v="0"/>
    <x v="0"/>
  </r>
  <r>
    <n v="70"/>
    <s v="1000010254"/>
    <s v="P+F, Float Switch   Model No. LFL2-BK-U-PUR5-EMS Part No:262202 "/>
    <n v="4"/>
    <m/>
    <n v="4"/>
    <n v="4"/>
    <n v="0"/>
    <x v="0"/>
  </r>
  <r>
    <n v="71"/>
    <s v="1000010255"/>
    <s v="P+F, Magnetic Field Sensor; Model No. (MC60-12GM50-1N-V1) Replaced By MMB70-12GH50-1N-V1  PN:70108302 (183132) "/>
    <n v="2"/>
    <m/>
    <n v="2"/>
    <n v="2"/>
    <n v="0"/>
    <x v="0"/>
  </r>
  <r>
    <n v="72"/>
    <s v="1000010256"/>
    <s v="P+F, Inductive Sensor Model No. NJ5-30GK-S1N-10M;  PN:70133175;  Mat’l No.: 268850 "/>
    <n v="11"/>
    <m/>
    <n v="11"/>
    <n v="11"/>
    <n v="0"/>
    <x v="0"/>
  </r>
  <r>
    <n v="73"/>
    <s v="1000092371"/>
    <s v="P+F, Thru-beam Sensor Model No. LV28-Z-F1/47/82B/116 P/N 121568 "/>
    <n v="5"/>
    <m/>
    <n v="5"/>
    <n v="5"/>
    <n v="0"/>
    <x v="0"/>
  </r>
  <r>
    <n v="74"/>
    <s v="1000092372"/>
    <s v="P+F, Inductive Sensor Model No. NCB10-30GM40-N0-10M "/>
    <n v="3"/>
    <m/>
    <n v="3"/>
    <n v="3"/>
    <n v="0"/>
    <x v="0"/>
  </r>
  <r>
    <n v="75"/>
    <s v="1000092373"/>
    <s v="P+F, Inductive Sensor Model No. NJ2-11-N-G "/>
    <n v="5"/>
    <m/>
    <n v="5"/>
    <n v="5"/>
    <n v="0"/>
    <x v="0"/>
  </r>
  <r>
    <n v="76"/>
    <s v="1000092374"/>
    <s v="P+F, Capacitive Sensor Model No. CJ15+U1+A2; P/N:001604 "/>
    <n v="1"/>
    <m/>
    <n v="1"/>
    <n v="1"/>
    <n v="0"/>
    <x v="0"/>
  </r>
  <r>
    <n v="77"/>
    <s v="1000092530"/>
    <s v="Pepperl+Fuchs Inductive sensor KFD2-UFC-EX1.D PN:231194"/>
    <n v="1"/>
    <m/>
    <n v="1"/>
    <n v="1"/>
    <n v="0"/>
    <x v="0"/>
  </r>
  <r>
    <n v="78"/>
    <s v="1000092623"/>
    <s v="P+F, Inductive Sensor   Model No. NJ5-11-N-G "/>
    <n v="3"/>
    <m/>
    <n v="3"/>
    <n v="3"/>
    <n v="0"/>
    <x v="0"/>
  </r>
  <r>
    <n v="79"/>
    <s v="1000092871"/>
    <s v="P+F, Inductive Sensor  Model No. NBN4-12GK50-E2 "/>
    <n v="3"/>
    <m/>
    <n v="3"/>
    <n v="3"/>
    <n v="0"/>
    <x v="0"/>
  </r>
  <r>
    <n v="80"/>
    <s v="1000092872"/>
    <s v="P+F, Inductive Sensor; Model No. NJ15S+U4+N; Part No:7013314 "/>
    <n v="6"/>
    <m/>
    <n v="6"/>
    <n v="6"/>
    <n v="0"/>
    <x v="0"/>
  </r>
  <r>
    <n v="81"/>
    <s v="1000092873"/>
    <s v="P+F, Inductive Sensor   Model No. NJ4-12GM-N-V1; P/N: 70133253"/>
    <n v="5"/>
    <m/>
    <n v="5"/>
    <n v="5"/>
    <n v="0"/>
    <x v="0"/>
  </r>
  <r>
    <n v="82"/>
    <s v="1000092874"/>
    <s v="P+F, Inductive Sensor   Model No. NBB20-U1-A2; P/N: 194784"/>
    <n v="30"/>
    <m/>
    <n v="30"/>
    <n v="30"/>
    <n v="0"/>
    <x v="0"/>
  </r>
  <r>
    <n v="83"/>
    <s v="1000092876"/>
    <s v="P+F, Inductive Sensor Model No. NJ5-30GK-S1N-15M; P/N: 70133176 "/>
    <n v="19"/>
    <m/>
    <n v="19"/>
    <n v="19"/>
    <n v="0"/>
    <x v="0"/>
  </r>
  <r>
    <n v="84"/>
    <s v="1000093006"/>
    <s v="P+F, Inductive Sensor; Model No. NBB2-12GM50-E2; P/N:326161-0028 "/>
    <n v="3"/>
    <m/>
    <n v="3"/>
    <n v="3"/>
    <n v="0"/>
    <x v="0"/>
  </r>
  <r>
    <n v="85"/>
    <s v="1000093008"/>
    <s v="P+F, Inductive Sensor ; Model No. NJ2-12GM-N P/N:70133050"/>
    <n v="8"/>
    <m/>
    <n v="8"/>
    <n v="8"/>
    <n v="0"/>
    <x v="0"/>
  </r>
  <r>
    <n v="86"/>
    <s v="1000093093"/>
    <s v="P+F,Inductive Sensor; Model:NRN75-FP-A2-C-P3-V1; P/N:187796 "/>
    <n v="4"/>
    <m/>
    <n v="4"/>
    <n v="4"/>
    <n v="0"/>
    <x v="0"/>
  </r>
  <r>
    <n v="87"/>
    <s v="1000093095"/>
    <s v="P+F,Inductive Sensor; Model:SJ5-N; P/N:106607; Contract#:46000012734; Matl#:471845 "/>
    <n v="1"/>
    <m/>
    <n v="1"/>
    <n v="1"/>
    <n v="0"/>
    <x v="0"/>
  </r>
  <r>
    <n v="88"/>
    <s v="1000093139"/>
    <s v="P&amp;F, make temperature multi input device;  Model no:RDO-TI-Ex8.FF.ST; Part no:125520 "/>
    <n v="2"/>
    <m/>
    <n v="2"/>
    <n v="2"/>
    <n v="0"/>
    <x v="0"/>
  </r>
  <r>
    <n v="89"/>
    <s v="1000093141"/>
    <s v="P&amp;F;make frequency voltage current converter;  Model;KFU8-FSSP-1-D; Part no:181191; Contract#:4600011810; Matl#:982583 "/>
    <n v="1"/>
    <m/>
    <n v="1"/>
    <n v="1"/>
    <n v="0"/>
    <x v="0"/>
  </r>
  <r>
    <n v="90"/>
    <s v="1000093290"/>
    <s v="P+F, Inductive Sensor; Model No. NCN8-18GM40-Z0 PN:70133267"/>
    <n v="1"/>
    <m/>
    <n v="1"/>
    <n v="1"/>
    <n v="0"/>
    <x v="0"/>
  </r>
  <r>
    <n v="91"/>
    <s v="1000093318"/>
    <s v="P+F, Inductive Sensor  Model No. NCN15-30GM40-N0-V1 "/>
    <n v="2"/>
    <m/>
    <n v="2"/>
    <n v="2"/>
    <n v="0"/>
    <x v="0"/>
  </r>
  <r>
    <n v="92"/>
    <s v="1000093328"/>
    <s v="P+F, Inductive Sensor   Model No. NJ2-F-E02-1.025-V1; P/N: 9044774 "/>
    <n v="2"/>
    <m/>
    <n v="2"/>
    <n v="2"/>
    <n v="0"/>
    <x v="0"/>
  </r>
  <r>
    <n v="93"/>
    <s v="1000093454"/>
    <s v="P+F, Diagnostic Module Basic Model No. (HD2-DM-B) "/>
    <n v="2"/>
    <m/>
    <n v="2"/>
    <n v="2"/>
    <n v="0"/>
    <x v="0"/>
  </r>
  <r>
    <n v="94"/>
    <s v="1000093466"/>
    <s v="P+F, Inductive Sensor Model No. (NBB4-12GM50-E2-V1-3G-3D) "/>
    <n v="7"/>
    <m/>
    <n v="7"/>
    <n v="7"/>
    <n v="0"/>
    <x v="0"/>
  </r>
  <r>
    <n v="95"/>
    <s v="1000093473"/>
    <s v="P+F, Inductive Sensor Model No. NJ3-18GK-S1N-10M;   PN:70133167  "/>
    <n v="5"/>
    <m/>
    <n v="5"/>
    <n v="3"/>
    <n v="-2"/>
    <x v="1"/>
  </r>
  <r>
    <n v="96"/>
    <s v="1000093483"/>
    <s v="P+F, Inductive Sensor   Model No. NCN4-12GM35-N0-V1; P/N: 70133048 "/>
    <n v="5"/>
    <m/>
    <n v="5"/>
    <n v="5"/>
    <n v="0"/>
    <x v="0"/>
  </r>
  <r>
    <n v="97"/>
    <s v="1000093496"/>
    <s v="Junction Box GL5 P&amp;F "/>
    <m/>
    <n v="4"/>
    <n v="4"/>
    <m/>
    <n v="-4"/>
    <x v="2"/>
  </r>
  <r>
    <n v="98"/>
    <s v="1000093497"/>
    <s v="Junction Box SLS41 P&amp;F "/>
    <m/>
    <n v="3"/>
    <n v="3"/>
    <n v="3"/>
    <n v="0"/>
    <x v="0"/>
  </r>
  <r>
    <n v="99"/>
    <s v="1000093504"/>
    <s v="Junction Box FXLS811D P&amp;F "/>
    <m/>
    <n v="1"/>
    <n v="1"/>
    <m/>
    <n v="-1"/>
    <x v="2"/>
  </r>
  <r>
    <n v="100"/>
    <s v="1000093532"/>
    <s v="P+F, Inductive Sensor   Model No. NJ4-12GM40-E "/>
    <n v="5"/>
    <m/>
    <n v="5"/>
    <n v="5"/>
    <n v="0"/>
    <x v="0"/>
  </r>
  <r>
    <n v="101"/>
    <s v="1000093560"/>
    <s v="P+F, Inductive Snsor   Model No. NBB5-18GM50-E2-V1; P/N: 326161-0104"/>
    <n v="6"/>
    <m/>
    <n v="6"/>
    <n v="6"/>
    <n v="0"/>
    <x v="0"/>
  </r>
  <r>
    <n v="102"/>
    <s v="1000093811"/>
    <s v="P+F, Inductive Slot Sensor Model No. SJ3,5-S1N; P/N: 70133007  "/>
    <n v="3"/>
    <m/>
    <n v="3"/>
    <n v="3"/>
    <n v="0"/>
    <x v="0"/>
  </r>
  <r>
    <n v="103"/>
    <s v="1000094464"/>
    <s v="P+F, Inductive Sensor; Model:NJ5-18GM-N-5M;  PN:70133063"/>
    <n v="6"/>
    <m/>
    <n v="6"/>
    <n v="6"/>
    <n v="0"/>
    <x v="0"/>
  </r>
  <r>
    <n v="104"/>
    <s v="1000094465"/>
    <s v="P+F, Inductive Sensor;  Model:NJ10-30GKK-N  "/>
    <n v="5"/>
    <m/>
    <n v="5"/>
    <n v="5"/>
    <n v="0"/>
    <x v="0"/>
  </r>
  <r>
    <n v="105"/>
    <s v="1000094576"/>
    <s v="P+F,Inductive Sensor; Model: NCN40-FP-W-T-P1; P/N:130539 "/>
    <n v="8"/>
    <m/>
    <n v="8"/>
    <n v="8"/>
    <n v="0"/>
    <x v="0"/>
  </r>
  <r>
    <n v="106"/>
    <n v="1000094819"/>
    <s v="P+F,Inductive Sensor; Model:NCB2-12GM35-N0-V1;   PN:70133040  "/>
    <n v="6"/>
    <n v="1"/>
    <n v="7"/>
    <n v="6"/>
    <n v="-1"/>
    <x v="2"/>
  </r>
  <r>
    <n v="107"/>
    <s v="1000095536"/>
    <s v="P+F:Cell photoelectric; Model: RL28-55-Z/47/76A/82B/116; P/N:421142 "/>
    <n v="5"/>
    <m/>
    <n v="5"/>
    <n v="5"/>
    <n v="0"/>
    <x v="0"/>
  </r>
  <r>
    <n v="108"/>
    <s v="1000095552"/>
    <s v="P+F;Inductive sensor:V1-W-N-5M-PUR PN:033596 "/>
    <n v="4"/>
    <m/>
    <n v="4"/>
    <n v="4"/>
    <n v="0"/>
    <x v="0"/>
  </r>
  <r>
    <n v="109"/>
    <s v="1000095596"/>
    <s v="P+F;Switch Photoelectric,P/N:OJ500-M1K-E23/18937S "/>
    <n v="3"/>
    <m/>
    <n v="3"/>
    <n v="3"/>
    <n v="0"/>
    <x v="0"/>
  </r>
  <r>
    <n v="110"/>
    <s v="1000095898"/>
    <s v="P+F, Inductive Sensor Model No. (NBB4-12GM50-A2-V1) "/>
    <n v="5"/>
    <m/>
    <n v="5"/>
    <n v="5"/>
    <n v="0"/>
    <x v="0"/>
  </r>
  <r>
    <n v="111"/>
    <s v="1000095943"/>
    <s v="Pepperl+Fuchs Inductive Sensor;NJ8-18-GK-SN; P/N:70133113 "/>
    <n v="125"/>
    <m/>
    <n v="125"/>
    <n v="125"/>
    <n v="0"/>
    <x v="0"/>
  </r>
  <r>
    <n v="112"/>
    <s v="1000095965"/>
    <s v="P+F inductive positioning system,Part No:315191;Model:PMI40-F90-IU2EP-IO-V15-3G-3D;Matl#1633697 "/>
    <n v="1"/>
    <m/>
    <n v="1"/>
    <n v="1"/>
    <n v="0"/>
    <x v="0"/>
  </r>
  <r>
    <n v="113"/>
    <s v="1000095976"/>
    <s v="1001066561;P+F,HiC Fieldbus motherboard;Model:MBHC-FB-8R.HSC.R "/>
    <n v="2"/>
    <m/>
    <n v="2"/>
    <n v="2"/>
    <n v="0"/>
    <x v="0"/>
  </r>
  <r>
    <n v="114"/>
    <s v="1000095995"/>
    <s v="P+F,Adapter with USB interface:Model:K-ADP-USB,Matl#10802418;PN#188916 "/>
    <n v="6"/>
    <m/>
    <n v="6"/>
    <n v="6"/>
    <n v="0"/>
    <x v="0"/>
  </r>
  <r>
    <n v="115"/>
    <s v="1000096104"/>
    <s v="P+F, Inductive sensor; NCB10-30GM40-N0; P/N: 70133068 "/>
    <n v="3"/>
    <m/>
    <n v="3"/>
    <n v="3"/>
    <n v="0"/>
    <x v="0"/>
  </r>
  <r>
    <n v="116"/>
    <s v="1000096140"/>
    <s v="P+F Transmitter Power Supply, KFD2-STC4-EX1  "/>
    <n v="6"/>
    <m/>
    <n v="6"/>
    <n v="6"/>
    <n v="0"/>
    <x v="0"/>
  </r>
  <r>
    <n v="117"/>
    <s v="1000096168"/>
    <s v="P+F, Inductive sensor;UC SLP-SLC 1530 MM;  Matl:1601731 "/>
    <n v="3"/>
    <m/>
    <n v="3"/>
    <n v="3"/>
    <n v="0"/>
    <x v="0"/>
  </r>
  <r>
    <n v="118"/>
    <s v="1000096304"/>
    <s v="P+F,Safety light grid w/integrated control unit; Model:SLPCM8-2-L/31; PN:114869; Matl:924258; Contract:4800011810 "/>
    <n v="3"/>
    <m/>
    <n v="3"/>
    <n v="3"/>
    <n v="0"/>
    <x v="0"/>
  </r>
  <r>
    <n v="119"/>
    <s v="1000096437"/>
    <s v="Pepperl+Fuchs Inductive Sensor (NBB8-18GM50-E2-5M) P/N-186564 "/>
    <n v="5"/>
    <m/>
    <n v="5"/>
    <n v="5"/>
    <n v="0"/>
    <x v="0"/>
  </r>
  <r>
    <n v="120"/>
    <s v="1000096439"/>
    <s v="P+F, Switch Amplifier Model No.: WE 77/Ex-1 115V;PN:129199 "/>
    <n v="2"/>
    <m/>
    <n v="2"/>
    <n v="2"/>
    <n v="0"/>
    <x v="0"/>
  </r>
  <r>
    <n v="121"/>
    <s v="1000096440"/>
    <s v="Pepperl+Fuchs make Inductive sensor;NBN8-18GM50-EO;  PN:083996 "/>
    <n v="5"/>
    <m/>
    <n v="5"/>
    <n v="5"/>
    <n v="0"/>
    <x v="0"/>
  </r>
  <r>
    <n v="122"/>
    <s v="1000096565"/>
    <s v="P+F;Inductive Sensor (NBB15-U1-Z2) Part No:203011 "/>
    <n v="29"/>
    <m/>
    <n v="29"/>
    <n v="29"/>
    <n v="0"/>
    <x v="0"/>
  </r>
  <r>
    <n v="123"/>
    <s v="1000096571"/>
    <s v="P+F, Ultrasonic  Sensor Model No.: UB2000-F42-E6-V15;  PN:133988;Matl:74906 "/>
    <n v="3"/>
    <m/>
    <n v="3"/>
    <n v="3"/>
    <n v="0"/>
    <x v="0"/>
  </r>
  <r>
    <n v="124"/>
    <s v="1000096825"/>
    <s v="P+F; Inductive Sensor;NCB4-12GM40-N0-V1;   PN:181087; Matl:1028170; Contract#:4600011810 "/>
    <n v="4"/>
    <m/>
    <n v="4"/>
    <n v="4"/>
    <n v="0"/>
    <x v="0"/>
  </r>
  <r>
    <n v="125"/>
    <s v="1000096875"/>
    <s v="P+F; Inductive sensor:NBB3-V3-Z4-3G-3D;  PN: 301161 "/>
    <n v="4"/>
    <m/>
    <n v="4"/>
    <n v="4"/>
    <n v="0"/>
    <x v="0"/>
  </r>
  <r>
    <n v="126"/>
    <s v="1000096901"/>
    <s v="P+F,Inductive Sensor;Model:NJ8-18GM50-A2, Part No: 222503 "/>
    <n v="5"/>
    <m/>
    <n v="5"/>
    <n v="5"/>
    <n v="0"/>
    <x v="0"/>
  </r>
  <r>
    <n v="127"/>
    <s v="1000096954"/>
    <s v="Fieldbus Power Supply;Model:HCD2-FBPS-1.23.500;Part No: 275283 "/>
    <n v="3"/>
    <m/>
    <n v="3"/>
    <n v="3"/>
    <n v="0"/>
    <x v="0"/>
  </r>
  <r>
    <n v="128"/>
    <s v="1000096963"/>
    <s v="Pepperl+Fuchs Inductive Sensor;Model:NBB5-18GM40-Z0; P/N: 088200 "/>
    <n v="12"/>
    <m/>
    <n v="12"/>
    <n v="12"/>
    <n v="0"/>
    <x v="0"/>
  </r>
  <r>
    <n v="129"/>
    <s v="1000097052"/>
    <s v="P+F;RELAY MODULE:KFD0-RSH-14S.PS2 "/>
    <n v="28"/>
    <m/>
    <n v="28"/>
    <n v="28"/>
    <n v="0"/>
    <x v="0"/>
  </r>
  <r>
    <n v="130"/>
    <s v="1000097117"/>
    <s v="Mounting Flange;BF 18,Part No: 000050 "/>
    <n v="5"/>
    <m/>
    <n v="5"/>
    <n v="5"/>
    <n v="0"/>
    <x v="0"/>
  </r>
  <r>
    <n v="131"/>
    <s v="1000097118"/>
    <s v="P+F;Inductive Sensor;NCN50-FP-A2-P1; PN:187587 "/>
    <n v="3"/>
    <m/>
    <n v="3"/>
    <n v="3"/>
    <n v="0"/>
    <x v="0"/>
  </r>
  <r>
    <n v="132"/>
    <s v="1000097131"/>
    <s v="Pepperl+Fuchs Inductive Sensor;Model:NCB2-12GM40-E2-3G-3D;  PN:310840  CONTRACT:4600011810 Material No:1022453  "/>
    <n v="5"/>
    <m/>
    <n v="5"/>
    <n v="5"/>
    <n v="0"/>
    <x v="0"/>
  </r>
  <r>
    <n v="133"/>
    <s v="1000097295"/>
    <s v="P+F;Thru-beam Sensor;LV28/F1/3974/47/82b/112 ( Transmitter ) &amp; LD28/F1/3974/76a/112 ( Receiver ) "/>
    <n v="2"/>
    <m/>
    <n v="2"/>
    <n v="2"/>
    <n v="0"/>
    <x v="0"/>
  </r>
  <r>
    <n v="134"/>
    <s v="1000097477"/>
    <s v="P+F, Inductive Sensor Model No. NBB5-18GM50-E2; P/N:326161-0105 "/>
    <n v="3"/>
    <m/>
    <n v="3"/>
    <n v="3"/>
    <n v="0"/>
    <x v="0"/>
  </r>
  <r>
    <n v="135"/>
    <s v="1000097557"/>
    <s v="P+F;Retroreflective Sensor: Model No:RL28-55-V-3974/47/82b/112,  PN:205805,  Mat'l No:924262  "/>
    <n v="1"/>
    <m/>
    <n v="1"/>
    <n v="1"/>
    <n v="0"/>
    <x v="0"/>
  </r>
  <r>
    <n v="136"/>
    <s v="1000097812"/>
    <s v="P+F Inductive Sensor;NJ4-30GM-N-200; P/N:70133020"/>
    <n v="3"/>
    <m/>
    <n v="3"/>
    <n v="3"/>
    <n v="0"/>
    <x v="0"/>
  </r>
  <r>
    <n v="137"/>
    <n v="1000097847"/>
    <s v="P+F;Inclination Sensor; INY360D-F99-2I2E2-5M  PN:201502 "/>
    <n v="3"/>
    <m/>
    <n v="3"/>
    <n v="3"/>
    <n v="0"/>
    <x v="0"/>
  </r>
  <r>
    <n v="138"/>
    <s v="1000098086"/>
    <s v="P+F,ULTRASONIC SENSOR;UC2000-30GM-E6R2-V15; P/N:102-159"/>
    <n v="2"/>
    <m/>
    <n v="2"/>
    <n v="2"/>
    <n v="0"/>
    <x v="0"/>
  </r>
  <r>
    <n v="139"/>
    <s v="1000098195"/>
    <s v="P+F, Transmitter power supply;KFD2-CRG2-Ex1.D;Part No:255620       "/>
    <n v="5"/>
    <m/>
    <n v="5"/>
    <n v="5"/>
    <n v="0"/>
    <x v="0"/>
  </r>
  <r>
    <n v="140"/>
    <s v="1000098377"/>
    <s v="P+F, Inductive Sensor;Model:NJ5-18GM-N-10M PN:106451 "/>
    <n v="5"/>
    <m/>
    <n v="5"/>
    <n v="5"/>
    <n v="0"/>
    <x v="0"/>
  </r>
  <r>
    <n v="141"/>
    <s v="1000098393"/>
    <s v="P+F, Segment Protector for Cabinet Installation Model No.: R2-SP-IC6"/>
    <n v="13"/>
    <n v="1"/>
    <n v="14"/>
    <n v="13"/>
    <n v="-1"/>
    <x v="2"/>
  </r>
  <r>
    <n v="142"/>
    <n v="1000098476"/>
    <s v="1PH,230V,60Hz EXIT LIGHT WITH 2HRS BAT.BACK UP WITH ARABIC &amp; ENGLISH TEXTURE;LX-740-3.8W/2RC/220-240V/IP23 (LX-740) "/>
    <n v="16"/>
    <m/>
    <n v="16"/>
    <n v="16"/>
    <n v="0"/>
    <x v="3"/>
  </r>
  <r>
    <n v="143"/>
    <s v="1000098490"/>
    <s v="P+F;: INDUCTIVE SENSOR: Model:NBB2-8GM40-E2-0,3M-V3;  PN:304615-0057"/>
    <n v="5"/>
    <m/>
    <n v="5"/>
    <n v="5"/>
    <n v="0"/>
    <x v="0"/>
  </r>
  <r>
    <n v="144"/>
    <n v="1000098507"/>
    <s v="P+F;CABLE PULL:ECN30PL-10A1A-X1:NN Part No: 269988-0043"/>
    <n v="1"/>
    <m/>
    <n v="1"/>
    <n v="0"/>
    <n v="-1"/>
    <x v="3"/>
  </r>
  <r>
    <n v="145"/>
    <s v="1000098618"/>
    <s v="P+F;SMART TRANSMITTER SUPPLY; PN:KFD2-STC5-1.2O; Matl:1000924660 "/>
    <n v="9"/>
    <m/>
    <n v="9"/>
    <n v="9"/>
    <n v="0"/>
    <x v="0"/>
  </r>
  <r>
    <n v="146"/>
    <s v="1000098776"/>
    <s v="P+F; Inductive Sensor:NMB15-30GM65-E2-V1;  PN:911274;  "/>
    <n v="3"/>
    <m/>
    <n v="3"/>
    <n v="3"/>
    <n v="0"/>
    <x v="0"/>
  </r>
  <r>
    <n v="147"/>
    <s v="1000098778"/>
    <s v="P+F; Inductive Sensor:NJ10-30GM-N 5M   Contract:4600012734 matl:471833 PN:106482 "/>
    <n v="4"/>
    <m/>
    <n v="4"/>
    <n v="4"/>
    <n v="0"/>
    <x v="0"/>
  </r>
  <r>
    <n v="148"/>
    <s v="1000098841"/>
    <s v="P+F; Accessories trigger cable;Model:ACC-FDH-CTRG "/>
    <n v="5"/>
    <m/>
    <n v="5"/>
    <n v="5"/>
    <n v="0"/>
    <x v="0"/>
  </r>
  <r>
    <n v="149"/>
    <s v="1000098849"/>
    <s v="P+F;Inductive sensor;Model:NBB15-30GM50-E2-3G-3D "/>
    <n v="3"/>
    <m/>
    <n v="3"/>
    <n v="3"/>
    <n v="0"/>
    <x v="0"/>
  </r>
  <r>
    <n v="150"/>
    <s v="1000098893"/>
    <s v="P+F, Inductive Sensor;Model:NBN4-12GM40-Z0; Part No:088194 "/>
    <n v="4"/>
    <m/>
    <n v="4"/>
    <n v="4"/>
    <n v="0"/>
    <x v="0"/>
  </r>
  <r>
    <n v="151"/>
    <s v="1000098905"/>
    <s v="Pepperl+Fuchs Inductive Sensor; Model:NBN5-F7-E2  PN:800731 "/>
    <n v="5"/>
    <m/>
    <n v="5"/>
    <n v="5"/>
    <n v="0"/>
    <x v="0"/>
  </r>
  <r>
    <n v="152"/>
    <s v="1000098914"/>
    <s v="P+F;INDUCTIVE SENSOR:Model:NCN4-12GM60-B3-C2-V1 PN:226331"/>
    <n v="5"/>
    <m/>
    <n v="5"/>
    <n v="5"/>
    <n v="0"/>
    <x v="0"/>
  </r>
  <r>
    <n v="153"/>
    <s v="1000098934"/>
    <s v="Pepperl+Fuchs Inductive Sensor (NJ15-30GM-N) PN:70133321 "/>
    <n v="3"/>
    <m/>
    <n v="3"/>
    <n v="3"/>
    <n v="0"/>
    <x v="0"/>
  </r>
  <r>
    <n v="154"/>
    <s v="1000098940"/>
    <s v="Pepperl+Fuchs Frequency Converter:Model KFU8-UFC-1.D PN:231195"/>
    <n v="1"/>
    <m/>
    <n v="1"/>
    <n v="1"/>
    <n v="0"/>
    <x v="0"/>
  </r>
  <r>
    <n v="155"/>
    <s v="1000098971"/>
    <s v="P+F;INDUCTIVE SENSOR:Model:NBN15-30GM40-Z0-V1 PN:088215"/>
    <n v="5"/>
    <m/>
    <n v="5"/>
    <n v="5"/>
    <n v="0"/>
    <x v="0"/>
  </r>
  <r>
    <n v="156"/>
    <s v="1000099110"/>
    <s v="P+F;CURRENT REPEATER; Model:KFD2-STC5-EX1, PN:239206 "/>
    <n v="15"/>
    <m/>
    <n v="15"/>
    <n v="15"/>
    <n v="0"/>
    <x v="0"/>
  </r>
  <r>
    <n v="157"/>
    <s v="1000099196"/>
    <s v="P+F Cable Connector Model:V1-W-N-25M-PUR    PN:034131 "/>
    <n v="5"/>
    <m/>
    <n v="5"/>
    <n v="5"/>
    <n v="0"/>
    <x v="0"/>
  </r>
  <r>
    <n v="158"/>
    <s v="1000099333"/>
    <s v="Pepperl+Fuchs make Inductive sensor:NRN30-30GS50-E2-V1;  PN:261032 "/>
    <n v="3"/>
    <m/>
    <n v="3"/>
    <n v="3"/>
    <n v="0"/>
    <x v="0"/>
  </r>
  <r>
    <n v="159"/>
    <s v="1000099335"/>
    <s v="P+F, Inductive Sensor Model No. SC3,5-G-N0  PN:045585 "/>
    <n v="3"/>
    <m/>
    <n v="3"/>
    <n v="3"/>
    <n v="0"/>
    <x v="0"/>
  </r>
  <r>
    <n v="160"/>
    <s v="1000099354"/>
    <s v="P+F;Transmitter power supply:Model:KFD2-STC5-1;  PN:239209"/>
    <n v="21"/>
    <m/>
    <n v="21"/>
    <n v="21"/>
    <n v="0"/>
    <x v="0"/>
  </r>
  <r>
    <n v="161"/>
    <s v="1000099489"/>
    <s v="P+F, Potemtiometer Converter  Model No. KFD2-PT2-EX1-5  PN:072023"/>
    <n v="4"/>
    <m/>
    <n v="4"/>
    <n v="4"/>
    <n v="0"/>
    <x v="0"/>
  </r>
  <r>
    <n v="162"/>
    <s v="1000099642"/>
    <s v="P+F, Inductive Sensor Model No.: NJ2-12-GK-N-5M "/>
    <n v="15"/>
    <m/>
    <n v="15"/>
    <n v="15"/>
    <n v="0"/>
    <x v="0"/>
  </r>
  <r>
    <n v="163"/>
    <s v="1000099688"/>
    <s v="P+F, Inductive Sensor Model No. NJ10-30GK-SN; PN:70133103 "/>
    <n v="15"/>
    <m/>
    <n v="15"/>
    <n v="15"/>
    <n v="0"/>
    <x v="0"/>
  </r>
  <r>
    <n v="164"/>
    <s v="1000099971"/>
    <s v="P+F ULTRASONIC SENSOR UC4000-30GM-E7R2-V15 "/>
    <n v="3"/>
    <m/>
    <n v="3"/>
    <n v="3"/>
    <n v="0"/>
    <x v="0"/>
  </r>
  <r>
    <n v="165"/>
    <s v="1000099977"/>
    <s v="P+F, Inductive Sensor; Model No. NBB15-U4K-N0; PN:70133132; Mtrl No: 8003417"/>
    <n v="18"/>
    <m/>
    <n v="18"/>
    <n v="18"/>
    <n v="0"/>
    <x v="0"/>
  </r>
  <r>
    <n v="166"/>
    <s v="1000099987"/>
    <s v="P+F INDUCTIVE SENSOR; Model: NCB5-18GM40-Z0-3G-3D  Part No: 1042406    "/>
    <n v="4"/>
    <m/>
    <n v="4"/>
    <n v="4"/>
    <n v="0"/>
    <x v="0"/>
  </r>
  <r>
    <n v="167"/>
    <s v="1000099990"/>
    <s v="P+F, Ultrasonic Sensor Model No: UC500-F65-E8R2-V15 "/>
    <n v="3"/>
    <m/>
    <n v="3"/>
    <n v="3"/>
    <n v="0"/>
    <x v="0"/>
  </r>
  <r>
    <n v="168"/>
    <s v="1000100571"/>
    <s v="P+F, Viator USB HART Interface  Model No: HM-MT-USB-010031; Part No: 915548 "/>
    <n v="1"/>
    <m/>
    <n v="1"/>
    <n v="1"/>
    <n v="0"/>
    <x v="0"/>
  </r>
  <r>
    <n v="169"/>
    <s v="1000100688"/>
    <s v="Digital LHDC Dual Channel Galvanic - P&amp;F - KFD0-CS-EX2.51P; P/N:294987"/>
    <n v="1"/>
    <m/>
    <n v="1"/>
    <n v="1"/>
    <n v="0"/>
    <x v="0"/>
  </r>
  <r>
    <n v="170"/>
    <s v="1000100727"/>
    <s v="P+F, Inductive Sensor    Model No. NJ15-30GK-SN-5M    Part No: 70133158"/>
    <n v="2"/>
    <m/>
    <n v="2"/>
    <n v="2"/>
    <n v="0"/>
    <x v="0"/>
  </r>
  <r>
    <n v="171"/>
    <s v="1000100896"/>
    <s v="P+F, Inductive Sensor  Model No. NJ5-18GM-N-V1 P/N:70133064 "/>
    <n v="4"/>
    <m/>
    <n v="4"/>
    <n v="4"/>
    <n v="0"/>
    <x v="0"/>
  </r>
  <r>
    <n v="172"/>
    <s v="1000100940"/>
    <s v="Pepperl+Fuchs Inductive Sensor (NBB20-U1-UU)   PN:238884 "/>
    <n v="15"/>
    <m/>
    <n v="15"/>
    <n v="15"/>
    <n v="0"/>
    <x v="0"/>
  </r>
  <r>
    <n v="173"/>
    <s v="1000101747"/>
    <s v="P+F,Inductive Sensor; Model:NCB1,5-8GM25-N0-V1;  PN:70133079 "/>
    <n v="2"/>
    <m/>
    <n v="2"/>
    <n v="2"/>
    <n v="0"/>
    <x v="0"/>
  </r>
  <r>
    <n v="174"/>
    <s v="1000101776"/>
    <s v="P+F, Inductive Sensor; Model No: NCB15-30GM40-N0;  PN:70133070 "/>
    <n v="3"/>
    <m/>
    <n v="3"/>
    <n v="3"/>
    <n v="0"/>
    <x v="0"/>
  </r>
  <r>
    <n v="175"/>
    <s v="1000102322"/>
    <s v="P+F Capacitive Sensor; Model:CBB4-12GH70-E2;  PN:210620"/>
    <n v="2"/>
    <m/>
    <n v="2"/>
    <n v="2"/>
    <n v="0"/>
    <x v="0"/>
  </r>
  <r>
    <n v="176"/>
    <s v="1000102334"/>
    <s v="P+F, Ultrasonic Sensor; Model No. UC4000-30GM-IUEP-IO-V15;  PN:191240 "/>
    <n v="3"/>
    <m/>
    <n v="3"/>
    <n v="3"/>
    <n v="0"/>
    <x v="0"/>
  </r>
  <r>
    <n v="177"/>
    <s v="1000102370"/>
    <s v="P+F; Inductive Sensor;NCB4-12GM40-N0;  PN:70133041 "/>
    <n v="5"/>
    <m/>
    <n v="5"/>
    <n v="5"/>
    <n v="0"/>
    <x v="0"/>
  </r>
  <r>
    <n v="178"/>
    <s v="1000102445"/>
    <s v="Pepperl+Fuchs Inductive Sensor;  Model No. NBB2-12GM40-Z0; P.N: 088190  "/>
    <n v="20"/>
    <m/>
    <n v="20"/>
    <n v="20"/>
    <n v="0"/>
    <x v="0"/>
  </r>
  <r>
    <n v="179"/>
    <s v="1000102784"/>
    <s v="P&amp;F Unicom Com Unit;  Model:LB8109H0908;   PN:70106282 "/>
    <n v="5"/>
    <m/>
    <n v="5"/>
    <n v="5"/>
    <n v="0"/>
    <x v="0"/>
  </r>
  <r>
    <n v="180"/>
    <n v="1000102863"/>
    <s v="PEPPERL+FUCHS; FDH-SW-P; Software"/>
    <n v="5"/>
    <m/>
    <n v="5"/>
    <n v="5"/>
    <n v="0"/>
    <x v="0"/>
  </r>
  <r>
    <n v="181"/>
    <s v="1000102921"/>
    <s v="PEPPERL+FUSH;   Model  No.:NBN4-12GM50-A2-V1;  PN:326161-0072  Matl: 923586 "/>
    <n v="3"/>
    <m/>
    <n v="3"/>
    <n v="3"/>
    <n v="0"/>
    <x v="0"/>
  </r>
  <r>
    <n v="182"/>
    <s v="1000103025"/>
    <s v="PEPPERL+FUSH; NCB5-18GM40-Z0 P/N: 089258 "/>
    <n v="15"/>
    <m/>
    <n v="15"/>
    <n v="15"/>
    <n v="0"/>
    <x v="0"/>
  </r>
  <r>
    <n v="183"/>
    <s v="1000103026"/>
    <s v="PEPPERL+FUSH; NBB2-6,5S40-E2-PUR P/N: 304615-0025 "/>
    <n v="2"/>
    <m/>
    <n v="2"/>
    <n v="2"/>
    <n v="0"/>
    <x v="0"/>
  </r>
  <r>
    <n v="184"/>
    <s v="1000103251"/>
    <s v="Pepperl+Fuchs; KFD0-CS-Ex1.54 "/>
    <n v="1"/>
    <m/>
    <n v="1"/>
    <n v="1"/>
    <n v="0"/>
    <x v="0"/>
  </r>
  <r>
    <n v="185"/>
    <s v="1000103441"/>
    <s v="Pepperl &amp; Fuchs Product; NJ2-PD-E02-2.062-V95 "/>
    <n v="4"/>
    <m/>
    <n v="4"/>
    <n v="4"/>
    <n v="0"/>
    <x v="0"/>
  </r>
  <r>
    <n v="186"/>
    <s v="1000103637"/>
    <s v="Pepperl+Fuchs Inductive Sensor; Model:NBN40-U1L-A2; P/N:214020 "/>
    <n v="3"/>
    <m/>
    <n v="3"/>
    <n v="3"/>
    <n v="0"/>
    <x v="0"/>
  </r>
  <r>
    <n v="187"/>
    <s v="1000103692"/>
    <s v="Pepperl+Fuchs Inductive Sensor; Model No:NJ40-FP-SN-P4;   PN:70133170  "/>
    <n v="10"/>
    <m/>
    <n v="10"/>
    <n v="10"/>
    <n v="0"/>
    <x v="0"/>
  </r>
  <r>
    <n v="188"/>
    <s v="1000103785"/>
    <s v="P+F, Inductive Sensor; Model No. NCB2-12GM40-Z0; PN:089250;   "/>
    <n v="11"/>
    <m/>
    <n v="11"/>
    <n v="11"/>
    <n v="0"/>
    <x v="0"/>
  </r>
  <r>
    <n v="189"/>
    <s v="1000103891"/>
    <s v="Pepperl+Fuchs Inductive Sensor;  Model:NBN15-18GM60-US;  PN:198082   "/>
    <n v="10"/>
    <m/>
    <n v="10"/>
    <n v="10"/>
    <n v="0"/>
    <x v="0"/>
  </r>
  <r>
    <n v="190"/>
    <s v="1000103958"/>
    <s v="Stainless Steel JB with 1 x R2‐SP‐IC10 ‐ Material: SS316L ‐ Enclosure Size (WxHxD): 380 x 380 x 215mm "/>
    <n v="7"/>
    <m/>
    <n v="7"/>
    <n v="7"/>
    <n v="0"/>
    <x v="0"/>
  </r>
  <r>
    <n v="191"/>
    <s v="1000104057"/>
    <s v="P+F, Inductive Sensor; Model No.NBB4-12GM50-E2-V1;   PN:326161-0001   "/>
    <n v="9"/>
    <m/>
    <n v="9"/>
    <n v="9"/>
    <n v="0"/>
    <x v="0"/>
  </r>
  <r>
    <n v="192"/>
    <s v="1000104146"/>
    <s v="P+F,Ultrasonic sensor; Model:UC6000-30GM-E6R2-V15;   PN:102163   "/>
    <n v="2"/>
    <m/>
    <n v="2"/>
    <n v="2"/>
    <n v="0"/>
    <x v="0"/>
  </r>
  <r>
    <n v="193"/>
    <s v="1000104192"/>
    <s v="P&amp;F Product; 3003-LPS-CI-YZ-HPM;   Mat'l No:1610360 "/>
    <n v="3"/>
    <m/>
    <n v="3"/>
    <n v="3"/>
    <n v="0"/>
    <x v="0"/>
  </r>
  <r>
    <n v="194"/>
    <n v="1000104204"/>
    <s v="P&amp;F HiC Fieldbus Motherboard; Model No.:MBHC-FB-8R.RH;   Mat'l No.:1001166299  PN:255104  "/>
    <n v="2"/>
    <m/>
    <n v="2"/>
    <n v="2"/>
    <n v="0"/>
    <x v="0"/>
  </r>
  <r>
    <n v="195"/>
    <s v="1000104228"/>
    <s v="Pepperl and fuchs Product; NJ6-22-N-G-15M; P/N: 70133290 "/>
    <n v="2"/>
    <m/>
    <n v="2"/>
    <n v="2"/>
    <n v="0"/>
    <x v="0"/>
  </r>
  <r>
    <n v="196"/>
    <s v="1000104754"/>
    <s v="P&amp;F Product; P/N: 000051; Mtrl: 1047365; BF30 "/>
    <n v="4"/>
    <m/>
    <n v="4"/>
    <n v="4"/>
    <n v="0"/>
    <x v="0"/>
  </r>
  <r>
    <n v="197"/>
    <s v="1000104995"/>
    <s v="P&amp;F Product; Inductive Sensor NJ4-12GK-N-5M; P/N:70133243 "/>
    <n v="20"/>
    <m/>
    <n v="20"/>
    <n v="20"/>
    <n v="0"/>
    <x v="0"/>
  </r>
  <r>
    <n v="198"/>
    <s v="1000105023"/>
    <s v="P&amp;F Smart Current Drive; KCD2-SCD-1; P/N: 321420 "/>
    <n v="12"/>
    <m/>
    <n v="12"/>
    <n v="12"/>
    <n v="0"/>
    <x v="0"/>
  </r>
  <r>
    <n v="199"/>
    <s v="1000105118"/>
    <s v="P&amp;F Product; Compact Fieldbus Power Hub Motherboard with Common Interface; MBHC-FB-4R-HSC; P/N: 169681"/>
    <n v="1"/>
    <m/>
    <n v="1"/>
    <n v="1"/>
    <n v="0"/>
    <x v="0"/>
  </r>
  <r>
    <n v="200"/>
    <s v="1000105246"/>
    <s v="P+F Measuring Resistor:K-250R; P/N:311713 "/>
    <n v="7"/>
    <m/>
    <n v="7"/>
    <n v="7"/>
    <n v="0"/>
    <x v="0"/>
  </r>
  <r>
    <n v="201"/>
    <s v="1000105457"/>
    <s v="P+F, Inductive sensor: NCB1,5-8GM40-Z0; P/N:126095 "/>
    <n v="7"/>
    <m/>
    <n v="7"/>
    <n v="7"/>
    <n v="0"/>
    <x v="0"/>
  </r>
  <r>
    <n v="202"/>
    <s v="1000105764"/>
    <s v="P&amp;F Segment Protector; R2-SP-IC12 "/>
    <n v="18"/>
    <m/>
    <n v="18"/>
    <n v="18"/>
    <n v="0"/>
    <x v="0"/>
  </r>
  <r>
    <n v="203"/>
    <s v="1000105766"/>
    <s v="P&amp;F Segment Protector;R2-SP-IC6"/>
    <n v="12"/>
    <m/>
    <n v="12"/>
    <n v="12"/>
    <n v="0"/>
    <x v="0"/>
  </r>
  <r>
    <n v="204"/>
    <s v="1000105767"/>
    <s v="P&amp;F Segment Protector; R2-SP-IC4"/>
    <n v="5"/>
    <m/>
    <n v="5"/>
    <n v="5"/>
    <n v="0"/>
    <x v="0"/>
  </r>
  <r>
    <n v="205"/>
    <s v="1000105768"/>
    <s v="P&amp;F Segment Protector; R2-SP-IC10"/>
    <n v="25"/>
    <m/>
    <n v="25"/>
    <n v="25"/>
    <n v="0"/>
    <x v="0"/>
  </r>
  <r>
    <n v="206"/>
    <n v="1000105769"/>
    <s v="P&amp;F R2-Seperation Wall; ACC-R2-SW.3 "/>
    <n v="9"/>
    <m/>
    <n v="9"/>
    <n v="9"/>
    <n v="0"/>
    <x v="0"/>
  </r>
  <r>
    <n v="207"/>
    <s v="1000105778"/>
    <s v="Pepperl &amp; Fuch, Power Hub; HD2-DM-A; P/N: 131000 "/>
    <n v="5"/>
    <m/>
    <n v="5"/>
    <n v="5"/>
    <n v="0"/>
    <x v="0"/>
  </r>
  <r>
    <n v="208"/>
    <s v="1000105834"/>
    <s v="P&amp;F Product; NJ4-12GM50-WS; P/N: 026579 "/>
    <n v="5"/>
    <m/>
    <n v="5"/>
    <n v="5"/>
    <n v="0"/>
    <x v="0"/>
  </r>
  <r>
    <n v="209"/>
    <s v="1000105957"/>
    <s v="P&amp;F Product; LVL-M4-C-DG41500-AIAANA-CDSL..500 "/>
    <n v="3"/>
    <m/>
    <n v="3"/>
    <n v="3"/>
    <n v="0"/>
    <x v="0"/>
  </r>
  <r>
    <n v="210"/>
    <s v="1000106038"/>
    <s v="P&amp;F Product;Connector Lug Female cordset,; V1-G-N-05M-PUR; P/N: 034536 "/>
    <n v="3"/>
    <m/>
    <n v="3"/>
    <n v="3"/>
    <n v="0"/>
    <x v="0"/>
  </r>
  <r>
    <n v="211"/>
    <n v="1000106051"/>
    <s v="P&amp;F Inductive Sensor; NJ15-30GK-N; P/N:70133317"/>
    <n v="6"/>
    <m/>
    <n v="6"/>
    <n v="6"/>
    <n v="0"/>
    <x v="0"/>
  </r>
  <r>
    <n v="212"/>
    <s v="1000106052"/>
    <s v="P&amp;F Background suppression sensor; OBD200-18GM60-E4-IR-1C; P/N:70113328-100149"/>
    <n v="2"/>
    <m/>
    <n v="2"/>
    <n v="2"/>
    <n v="0"/>
    <x v="0"/>
  </r>
  <r>
    <n v="213"/>
    <s v="1000106053"/>
    <s v="P&amp;F Inductive Sensor; NBB20-U4K-N0; P/N: 70133134"/>
    <n v="6"/>
    <m/>
    <n v="6"/>
    <n v="6"/>
    <n v="0"/>
    <x v="0"/>
  </r>
  <r>
    <n v="214"/>
    <s v="1000106054"/>
    <s v="P&amp;F Inductive Sensor; V3-WM-2M-PUR; P/N: 104022"/>
    <n v="2"/>
    <m/>
    <n v="2"/>
    <n v="2"/>
    <n v="0"/>
    <x v="0"/>
  </r>
  <r>
    <n v="215"/>
    <s v="1000106055"/>
    <s v="P&amp;F Inductive Sensor; SJ3,5-S1N; P/N: 70133007"/>
    <n v="2"/>
    <m/>
    <n v="2"/>
    <n v="2"/>
    <n v="0"/>
    <x v="0"/>
  </r>
  <r>
    <n v="216"/>
    <s v="1000106058"/>
    <s v="P&amp;F Female cordset, NAMUR; V1-G-N-10M-PUR; P/N: 054138"/>
    <n v="3"/>
    <m/>
    <n v="3"/>
    <n v="3"/>
    <n v="0"/>
    <x v="0"/>
  </r>
  <r>
    <n v="217"/>
    <s v="1000106059"/>
    <s v="P&amp;F Female cordset; V1-G-15M-PUR-ABG; P/N: 207168"/>
    <n v="2"/>
    <m/>
    <n v="2"/>
    <n v="2"/>
    <n v="0"/>
    <x v="0"/>
  </r>
  <r>
    <n v="218"/>
    <s v="1000106060"/>
    <s v="P&amp;F Inductive Sensor; NJ50-FP-N-P1; P/N: 70133037"/>
    <n v="5"/>
    <m/>
    <n v="5"/>
    <n v="5"/>
    <n v="0"/>
    <x v="0"/>
  </r>
  <r>
    <n v="219"/>
    <s v="1000106062"/>
    <s v="P&amp;F Inductive Sensor; NCN8-18GM40-N0-10M; P/N: 70133268"/>
    <n v="5"/>
    <m/>
    <n v="5"/>
    <n v="5"/>
    <n v="0"/>
    <x v="0"/>
  </r>
  <r>
    <n v="220"/>
    <s v="1000106063"/>
    <s v="P&amp;F Inductive Sensor; NJ1,5-PD-E02-1.250-V95; P/N: 904455"/>
    <n v="2"/>
    <m/>
    <n v="2"/>
    <n v="2"/>
    <n v="0"/>
    <x v="0"/>
  </r>
  <r>
    <n v="221"/>
    <n v="1000106064"/>
    <s v="P&amp;F Female cordset, NAMUR; V1-G-N-15M-PUR; P/N: 038249"/>
    <n v="2"/>
    <m/>
    <n v="2"/>
    <n v="2"/>
    <n v="0"/>
    <x v="0"/>
  </r>
  <r>
    <n v="222"/>
    <s v="1000106066"/>
    <s v="P&amp;F Inductive Sensor; NJ10-30GM-N-V1; P/N: 70133315"/>
    <n v="4"/>
    <m/>
    <n v="4"/>
    <n v="4"/>
    <n v="0"/>
    <x v="0"/>
  </r>
  <r>
    <n v="223"/>
    <s v="1000106067"/>
    <s v="P&amp;F Ultrasonic sensor; UB6000-F42-I-V1-Y220443; P/U: 220443"/>
    <n v="2"/>
    <m/>
    <n v="2"/>
    <n v="2"/>
    <n v="0"/>
    <x v="0"/>
  </r>
  <r>
    <n v="224"/>
    <s v="1000106068"/>
    <s v="P&amp;F Inductive Sensor; NBB4-12GM75-US; P/N: 197866"/>
    <n v="2"/>
    <m/>
    <n v="2"/>
    <n v="2"/>
    <n v="0"/>
    <x v="0"/>
  </r>
  <r>
    <n v="225"/>
    <s v="1000106069"/>
    <s v="P&amp;F Safety thru beam sensor; SLA29-R/116; P/S: 118437"/>
    <n v="2"/>
    <m/>
    <n v="2"/>
    <n v="2"/>
    <n v="0"/>
    <x v="0"/>
  </r>
  <r>
    <n v="226"/>
    <s v="1000106070"/>
    <s v="P&amp;F Diffuse mode Sensor; OBD200-18GM60-E5-IR-1C; P/O: 70113328-100151"/>
    <n v="2"/>
    <m/>
    <n v="2"/>
    <n v="2"/>
    <n v="0"/>
    <x v="0"/>
  </r>
  <r>
    <n v="227"/>
    <s v="1000106071"/>
    <s v="P&amp;F Background suppression Sensor; RLK28-8-H-700-RT-Z/31/116; P/R: 134135"/>
    <n v="2"/>
    <m/>
    <n v="2"/>
    <n v="2"/>
    <n v="0"/>
    <x v="0"/>
  </r>
  <r>
    <n v="228"/>
    <s v="1000106072"/>
    <s v="P&amp;F Tachometer; TC-LCDC-8A-24VDC; P/T: 70103127"/>
    <n v="2"/>
    <m/>
    <n v="2"/>
    <n v="2"/>
    <n v="0"/>
    <x v="0"/>
  </r>
  <r>
    <n v="229"/>
    <s v="1000106074"/>
    <s v="P&amp;F Inductive analog sensor; IA6-12GM50-IU-Y70109008; P/I: 70109008"/>
    <n v="2"/>
    <m/>
    <n v="2"/>
    <n v="2"/>
    <n v="0"/>
    <x v="0"/>
  </r>
  <r>
    <n v="230"/>
    <s v="1000106075"/>
    <s v="P&amp;F Inductive Sensor; NJ15-30GK-N-150-Y38977; P/N: 70133190"/>
    <n v="2"/>
    <m/>
    <n v="2"/>
    <n v="2"/>
    <n v="0"/>
    <x v="0"/>
  </r>
  <r>
    <n v="231"/>
    <s v="1000106107"/>
    <s v="P&amp;F TEMPERATURE MULTI INPUT DEVICE; RDO-TI-EX8-FF.ST; P/N: 7011572"/>
    <n v="5"/>
    <m/>
    <n v="5"/>
    <n v="5"/>
    <n v="0"/>
    <x v="0"/>
  </r>
  <r>
    <n v="232"/>
    <s v="1000106108"/>
    <s v="P&amp;F Power Supply; PS1000-A6-24.5; P/N: 70103517"/>
    <n v="5"/>
    <m/>
    <n v="5"/>
    <n v="5"/>
    <n v="0"/>
    <x v="0"/>
  </r>
  <r>
    <n v="233"/>
    <s v="1000106109"/>
    <s v="P&amp;F Power Feed Module; KFD2-EB2; P/N: 189783"/>
    <n v="10"/>
    <m/>
    <n v="10"/>
    <n v="10"/>
    <n v="0"/>
    <x v="0"/>
  </r>
  <r>
    <n v="234"/>
    <s v="1000106110"/>
    <s v="P&amp;F SMART Transmitter Power Supply, KFD2-STC4-Ex1-Y1; P/N: 236680"/>
    <n v="7"/>
    <m/>
    <n v="7"/>
    <n v="7"/>
    <n v="0"/>
    <x v="0"/>
  </r>
  <r>
    <n v="235"/>
    <s v="1000106111"/>
    <s v="P&amp;F SMART TRANSMITTER SUPPLY; FI‐PFH‐NS0137‐R; P/N: 225293"/>
    <n v="5"/>
    <m/>
    <n v="5"/>
    <n v="5"/>
    <n v="0"/>
    <x v="0"/>
  </r>
  <r>
    <n v="236"/>
    <s v="1000106112"/>
    <s v="P&amp;F RELAY MODULE; KFD0‐RO‐2; P/N: 247196"/>
    <n v="10"/>
    <m/>
    <n v="10"/>
    <n v="10"/>
    <n v="0"/>
    <x v="0"/>
  </r>
  <r>
    <n v="237"/>
    <s v="1000106113"/>
    <s v="P&amp;F Compact Fieldbus Power Hub Motherboard with Common Interface; MBHC-FB-4R; P/N: 169681"/>
    <n v="2"/>
    <m/>
    <n v="2"/>
    <n v="2"/>
    <n v="0"/>
    <x v="0"/>
  </r>
  <r>
    <n v="238"/>
    <s v="1000106114"/>
    <s v="P&amp;F SWITCH AMPLIFIER; KCD2-SOT-EX1.LB; P/N: 212240"/>
    <n v="10"/>
    <m/>
    <n v="10"/>
    <n v="10"/>
    <n v="0"/>
    <x v="0"/>
  </r>
  <r>
    <n v="239"/>
    <s v="1000106115"/>
    <s v="P&amp;F SMART CURRENT DRIVER; KCD2‐SCD‐EX1; P/N: 316911"/>
    <n v="15"/>
    <m/>
    <n v="15"/>
    <n v="15"/>
    <n v="0"/>
    <x v="0"/>
  </r>
  <r>
    <n v="240"/>
    <s v="1000106116"/>
    <s v="P&amp;F Temperature Converter with Trip; KFU8‐GUT‐Ex1.D; P/N: 231229"/>
    <n v="10"/>
    <m/>
    <n v="10"/>
    <n v="10"/>
    <n v="0"/>
    <x v="0"/>
  </r>
  <r>
    <n v="241"/>
    <s v="1000106117"/>
    <s v="P&amp;F Universal Temperature Converter; KCD2-UT2-1; P/N: 70157017"/>
    <n v="13"/>
    <m/>
    <n v="13"/>
    <n v="13"/>
    <n v="0"/>
    <x v="0"/>
  </r>
  <r>
    <n v="242"/>
    <s v="1000106118"/>
    <s v="P&amp;F Frequency Converter with Direction and Synchronization Monitor; KFU8-UFT-2.D; P/N: 231201"/>
    <n v="5"/>
    <m/>
    <n v="5"/>
    <n v="5"/>
    <n v="0"/>
    <x v="0"/>
  </r>
  <r>
    <n v="243"/>
    <s v="1000106119"/>
    <s v="P&amp;F SMART Transmitter Power Supply; KCD2‐STC‐Ex1.ES; P/N: 322426"/>
    <n v="5"/>
    <m/>
    <n v="5"/>
    <n v="5"/>
    <n v="0"/>
    <x v="0"/>
  </r>
  <r>
    <n v="244"/>
    <s v="1000106120"/>
    <s v="P&amp;F Standstill and Rotational Direction; KFD2-SR2-Ex2.W.SM; P/N: 132964"/>
    <n v="10"/>
    <m/>
    <n v="10"/>
    <n v="10"/>
    <n v="0"/>
    <x v="0"/>
  </r>
  <r>
    <n v="245"/>
    <s v="1000106121"/>
    <s v="P&amp;F SMART Transmitter Power Supply; KCD2‐STC‐1.2O; P/N: 304228"/>
    <n v="9"/>
    <m/>
    <n v="9"/>
    <n v="9"/>
    <n v="0"/>
    <x v="0"/>
  </r>
  <r>
    <n v="246"/>
    <s v="1000106125"/>
    <s v="P&amp;F FIELDBUS DIAGNOSTIC HANDHELD; FDH-1; P/N: 250382"/>
    <n v="5"/>
    <m/>
    <n v="5"/>
    <n v="5"/>
    <n v="0"/>
    <x v="0"/>
  </r>
  <r>
    <n v="247"/>
    <s v="1000106182"/>
    <s v="P&amp;F Inductive Sensor; NBB2-V3-US; P/N: 094347 "/>
    <n v="2"/>
    <m/>
    <n v="2"/>
    <n v="2"/>
    <n v="0"/>
    <x v="0"/>
  </r>
  <r>
    <n v="248"/>
    <s v="1000106590"/>
    <s v="P+F R2-Seperation Wall, ACC-R2-SW3; P/N:221501"/>
    <n v="4"/>
    <m/>
    <n v="4"/>
    <n v="4"/>
    <n v="0"/>
    <x v="0"/>
  </r>
  <r>
    <n v="249"/>
    <s v="1000106591"/>
    <s v="P+F Zener Barrier; Z 978; P/N:017862"/>
    <n v="2"/>
    <m/>
    <n v="2"/>
    <n v="2"/>
    <n v="0"/>
    <x v="0"/>
  </r>
  <r>
    <n v="250"/>
    <s v="1000106594"/>
    <s v="P+F Mounting Kit; SMK 4"/>
    <n v="4"/>
    <m/>
    <n v="4"/>
    <n v="4"/>
    <n v="0"/>
    <x v="0"/>
  </r>
  <r>
    <n v="251"/>
    <s v="1000106684"/>
    <s v="P+F Compact Fieldbus Power Hub Motherboard with Redundant Host Terminals, MBHC-FB-8R.RH, P/N:225104 "/>
    <n v="2"/>
    <m/>
    <n v="2"/>
    <n v="2"/>
    <n v="0"/>
    <x v="0"/>
  </r>
  <r>
    <n v="252"/>
    <s v="1000106808"/>
    <s v="P&amp;F Product; NCB2-12GM40-Z0-V1-3G-3D; P/N:70126034 "/>
    <n v="2"/>
    <m/>
    <n v="2"/>
    <n v="2"/>
    <n v="0"/>
    <x v="0"/>
  </r>
  <r>
    <n v="253"/>
    <s v="1000107062"/>
    <s v="P&amp;F Product; UC500-30GM-E6R2-V15; P/N:102157 "/>
    <n v="3"/>
    <m/>
    <n v="3"/>
    <n v="3"/>
    <n v="0"/>
    <x v="0"/>
  </r>
  <r>
    <n v="254"/>
    <s v="1000107208"/>
    <s v="P&amp;F Product; NBB20-U1K-N0; P/N:70133099 "/>
    <n v="1"/>
    <m/>
    <n v="1"/>
    <n v="1"/>
    <n v="0"/>
    <x v="0"/>
  </r>
  <r>
    <n v="255"/>
    <s v="1000107209"/>
    <s v="P&amp;F Product; NBB8-18GM60-US; P/N:198076"/>
    <n v="5"/>
    <m/>
    <n v="5"/>
    <n v="5"/>
    <n v="0"/>
    <x v="0"/>
  </r>
  <r>
    <n v="256"/>
    <s v="1000107210"/>
    <s v="P&amp;F Product; NBB20-U1-Z2; P/N:70126034"/>
    <n v="5"/>
    <m/>
    <n v="5"/>
    <n v="5"/>
    <n v="0"/>
    <x v="0"/>
  </r>
  <r>
    <n v="257"/>
    <n v="1000107341"/>
    <s v="P&amp;F Product; R2-SP-IC4; P/N: 235826 (S/P)"/>
    <n v="138"/>
    <m/>
    <n v="138"/>
    <n v="138"/>
    <n v="0"/>
    <x v="0"/>
  </r>
  <r>
    <n v="258"/>
    <s v="1000107342"/>
    <s v=" P&amp;F Product; R2-SP-IC12; P/N: 235825 (S/P) &quot;"/>
    <n v="371"/>
    <m/>
    <n v="371"/>
    <n v="371"/>
    <n v="0"/>
    <x v="0"/>
  </r>
  <r>
    <n v="259"/>
    <s v="1000107343"/>
    <s v="P&amp;F Product; ACC-R2-SW.3; P/N:221501 (S/P)"/>
    <n v="151"/>
    <m/>
    <n v="151"/>
    <n v="151"/>
    <n v="0"/>
    <x v="0"/>
  </r>
  <r>
    <n v="260"/>
    <s v="1000107344"/>
    <s v="P&amp;F Product; R2-SP-IC6; P/N: 235827 (S/P)"/>
    <n v="14"/>
    <m/>
    <n v="14"/>
    <n v="14"/>
    <n v="0"/>
    <x v="0"/>
  </r>
  <r>
    <n v="261"/>
    <n v="1000107345"/>
    <s v="P&amp;F Product; R2-SP-IC8; P/N: 235828 (S/P)"/>
    <n v="42"/>
    <m/>
    <n v="42"/>
    <n v="42"/>
    <n v="0"/>
    <x v="0"/>
  </r>
  <r>
    <n v="262"/>
    <s v="1000107658"/>
    <s v="P&amp;F Product; NBN15-30GM40-Z0; P/N: 088214"/>
    <n v="10"/>
    <m/>
    <n v="10"/>
    <n v="10"/>
    <n v="0"/>
    <x v="0"/>
  </r>
  <r>
    <n v="263"/>
    <s v="1000107659"/>
    <s v="&quot;P&amp;F Product; NCB15-30GM50-Z5; P/N: 182912 &quot;"/>
    <n v="10"/>
    <m/>
    <n v="10"/>
    <n v="10"/>
    <n v="0"/>
    <x v="0"/>
  </r>
  <r>
    <n v="264"/>
    <n v="1000108302"/>
    <s v="P&amp;F Product; NCB40-FP-N0-P1; P/N: 70133036"/>
    <n v="4"/>
    <m/>
    <n v="4"/>
    <n v="4"/>
    <n v="0"/>
    <x v="0"/>
  </r>
  <r>
    <n v="265"/>
    <s v="1000109465"/>
    <s v="Field Installation on Trunk Model No.  TCP-LBF-IA1.36.IE.0 P&amp;F "/>
    <n v="15"/>
    <m/>
    <n v="15"/>
    <n v="15"/>
    <n v="0"/>
    <x v="0"/>
  </r>
  <r>
    <m/>
    <s v="Grand Total"/>
    <m/>
    <n v="2508"/>
    <n v="20"/>
    <n v="2528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D22B3-547B-49FD-8C7F-E0A3179DE053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scription">
  <location ref="B2:C7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0"/>
        <item x="3"/>
        <item x="1"/>
        <item h="1"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MARKS" fld="8" subtotal="count" baseField="0" baseItem="0"/>
  </dataFields>
  <formats count="34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8" type="button" dataOnly="0" labelOnly="1" outline="0" axis="axisRow" fieldPosition="0"/>
    </format>
    <format dxfId="69">
      <pivotArea dataOnly="0" labelOnly="1" fieldPosition="0">
        <references count="1">
          <reference field="8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8" type="button" dataOnly="0" labelOnly="1" outline="0" axis="axisRow" fieldPosition="0"/>
    </format>
    <format dxfId="62">
      <pivotArea dataOnly="0" labelOnly="1" fieldPosition="0">
        <references count="1">
          <reference field="8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8" type="button" dataOnly="0" labelOnly="1" outline="0" axis="axisRow" fieldPosition="0"/>
    </format>
    <format dxfId="55">
      <pivotArea dataOnly="0" labelOnly="1" outline="0" axis="axisValues" fieldPosition="0"/>
    </format>
    <format dxfId="35">
      <pivotArea field="8" type="button" dataOnly="0" labelOnly="1" outline="0" axis="axisRow" fieldPosition="0"/>
    </format>
    <format dxfId="34">
      <pivotArea dataOnly="0" labelOnly="1" outline="0" axis="axisValues" fieldPosition="0"/>
    </format>
    <format dxfId="32">
      <pivotArea field="8" type="button" dataOnly="0" labelOnly="1" outline="0" axis="axisRow" fieldPosition="0"/>
    </format>
    <format dxfId="31">
      <pivotArea dataOnly="0" labelOnly="1" outline="0" axis="axisValues" fieldPosition="0"/>
    </format>
    <format dxfId="22">
      <pivotArea field="8" type="button" dataOnly="0" labelOnly="1" outline="0" axis="axisRow" fieldPosition="0"/>
    </format>
    <format dxfId="21">
      <pivotArea dataOnly="0" labelOnly="1" outline="0" axis="axisValues" fieldPosition="0"/>
    </format>
    <format dxfId="19">
      <pivotArea field="8" type="button" dataOnly="0" labelOnly="1" outline="0" axis="axisRow" fieldPosition="0"/>
    </format>
    <format dxfId="16">
      <pivotArea dataOnly="0" labelOnly="1" outline="0" axis="axisValues" fieldPosition="0"/>
    </format>
    <format dxfId="14">
      <pivotArea field="8" type="button" dataOnly="0" labelOnly="1" outline="0" axis="axisRow" fieldPosition="0"/>
    </format>
    <format dxfId="13">
      <pivotArea dataOnly="0" labelOnly="1" outline="0" axis="axisValues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8" type="button" dataOnly="0" labelOnly="1" outline="0" axis="axisRow" fieldPosition="0"/>
    </format>
    <format dxfId="5">
      <pivotArea dataOnly="0" labelOnly="1" fieldPosition="0">
        <references count="1">
          <reference field="8" count="0"/>
        </references>
      </pivotArea>
    </format>
    <format dxfId="3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9343-6ACE-4362-AEA4-7D0DE040CB45}">
  <sheetPr>
    <tabColor rgb="FF00B050"/>
  </sheetPr>
  <dimension ref="B2:E7"/>
  <sheetViews>
    <sheetView tabSelected="1" workbookViewId="0">
      <selection activeCell="E10" sqref="E10"/>
    </sheetView>
  </sheetViews>
  <sheetFormatPr defaultRowHeight="15" x14ac:dyDescent="0.25"/>
  <cols>
    <col min="2" max="2" width="16" bestFit="1" customWidth="1"/>
    <col min="3" max="3" width="17.85546875" style="25" bestFit="1" customWidth="1"/>
    <col min="4" max="4" width="27.28515625" customWidth="1"/>
    <col min="5" max="5" width="32.7109375" customWidth="1"/>
  </cols>
  <sheetData>
    <row r="2" spans="2:5" x14ac:dyDescent="0.25">
      <c r="B2" s="27" t="s">
        <v>553</v>
      </c>
      <c r="C2" s="27" t="s">
        <v>551</v>
      </c>
      <c r="D2" s="27" t="s">
        <v>552</v>
      </c>
      <c r="E2" s="27" t="s">
        <v>554</v>
      </c>
    </row>
    <row r="3" spans="2:5" x14ac:dyDescent="0.25">
      <c r="B3" s="23" t="s">
        <v>548</v>
      </c>
      <c r="C3" s="24">
        <v>5</v>
      </c>
      <c r="D3" s="22" t="s">
        <v>555</v>
      </c>
      <c r="E3" s="22" t="s">
        <v>559</v>
      </c>
    </row>
    <row r="4" spans="2:5" x14ac:dyDescent="0.25">
      <c r="B4" s="23" t="s">
        <v>550</v>
      </c>
      <c r="C4" s="24">
        <v>255</v>
      </c>
      <c r="D4" s="22" t="s">
        <v>556</v>
      </c>
      <c r="E4" s="22" t="s">
        <v>560</v>
      </c>
    </row>
    <row r="5" spans="2:5" ht="15.75" x14ac:dyDescent="0.25">
      <c r="B5" s="23" t="s">
        <v>549</v>
      </c>
      <c r="C5" s="24">
        <v>2</v>
      </c>
      <c r="D5" s="20" t="s">
        <v>557</v>
      </c>
      <c r="E5" s="22" t="s">
        <v>560</v>
      </c>
    </row>
    <row r="6" spans="2:5" x14ac:dyDescent="0.25">
      <c r="B6" s="23" t="s">
        <v>547</v>
      </c>
      <c r="C6" s="24">
        <v>3</v>
      </c>
      <c r="D6" s="22" t="s">
        <v>558</v>
      </c>
      <c r="E6" s="22" t="s">
        <v>560</v>
      </c>
    </row>
    <row r="7" spans="2:5" x14ac:dyDescent="0.25">
      <c r="B7" s="23" t="s">
        <v>540</v>
      </c>
      <c r="C7" s="24">
        <v>265</v>
      </c>
      <c r="D7" s="22"/>
      <c r="E7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3C19-E294-43B0-85C8-E7599BF83124}">
  <sheetPr filterMode="1">
    <tabColor rgb="FFFFFF00"/>
  </sheetPr>
  <dimension ref="A1:J275"/>
  <sheetViews>
    <sheetView workbookViewId="0">
      <pane xSplit="2" ySplit="1" topLeftCell="C248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4" bestFit="1" customWidth="1"/>
    <col min="2" max="2" width="11.28515625" bestFit="1" customWidth="1"/>
    <col min="3" max="3" width="97" customWidth="1"/>
    <col min="6" max="6" width="11.28515625" bestFit="1" customWidth="1"/>
    <col min="9" max="9" width="21.42578125" customWidth="1"/>
  </cols>
  <sheetData>
    <row r="1" spans="1:9" x14ac:dyDescent="0.25">
      <c r="A1" s="5" t="s">
        <v>545</v>
      </c>
      <c r="B1" s="5" t="s">
        <v>1</v>
      </c>
      <c r="C1" s="10" t="s">
        <v>3</v>
      </c>
      <c r="D1" s="11" t="s">
        <v>18</v>
      </c>
      <c r="E1" s="11" t="s">
        <v>4</v>
      </c>
      <c r="F1" s="11" t="s">
        <v>540</v>
      </c>
      <c r="G1" s="6" t="s">
        <v>541</v>
      </c>
      <c r="H1" s="6" t="s">
        <v>542</v>
      </c>
      <c r="I1" s="6" t="s">
        <v>543</v>
      </c>
    </row>
    <row r="2" spans="1:9" ht="15.75" x14ac:dyDescent="0.25">
      <c r="A2" s="9">
        <v>1</v>
      </c>
      <c r="B2" s="9" t="s">
        <v>412</v>
      </c>
      <c r="C2" s="9" t="s">
        <v>413</v>
      </c>
      <c r="D2" s="12">
        <v>5</v>
      </c>
      <c r="E2" s="12"/>
      <c r="F2" s="12">
        <f>D2+E2</f>
        <v>5</v>
      </c>
      <c r="G2" s="9">
        <v>5</v>
      </c>
      <c r="H2" s="18">
        <f>G2-F2</f>
        <v>0</v>
      </c>
      <c r="I2" s="21" t="s">
        <v>550</v>
      </c>
    </row>
    <row r="3" spans="1:9" ht="15.75" x14ac:dyDescent="0.25">
      <c r="A3" s="9">
        <v>2</v>
      </c>
      <c r="B3" s="9" t="s">
        <v>357</v>
      </c>
      <c r="C3" s="9" t="s">
        <v>358</v>
      </c>
      <c r="D3" s="12">
        <v>21</v>
      </c>
      <c r="E3" s="12"/>
      <c r="F3" s="12">
        <f t="shared" ref="F3:F66" si="0">D3+E3</f>
        <v>21</v>
      </c>
      <c r="G3" s="9">
        <v>21</v>
      </c>
      <c r="H3" s="18">
        <f t="shared" ref="H3:H66" si="1">G3-F3</f>
        <v>0</v>
      </c>
      <c r="I3" s="21" t="s">
        <v>550</v>
      </c>
    </row>
    <row r="4" spans="1:9" ht="15.75" x14ac:dyDescent="0.25">
      <c r="A4" s="9">
        <v>3</v>
      </c>
      <c r="B4" s="9" t="s">
        <v>84</v>
      </c>
      <c r="C4" s="9" t="s">
        <v>85</v>
      </c>
      <c r="D4" s="12">
        <v>8</v>
      </c>
      <c r="E4" s="12"/>
      <c r="F4" s="12">
        <f t="shared" si="0"/>
        <v>8</v>
      </c>
      <c r="G4" s="9">
        <v>8</v>
      </c>
      <c r="H4" s="18">
        <f t="shared" si="1"/>
        <v>0</v>
      </c>
      <c r="I4" s="21" t="s">
        <v>550</v>
      </c>
    </row>
    <row r="5" spans="1:9" ht="15.75" x14ac:dyDescent="0.25">
      <c r="A5" s="9">
        <v>4</v>
      </c>
      <c r="B5" s="9" t="s">
        <v>90</v>
      </c>
      <c r="C5" s="9" t="s">
        <v>91</v>
      </c>
      <c r="D5" s="12">
        <v>19</v>
      </c>
      <c r="E5" s="12"/>
      <c r="F5" s="12">
        <f t="shared" si="0"/>
        <v>19</v>
      </c>
      <c r="G5" s="9">
        <v>19</v>
      </c>
      <c r="H5" s="18">
        <f t="shared" si="1"/>
        <v>0</v>
      </c>
      <c r="I5" s="21" t="s">
        <v>550</v>
      </c>
    </row>
    <row r="6" spans="1:9" ht="15.75" x14ac:dyDescent="0.25">
      <c r="A6" s="9">
        <v>5</v>
      </c>
      <c r="B6" s="9" t="s">
        <v>414</v>
      </c>
      <c r="C6" s="9" t="s">
        <v>415</v>
      </c>
      <c r="D6" s="12">
        <v>3</v>
      </c>
      <c r="E6" s="12"/>
      <c r="F6" s="12">
        <f t="shared" si="0"/>
        <v>3</v>
      </c>
      <c r="G6" s="9">
        <v>3</v>
      </c>
      <c r="H6" s="18">
        <f t="shared" si="1"/>
        <v>0</v>
      </c>
      <c r="I6" s="21" t="s">
        <v>550</v>
      </c>
    </row>
    <row r="7" spans="1:9" ht="15.75" x14ac:dyDescent="0.25">
      <c r="A7" s="9">
        <v>6</v>
      </c>
      <c r="B7" s="9" t="s">
        <v>466</v>
      </c>
      <c r="C7" s="9" t="s">
        <v>467</v>
      </c>
      <c r="D7" s="12">
        <v>4</v>
      </c>
      <c r="E7" s="12"/>
      <c r="F7" s="12">
        <f t="shared" si="0"/>
        <v>4</v>
      </c>
      <c r="G7" s="9">
        <v>4</v>
      </c>
      <c r="H7" s="18">
        <f t="shared" si="1"/>
        <v>0</v>
      </c>
      <c r="I7" s="21" t="s">
        <v>550</v>
      </c>
    </row>
    <row r="8" spans="1:9" ht="15.75" x14ac:dyDescent="0.25">
      <c r="A8" s="9">
        <v>7</v>
      </c>
      <c r="B8" s="9" t="s">
        <v>148</v>
      </c>
      <c r="C8" s="9" t="s">
        <v>149</v>
      </c>
      <c r="D8" s="12">
        <v>8</v>
      </c>
      <c r="E8" s="12"/>
      <c r="F8" s="12">
        <f t="shared" si="0"/>
        <v>8</v>
      </c>
      <c r="G8" s="9">
        <v>8</v>
      </c>
      <c r="H8" s="18">
        <f t="shared" si="1"/>
        <v>0</v>
      </c>
      <c r="I8" s="21" t="s">
        <v>550</v>
      </c>
    </row>
    <row r="9" spans="1:9" ht="15.75" x14ac:dyDescent="0.25">
      <c r="A9" s="9">
        <v>8</v>
      </c>
      <c r="B9" s="9" t="s">
        <v>162</v>
      </c>
      <c r="C9" s="9" t="s">
        <v>163</v>
      </c>
      <c r="D9" s="12">
        <v>6</v>
      </c>
      <c r="E9" s="12"/>
      <c r="F9" s="12">
        <f t="shared" si="0"/>
        <v>6</v>
      </c>
      <c r="G9" s="9">
        <v>6</v>
      </c>
      <c r="H9" s="18">
        <f t="shared" si="1"/>
        <v>0</v>
      </c>
      <c r="I9" s="21" t="s">
        <v>550</v>
      </c>
    </row>
    <row r="10" spans="1:9" ht="15.75" x14ac:dyDescent="0.25">
      <c r="A10" s="9">
        <v>9</v>
      </c>
      <c r="B10" s="9" t="s">
        <v>468</v>
      </c>
      <c r="C10" s="9" t="s">
        <v>469</v>
      </c>
      <c r="D10" s="12">
        <v>20</v>
      </c>
      <c r="E10" s="12"/>
      <c r="F10" s="12">
        <f t="shared" si="0"/>
        <v>20</v>
      </c>
      <c r="G10" s="9">
        <v>20</v>
      </c>
      <c r="H10" s="18">
        <f t="shared" si="1"/>
        <v>0</v>
      </c>
      <c r="I10" s="21" t="s">
        <v>550</v>
      </c>
    </row>
    <row r="11" spans="1:9" ht="15.75" x14ac:dyDescent="0.25">
      <c r="A11" s="9">
        <v>10</v>
      </c>
      <c r="B11" s="9" t="s">
        <v>86</v>
      </c>
      <c r="C11" s="9" t="s">
        <v>87</v>
      </c>
      <c r="D11" s="12">
        <v>6</v>
      </c>
      <c r="E11" s="12"/>
      <c r="F11" s="12">
        <f t="shared" si="0"/>
        <v>6</v>
      </c>
      <c r="G11" s="9">
        <v>6</v>
      </c>
      <c r="H11" s="18">
        <f t="shared" si="1"/>
        <v>0</v>
      </c>
      <c r="I11" s="21" t="s">
        <v>550</v>
      </c>
    </row>
    <row r="12" spans="1:9" ht="15.75" x14ac:dyDescent="0.25">
      <c r="A12" s="9">
        <v>11</v>
      </c>
      <c r="B12" s="9" t="s">
        <v>313</v>
      </c>
      <c r="C12" s="9" t="s">
        <v>314</v>
      </c>
      <c r="D12" s="12">
        <v>5</v>
      </c>
      <c r="E12" s="12"/>
      <c r="F12" s="12">
        <f t="shared" si="0"/>
        <v>5</v>
      </c>
      <c r="G12" s="9">
        <v>5</v>
      </c>
      <c r="H12" s="18">
        <f t="shared" si="1"/>
        <v>0</v>
      </c>
      <c r="I12" s="21" t="s">
        <v>550</v>
      </c>
    </row>
    <row r="13" spans="1:9" ht="15.75" x14ac:dyDescent="0.25">
      <c r="A13" s="9">
        <v>12</v>
      </c>
      <c r="B13" s="9" t="s">
        <v>240</v>
      </c>
      <c r="C13" s="9" t="s">
        <v>241</v>
      </c>
      <c r="D13" s="12">
        <v>3</v>
      </c>
      <c r="E13" s="12"/>
      <c r="F13" s="12">
        <f t="shared" si="0"/>
        <v>3</v>
      </c>
      <c r="G13" s="9">
        <v>3</v>
      </c>
      <c r="H13" s="18">
        <f t="shared" si="1"/>
        <v>0</v>
      </c>
      <c r="I13" s="21" t="s">
        <v>550</v>
      </c>
    </row>
    <row r="14" spans="1:9" ht="15.75" x14ac:dyDescent="0.25">
      <c r="A14" s="9">
        <v>13</v>
      </c>
      <c r="B14" s="9" t="s">
        <v>242</v>
      </c>
      <c r="C14" s="9" t="s">
        <v>243</v>
      </c>
      <c r="D14" s="12">
        <v>3</v>
      </c>
      <c r="E14" s="12"/>
      <c r="F14" s="12">
        <f t="shared" si="0"/>
        <v>3</v>
      </c>
      <c r="G14" s="9">
        <v>3</v>
      </c>
      <c r="H14" s="18">
        <f t="shared" si="1"/>
        <v>0</v>
      </c>
      <c r="I14" s="21" t="s">
        <v>550</v>
      </c>
    </row>
    <row r="15" spans="1:9" ht="15.75" x14ac:dyDescent="0.25">
      <c r="A15" s="9">
        <v>14</v>
      </c>
      <c r="B15" s="9" t="s">
        <v>88</v>
      </c>
      <c r="C15" s="9" t="s">
        <v>89</v>
      </c>
      <c r="D15" s="12">
        <v>1</v>
      </c>
      <c r="E15" s="12"/>
      <c r="F15" s="12">
        <f t="shared" si="0"/>
        <v>1</v>
      </c>
      <c r="G15" s="9">
        <v>1</v>
      </c>
      <c r="H15" s="18">
        <f t="shared" si="1"/>
        <v>0</v>
      </c>
      <c r="I15" s="21" t="s">
        <v>550</v>
      </c>
    </row>
    <row r="16" spans="1:9" ht="15.75" x14ac:dyDescent="0.25">
      <c r="A16" s="9">
        <v>15</v>
      </c>
      <c r="B16" s="9" t="s">
        <v>150</v>
      </c>
      <c r="C16" s="9" t="s">
        <v>151</v>
      </c>
      <c r="D16" s="12">
        <v>21</v>
      </c>
      <c r="E16" s="12"/>
      <c r="F16" s="12">
        <f t="shared" si="0"/>
        <v>21</v>
      </c>
      <c r="G16" s="15">
        <v>21</v>
      </c>
      <c r="H16" s="18">
        <f t="shared" si="1"/>
        <v>0</v>
      </c>
      <c r="I16" s="21" t="s">
        <v>550</v>
      </c>
    </row>
    <row r="17" spans="1:9" ht="15.75" x14ac:dyDescent="0.25">
      <c r="A17" s="9">
        <v>16</v>
      </c>
      <c r="B17" s="9" t="s">
        <v>152</v>
      </c>
      <c r="C17" s="9" t="s">
        <v>153</v>
      </c>
      <c r="D17" s="12">
        <v>10</v>
      </c>
      <c r="E17" s="12"/>
      <c r="F17" s="12">
        <f t="shared" si="0"/>
        <v>10</v>
      </c>
      <c r="G17" s="9">
        <v>10</v>
      </c>
      <c r="H17" s="18">
        <f t="shared" si="1"/>
        <v>0</v>
      </c>
      <c r="I17" s="21" t="s">
        <v>550</v>
      </c>
    </row>
    <row r="18" spans="1:9" ht="15.75" x14ac:dyDescent="0.25">
      <c r="A18" s="9">
        <v>17</v>
      </c>
      <c r="B18" s="9" t="s">
        <v>470</v>
      </c>
      <c r="C18" s="9" t="s">
        <v>471</v>
      </c>
      <c r="D18" s="12">
        <v>5</v>
      </c>
      <c r="E18" s="12"/>
      <c r="F18" s="12">
        <f t="shared" si="0"/>
        <v>5</v>
      </c>
      <c r="G18" s="9">
        <v>5</v>
      </c>
      <c r="H18" s="18">
        <f t="shared" si="1"/>
        <v>0</v>
      </c>
      <c r="I18" s="21" t="s">
        <v>550</v>
      </c>
    </row>
    <row r="19" spans="1:9" ht="15.75" x14ac:dyDescent="0.25">
      <c r="A19" s="9">
        <v>18</v>
      </c>
      <c r="B19" s="9" t="s">
        <v>472</v>
      </c>
      <c r="C19" s="9" t="s">
        <v>473</v>
      </c>
      <c r="D19" s="12">
        <v>5</v>
      </c>
      <c r="E19" s="12"/>
      <c r="F19" s="12">
        <f t="shared" si="0"/>
        <v>5</v>
      </c>
      <c r="G19" s="9">
        <v>5</v>
      </c>
      <c r="H19" s="18">
        <f t="shared" si="1"/>
        <v>0</v>
      </c>
      <c r="I19" s="21" t="s">
        <v>550</v>
      </c>
    </row>
    <row r="20" spans="1:9" ht="15.75" x14ac:dyDescent="0.25">
      <c r="A20" s="9">
        <v>19</v>
      </c>
      <c r="B20" s="9" t="s">
        <v>474</v>
      </c>
      <c r="C20" s="9" t="s">
        <v>475</v>
      </c>
      <c r="D20" s="12">
        <v>5</v>
      </c>
      <c r="E20" s="12"/>
      <c r="F20" s="12">
        <f t="shared" si="0"/>
        <v>5</v>
      </c>
      <c r="G20" s="9">
        <v>5</v>
      </c>
      <c r="H20" s="18">
        <f t="shared" si="1"/>
        <v>0</v>
      </c>
      <c r="I20" s="21" t="s">
        <v>550</v>
      </c>
    </row>
    <row r="21" spans="1:9" ht="15.75" x14ac:dyDescent="0.25">
      <c r="A21" s="9">
        <v>20</v>
      </c>
      <c r="B21" s="9" t="s">
        <v>416</v>
      </c>
      <c r="C21" s="9" t="s">
        <v>417</v>
      </c>
      <c r="D21" s="12">
        <v>6</v>
      </c>
      <c r="E21" s="12"/>
      <c r="F21" s="12">
        <f t="shared" si="0"/>
        <v>6</v>
      </c>
      <c r="G21" s="9">
        <v>6</v>
      </c>
      <c r="H21" s="18">
        <f t="shared" si="1"/>
        <v>0</v>
      </c>
      <c r="I21" s="21" t="s">
        <v>550</v>
      </c>
    </row>
    <row r="22" spans="1:9" ht="15.75" x14ac:dyDescent="0.25">
      <c r="A22" s="9">
        <v>21</v>
      </c>
      <c r="B22" s="9" t="s">
        <v>154</v>
      </c>
      <c r="C22" s="9" t="s">
        <v>155</v>
      </c>
      <c r="D22" s="12">
        <v>11</v>
      </c>
      <c r="E22" s="12"/>
      <c r="F22" s="12">
        <f t="shared" si="0"/>
        <v>11</v>
      </c>
      <c r="G22" s="9">
        <v>11</v>
      </c>
      <c r="H22" s="18">
        <f t="shared" si="1"/>
        <v>0</v>
      </c>
      <c r="I22" s="21" t="s">
        <v>550</v>
      </c>
    </row>
    <row r="23" spans="1:9" ht="15.75" x14ac:dyDescent="0.25">
      <c r="A23" s="9">
        <v>22</v>
      </c>
      <c r="B23" s="9" t="s">
        <v>476</v>
      </c>
      <c r="C23" s="9" t="s">
        <v>477</v>
      </c>
      <c r="D23" s="12">
        <v>5</v>
      </c>
      <c r="E23" s="12"/>
      <c r="F23" s="12">
        <f t="shared" si="0"/>
        <v>5</v>
      </c>
      <c r="G23" s="9">
        <v>5</v>
      </c>
      <c r="H23" s="18">
        <f t="shared" si="1"/>
        <v>0</v>
      </c>
      <c r="I23" s="21" t="s">
        <v>550</v>
      </c>
    </row>
    <row r="24" spans="1:9" ht="15.75" x14ac:dyDescent="0.25">
      <c r="A24" s="9">
        <v>23</v>
      </c>
      <c r="B24" s="9" t="s">
        <v>156</v>
      </c>
      <c r="C24" s="9" t="s">
        <v>157</v>
      </c>
      <c r="D24" s="12">
        <v>8</v>
      </c>
      <c r="E24" s="12"/>
      <c r="F24" s="12">
        <f t="shared" si="0"/>
        <v>8</v>
      </c>
      <c r="G24" s="9">
        <v>8</v>
      </c>
      <c r="H24" s="18">
        <f t="shared" si="1"/>
        <v>0</v>
      </c>
      <c r="I24" s="21" t="s">
        <v>550</v>
      </c>
    </row>
    <row r="25" spans="1:9" ht="15.75" x14ac:dyDescent="0.25">
      <c r="A25" s="9">
        <v>24</v>
      </c>
      <c r="B25" s="9" t="s">
        <v>19</v>
      </c>
      <c r="C25" s="9" t="s">
        <v>20</v>
      </c>
      <c r="D25" s="12">
        <v>8</v>
      </c>
      <c r="E25" s="12"/>
      <c r="F25" s="12">
        <f t="shared" si="0"/>
        <v>8</v>
      </c>
      <c r="G25" s="9">
        <v>8</v>
      </c>
      <c r="H25" s="18">
        <f t="shared" si="1"/>
        <v>0</v>
      </c>
      <c r="I25" s="21" t="s">
        <v>550</v>
      </c>
    </row>
    <row r="26" spans="1:9" ht="15.75" x14ac:dyDescent="0.25">
      <c r="A26" s="9">
        <v>25</v>
      </c>
      <c r="B26" s="9" t="s">
        <v>359</v>
      </c>
      <c r="C26" s="9" t="s">
        <v>360</v>
      </c>
      <c r="D26" s="12">
        <v>10</v>
      </c>
      <c r="E26" s="12"/>
      <c r="F26" s="12">
        <f t="shared" si="0"/>
        <v>10</v>
      </c>
      <c r="G26" s="9">
        <v>10</v>
      </c>
      <c r="H26" s="18">
        <f t="shared" si="1"/>
        <v>0</v>
      </c>
      <c r="I26" s="21" t="s">
        <v>550</v>
      </c>
    </row>
    <row r="27" spans="1:9" ht="15.75" x14ac:dyDescent="0.25">
      <c r="A27" s="9">
        <v>26</v>
      </c>
      <c r="B27" s="9" t="s">
        <v>244</v>
      </c>
      <c r="C27" s="9" t="s">
        <v>245</v>
      </c>
      <c r="D27" s="12">
        <v>6</v>
      </c>
      <c r="E27" s="12"/>
      <c r="F27" s="12">
        <f t="shared" si="0"/>
        <v>6</v>
      </c>
      <c r="G27" s="9">
        <v>6</v>
      </c>
      <c r="H27" s="18">
        <f t="shared" si="1"/>
        <v>0</v>
      </c>
      <c r="I27" s="21" t="s">
        <v>550</v>
      </c>
    </row>
    <row r="28" spans="1:9" ht="15.75" x14ac:dyDescent="0.25">
      <c r="A28" s="9">
        <v>27</v>
      </c>
      <c r="B28" s="9" t="s">
        <v>478</v>
      </c>
      <c r="C28" s="9" t="s">
        <v>479</v>
      </c>
      <c r="D28" s="12">
        <v>10</v>
      </c>
      <c r="E28" s="12"/>
      <c r="F28" s="12">
        <f t="shared" si="0"/>
        <v>10</v>
      </c>
      <c r="G28" s="9">
        <v>10</v>
      </c>
      <c r="H28" s="18">
        <f t="shared" si="1"/>
        <v>0</v>
      </c>
      <c r="I28" s="21" t="s">
        <v>550</v>
      </c>
    </row>
    <row r="29" spans="1:9" ht="15.75" x14ac:dyDescent="0.25">
      <c r="A29" s="9">
        <v>28</v>
      </c>
      <c r="B29" s="9" t="s">
        <v>246</v>
      </c>
      <c r="C29" s="9" t="s">
        <v>247</v>
      </c>
      <c r="D29" s="12">
        <v>1</v>
      </c>
      <c r="E29" s="12"/>
      <c r="F29" s="12">
        <f t="shared" si="0"/>
        <v>1</v>
      </c>
      <c r="G29" s="9">
        <v>1</v>
      </c>
      <c r="H29" s="18">
        <f t="shared" si="1"/>
        <v>0</v>
      </c>
      <c r="I29" s="21" t="s">
        <v>550</v>
      </c>
    </row>
    <row r="30" spans="1:9" x14ac:dyDescent="0.25">
      <c r="A30" s="9">
        <v>29</v>
      </c>
      <c r="B30" s="9">
        <v>1000010121</v>
      </c>
      <c r="C30" s="9" t="s">
        <v>481</v>
      </c>
      <c r="D30" s="12">
        <v>65</v>
      </c>
      <c r="E30" s="12"/>
      <c r="F30" s="12">
        <f t="shared" si="0"/>
        <v>65</v>
      </c>
      <c r="G30" s="9">
        <v>5</v>
      </c>
      <c r="H30" s="18">
        <f t="shared" si="1"/>
        <v>-60</v>
      </c>
      <c r="I30" s="9" t="s">
        <v>547</v>
      </c>
    </row>
    <row r="31" spans="1:9" ht="15.75" x14ac:dyDescent="0.25">
      <c r="A31" s="9">
        <v>30</v>
      </c>
      <c r="B31" s="9" t="s">
        <v>418</v>
      </c>
      <c r="C31" s="9" t="s">
        <v>419</v>
      </c>
      <c r="D31" s="12">
        <v>2</v>
      </c>
      <c r="E31" s="12"/>
      <c r="F31" s="12">
        <f t="shared" si="0"/>
        <v>2</v>
      </c>
      <c r="G31" s="9">
        <v>2</v>
      </c>
      <c r="H31" s="18">
        <f t="shared" si="1"/>
        <v>0</v>
      </c>
      <c r="I31" s="21" t="s">
        <v>550</v>
      </c>
    </row>
    <row r="32" spans="1:9" ht="15.75" x14ac:dyDescent="0.25">
      <c r="A32" s="9">
        <v>31</v>
      </c>
      <c r="B32" s="9" t="s">
        <v>482</v>
      </c>
      <c r="C32" s="9" t="s">
        <v>483</v>
      </c>
      <c r="D32" s="12">
        <v>2</v>
      </c>
      <c r="E32" s="12"/>
      <c r="F32" s="12">
        <f t="shared" si="0"/>
        <v>2</v>
      </c>
      <c r="G32" s="9">
        <v>2</v>
      </c>
      <c r="H32" s="18">
        <f t="shared" si="1"/>
        <v>0</v>
      </c>
      <c r="I32" s="21" t="s">
        <v>550</v>
      </c>
    </row>
    <row r="33" spans="1:9" ht="15.75" x14ac:dyDescent="0.25">
      <c r="A33" s="9">
        <v>32</v>
      </c>
      <c r="B33" s="9" t="s">
        <v>361</v>
      </c>
      <c r="C33" s="9" t="s">
        <v>362</v>
      </c>
      <c r="D33" s="12">
        <v>1</v>
      </c>
      <c r="E33" s="12"/>
      <c r="F33" s="12">
        <f t="shared" si="0"/>
        <v>1</v>
      </c>
      <c r="G33" s="9">
        <v>1</v>
      </c>
      <c r="H33" s="18">
        <f t="shared" si="1"/>
        <v>0</v>
      </c>
      <c r="I33" s="21" t="s">
        <v>550</v>
      </c>
    </row>
    <row r="34" spans="1:9" ht="15.75" x14ac:dyDescent="0.25">
      <c r="A34" s="9">
        <v>33</v>
      </c>
      <c r="B34" s="9" t="s">
        <v>363</v>
      </c>
      <c r="C34" s="9" t="s">
        <v>364</v>
      </c>
      <c r="D34" s="12">
        <v>30</v>
      </c>
      <c r="E34" s="12"/>
      <c r="F34" s="12">
        <f t="shared" si="0"/>
        <v>30</v>
      </c>
      <c r="G34" s="9">
        <v>30</v>
      </c>
      <c r="H34" s="18">
        <f t="shared" si="1"/>
        <v>0</v>
      </c>
      <c r="I34" s="21" t="s">
        <v>550</v>
      </c>
    </row>
    <row r="35" spans="1:9" ht="15.75" x14ac:dyDescent="0.25">
      <c r="A35" s="9">
        <v>34</v>
      </c>
      <c r="B35" s="9" t="s">
        <v>21</v>
      </c>
      <c r="C35" s="9" t="s">
        <v>22</v>
      </c>
      <c r="D35" s="12">
        <v>8</v>
      </c>
      <c r="E35" s="12"/>
      <c r="F35" s="12">
        <f t="shared" si="0"/>
        <v>8</v>
      </c>
      <c r="G35" s="9">
        <v>8</v>
      </c>
      <c r="H35" s="18">
        <f t="shared" si="1"/>
        <v>0</v>
      </c>
      <c r="I35" s="21" t="s">
        <v>550</v>
      </c>
    </row>
    <row r="36" spans="1:9" x14ac:dyDescent="0.25">
      <c r="A36" s="9">
        <v>35</v>
      </c>
      <c r="B36" s="9" t="s">
        <v>158</v>
      </c>
      <c r="C36" s="9" t="s">
        <v>159</v>
      </c>
      <c r="D36" s="12">
        <v>8</v>
      </c>
      <c r="E36" s="12"/>
      <c r="F36" s="12">
        <f t="shared" si="0"/>
        <v>8</v>
      </c>
      <c r="G36" s="9">
        <v>1</v>
      </c>
      <c r="H36" s="18">
        <f t="shared" si="1"/>
        <v>-7</v>
      </c>
      <c r="I36" s="9" t="s">
        <v>547</v>
      </c>
    </row>
    <row r="37" spans="1:9" ht="15.75" x14ac:dyDescent="0.25">
      <c r="A37" s="9">
        <v>36</v>
      </c>
      <c r="B37" s="9" t="s">
        <v>160</v>
      </c>
      <c r="C37" s="9" t="s">
        <v>161</v>
      </c>
      <c r="D37" s="12">
        <v>1</v>
      </c>
      <c r="E37" s="12"/>
      <c r="F37" s="12">
        <f t="shared" si="0"/>
        <v>1</v>
      </c>
      <c r="G37" s="9">
        <v>1</v>
      </c>
      <c r="H37" s="18">
        <f t="shared" si="1"/>
        <v>0</v>
      </c>
      <c r="I37" s="21" t="s">
        <v>550</v>
      </c>
    </row>
    <row r="38" spans="1:9" ht="15.75" x14ac:dyDescent="0.25">
      <c r="A38" s="9">
        <v>37</v>
      </c>
      <c r="B38" s="9" t="s">
        <v>420</v>
      </c>
      <c r="C38" s="9" t="s">
        <v>421</v>
      </c>
      <c r="D38" s="12">
        <v>3</v>
      </c>
      <c r="E38" s="12"/>
      <c r="F38" s="12">
        <f t="shared" si="0"/>
        <v>3</v>
      </c>
      <c r="G38" s="9">
        <v>3</v>
      </c>
      <c r="H38" s="18">
        <f t="shared" si="1"/>
        <v>0</v>
      </c>
      <c r="I38" s="21" t="s">
        <v>550</v>
      </c>
    </row>
    <row r="39" spans="1:9" ht="15.75" x14ac:dyDescent="0.25">
      <c r="A39" s="9">
        <v>38</v>
      </c>
      <c r="B39" s="9" t="s">
        <v>365</v>
      </c>
      <c r="C39" s="15" t="s">
        <v>366</v>
      </c>
      <c r="D39" s="12">
        <v>17</v>
      </c>
      <c r="E39" s="12"/>
      <c r="F39" s="12">
        <f t="shared" si="0"/>
        <v>17</v>
      </c>
      <c r="G39" s="9">
        <v>17</v>
      </c>
      <c r="H39" s="18">
        <f t="shared" si="1"/>
        <v>0</v>
      </c>
      <c r="I39" s="21" t="s">
        <v>550</v>
      </c>
    </row>
    <row r="40" spans="1:9" ht="15.75" x14ac:dyDescent="0.25">
      <c r="A40" s="9">
        <v>39</v>
      </c>
      <c r="B40" s="9" t="s">
        <v>315</v>
      </c>
      <c r="C40" s="9" t="s">
        <v>316</v>
      </c>
      <c r="D40" s="12">
        <v>6</v>
      </c>
      <c r="E40" s="12"/>
      <c r="F40" s="12">
        <f t="shared" si="0"/>
        <v>6</v>
      </c>
      <c r="G40" s="9">
        <v>6</v>
      </c>
      <c r="H40" s="18">
        <f t="shared" si="1"/>
        <v>0</v>
      </c>
      <c r="I40" s="21" t="s">
        <v>550</v>
      </c>
    </row>
    <row r="41" spans="1:9" ht="15.75" x14ac:dyDescent="0.25">
      <c r="A41" s="9">
        <v>40</v>
      </c>
      <c r="B41" s="9" t="s">
        <v>248</v>
      </c>
      <c r="C41" s="9" t="s">
        <v>249</v>
      </c>
      <c r="D41" s="12">
        <v>3</v>
      </c>
      <c r="E41" s="12"/>
      <c r="F41" s="12">
        <f t="shared" si="0"/>
        <v>3</v>
      </c>
      <c r="G41" s="9">
        <v>3</v>
      </c>
      <c r="H41" s="18">
        <f t="shared" si="1"/>
        <v>0</v>
      </c>
      <c r="I41" s="21" t="s">
        <v>550</v>
      </c>
    </row>
    <row r="42" spans="1:9" ht="15.75" x14ac:dyDescent="0.25">
      <c r="A42" s="9">
        <v>41</v>
      </c>
      <c r="B42" s="9" t="s">
        <v>367</v>
      </c>
      <c r="C42" s="9" t="s">
        <v>368</v>
      </c>
      <c r="D42" s="12">
        <v>3</v>
      </c>
      <c r="E42" s="12"/>
      <c r="F42" s="12">
        <f t="shared" si="0"/>
        <v>3</v>
      </c>
      <c r="G42" s="9">
        <v>3</v>
      </c>
      <c r="H42" s="18">
        <f t="shared" si="1"/>
        <v>0</v>
      </c>
      <c r="I42" s="21" t="s">
        <v>550</v>
      </c>
    </row>
    <row r="43" spans="1:9" ht="15.75" x14ac:dyDescent="0.25">
      <c r="A43" s="9">
        <v>42</v>
      </c>
      <c r="B43" s="9" t="s">
        <v>422</v>
      </c>
      <c r="C43" s="9" t="s">
        <v>423</v>
      </c>
      <c r="D43" s="12">
        <v>5</v>
      </c>
      <c r="E43" s="12"/>
      <c r="F43" s="12">
        <f t="shared" si="0"/>
        <v>5</v>
      </c>
      <c r="G43" s="9">
        <v>5</v>
      </c>
      <c r="H43" s="18">
        <f t="shared" si="1"/>
        <v>0</v>
      </c>
      <c r="I43" s="21" t="s">
        <v>550</v>
      </c>
    </row>
    <row r="44" spans="1:9" x14ac:dyDescent="0.25">
      <c r="A44" s="9">
        <v>43</v>
      </c>
      <c r="B44" s="9" t="s">
        <v>14</v>
      </c>
      <c r="C44" s="9" t="s">
        <v>15</v>
      </c>
      <c r="D44" s="12">
        <v>21</v>
      </c>
      <c r="E44" s="12">
        <v>10</v>
      </c>
      <c r="F44" s="12">
        <f t="shared" si="0"/>
        <v>31</v>
      </c>
      <c r="G44" s="9">
        <v>21</v>
      </c>
      <c r="H44" s="18">
        <f t="shared" si="1"/>
        <v>-10</v>
      </c>
      <c r="I44" s="17" t="s">
        <v>548</v>
      </c>
    </row>
    <row r="45" spans="1:9" ht="15.75" x14ac:dyDescent="0.25">
      <c r="A45" s="9">
        <v>44</v>
      </c>
      <c r="B45" s="9" t="s">
        <v>369</v>
      </c>
      <c r="C45" s="9" t="s">
        <v>370</v>
      </c>
      <c r="D45" s="12">
        <v>1</v>
      </c>
      <c r="E45" s="12"/>
      <c r="F45" s="12">
        <f t="shared" si="0"/>
        <v>1</v>
      </c>
      <c r="G45" s="9">
        <v>1</v>
      </c>
      <c r="H45" s="18">
        <f t="shared" si="1"/>
        <v>0</v>
      </c>
      <c r="I45" s="21" t="s">
        <v>550</v>
      </c>
    </row>
    <row r="46" spans="1:9" ht="15.75" x14ac:dyDescent="0.25">
      <c r="A46" s="9">
        <v>45</v>
      </c>
      <c r="B46" s="9" t="s">
        <v>164</v>
      </c>
      <c r="C46" s="9" t="s">
        <v>165</v>
      </c>
      <c r="D46" s="12">
        <v>13</v>
      </c>
      <c r="E46" s="12"/>
      <c r="F46" s="12">
        <f t="shared" si="0"/>
        <v>13</v>
      </c>
      <c r="G46" s="9">
        <v>13</v>
      </c>
      <c r="H46" s="18">
        <f t="shared" si="1"/>
        <v>0</v>
      </c>
      <c r="I46" s="21" t="s">
        <v>550</v>
      </c>
    </row>
    <row r="47" spans="1:9" ht="15.75" x14ac:dyDescent="0.25">
      <c r="A47" s="9">
        <v>46</v>
      </c>
      <c r="B47" s="9" t="s">
        <v>23</v>
      </c>
      <c r="C47" s="9" t="s">
        <v>24</v>
      </c>
      <c r="D47" s="12">
        <v>11</v>
      </c>
      <c r="E47" s="12"/>
      <c r="F47" s="12">
        <f t="shared" si="0"/>
        <v>11</v>
      </c>
      <c r="G47" s="9">
        <v>11</v>
      </c>
      <c r="H47" s="18">
        <f t="shared" si="1"/>
        <v>0</v>
      </c>
      <c r="I47" s="21" t="s">
        <v>550</v>
      </c>
    </row>
    <row r="48" spans="1:9" ht="15.75" x14ac:dyDescent="0.25">
      <c r="A48" s="9">
        <v>47</v>
      </c>
      <c r="B48" s="9" t="s">
        <v>25</v>
      </c>
      <c r="C48" s="9" t="s">
        <v>26</v>
      </c>
      <c r="D48" s="12">
        <v>1</v>
      </c>
      <c r="E48" s="12"/>
      <c r="F48" s="12">
        <f t="shared" si="0"/>
        <v>1</v>
      </c>
      <c r="G48" s="9">
        <v>1</v>
      </c>
      <c r="H48" s="18">
        <f t="shared" si="1"/>
        <v>0</v>
      </c>
      <c r="I48" s="21" t="s">
        <v>550</v>
      </c>
    </row>
    <row r="49" spans="1:9" ht="15.75" x14ac:dyDescent="0.25">
      <c r="A49" s="9">
        <v>48</v>
      </c>
      <c r="B49" s="9" t="s">
        <v>166</v>
      </c>
      <c r="C49" s="9" t="s">
        <v>167</v>
      </c>
      <c r="D49" s="12">
        <v>6</v>
      </c>
      <c r="E49" s="12"/>
      <c r="F49" s="12">
        <f t="shared" si="0"/>
        <v>6</v>
      </c>
      <c r="G49" s="9">
        <v>6</v>
      </c>
      <c r="H49" s="18">
        <f t="shared" si="1"/>
        <v>0</v>
      </c>
      <c r="I49" s="21" t="s">
        <v>550</v>
      </c>
    </row>
    <row r="50" spans="1:9" ht="15.75" x14ac:dyDescent="0.25">
      <c r="A50" s="9">
        <v>49</v>
      </c>
      <c r="B50" s="9" t="s">
        <v>484</v>
      </c>
      <c r="C50" s="9" t="s">
        <v>485</v>
      </c>
      <c r="D50" s="12">
        <v>5</v>
      </c>
      <c r="E50" s="12"/>
      <c r="F50" s="12">
        <f t="shared" si="0"/>
        <v>5</v>
      </c>
      <c r="G50" s="9">
        <v>5</v>
      </c>
      <c r="H50" s="18">
        <f t="shared" si="1"/>
        <v>0</v>
      </c>
      <c r="I50" s="21" t="s">
        <v>550</v>
      </c>
    </row>
    <row r="51" spans="1:9" ht="15.75" x14ac:dyDescent="0.25">
      <c r="A51" s="9">
        <v>50</v>
      </c>
      <c r="B51" s="9" t="s">
        <v>27</v>
      </c>
      <c r="C51" s="9" t="s">
        <v>28</v>
      </c>
      <c r="D51" s="12">
        <v>1</v>
      </c>
      <c r="E51" s="12"/>
      <c r="F51" s="12">
        <f t="shared" si="0"/>
        <v>1</v>
      </c>
      <c r="G51" s="9">
        <v>1</v>
      </c>
      <c r="H51" s="18">
        <f t="shared" si="1"/>
        <v>0</v>
      </c>
      <c r="I51" s="21" t="s">
        <v>550</v>
      </c>
    </row>
    <row r="52" spans="1:9" ht="15.75" x14ac:dyDescent="0.25">
      <c r="A52" s="9">
        <v>51</v>
      </c>
      <c r="B52" s="9" t="s">
        <v>486</v>
      </c>
      <c r="C52" s="9" t="s">
        <v>487</v>
      </c>
      <c r="D52" s="12">
        <v>1</v>
      </c>
      <c r="E52" s="12"/>
      <c r="F52" s="12">
        <f t="shared" si="0"/>
        <v>1</v>
      </c>
      <c r="G52" s="9">
        <v>1</v>
      </c>
      <c r="H52" s="18">
        <f t="shared" si="1"/>
        <v>0</v>
      </c>
      <c r="I52" s="21" t="s">
        <v>550</v>
      </c>
    </row>
    <row r="53" spans="1:9" ht="15.75" x14ac:dyDescent="0.25">
      <c r="A53" s="9">
        <v>52</v>
      </c>
      <c r="B53" s="9" t="s">
        <v>371</v>
      </c>
      <c r="C53" s="9" t="s">
        <v>372</v>
      </c>
      <c r="D53" s="12">
        <v>1</v>
      </c>
      <c r="E53" s="12"/>
      <c r="F53" s="12">
        <f t="shared" si="0"/>
        <v>1</v>
      </c>
      <c r="G53" s="9">
        <v>1</v>
      </c>
      <c r="H53" s="18">
        <f t="shared" si="1"/>
        <v>0</v>
      </c>
      <c r="I53" s="21" t="s">
        <v>550</v>
      </c>
    </row>
    <row r="54" spans="1:9" ht="15.75" x14ac:dyDescent="0.25">
      <c r="A54" s="9">
        <v>53</v>
      </c>
      <c r="B54" s="9" t="s">
        <v>29</v>
      </c>
      <c r="C54" s="9" t="s">
        <v>30</v>
      </c>
      <c r="D54" s="12">
        <v>10</v>
      </c>
      <c r="E54" s="12"/>
      <c r="F54" s="12">
        <f t="shared" si="0"/>
        <v>10</v>
      </c>
      <c r="G54" s="9">
        <v>10</v>
      </c>
      <c r="H54" s="18">
        <f t="shared" si="1"/>
        <v>0</v>
      </c>
      <c r="I54" s="21" t="s">
        <v>550</v>
      </c>
    </row>
    <row r="55" spans="1:9" ht="15.75" x14ac:dyDescent="0.25">
      <c r="A55" s="9">
        <v>54</v>
      </c>
      <c r="B55" s="9" t="s">
        <v>488</v>
      </c>
      <c r="C55" s="9" t="s">
        <v>489</v>
      </c>
      <c r="D55" s="12">
        <v>7</v>
      </c>
      <c r="E55" s="12"/>
      <c r="F55" s="12">
        <f t="shared" si="0"/>
        <v>7</v>
      </c>
      <c r="G55" s="9">
        <v>7</v>
      </c>
      <c r="H55" s="18">
        <f t="shared" si="1"/>
        <v>0</v>
      </c>
      <c r="I55" s="21" t="s">
        <v>550</v>
      </c>
    </row>
    <row r="56" spans="1:9" ht="15.75" x14ac:dyDescent="0.25">
      <c r="A56" s="9">
        <v>55</v>
      </c>
      <c r="B56" s="9" t="s">
        <v>94</v>
      </c>
      <c r="C56" s="9" t="s">
        <v>95</v>
      </c>
      <c r="D56" s="12">
        <v>5</v>
      </c>
      <c r="E56" s="12"/>
      <c r="F56" s="12">
        <f t="shared" si="0"/>
        <v>5</v>
      </c>
      <c r="G56" s="9">
        <v>5</v>
      </c>
      <c r="H56" s="18">
        <f t="shared" si="1"/>
        <v>0</v>
      </c>
      <c r="I56" s="21" t="s">
        <v>550</v>
      </c>
    </row>
    <row r="57" spans="1:9" ht="15.75" x14ac:dyDescent="0.25">
      <c r="A57" s="9">
        <v>56</v>
      </c>
      <c r="B57" s="9" t="s">
        <v>96</v>
      </c>
      <c r="C57" s="9" t="s">
        <v>97</v>
      </c>
      <c r="D57" s="12">
        <v>2</v>
      </c>
      <c r="E57" s="12"/>
      <c r="F57" s="12">
        <f t="shared" si="0"/>
        <v>2</v>
      </c>
      <c r="G57" s="9">
        <v>2</v>
      </c>
      <c r="H57" s="18">
        <f t="shared" si="1"/>
        <v>0</v>
      </c>
      <c r="I57" s="21" t="s">
        <v>550</v>
      </c>
    </row>
    <row r="58" spans="1:9" ht="15.75" x14ac:dyDescent="0.25">
      <c r="A58" s="9">
        <v>57</v>
      </c>
      <c r="B58" s="9" t="s">
        <v>373</v>
      </c>
      <c r="C58" s="9" t="s">
        <v>374</v>
      </c>
      <c r="D58" s="12">
        <v>6</v>
      </c>
      <c r="E58" s="12"/>
      <c r="F58" s="12">
        <f t="shared" si="0"/>
        <v>6</v>
      </c>
      <c r="G58" s="9">
        <v>6</v>
      </c>
      <c r="H58" s="18">
        <f t="shared" si="1"/>
        <v>0</v>
      </c>
      <c r="I58" s="21" t="s">
        <v>550</v>
      </c>
    </row>
    <row r="59" spans="1:9" ht="15.75" x14ac:dyDescent="0.25">
      <c r="A59" s="9">
        <v>58</v>
      </c>
      <c r="B59" s="9" t="s">
        <v>31</v>
      </c>
      <c r="C59" s="9" t="s">
        <v>32</v>
      </c>
      <c r="D59" s="12">
        <v>5</v>
      </c>
      <c r="E59" s="12"/>
      <c r="F59" s="12">
        <f t="shared" si="0"/>
        <v>5</v>
      </c>
      <c r="G59" s="9">
        <v>5</v>
      </c>
      <c r="H59" s="18">
        <f t="shared" si="1"/>
        <v>0</v>
      </c>
      <c r="I59" s="21" t="s">
        <v>550</v>
      </c>
    </row>
    <row r="60" spans="1:9" ht="15.75" x14ac:dyDescent="0.25">
      <c r="A60" s="9">
        <v>59</v>
      </c>
      <c r="B60" s="9" t="s">
        <v>490</v>
      </c>
      <c r="C60" s="9" t="s">
        <v>491</v>
      </c>
      <c r="D60" s="12">
        <v>5</v>
      </c>
      <c r="E60" s="12"/>
      <c r="F60" s="12">
        <f t="shared" si="0"/>
        <v>5</v>
      </c>
      <c r="G60" s="9">
        <v>5</v>
      </c>
      <c r="H60" s="18">
        <f t="shared" si="1"/>
        <v>0</v>
      </c>
      <c r="I60" s="21" t="s">
        <v>550</v>
      </c>
    </row>
    <row r="61" spans="1:9" ht="15.75" x14ac:dyDescent="0.25">
      <c r="A61" s="9">
        <v>60</v>
      </c>
      <c r="B61" s="9" t="s">
        <v>317</v>
      </c>
      <c r="C61" s="9" t="s">
        <v>318</v>
      </c>
      <c r="D61" s="12">
        <v>17</v>
      </c>
      <c r="E61" s="12"/>
      <c r="F61" s="12">
        <f t="shared" si="0"/>
        <v>17</v>
      </c>
      <c r="G61" s="9">
        <v>17</v>
      </c>
      <c r="H61" s="18">
        <f t="shared" si="1"/>
        <v>0</v>
      </c>
      <c r="I61" s="21" t="s">
        <v>550</v>
      </c>
    </row>
    <row r="62" spans="1:9" ht="15.75" x14ac:dyDescent="0.25">
      <c r="A62" s="9">
        <v>61</v>
      </c>
      <c r="B62" s="9" t="s">
        <v>168</v>
      </c>
      <c r="C62" s="9" t="s">
        <v>169</v>
      </c>
      <c r="D62" s="12">
        <v>3</v>
      </c>
      <c r="E62" s="12"/>
      <c r="F62" s="12">
        <f t="shared" si="0"/>
        <v>3</v>
      </c>
      <c r="G62" s="9">
        <v>3</v>
      </c>
      <c r="H62" s="18">
        <f t="shared" si="1"/>
        <v>0</v>
      </c>
      <c r="I62" s="21" t="s">
        <v>550</v>
      </c>
    </row>
    <row r="63" spans="1:9" ht="15.75" x14ac:dyDescent="0.25">
      <c r="A63" s="9">
        <v>62</v>
      </c>
      <c r="B63" s="9" t="s">
        <v>251</v>
      </c>
      <c r="C63" s="9" t="s">
        <v>252</v>
      </c>
      <c r="D63" s="12">
        <v>10</v>
      </c>
      <c r="E63" s="12"/>
      <c r="F63" s="12">
        <f t="shared" si="0"/>
        <v>10</v>
      </c>
      <c r="G63" s="9">
        <v>10</v>
      </c>
      <c r="H63" s="18">
        <f t="shared" si="1"/>
        <v>0</v>
      </c>
      <c r="I63" s="21" t="s">
        <v>550</v>
      </c>
    </row>
    <row r="64" spans="1:9" ht="15.75" x14ac:dyDescent="0.25">
      <c r="A64" s="9">
        <v>63</v>
      </c>
      <c r="B64" s="9" t="s">
        <v>92</v>
      </c>
      <c r="C64" s="9" t="s">
        <v>93</v>
      </c>
      <c r="D64" s="12">
        <v>6</v>
      </c>
      <c r="E64" s="12"/>
      <c r="F64" s="12">
        <f t="shared" si="0"/>
        <v>6</v>
      </c>
      <c r="G64" s="9">
        <v>6</v>
      </c>
      <c r="H64" s="18">
        <f t="shared" si="1"/>
        <v>0</v>
      </c>
      <c r="I64" s="21" t="s">
        <v>550</v>
      </c>
    </row>
    <row r="65" spans="1:9" ht="15.75" x14ac:dyDescent="0.25">
      <c r="A65" s="9">
        <v>64</v>
      </c>
      <c r="B65" s="9" t="s">
        <v>170</v>
      </c>
      <c r="C65" s="9" t="s">
        <v>171</v>
      </c>
      <c r="D65" s="12">
        <v>12</v>
      </c>
      <c r="E65" s="12"/>
      <c r="F65" s="12">
        <f t="shared" si="0"/>
        <v>12</v>
      </c>
      <c r="G65" s="9">
        <v>12</v>
      </c>
      <c r="H65" s="18">
        <f t="shared" si="1"/>
        <v>0</v>
      </c>
      <c r="I65" s="21" t="s">
        <v>550</v>
      </c>
    </row>
    <row r="66" spans="1:9" ht="15.75" x14ac:dyDescent="0.25">
      <c r="A66" s="9">
        <v>65</v>
      </c>
      <c r="B66" s="9" t="s">
        <v>253</v>
      </c>
      <c r="C66" s="9" t="s">
        <v>254</v>
      </c>
      <c r="D66" s="12">
        <v>3</v>
      </c>
      <c r="E66" s="12"/>
      <c r="F66" s="12">
        <f t="shared" si="0"/>
        <v>3</v>
      </c>
      <c r="G66" s="9">
        <v>3</v>
      </c>
      <c r="H66" s="18">
        <f t="shared" si="1"/>
        <v>0</v>
      </c>
      <c r="I66" s="21" t="s">
        <v>550</v>
      </c>
    </row>
    <row r="67" spans="1:9" ht="15.75" x14ac:dyDescent="0.25">
      <c r="A67" s="9">
        <v>66</v>
      </c>
      <c r="B67" s="9" t="s">
        <v>172</v>
      </c>
      <c r="C67" s="9" t="s">
        <v>173</v>
      </c>
      <c r="D67" s="12">
        <v>18</v>
      </c>
      <c r="E67" s="12"/>
      <c r="F67" s="12">
        <f t="shared" ref="F67:F95" si="2">D67+E67</f>
        <v>18</v>
      </c>
      <c r="G67" s="9">
        <v>18</v>
      </c>
      <c r="H67" s="18">
        <f t="shared" ref="H67:H130" si="3">G67-F67</f>
        <v>0</v>
      </c>
      <c r="I67" s="21" t="s">
        <v>550</v>
      </c>
    </row>
    <row r="68" spans="1:9" ht="15.75" x14ac:dyDescent="0.25">
      <c r="A68" s="9">
        <v>67</v>
      </c>
      <c r="B68" s="9" t="s">
        <v>174</v>
      </c>
      <c r="C68" s="9" t="s">
        <v>175</v>
      </c>
      <c r="D68" s="12">
        <v>23</v>
      </c>
      <c r="E68" s="12"/>
      <c r="F68" s="12">
        <f t="shared" si="2"/>
        <v>23</v>
      </c>
      <c r="G68" s="9">
        <v>23</v>
      </c>
      <c r="H68" s="18">
        <f t="shared" si="3"/>
        <v>0</v>
      </c>
      <c r="I68" s="21" t="s">
        <v>550</v>
      </c>
    </row>
    <row r="69" spans="1:9" ht="15.75" x14ac:dyDescent="0.25">
      <c r="A69" s="9">
        <v>68</v>
      </c>
      <c r="B69" s="9" t="s">
        <v>34</v>
      </c>
      <c r="C69" s="9" t="s">
        <v>35</v>
      </c>
      <c r="D69" s="12">
        <v>5</v>
      </c>
      <c r="E69" s="12"/>
      <c r="F69" s="12">
        <f t="shared" si="2"/>
        <v>5</v>
      </c>
      <c r="G69" s="9">
        <v>5</v>
      </c>
      <c r="H69" s="18">
        <f t="shared" si="3"/>
        <v>0</v>
      </c>
      <c r="I69" s="21" t="s">
        <v>550</v>
      </c>
    </row>
    <row r="70" spans="1:9" ht="15.75" x14ac:dyDescent="0.25">
      <c r="A70" s="9">
        <v>69</v>
      </c>
      <c r="B70" s="9" t="s">
        <v>492</v>
      </c>
      <c r="C70" s="9" t="s">
        <v>493</v>
      </c>
      <c r="D70" s="12">
        <v>3</v>
      </c>
      <c r="E70" s="12"/>
      <c r="F70" s="12">
        <f t="shared" si="2"/>
        <v>3</v>
      </c>
      <c r="G70" s="9">
        <v>3</v>
      </c>
      <c r="H70" s="18">
        <f t="shared" si="3"/>
        <v>0</v>
      </c>
      <c r="I70" s="21" t="s">
        <v>550</v>
      </c>
    </row>
    <row r="71" spans="1:9" ht="15.75" x14ac:dyDescent="0.25">
      <c r="A71" s="9">
        <v>70</v>
      </c>
      <c r="B71" s="9" t="s">
        <v>494</v>
      </c>
      <c r="C71" s="9" t="s">
        <v>495</v>
      </c>
      <c r="D71" s="12">
        <v>4</v>
      </c>
      <c r="E71" s="12"/>
      <c r="F71" s="12">
        <f t="shared" si="2"/>
        <v>4</v>
      </c>
      <c r="G71" s="9">
        <v>4</v>
      </c>
      <c r="H71" s="18">
        <f t="shared" si="3"/>
        <v>0</v>
      </c>
      <c r="I71" s="21" t="s">
        <v>550</v>
      </c>
    </row>
    <row r="72" spans="1:9" ht="15.75" x14ac:dyDescent="0.25">
      <c r="A72" s="9">
        <v>71</v>
      </c>
      <c r="B72" s="9" t="s">
        <v>424</v>
      </c>
      <c r="C72" s="9" t="s">
        <v>425</v>
      </c>
      <c r="D72" s="12">
        <v>2</v>
      </c>
      <c r="E72" s="12"/>
      <c r="F72" s="12">
        <f t="shared" si="2"/>
        <v>2</v>
      </c>
      <c r="G72" s="9">
        <v>2</v>
      </c>
      <c r="H72" s="18">
        <f t="shared" si="3"/>
        <v>0</v>
      </c>
      <c r="I72" s="21" t="s">
        <v>550</v>
      </c>
    </row>
    <row r="73" spans="1:9" ht="15.75" x14ac:dyDescent="0.25">
      <c r="A73" s="9">
        <v>72</v>
      </c>
      <c r="B73" s="9" t="s">
        <v>375</v>
      </c>
      <c r="C73" s="9" t="s">
        <v>376</v>
      </c>
      <c r="D73" s="12">
        <v>11</v>
      </c>
      <c r="E73" s="12"/>
      <c r="F73" s="12">
        <f t="shared" si="2"/>
        <v>11</v>
      </c>
      <c r="G73" s="9">
        <v>11</v>
      </c>
      <c r="H73" s="18">
        <f t="shared" si="3"/>
        <v>0</v>
      </c>
      <c r="I73" s="21" t="s">
        <v>550</v>
      </c>
    </row>
    <row r="74" spans="1:9" ht="15.75" x14ac:dyDescent="0.25">
      <c r="A74" s="9">
        <v>73</v>
      </c>
      <c r="B74" s="9" t="s">
        <v>176</v>
      </c>
      <c r="C74" s="9" t="s">
        <v>177</v>
      </c>
      <c r="D74" s="12">
        <v>5</v>
      </c>
      <c r="E74" s="12"/>
      <c r="F74" s="12">
        <f t="shared" si="2"/>
        <v>5</v>
      </c>
      <c r="G74" s="9">
        <v>5</v>
      </c>
      <c r="H74" s="18">
        <f t="shared" si="3"/>
        <v>0</v>
      </c>
      <c r="I74" s="21" t="s">
        <v>550</v>
      </c>
    </row>
    <row r="75" spans="1:9" ht="15.75" x14ac:dyDescent="0.25">
      <c r="A75" s="9">
        <v>74</v>
      </c>
      <c r="B75" s="9" t="s">
        <v>98</v>
      </c>
      <c r="C75" s="9" t="s">
        <v>99</v>
      </c>
      <c r="D75" s="12">
        <v>3</v>
      </c>
      <c r="E75" s="12"/>
      <c r="F75" s="12">
        <f t="shared" si="2"/>
        <v>3</v>
      </c>
      <c r="G75" s="9">
        <v>3</v>
      </c>
      <c r="H75" s="18">
        <f t="shared" si="3"/>
        <v>0</v>
      </c>
      <c r="I75" s="21" t="s">
        <v>550</v>
      </c>
    </row>
    <row r="76" spans="1:9" ht="15.75" x14ac:dyDescent="0.25">
      <c r="A76" s="9">
        <v>75</v>
      </c>
      <c r="B76" s="9" t="s">
        <v>178</v>
      </c>
      <c r="C76" s="9" t="s">
        <v>179</v>
      </c>
      <c r="D76" s="12">
        <v>5</v>
      </c>
      <c r="E76" s="12"/>
      <c r="F76" s="12">
        <f t="shared" si="2"/>
        <v>5</v>
      </c>
      <c r="G76" s="9">
        <v>5</v>
      </c>
      <c r="H76" s="18">
        <f t="shared" si="3"/>
        <v>0</v>
      </c>
      <c r="I76" s="21" t="s">
        <v>550</v>
      </c>
    </row>
    <row r="77" spans="1:9" ht="15.75" x14ac:dyDescent="0.25">
      <c r="A77" s="9">
        <v>76</v>
      </c>
      <c r="B77" s="9" t="s">
        <v>36</v>
      </c>
      <c r="C77" s="9" t="s">
        <v>37</v>
      </c>
      <c r="D77" s="12">
        <v>1</v>
      </c>
      <c r="E77" s="12"/>
      <c r="F77" s="12">
        <f t="shared" si="2"/>
        <v>1</v>
      </c>
      <c r="G77" s="9">
        <v>1</v>
      </c>
      <c r="H77" s="18">
        <f t="shared" si="3"/>
        <v>0</v>
      </c>
      <c r="I77" s="21" t="s">
        <v>550</v>
      </c>
    </row>
    <row r="78" spans="1:9" ht="15.75" x14ac:dyDescent="0.25">
      <c r="A78" s="9">
        <v>77</v>
      </c>
      <c r="B78" s="9" t="s">
        <v>426</v>
      </c>
      <c r="C78" s="9" t="s">
        <v>427</v>
      </c>
      <c r="D78" s="12">
        <v>1</v>
      </c>
      <c r="E78" s="12"/>
      <c r="F78" s="12">
        <f t="shared" si="2"/>
        <v>1</v>
      </c>
      <c r="G78" s="9">
        <v>1</v>
      </c>
      <c r="H78" s="18">
        <f t="shared" si="3"/>
        <v>0</v>
      </c>
      <c r="I78" s="21" t="s">
        <v>550</v>
      </c>
    </row>
    <row r="79" spans="1:9" ht="15.75" x14ac:dyDescent="0.25">
      <c r="A79" s="9">
        <v>78</v>
      </c>
      <c r="B79" s="9" t="s">
        <v>180</v>
      </c>
      <c r="C79" s="9" t="s">
        <v>181</v>
      </c>
      <c r="D79" s="12">
        <v>3</v>
      </c>
      <c r="E79" s="12"/>
      <c r="F79" s="12">
        <f t="shared" si="2"/>
        <v>3</v>
      </c>
      <c r="G79" s="9">
        <v>3</v>
      </c>
      <c r="H79" s="18">
        <f t="shared" si="3"/>
        <v>0</v>
      </c>
      <c r="I79" s="21" t="s">
        <v>550</v>
      </c>
    </row>
    <row r="80" spans="1:9" ht="15.75" x14ac:dyDescent="0.25">
      <c r="A80" s="9">
        <v>79</v>
      </c>
      <c r="B80" s="9" t="s">
        <v>496</v>
      </c>
      <c r="C80" s="9" t="s">
        <v>497</v>
      </c>
      <c r="D80" s="12">
        <v>3</v>
      </c>
      <c r="E80" s="12"/>
      <c r="F80" s="12">
        <f t="shared" si="2"/>
        <v>3</v>
      </c>
      <c r="G80" s="9">
        <v>3</v>
      </c>
      <c r="H80" s="18">
        <f t="shared" si="3"/>
        <v>0</v>
      </c>
      <c r="I80" s="21" t="s">
        <v>550</v>
      </c>
    </row>
    <row r="81" spans="1:9" ht="15.75" x14ac:dyDescent="0.25">
      <c r="A81" s="9">
        <v>80</v>
      </c>
      <c r="B81" s="9" t="s">
        <v>319</v>
      </c>
      <c r="C81" s="9" t="s">
        <v>320</v>
      </c>
      <c r="D81" s="12">
        <v>6</v>
      </c>
      <c r="E81" s="12"/>
      <c r="F81" s="12">
        <f t="shared" si="2"/>
        <v>6</v>
      </c>
      <c r="G81" s="9">
        <v>6</v>
      </c>
      <c r="H81" s="18">
        <f t="shared" si="3"/>
        <v>0</v>
      </c>
      <c r="I81" s="21" t="s">
        <v>550</v>
      </c>
    </row>
    <row r="82" spans="1:9" ht="15.75" x14ac:dyDescent="0.25">
      <c r="A82" s="9">
        <v>81</v>
      </c>
      <c r="B82" s="9" t="s">
        <v>100</v>
      </c>
      <c r="C82" s="9" t="s">
        <v>101</v>
      </c>
      <c r="D82" s="12">
        <v>5</v>
      </c>
      <c r="E82" s="12"/>
      <c r="F82" s="12">
        <f t="shared" si="2"/>
        <v>5</v>
      </c>
      <c r="G82" s="9">
        <v>5</v>
      </c>
      <c r="H82" s="18">
        <f t="shared" si="3"/>
        <v>0</v>
      </c>
      <c r="I82" s="21" t="s">
        <v>550</v>
      </c>
    </row>
    <row r="83" spans="1:9" ht="15.75" x14ac:dyDescent="0.25">
      <c r="A83" s="9">
        <v>82</v>
      </c>
      <c r="B83" s="9" t="s">
        <v>255</v>
      </c>
      <c r="C83" s="9" t="s">
        <v>256</v>
      </c>
      <c r="D83" s="12">
        <v>30</v>
      </c>
      <c r="E83" s="12"/>
      <c r="F83" s="12">
        <f t="shared" si="2"/>
        <v>30</v>
      </c>
      <c r="G83" s="9">
        <v>30</v>
      </c>
      <c r="H83" s="18">
        <f t="shared" si="3"/>
        <v>0</v>
      </c>
      <c r="I83" s="21" t="s">
        <v>550</v>
      </c>
    </row>
    <row r="84" spans="1:9" ht="15.75" x14ac:dyDescent="0.25">
      <c r="A84" s="9">
        <v>83</v>
      </c>
      <c r="B84" s="9" t="s">
        <v>321</v>
      </c>
      <c r="C84" s="9" t="s">
        <v>322</v>
      </c>
      <c r="D84" s="12">
        <v>19</v>
      </c>
      <c r="E84" s="12"/>
      <c r="F84" s="12">
        <f t="shared" si="2"/>
        <v>19</v>
      </c>
      <c r="G84" s="9">
        <v>19</v>
      </c>
      <c r="H84" s="18">
        <f t="shared" si="3"/>
        <v>0</v>
      </c>
      <c r="I84" s="21" t="s">
        <v>550</v>
      </c>
    </row>
    <row r="85" spans="1:9" ht="15.75" x14ac:dyDescent="0.25">
      <c r="A85" s="9">
        <v>84</v>
      </c>
      <c r="B85" s="9" t="s">
        <v>182</v>
      </c>
      <c r="C85" s="9" t="s">
        <v>183</v>
      </c>
      <c r="D85" s="12">
        <v>3</v>
      </c>
      <c r="E85" s="12"/>
      <c r="F85" s="12">
        <f t="shared" si="2"/>
        <v>3</v>
      </c>
      <c r="G85" s="9">
        <v>3</v>
      </c>
      <c r="H85" s="18">
        <f t="shared" si="3"/>
        <v>0</v>
      </c>
      <c r="I85" s="21" t="s">
        <v>550</v>
      </c>
    </row>
    <row r="86" spans="1:9" ht="15.75" x14ac:dyDescent="0.25">
      <c r="A86" s="9">
        <v>85</v>
      </c>
      <c r="B86" s="9" t="s">
        <v>184</v>
      </c>
      <c r="C86" s="9" t="s">
        <v>185</v>
      </c>
      <c r="D86" s="12">
        <v>8</v>
      </c>
      <c r="E86" s="12"/>
      <c r="F86" s="12">
        <f t="shared" si="2"/>
        <v>8</v>
      </c>
      <c r="G86" s="9">
        <v>8</v>
      </c>
      <c r="H86" s="18">
        <f t="shared" si="3"/>
        <v>0</v>
      </c>
      <c r="I86" s="21" t="s">
        <v>550</v>
      </c>
    </row>
    <row r="87" spans="1:9" ht="15.75" x14ac:dyDescent="0.25">
      <c r="A87" s="9">
        <v>86</v>
      </c>
      <c r="B87" s="9" t="s">
        <v>377</v>
      </c>
      <c r="C87" s="9" t="s">
        <v>378</v>
      </c>
      <c r="D87" s="12">
        <v>4</v>
      </c>
      <c r="E87" s="12"/>
      <c r="F87" s="12">
        <f t="shared" si="2"/>
        <v>4</v>
      </c>
      <c r="G87" s="9">
        <v>4</v>
      </c>
      <c r="H87" s="18">
        <f t="shared" si="3"/>
        <v>0</v>
      </c>
      <c r="I87" s="21" t="s">
        <v>550</v>
      </c>
    </row>
    <row r="88" spans="1:9" ht="15.75" x14ac:dyDescent="0.25">
      <c r="A88" s="9">
        <v>87</v>
      </c>
      <c r="B88" s="9" t="s">
        <v>38</v>
      </c>
      <c r="C88" s="9" t="s">
        <v>39</v>
      </c>
      <c r="D88" s="12">
        <v>1</v>
      </c>
      <c r="E88" s="12"/>
      <c r="F88" s="12">
        <f t="shared" si="2"/>
        <v>1</v>
      </c>
      <c r="G88" s="9">
        <v>1</v>
      </c>
      <c r="H88" s="18">
        <f t="shared" si="3"/>
        <v>0</v>
      </c>
      <c r="I88" s="21" t="s">
        <v>550</v>
      </c>
    </row>
    <row r="89" spans="1:9" ht="15.75" x14ac:dyDescent="0.25">
      <c r="A89" s="9">
        <v>88</v>
      </c>
      <c r="B89" s="9" t="s">
        <v>186</v>
      </c>
      <c r="C89" s="9" t="s">
        <v>187</v>
      </c>
      <c r="D89" s="12">
        <v>2</v>
      </c>
      <c r="E89" s="12"/>
      <c r="F89" s="12">
        <f t="shared" si="2"/>
        <v>2</v>
      </c>
      <c r="G89" s="9">
        <v>2</v>
      </c>
      <c r="H89" s="18">
        <f t="shared" si="3"/>
        <v>0</v>
      </c>
      <c r="I89" s="21" t="s">
        <v>550</v>
      </c>
    </row>
    <row r="90" spans="1:9" ht="15.75" x14ac:dyDescent="0.25">
      <c r="A90" s="9">
        <v>89</v>
      </c>
      <c r="B90" s="9" t="s">
        <v>379</v>
      </c>
      <c r="C90" s="9" t="s">
        <v>380</v>
      </c>
      <c r="D90" s="12">
        <v>1</v>
      </c>
      <c r="E90" s="12"/>
      <c r="F90" s="12">
        <f t="shared" si="2"/>
        <v>1</v>
      </c>
      <c r="G90" s="9">
        <v>1</v>
      </c>
      <c r="H90" s="18">
        <f t="shared" si="3"/>
        <v>0</v>
      </c>
      <c r="I90" s="21" t="s">
        <v>550</v>
      </c>
    </row>
    <row r="91" spans="1:9" ht="15.75" x14ac:dyDescent="0.25">
      <c r="A91" s="9">
        <v>90</v>
      </c>
      <c r="B91" s="9" t="s">
        <v>40</v>
      </c>
      <c r="C91" s="9" t="s">
        <v>41</v>
      </c>
      <c r="D91" s="12">
        <v>1</v>
      </c>
      <c r="E91" s="12"/>
      <c r="F91" s="12">
        <f t="shared" si="2"/>
        <v>1</v>
      </c>
      <c r="G91" s="9">
        <v>1</v>
      </c>
      <c r="H91" s="18">
        <f t="shared" si="3"/>
        <v>0</v>
      </c>
      <c r="I91" s="21" t="s">
        <v>550</v>
      </c>
    </row>
    <row r="92" spans="1:9" ht="15.75" x14ac:dyDescent="0.25">
      <c r="A92" s="9">
        <v>91</v>
      </c>
      <c r="B92" s="9" t="s">
        <v>102</v>
      </c>
      <c r="C92" s="9" t="s">
        <v>103</v>
      </c>
      <c r="D92" s="12">
        <v>2</v>
      </c>
      <c r="E92" s="12"/>
      <c r="F92" s="12">
        <f t="shared" si="2"/>
        <v>2</v>
      </c>
      <c r="G92" s="9">
        <v>2</v>
      </c>
      <c r="H92" s="18">
        <f t="shared" si="3"/>
        <v>0</v>
      </c>
      <c r="I92" s="21" t="s">
        <v>550</v>
      </c>
    </row>
    <row r="93" spans="1:9" ht="15.75" x14ac:dyDescent="0.25">
      <c r="A93" s="9">
        <v>92</v>
      </c>
      <c r="B93" s="9" t="s">
        <v>323</v>
      </c>
      <c r="C93" s="9" t="s">
        <v>324</v>
      </c>
      <c r="D93" s="12">
        <v>2</v>
      </c>
      <c r="E93" s="12"/>
      <c r="F93" s="12">
        <f t="shared" si="2"/>
        <v>2</v>
      </c>
      <c r="G93" s="9">
        <v>2</v>
      </c>
      <c r="H93" s="18">
        <f t="shared" si="3"/>
        <v>0</v>
      </c>
      <c r="I93" s="21" t="s">
        <v>550</v>
      </c>
    </row>
    <row r="94" spans="1:9" ht="15.75" x14ac:dyDescent="0.25">
      <c r="A94" s="9">
        <v>93</v>
      </c>
      <c r="B94" s="9" t="s">
        <v>104</v>
      </c>
      <c r="C94" s="9" t="s">
        <v>105</v>
      </c>
      <c r="D94" s="12">
        <v>2</v>
      </c>
      <c r="E94" s="12"/>
      <c r="F94" s="12">
        <f t="shared" si="2"/>
        <v>2</v>
      </c>
      <c r="G94" s="9">
        <v>2</v>
      </c>
      <c r="H94" s="18">
        <f t="shared" si="3"/>
        <v>0</v>
      </c>
      <c r="I94" s="21" t="s">
        <v>550</v>
      </c>
    </row>
    <row r="95" spans="1:9" ht="15.75" x14ac:dyDescent="0.25">
      <c r="A95" s="9">
        <v>94</v>
      </c>
      <c r="B95" s="9" t="s">
        <v>325</v>
      </c>
      <c r="C95" s="9" t="s">
        <v>326</v>
      </c>
      <c r="D95" s="12">
        <v>7</v>
      </c>
      <c r="E95" s="12"/>
      <c r="F95" s="12">
        <f t="shared" si="2"/>
        <v>7</v>
      </c>
      <c r="G95" s="9">
        <v>7</v>
      </c>
      <c r="H95" s="18">
        <f t="shared" si="3"/>
        <v>0</v>
      </c>
      <c r="I95" s="21" t="s">
        <v>550</v>
      </c>
    </row>
    <row r="96" spans="1:9" x14ac:dyDescent="0.25">
      <c r="A96" s="9">
        <v>95</v>
      </c>
      <c r="B96" s="9" t="s">
        <v>106</v>
      </c>
      <c r="C96" s="9" t="s">
        <v>107</v>
      </c>
      <c r="D96" s="12">
        <v>5</v>
      </c>
      <c r="E96" s="12"/>
      <c r="F96" s="12">
        <f t="shared" ref="F96:F127" si="4">D96+E96</f>
        <v>5</v>
      </c>
      <c r="G96" s="9">
        <v>3</v>
      </c>
      <c r="H96" s="18">
        <f t="shared" si="3"/>
        <v>-2</v>
      </c>
      <c r="I96" s="9" t="s">
        <v>547</v>
      </c>
    </row>
    <row r="97" spans="1:9" ht="15.75" x14ac:dyDescent="0.25">
      <c r="A97" s="9">
        <v>96</v>
      </c>
      <c r="B97" s="9" t="s">
        <v>257</v>
      </c>
      <c r="C97" s="9" t="s">
        <v>258</v>
      </c>
      <c r="D97" s="12">
        <v>5</v>
      </c>
      <c r="E97" s="12"/>
      <c r="F97" s="12">
        <f t="shared" si="4"/>
        <v>5</v>
      </c>
      <c r="G97" s="9">
        <v>5</v>
      </c>
      <c r="H97" s="18">
        <f t="shared" si="3"/>
        <v>0</v>
      </c>
      <c r="I97" s="21" t="s">
        <v>550</v>
      </c>
    </row>
    <row r="98" spans="1:9" x14ac:dyDescent="0.25">
      <c r="A98" s="9">
        <v>97</v>
      </c>
      <c r="B98" s="9" t="s">
        <v>16</v>
      </c>
      <c r="C98" s="9" t="s">
        <v>17</v>
      </c>
      <c r="D98" s="12"/>
      <c r="E98" s="12">
        <v>4</v>
      </c>
      <c r="F98" s="12">
        <f t="shared" si="4"/>
        <v>4</v>
      </c>
      <c r="G98" s="9"/>
      <c r="H98" s="18">
        <f t="shared" si="3"/>
        <v>-4</v>
      </c>
      <c r="I98" s="17" t="s">
        <v>548</v>
      </c>
    </row>
    <row r="99" spans="1:9" ht="15.75" x14ac:dyDescent="0.25">
      <c r="A99" s="9">
        <v>98</v>
      </c>
      <c r="B99" s="9" t="s">
        <v>7</v>
      </c>
      <c r="C99" s="9" t="s">
        <v>8</v>
      </c>
      <c r="D99" s="12"/>
      <c r="E99" s="12">
        <v>3</v>
      </c>
      <c r="F99" s="12">
        <f t="shared" si="4"/>
        <v>3</v>
      </c>
      <c r="G99" s="9">
        <v>3</v>
      </c>
      <c r="H99" s="18">
        <f t="shared" si="3"/>
        <v>0</v>
      </c>
      <c r="I99" s="21" t="s">
        <v>550</v>
      </c>
    </row>
    <row r="100" spans="1:9" x14ac:dyDescent="0.25">
      <c r="A100" s="9">
        <v>99</v>
      </c>
      <c r="B100" s="9" t="s">
        <v>5</v>
      </c>
      <c r="C100" s="9" t="s">
        <v>6</v>
      </c>
      <c r="D100" s="12"/>
      <c r="E100" s="12">
        <v>1</v>
      </c>
      <c r="F100" s="12">
        <f t="shared" si="4"/>
        <v>1</v>
      </c>
      <c r="G100" s="9"/>
      <c r="H100" s="18">
        <f t="shared" si="3"/>
        <v>-1</v>
      </c>
      <c r="I100" s="17" t="s">
        <v>548</v>
      </c>
    </row>
    <row r="101" spans="1:9" ht="15.75" x14ac:dyDescent="0.25">
      <c r="A101" s="9">
        <v>100</v>
      </c>
      <c r="B101" s="9" t="s">
        <v>259</v>
      </c>
      <c r="C101" s="9" t="s">
        <v>260</v>
      </c>
      <c r="D101" s="12">
        <v>5</v>
      </c>
      <c r="E101" s="12"/>
      <c r="F101" s="12">
        <f t="shared" si="4"/>
        <v>5</v>
      </c>
      <c r="G101" s="9">
        <v>5</v>
      </c>
      <c r="H101" s="18">
        <f t="shared" si="3"/>
        <v>0</v>
      </c>
      <c r="I101" s="21" t="s">
        <v>550</v>
      </c>
    </row>
    <row r="102" spans="1:9" ht="15.75" x14ac:dyDescent="0.25">
      <c r="A102" s="9">
        <v>101</v>
      </c>
      <c r="B102" s="9" t="s">
        <v>428</v>
      </c>
      <c r="C102" s="9" t="s">
        <v>429</v>
      </c>
      <c r="D102" s="12">
        <v>6</v>
      </c>
      <c r="E102" s="12"/>
      <c r="F102" s="12">
        <f t="shared" si="4"/>
        <v>6</v>
      </c>
      <c r="G102" s="9">
        <v>6</v>
      </c>
      <c r="H102" s="18">
        <f t="shared" si="3"/>
        <v>0</v>
      </c>
      <c r="I102" s="21" t="s">
        <v>550</v>
      </c>
    </row>
    <row r="103" spans="1:9" ht="15.75" x14ac:dyDescent="0.25">
      <c r="A103" s="9">
        <v>102</v>
      </c>
      <c r="B103" s="9" t="s">
        <v>327</v>
      </c>
      <c r="C103" s="9" t="s">
        <v>328</v>
      </c>
      <c r="D103" s="12">
        <v>3</v>
      </c>
      <c r="E103" s="12"/>
      <c r="F103" s="12">
        <f t="shared" si="4"/>
        <v>3</v>
      </c>
      <c r="G103" s="9">
        <v>3</v>
      </c>
      <c r="H103" s="18">
        <f t="shared" si="3"/>
        <v>0</v>
      </c>
      <c r="I103" s="21" t="s">
        <v>550</v>
      </c>
    </row>
    <row r="104" spans="1:9" ht="15.75" x14ac:dyDescent="0.25">
      <c r="A104" s="9">
        <v>103</v>
      </c>
      <c r="B104" s="9" t="s">
        <v>498</v>
      </c>
      <c r="C104" s="9" t="s">
        <v>499</v>
      </c>
      <c r="D104" s="12">
        <v>6</v>
      </c>
      <c r="E104" s="12"/>
      <c r="F104" s="12">
        <f t="shared" si="4"/>
        <v>6</v>
      </c>
      <c r="G104" s="9">
        <v>6</v>
      </c>
      <c r="H104" s="18">
        <f t="shared" si="3"/>
        <v>0</v>
      </c>
      <c r="I104" s="21" t="s">
        <v>550</v>
      </c>
    </row>
    <row r="105" spans="1:9" ht="15.75" x14ac:dyDescent="0.25">
      <c r="A105" s="9">
        <v>104</v>
      </c>
      <c r="B105" s="9" t="s">
        <v>42</v>
      </c>
      <c r="C105" s="9" t="s">
        <v>43</v>
      </c>
      <c r="D105" s="12">
        <v>5</v>
      </c>
      <c r="E105" s="12"/>
      <c r="F105" s="12">
        <f t="shared" si="4"/>
        <v>5</v>
      </c>
      <c r="G105" s="9">
        <v>5</v>
      </c>
      <c r="H105" s="18">
        <f t="shared" si="3"/>
        <v>0</v>
      </c>
      <c r="I105" s="21" t="s">
        <v>550</v>
      </c>
    </row>
    <row r="106" spans="1:9" ht="15.75" x14ac:dyDescent="0.25">
      <c r="A106" s="9">
        <v>105</v>
      </c>
      <c r="B106" s="9" t="s">
        <v>188</v>
      </c>
      <c r="C106" s="9" t="s">
        <v>189</v>
      </c>
      <c r="D106" s="12">
        <v>8</v>
      </c>
      <c r="E106" s="12"/>
      <c r="F106" s="12">
        <f t="shared" si="4"/>
        <v>8</v>
      </c>
      <c r="G106" s="9">
        <v>8</v>
      </c>
      <c r="H106" s="18">
        <f t="shared" si="3"/>
        <v>0</v>
      </c>
      <c r="I106" s="21" t="s">
        <v>550</v>
      </c>
    </row>
    <row r="107" spans="1:9" x14ac:dyDescent="0.25">
      <c r="A107" s="9">
        <v>106</v>
      </c>
      <c r="B107" s="9">
        <v>1000094819</v>
      </c>
      <c r="C107" s="9" t="s">
        <v>13</v>
      </c>
      <c r="D107" s="12">
        <v>6</v>
      </c>
      <c r="E107" s="12">
        <v>1</v>
      </c>
      <c r="F107" s="12">
        <f t="shared" si="4"/>
        <v>7</v>
      </c>
      <c r="G107" s="9">
        <v>6</v>
      </c>
      <c r="H107" s="18">
        <f t="shared" si="3"/>
        <v>-1</v>
      </c>
      <c r="I107" s="17" t="s">
        <v>548</v>
      </c>
    </row>
    <row r="108" spans="1:9" ht="15.75" x14ac:dyDescent="0.25">
      <c r="A108" s="9">
        <v>107</v>
      </c>
      <c r="B108" s="9" t="s">
        <v>430</v>
      </c>
      <c r="C108" s="9" t="s">
        <v>431</v>
      </c>
      <c r="D108" s="12">
        <v>5</v>
      </c>
      <c r="E108" s="12"/>
      <c r="F108" s="12">
        <f t="shared" si="4"/>
        <v>5</v>
      </c>
      <c r="G108" s="9">
        <v>5</v>
      </c>
      <c r="H108" s="18">
        <f t="shared" si="3"/>
        <v>0</v>
      </c>
      <c r="I108" s="21" t="s">
        <v>550</v>
      </c>
    </row>
    <row r="109" spans="1:9" ht="15.75" x14ac:dyDescent="0.25">
      <c r="A109" s="9">
        <v>108</v>
      </c>
      <c r="B109" s="9" t="s">
        <v>500</v>
      </c>
      <c r="C109" s="9" t="s">
        <v>501</v>
      </c>
      <c r="D109" s="12">
        <v>4</v>
      </c>
      <c r="E109" s="12"/>
      <c r="F109" s="12">
        <f t="shared" si="4"/>
        <v>4</v>
      </c>
      <c r="G109" s="9">
        <v>4</v>
      </c>
      <c r="H109" s="18">
        <f t="shared" si="3"/>
        <v>0</v>
      </c>
      <c r="I109" s="21" t="s">
        <v>550</v>
      </c>
    </row>
    <row r="110" spans="1:9" ht="15.75" x14ac:dyDescent="0.25">
      <c r="A110" s="9">
        <v>109</v>
      </c>
      <c r="B110" s="9" t="s">
        <v>44</v>
      </c>
      <c r="C110" s="9" t="s">
        <v>45</v>
      </c>
      <c r="D110" s="12">
        <v>3</v>
      </c>
      <c r="E110" s="12"/>
      <c r="F110" s="12">
        <f t="shared" si="4"/>
        <v>3</v>
      </c>
      <c r="G110" s="9">
        <v>3</v>
      </c>
      <c r="H110" s="18">
        <f t="shared" si="3"/>
        <v>0</v>
      </c>
      <c r="I110" s="21" t="s">
        <v>550</v>
      </c>
    </row>
    <row r="111" spans="1:9" ht="15.75" x14ac:dyDescent="0.25">
      <c r="A111" s="9">
        <v>110</v>
      </c>
      <c r="B111" s="9" t="s">
        <v>502</v>
      </c>
      <c r="C111" s="9" t="s">
        <v>546</v>
      </c>
      <c r="D111" s="12">
        <v>5</v>
      </c>
      <c r="E111" s="12"/>
      <c r="F111" s="12">
        <f t="shared" si="4"/>
        <v>5</v>
      </c>
      <c r="G111" s="9">
        <v>5</v>
      </c>
      <c r="H111" s="18">
        <f t="shared" si="3"/>
        <v>0</v>
      </c>
      <c r="I111" s="21" t="s">
        <v>550</v>
      </c>
    </row>
    <row r="112" spans="1:9" ht="15.75" x14ac:dyDescent="0.25">
      <c r="A112" s="9">
        <v>111</v>
      </c>
      <c r="B112" s="9" t="s">
        <v>261</v>
      </c>
      <c r="C112" s="9" t="s">
        <v>262</v>
      </c>
      <c r="D112" s="12">
        <v>125</v>
      </c>
      <c r="E112" s="12"/>
      <c r="F112" s="12">
        <f t="shared" si="4"/>
        <v>125</v>
      </c>
      <c r="G112" s="9">
        <v>125</v>
      </c>
      <c r="H112" s="18">
        <f t="shared" si="3"/>
        <v>0</v>
      </c>
      <c r="I112" s="21" t="s">
        <v>550</v>
      </c>
    </row>
    <row r="113" spans="1:9" ht="15.75" x14ac:dyDescent="0.25">
      <c r="A113" s="9">
        <v>112</v>
      </c>
      <c r="B113" s="9" t="s">
        <v>503</v>
      </c>
      <c r="C113" s="9" t="s">
        <v>504</v>
      </c>
      <c r="D113" s="12">
        <v>1</v>
      </c>
      <c r="E113" s="12"/>
      <c r="F113" s="12">
        <f t="shared" si="4"/>
        <v>1</v>
      </c>
      <c r="G113" s="9">
        <v>1</v>
      </c>
      <c r="H113" s="18">
        <f t="shared" si="3"/>
        <v>0</v>
      </c>
      <c r="I113" s="21" t="s">
        <v>550</v>
      </c>
    </row>
    <row r="114" spans="1:9" ht="15.75" x14ac:dyDescent="0.25">
      <c r="A114" s="9">
        <v>113</v>
      </c>
      <c r="B114" s="9" t="s">
        <v>190</v>
      </c>
      <c r="C114" s="9" t="s">
        <v>191</v>
      </c>
      <c r="D114" s="12">
        <v>2</v>
      </c>
      <c r="E114" s="12"/>
      <c r="F114" s="12">
        <f t="shared" si="4"/>
        <v>2</v>
      </c>
      <c r="G114" s="9">
        <v>2</v>
      </c>
      <c r="H114" s="18">
        <f t="shared" si="3"/>
        <v>0</v>
      </c>
      <c r="I114" s="21" t="s">
        <v>550</v>
      </c>
    </row>
    <row r="115" spans="1:9" ht="15.75" x14ac:dyDescent="0.25">
      <c r="A115" s="9">
        <v>114</v>
      </c>
      <c r="B115" s="9" t="s">
        <v>505</v>
      </c>
      <c r="C115" s="9" t="s">
        <v>506</v>
      </c>
      <c r="D115" s="12">
        <v>6</v>
      </c>
      <c r="E115" s="12"/>
      <c r="F115" s="12">
        <f t="shared" si="4"/>
        <v>6</v>
      </c>
      <c r="G115" s="9">
        <v>6</v>
      </c>
      <c r="H115" s="18">
        <f t="shared" si="3"/>
        <v>0</v>
      </c>
      <c r="I115" s="21" t="s">
        <v>550</v>
      </c>
    </row>
    <row r="116" spans="1:9" ht="15.75" x14ac:dyDescent="0.25">
      <c r="A116" s="9">
        <v>115</v>
      </c>
      <c r="B116" s="9" t="s">
        <v>46</v>
      </c>
      <c r="C116" s="9" t="s">
        <v>47</v>
      </c>
      <c r="D116" s="12">
        <v>3</v>
      </c>
      <c r="E116" s="12"/>
      <c r="F116" s="12">
        <f t="shared" si="4"/>
        <v>3</v>
      </c>
      <c r="G116" s="9">
        <v>3</v>
      </c>
      <c r="H116" s="18">
        <f t="shared" si="3"/>
        <v>0</v>
      </c>
      <c r="I116" s="21" t="s">
        <v>550</v>
      </c>
    </row>
    <row r="117" spans="1:9" ht="15.75" x14ac:dyDescent="0.25">
      <c r="A117" s="9">
        <v>116</v>
      </c>
      <c r="B117" s="9" t="s">
        <v>381</v>
      </c>
      <c r="C117" s="9" t="s">
        <v>382</v>
      </c>
      <c r="D117" s="12">
        <v>6</v>
      </c>
      <c r="E117" s="12"/>
      <c r="F117" s="12">
        <f t="shared" si="4"/>
        <v>6</v>
      </c>
      <c r="G117" s="9">
        <v>6</v>
      </c>
      <c r="H117" s="18">
        <f t="shared" si="3"/>
        <v>0</v>
      </c>
      <c r="I117" s="21" t="s">
        <v>550</v>
      </c>
    </row>
    <row r="118" spans="1:9" ht="15.75" x14ac:dyDescent="0.25">
      <c r="A118" s="9">
        <v>117</v>
      </c>
      <c r="B118" s="9" t="s">
        <v>108</v>
      </c>
      <c r="C118" s="9" t="s">
        <v>109</v>
      </c>
      <c r="D118" s="12">
        <v>3</v>
      </c>
      <c r="E118" s="12"/>
      <c r="F118" s="12">
        <f t="shared" si="4"/>
        <v>3</v>
      </c>
      <c r="G118" s="9">
        <v>3</v>
      </c>
      <c r="H118" s="18">
        <f t="shared" si="3"/>
        <v>0</v>
      </c>
      <c r="I118" s="21" t="s">
        <v>550</v>
      </c>
    </row>
    <row r="119" spans="1:9" ht="15.75" x14ac:dyDescent="0.25">
      <c r="A119" s="9">
        <v>118</v>
      </c>
      <c r="B119" s="9" t="s">
        <v>192</v>
      </c>
      <c r="C119" s="9" t="s">
        <v>193</v>
      </c>
      <c r="D119" s="12">
        <v>3</v>
      </c>
      <c r="E119" s="12"/>
      <c r="F119" s="12">
        <f t="shared" si="4"/>
        <v>3</v>
      </c>
      <c r="G119" s="9">
        <v>3</v>
      </c>
      <c r="H119" s="18">
        <f t="shared" si="3"/>
        <v>0</v>
      </c>
      <c r="I119" s="21" t="s">
        <v>550</v>
      </c>
    </row>
    <row r="120" spans="1:9" ht="15.75" x14ac:dyDescent="0.25">
      <c r="A120" s="9">
        <v>119</v>
      </c>
      <c r="B120" s="9" t="s">
        <v>383</v>
      </c>
      <c r="C120" s="9" t="s">
        <v>384</v>
      </c>
      <c r="D120" s="12">
        <v>5</v>
      </c>
      <c r="E120" s="12"/>
      <c r="F120" s="12">
        <f t="shared" si="4"/>
        <v>5</v>
      </c>
      <c r="G120" s="9">
        <v>5</v>
      </c>
      <c r="H120" s="18">
        <f t="shared" si="3"/>
        <v>0</v>
      </c>
      <c r="I120" s="21" t="s">
        <v>550</v>
      </c>
    </row>
    <row r="121" spans="1:9" ht="15.75" x14ac:dyDescent="0.25">
      <c r="A121" s="9">
        <v>120</v>
      </c>
      <c r="B121" s="9" t="s">
        <v>48</v>
      </c>
      <c r="C121" s="9" t="s">
        <v>49</v>
      </c>
      <c r="D121" s="12">
        <v>2</v>
      </c>
      <c r="E121" s="12"/>
      <c r="F121" s="12">
        <f t="shared" si="4"/>
        <v>2</v>
      </c>
      <c r="G121" s="9">
        <v>2</v>
      </c>
      <c r="H121" s="18">
        <f t="shared" si="3"/>
        <v>0</v>
      </c>
      <c r="I121" s="21" t="s">
        <v>550</v>
      </c>
    </row>
    <row r="122" spans="1:9" ht="15.75" x14ac:dyDescent="0.25">
      <c r="A122" s="9">
        <v>121</v>
      </c>
      <c r="B122" s="9" t="s">
        <v>110</v>
      </c>
      <c r="C122" s="9" t="s">
        <v>111</v>
      </c>
      <c r="D122" s="12">
        <v>5</v>
      </c>
      <c r="E122" s="12"/>
      <c r="F122" s="12">
        <f t="shared" si="4"/>
        <v>5</v>
      </c>
      <c r="G122" s="9">
        <v>5</v>
      </c>
      <c r="H122" s="18">
        <f t="shared" si="3"/>
        <v>0</v>
      </c>
      <c r="I122" s="21" t="s">
        <v>550</v>
      </c>
    </row>
    <row r="123" spans="1:9" ht="15.75" x14ac:dyDescent="0.25">
      <c r="A123" s="9">
        <v>122</v>
      </c>
      <c r="B123" s="9" t="s">
        <v>112</v>
      </c>
      <c r="C123" s="9" t="s">
        <v>113</v>
      </c>
      <c r="D123" s="12">
        <v>29</v>
      </c>
      <c r="E123" s="12"/>
      <c r="F123" s="12">
        <f t="shared" si="4"/>
        <v>29</v>
      </c>
      <c r="G123" s="9">
        <v>29</v>
      </c>
      <c r="H123" s="18">
        <f t="shared" si="3"/>
        <v>0</v>
      </c>
      <c r="I123" s="21" t="s">
        <v>550</v>
      </c>
    </row>
    <row r="124" spans="1:9" ht="15.75" x14ac:dyDescent="0.25">
      <c r="A124" s="9">
        <v>123</v>
      </c>
      <c r="B124" s="9" t="s">
        <v>114</v>
      </c>
      <c r="C124" s="9" t="s">
        <v>115</v>
      </c>
      <c r="D124" s="12">
        <v>3</v>
      </c>
      <c r="E124" s="12"/>
      <c r="F124" s="12">
        <f t="shared" si="4"/>
        <v>3</v>
      </c>
      <c r="G124" s="9">
        <v>3</v>
      </c>
      <c r="H124" s="18">
        <f t="shared" si="3"/>
        <v>0</v>
      </c>
      <c r="I124" s="21" t="s">
        <v>550</v>
      </c>
    </row>
    <row r="125" spans="1:9" ht="15.75" x14ac:dyDescent="0.25">
      <c r="A125" s="9">
        <v>124</v>
      </c>
      <c r="B125" s="9" t="s">
        <v>329</v>
      </c>
      <c r="C125" s="9" t="s">
        <v>330</v>
      </c>
      <c r="D125" s="12">
        <v>4</v>
      </c>
      <c r="E125" s="12"/>
      <c r="F125" s="12">
        <f t="shared" si="4"/>
        <v>4</v>
      </c>
      <c r="G125" s="9">
        <v>4</v>
      </c>
      <c r="H125" s="18">
        <f t="shared" si="3"/>
        <v>0</v>
      </c>
      <c r="I125" s="21" t="s">
        <v>550</v>
      </c>
    </row>
    <row r="126" spans="1:9" ht="15.75" x14ac:dyDescent="0.25">
      <c r="A126" s="9">
        <v>125</v>
      </c>
      <c r="B126" s="9" t="s">
        <v>263</v>
      </c>
      <c r="C126" s="9" t="s">
        <v>264</v>
      </c>
      <c r="D126" s="12">
        <v>4</v>
      </c>
      <c r="E126" s="12"/>
      <c r="F126" s="12">
        <f t="shared" si="4"/>
        <v>4</v>
      </c>
      <c r="G126" s="9">
        <v>4</v>
      </c>
      <c r="H126" s="18">
        <f t="shared" si="3"/>
        <v>0</v>
      </c>
      <c r="I126" s="21" t="s">
        <v>550</v>
      </c>
    </row>
    <row r="127" spans="1:9" ht="15.75" x14ac:dyDescent="0.25">
      <c r="A127" s="9">
        <v>126</v>
      </c>
      <c r="B127" s="9" t="s">
        <v>194</v>
      </c>
      <c r="C127" s="9" t="s">
        <v>195</v>
      </c>
      <c r="D127" s="12">
        <v>5</v>
      </c>
      <c r="E127" s="12"/>
      <c r="F127" s="12">
        <f t="shared" si="4"/>
        <v>5</v>
      </c>
      <c r="G127" s="9">
        <v>5</v>
      </c>
      <c r="H127" s="18">
        <f t="shared" si="3"/>
        <v>0</v>
      </c>
      <c r="I127" s="21" t="s">
        <v>550</v>
      </c>
    </row>
    <row r="128" spans="1:9" ht="15.75" x14ac:dyDescent="0.25">
      <c r="A128" s="9">
        <v>127</v>
      </c>
      <c r="B128" s="9" t="s">
        <v>50</v>
      </c>
      <c r="C128" s="9" t="s">
        <v>51</v>
      </c>
      <c r="D128" s="12">
        <v>3</v>
      </c>
      <c r="E128" s="12"/>
      <c r="F128" s="12">
        <f t="shared" ref="F128:F159" si="5">D128+E128</f>
        <v>3</v>
      </c>
      <c r="G128" s="9">
        <v>3</v>
      </c>
      <c r="H128" s="18">
        <f t="shared" si="3"/>
        <v>0</v>
      </c>
      <c r="I128" s="21" t="s">
        <v>550</v>
      </c>
    </row>
    <row r="129" spans="1:10" ht="15.75" x14ac:dyDescent="0.25">
      <c r="A129" s="9">
        <v>128</v>
      </c>
      <c r="B129" s="9" t="s">
        <v>116</v>
      </c>
      <c r="C129" s="9" t="s">
        <v>117</v>
      </c>
      <c r="D129" s="12">
        <v>12</v>
      </c>
      <c r="E129" s="12"/>
      <c r="F129" s="12">
        <f t="shared" si="5"/>
        <v>12</v>
      </c>
      <c r="G129" s="9">
        <v>12</v>
      </c>
      <c r="H129" s="18">
        <f t="shared" si="3"/>
        <v>0</v>
      </c>
      <c r="I129" s="21" t="s">
        <v>550</v>
      </c>
    </row>
    <row r="130" spans="1:10" ht="15.75" x14ac:dyDescent="0.25">
      <c r="A130" s="9">
        <v>129</v>
      </c>
      <c r="B130" s="9" t="s">
        <v>265</v>
      </c>
      <c r="C130" s="9" t="s">
        <v>266</v>
      </c>
      <c r="D130" s="12">
        <v>28</v>
      </c>
      <c r="E130" s="12"/>
      <c r="F130" s="12">
        <f t="shared" si="5"/>
        <v>28</v>
      </c>
      <c r="G130" s="9">
        <v>28</v>
      </c>
      <c r="H130" s="18">
        <f t="shared" si="3"/>
        <v>0</v>
      </c>
      <c r="I130" s="21" t="s">
        <v>550</v>
      </c>
    </row>
    <row r="131" spans="1:10" ht="15.75" x14ac:dyDescent="0.25">
      <c r="A131" s="9">
        <v>130</v>
      </c>
      <c r="B131" s="9" t="s">
        <v>118</v>
      </c>
      <c r="C131" s="9" t="s">
        <v>119</v>
      </c>
      <c r="D131" s="12">
        <v>5</v>
      </c>
      <c r="E131" s="12"/>
      <c r="F131" s="12">
        <f t="shared" si="5"/>
        <v>5</v>
      </c>
      <c r="G131" s="9">
        <v>5</v>
      </c>
      <c r="H131" s="18">
        <f t="shared" ref="H131:H194" si="6">G131-F131</f>
        <v>0</v>
      </c>
      <c r="I131" s="21" t="s">
        <v>550</v>
      </c>
    </row>
    <row r="132" spans="1:10" ht="15.75" x14ac:dyDescent="0.25">
      <c r="A132" s="9">
        <v>131</v>
      </c>
      <c r="B132" s="9" t="s">
        <v>267</v>
      </c>
      <c r="C132" s="9" t="s">
        <v>268</v>
      </c>
      <c r="D132" s="12">
        <v>3</v>
      </c>
      <c r="E132" s="12"/>
      <c r="F132" s="12">
        <f t="shared" si="5"/>
        <v>3</v>
      </c>
      <c r="G132" s="9">
        <v>3</v>
      </c>
      <c r="H132" s="18">
        <f t="shared" si="6"/>
        <v>0</v>
      </c>
      <c r="I132" s="21" t="s">
        <v>550</v>
      </c>
    </row>
    <row r="133" spans="1:10" ht="15.75" x14ac:dyDescent="0.25">
      <c r="A133" s="9">
        <v>132</v>
      </c>
      <c r="B133" s="9" t="s">
        <v>120</v>
      </c>
      <c r="C133" s="9" t="s">
        <v>121</v>
      </c>
      <c r="D133" s="12">
        <v>5</v>
      </c>
      <c r="E133" s="12"/>
      <c r="F133" s="12">
        <f t="shared" si="5"/>
        <v>5</v>
      </c>
      <c r="G133" s="9">
        <v>5</v>
      </c>
      <c r="H133" s="18">
        <f t="shared" si="6"/>
        <v>0</v>
      </c>
      <c r="I133" s="21" t="s">
        <v>550</v>
      </c>
    </row>
    <row r="134" spans="1:10" ht="15.75" x14ac:dyDescent="0.25">
      <c r="A134" s="9">
        <v>133</v>
      </c>
      <c r="B134" s="9" t="s">
        <v>122</v>
      </c>
      <c r="C134" s="9" t="s">
        <v>123</v>
      </c>
      <c r="D134" s="12">
        <v>2</v>
      </c>
      <c r="E134" s="12"/>
      <c r="F134" s="12">
        <f t="shared" si="5"/>
        <v>2</v>
      </c>
      <c r="G134" s="9">
        <v>2</v>
      </c>
      <c r="H134" s="18">
        <f t="shared" si="6"/>
        <v>0</v>
      </c>
      <c r="I134" s="21" t="s">
        <v>550</v>
      </c>
    </row>
    <row r="135" spans="1:10" ht="15.75" x14ac:dyDescent="0.25">
      <c r="A135" s="9">
        <v>134</v>
      </c>
      <c r="B135" s="9" t="s">
        <v>385</v>
      </c>
      <c r="C135" s="9" t="s">
        <v>386</v>
      </c>
      <c r="D135" s="12">
        <v>3</v>
      </c>
      <c r="E135" s="12"/>
      <c r="F135" s="12">
        <f t="shared" si="5"/>
        <v>3</v>
      </c>
      <c r="G135" s="9">
        <v>3</v>
      </c>
      <c r="H135" s="18">
        <f t="shared" si="6"/>
        <v>0</v>
      </c>
      <c r="I135" s="21" t="s">
        <v>550</v>
      </c>
    </row>
    <row r="136" spans="1:10" ht="15.75" x14ac:dyDescent="0.25">
      <c r="A136" s="9">
        <v>135</v>
      </c>
      <c r="B136" s="9" t="s">
        <v>196</v>
      </c>
      <c r="C136" s="9" t="s">
        <v>197</v>
      </c>
      <c r="D136" s="12">
        <v>1</v>
      </c>
      <c r="E136" s="12"/>
      <c r="F136" s="12">
        <f t="shared" si="5"/>
        <v>1</v>
      </c>
      <c r="G136" s="9">
        <v>1</v>
      </c>
      <c r="H136" s="18">
        <f t="shared" si="6"/>
        <v>0</v>
      </c>
      <c r="I136" s="21" t="s">
        <v>550</v>
      </c>
    </row>
    <row r="137" spans="1:10" ht="15.75" x14ac:dyDescent="0.25">
      <c r="A137" s="9">
        <v>136</v>
      </c>
      <c r="B137" s="9" t="s">
        <v>331</v>
      </c>
      <c r="C137" s="9" t="s">
        <v>332</v>
      </c>
      <c r="D137" s="12">
        <v>3</v>
      </c>
      <c r="E137" s="12"/>
      <c r="F137" s="12">
        <f t="shared" si="5"/>
        <v>3</v>
      </c>
      <c r="G137" s="9">
        <v>3</v>
      </c>
      <c r="H137" s="18">
        <f t="shared" si="6"/>
        <v>0</v>
      </c>
      <c r="I137" s="21" t="s">
        <v>550</v>
      </c>
    </row>
    <row r="138" spans="1:10" ht="15.75" x14ac:dyDescent="0.25">
      <c r="A138" s="9">
        <v>137</v>
      </c>
      <c r="B138" s="9">
        <v>1000097847</v>
      </c>
      <c r="C138" s="9" t="s">
        <v>270</v>
      </c>
      <c r="D138" s="12">
        <v>3</v>
      </c>
      <c r="E138" s="12"/>
      <c r="F138" s="12">
        <f t="shared" si="5"/>
        <v>3</v>
      </c>
      <c r="G138" s="9">
        <v>3</v>
      </c>
      <c r="H138" s="18">
        <f t="shared" si="6"/>
        <v>0</v>
      </c>
      <c r="I138" s="21" t="s">
        <v>550</v>
      </c>
    </row>
    <row r="139" spans="1:10" ht="15.75" x14ac:dyDescent="0.25">
      <c r="A139" s="9">
        <v>138</v>
      </c>
      <c r="B139" s="9" t="s">
        <v>333</v>
      </c>
      <c r="C139" s="9" t="s">
        <v>334</v>
      </c>
      <c r="D139" s="12">
        <v>2</v>
      </c>
      <c r="E139" s="12"/>
      <c r="F139" s="12">
        <f t="shared" si="5"/>
        <v>2</v>
      </c>
      <c r="G139" s="9">
        <v>2</v>
      </c>
      <c r="H139" s="18">
        <f t="shared" si="6"/>
        <v>0</v>
      </c>
      <c r="I139" s="21" t="s">
        <v>550</v>
      </c>
    </row>
    <row r="140" spans="1:10" ht="15.75" x14ac:dyDescent="0.25">
      <c r="A140" s="9">
        <v>139</v>
      </c>
      <c r="B140" s="9" t="s">
        <v>507</v>
      </c>
      <c r="C140" s="9" t="s">
        <v>508</v>
      </c>
      <c r="D140" s="12">
        <v>5</v>
      </c>
      <c r="E140" s="12"/>
      <c r="F140" s="12">
        <f t="shared" si="5"/>
        <v>5</v>
      </c>
      <c r="G140" s="9">
        <v>5</v>
      </c>
      <c r="H140" s="18">
        <f t="shared" si="6"/>
        <v>0</v>
      </c>
      <c r="I140" s="21" t="s">
        <v>550</v>
      </c>
    </row>
    <row r="141" spans="1:10" ht="15.75" x14ac:dyDescent="0.25">
      <c r="A141" s="9">
        <v>140</v>
      </c>
      <c r="B141" s="9" t="s">
        <v>271</v>
      </c>
      <c r="C141" s="9" t="s">
        <v>272</v>
      </c>
      <c r="D141" s="12">
        <v>5</v>
      </c>
      <c r="E141" s="12"/>
      <c r="F141" s="12">
        <f t="shared" si="5"/>
        <v>5</v>
      </c>
      <c r="G141" s="9">
        <v>5</v>
      </c>
      <c r="H141" s="18">
        <f t="shared" si="6"/>
        <v>0</v>
      </c>
      <c r="I141" s="21" t="s">
        <v>550</v>
      </c>
    </row>
    <row r="142" spans="1:10" x14ac:dyDescent="0.25">
      <c r="A142" s="9">
        <v>141</v>
      </c>
      <c r="B142" s="9" t="s">
        <v>9</v>
      </c>
      <c r="C142" s="9" t="s">
        <v>11</v>
      </c>
      <c r="D142" s="12">
        <v>13</v>
      </c>
      <c r="E142" s="12">
        <v>1</v>
      </c>
      <c r="F142" s="12">
        <f t="shared" si="5"/>
        <v>14</v>
      </c>
      <c r="G142" s="9">
        <v>13</v>
      </c>
      <c r="H142" s="18">
        <f t="shared" si="6"/>
        <v>-1</v>
      </c>
      <c r="I142" s="17" t="s">
        <v>548</v>
      </c>
    </row>
    <row r="143" spans="1:10" x14ac:dyDescent="0.25">
      <c r="A143" s="9">
        <v>142</v>
      </c>
      <c r="B143" s="9">
        <v>1000098476</v>
      </c>
      <c r="C143" s="9" t="s">
        <v>510</v>
      </c>
      <c r="D143" s="12">
        <v>16</v>
      </c>
      <c r="E143" s="12"/>
      <c r="F143" s="12">
        <f t="shared" si="5"/>
        <v>16</v>
      </c>
      <c r="G143" s="9">
        <v>16</v>
      </c>
      <c r="H143" s="18">
        <f t="shared" si="6"/>
        <v>0</v>
      </c>
      <c r="I143" s="19" t="s">
        <v>549</v>
      </c>
      <c r="J143" s="16"/>
    </row>
    <row r="144" spans="1:10" ht="15.75" x14ac:dyDescent="0.25">
      <c r="A144" s="9">
        <v>143</v>
      </c>
      <c r="B144" s="9" t="s">
        <v>124</v>
      </c>
      <c r="C144" s="9" t="s">
        <v>125</v>
      </c>
      <c r="D144" s="12">
        <v>5</v>
      </c>
      <c r="E144" s="12"/>
      <c r="F144" s="12">
        <f t="shared" si="5"/>
        <v>5</v>
      </c>
      <c r="G144" s="9">
        <v>5</v>
      </c>
      <c r="H144" s="18">
        <f t="shared" si="6"/>
        <v>0</v>
      </c>
      <c r="I144" s="21" t="s">
        <v>550</v>
      </c>
    </row>
    <row r="145" spans="1:9" x14ac:dyDescent="0.25">
      <c r="A145" s="9">
        <v>144</v>
      </c>
      <c r="B145" s="9">
        <v>1000098507</v>
      </c>
      <c r="C145" s="9" t="s">
        <v>199</v>
      </c>
      <c r="D145" s="12">
        <v>1</v>
      </c>
      <c r="E145" s="12"/>
      <c r="F145" s="12">
        <f t="shared" si="5"/>
        <v>1</v>
      </c>
      <c r="G145" s="9">
        <v>0</v>
      </c>
      <c r="H145" s="18">
        <f t="shared" si="6"/>
        <v>-1</v>
      </c>
      <c r="I145" s="9" t="s">
        <v>549</v>
      </c>
    </row>
    <row r="146" spans="1:9" ht="15.75" x14ac:dyDescent="0.25">
      <c r="A146" s="9">
        <v>145</v>
      </c>
      <c r="B146" s="9" t="s">
        <v>387</v>
      </c>
      <c r="C146" s="9" t="s">
        <v>388</v>
      </c>
      <c r="D146" s="12">
        <v>9</v>
      </c>
      <c r="E146" s="12"/>
      <c r="F146" s="12">
        <f t="shared" si="5"/>
        <v>9</v>
      </c>
      <c r="G146" s="9">
        <v>9</v>
      </c>
      <c r="H146" s="18">
        <f t="shared" si="6"/>
        <v>0</v>
      </c>
      <c r="I146" s="21" t="s">
        <v>550</v>
      </c>
    </row>
    <row r="147" spans="1:9" ht="15.75" x14ac:dyDescent="0.25">
      <c r="A147" s="9">
        <v>146</v>
      </c>
      <c r="B147" s="9" t="s">
        <v>52</v>
      </c>
      <c r="C147" s="9" t="s">
        <v>53</v>
      </c>
      <c r="D147" s="12">
        <v>3</v>
      </c>
      <c r="E147" s="12"/>
      <c r="F147" s="12">
        <f t="shared" si="5"/>
        <v>3</v>
      </c>
      <c r="G147" s="9">
        <v>3</v>
      </c>
      <c r="H147" s="18">
        <f t="shared" si="6"/>
        <v>0</v>
      </c>
      <c r="I147" s="21" t="s">
        <v>550</v>
      </c>
    </row>
    <row r="148" spans="1:9" ht="15.75" x14ac:dyDescent="0.25">
      <c r="A148" s="9">
        <v>147</v>
      </c>
      <c r="B148" s="9" t="s">
        <v>126</v>
      </c>
      <c r="C148" s="9" t="s">
        <v>127</v>
      </c>
      <c r="D148" s="12">
        <v>4</v>
      </c>
      <c r="E148" s="12"/>
      <c r="F148" s="12">
        <f t="shared" si="5"/>
        <v>4</v>
      </c>
      <c r="G148" s="9">
        <v>4</v>
      </c>
      <c r="H148" s="18">
        <f t="shared" si="6"/>
        <v>0</v>
      </c>
      <c r="I148" s="21" t="s">
        <v>550</v>
      </c>
    </row>
    <row r="149" spans="1:9" ht="15.75" x14ac:dyDescent="0.25">
      <c r="A149" s="9">
        <v>148</v>
      </c>
      <c r="B149" s="9" t="s">
        <v>432</v>
      </c>
      <c r="C149" s="9" t="s">
        <v>433</v>
      </c>
      <c r="D149" s="12">
        <v>5</v>
      </c>
      <c r="E149" s="12"/>
      <c r="F149" s="12">
        <f t="shared" si="5"/>
        <v>5</v>
      </c>
      <c r="G149" s="9">
        <v>5</v>
      </c>
      <c r="H149" s="18">
        <f t="shared" si="6"/>
        <v>0</v>
      </c>
      <c r="I149" s="21" t="s">
        <v>550</v>
      </c>
    </row>
    <row r="150" spans="1:9" ht="15.75" x14ac:dyDescent="0.25">
      <c r="A150" s="9">
        <v>149</v>
      </c>
      <c r="B150" s="9" t="s">
        <v>128</v>
      </c>
      <c r="C150" s="9" t="s">
        <v>129</v>
      </c>
      <c r="D150" s="12">
        <v>3</v>
      </c>
      <c r="E150" s="12"/>
      <c r="F150" s="12">
        <f t="shared" si="5"/>
        <v>3</v>
      </c>
      <c r="G150" s="9">
        <v>3</v>
      </c>
      <c r="H150" s="18">
        <f t="shared" si="6"/>
        <v>0</v>
      </c>
      <c r="I150" s="21" t="s">
        <v>550</v>
      </c>
    </row>
    <row r="151" spans="1:9" ht="15.75" x14ac:dyDescent="0.25">
      <c r="A151" s="9">
        <v>150</v>
      </c>
      <c r="B151" s="9" t="s">
        <v>54</v>
      </c>
      <c r="C151" s="9" t="s">
        <v>55</v>
      </c>
      <c r="D151" s="12">
        <v>4</v>
      </c>
      <c r="E151" s="12"/>
      <c r="F151" s="12">
        <f t="shared" si="5"/>
        <v>4</v>
      </c>
      <c r="G151" s="9">
        <v>4</v>
      </c>
      <c r="H151" s="18">
        <f t="shared" si="6"/>
        <v>0</v>
      </c>
      <c r="I151" s="21" t="s">
        <v>550</v>
      </c>
    </row>
    <row r="152" spans="1:9" ht="15.75" x14ac:dyDescent="0.25">
      <c r="A152" s="9">
        <v>151</v>
      </c>
      <c r="B152" s="9" t="s">
        <v>56</v>
      </c>
      <c r="C152" s="9" t="s">
        <v>57</v>
      </c>
      <c r="D152" s="12">
        <v>5</v>
      </c>
      <c r="E152" s="12"/>
      <c r="F152" s="12">
        <f t="shared" si="5"/>
        <v>5</v>
      </c>
      <c r="G152" s="9">
        <v>5</v>
      </c>
      <c r="H152" s="18">
        <f t="shared" si="6"/>
        <v>0</v>
      </c>
      <c r="I152" s="21" t="s">
        <v>550</v>
      </c>
    </row>
    <row r="153" spans="1:9" ht="15.75" x14ac:dyDescent="0.25">
      <c r="A153" s="9">
        <v>152</v>
      </c>
      <c r="B153" s="9" t="s">
        <v>335</v>
      </c>
      <c r="C153" s="9" t="s">
        <v>336</v>
      </c>
      <c r="D153" s="12">
        <v>5</v>
      </c>
      <c r="E153" s="12"/>
      <c r="F153" s="12">
        <f t="shared" si="5"/>
        <v>5</v>
      </c>
      <c r="G153" s="9">
        <v>5</v>
      </c>
      <c r="H153" s="18">
        <f t="shared" si="6"/>
        <v>0</v>
      </c>
      <c r="I153" s="21" t="s">
        <v>550</v>
      </c>
    </row>
    <row r="154" spans="1:9" ht="15.75" x14ac:dyDescent="0.25">
      <c r="A154" s="9">
        <v>153</v>
      </c>
      <c r="B154" s="9" t="s">
        <v>130</v>
      </c>
      <c r="C154" s="9" t="s">
        <v>131</v>
      </c>
      <c r="D154" s="12">
        <v>3</v>
      </c>
      <c r="E154" s="12"/>
      <c r="F154" s="12">
        <f t="shared" si="5"/>
        <v>3</v>
      </c>
      <c r="G154" s="9">
        <v>3</v>
      </c>
      <c r="H154" s="18">
        <f t="shared" si="6"/>
        <v>0</v>
      </c>
      <c r="I154" s="21" t="s">
        <v>550</v>
      </c>
    </row>
    <row r="155" spans="1:9" ht="15.75" x14ac:dyDescent="0.25">
      <c r="A155" s="9">
        <v>154</v>
      </c>
      <c r="B155" s="9" t="s">
        <v>511</v>
      </c>
      <c r="C155" s="9" t="s">
        <v>512</v>
      </c>
      <c r="D155" s="12">
        <v>1</v>
      </c>
      <c r="E155" s="12"/>
      <c r="F155" s="12">
        <f t="shared" si="5"/>
        <v>1</v>
      </c>
      <c r="G155" s="9">
        <v>1</v>
      </c>
      <c r="H155" s="18">
        <f t="shared" si="6"/>
        <v>0</v>
      </c>
      <c r="I155" s="21" t="s">
        <v>550</v>
      </c>
    </row>
    <row r="156" spans="1:9" ht="15.75" x14ac:dyDescent="0.25">
      <c r="A156" s="9">
        <v>155</v>
      </c>
      <c r="B156" s="9" t="s">
        <v>273</v>
      </c>
      <c r="C156" s="9" t="s">
        <v>274</v>
      </c>
      <c r="D156" s="12">
        <v>5</v>
      </c>
      <c r="E156" s="12"/>
      <c r="F156" s="12">
        <f t="shared" si="5"/>
        <v>5</v>
      </c>
      <c r="G156" s="9">
        <v>5</v>
      </c>
      <c r="H156" s="18">
        <f t="shared" si="6"/>
        <v>0</v>
      </c>
      <c r="I156" s="21" t="s">
        <v>550</v>
      </c>
    </row>
    <row r="157" spans="1:9" ht="15.75" x14ac:dyDescent="0.25">
      <c r="A157" s="9">
        <v>156</v>
      </c>
      <c r="B157" s="9" t="s">
        <v>58</v>
      </c>
      <c r="C157" s="9" t="s">
        <v>59</v>
      </c>
      <c r="D157" s="12">
        <v>15</v>
      </c>
      <c r="E157" s="12"/>
      <c r="F157" s="12">
        <f t="shared" si="5"/>
        <v>15</v>
      </c>
      <c r="G157" s="9">
        <v>15</v>
      </c>
      <c r="H157" s="18">
        <f t="shared" si="6"/>
        <v>0</v>
      </c>
      <c r="I157" s="21" t="s">
        <v>550</v>
      </c>
    </row>
    <row r="158" spans="1:9" ht="15.75" x14ac:dyDescent="0.25">
      <c r="A158" s="9">
        <v>157</v>
      </c>
      <c r="B158" s="9" t="s">
        <v>275</v>
      </c>
      <c r="C158" s="9" t="s">
        <v>276</v>
      </c>
      <c r="D158" s="12">
        <v>5</v>
      </c>
      <c r="E158" s="12"/>
      <c r="F158" s="12">
        <f t="shared" si="5"/>
        <v>5</v>
      </c>
      <c r="G158" s="9">
        <v>5</v>
      </c>
      <c r="H158" s="18">
        <f t="shared" si="6"/>
        <v>0</v>
      </c>
      <c r="I158" s="21" t="s">
        <v>550</v>
      </c>
    </row>
    <row r="159" spans="1:9" ht="15.75" x14ac:dyDescent="0.25">
      <c r="A159" s="9">
        <v>158</v>
      </c>
      <c r="B159" s="9" t="s">
        <v>60</v>
      </c>
      <c r="C159" s="9" t="s">
        <v>61</v>
      </c>
      <c r="D159" s="12">
        <v>3</v>
      </c>
      <c r="E159" s="12"/>
      <c r="F159" s="12">
        <f t="shared" si="5"/>
        <v>3</v>
      </c>
      <c r="G159" s="9">
        <v>3</v>
      </c>
      <c r="H159" s="18">
        <f t="shared" si="6"/>
        <v>0</v>
      </c>
      <c r="I159" s="21" t="s">
        <v>550</v>
      </c>
    </row>
    <row r="160" spans="1:9" ht="15.75" x14ac:dyDescent="0.25">
      <c r="A160" s="9">
        <v>159</v>
      </c>
      <c r="B160" s="9" t="s">
        <v>277</v>
      </c>
      <c r="C160" s="9" t="s">
        <v>278</v>
      </c>
      <c r="D160" s="12">
        <v>3</v>
      </c>
      <c r="E160" s="12"/>
      <c r="F160" s="12">
        <f t="shared" ref="F160:F191" si="7">D160+E160</f>
        <v>3</v>
      </c>
      <c r="G160" s="9">
        <v>3</v>
      </c>
      <c r="H160" s="18">
        <f t="shared" si="6"/>
        <v>0</v>
      </c>
      <c r="I160" s="21" t="s">
        <v>550</v>
      </c>
    </row>
    <row r="161" spans="1:9" ht="15.75" x14ac:dyDescent="0.25">
      <c r="A161" s="9">
        <v>160</v>
      </c>
      <c r="B161" s="9" t="s">
        <v>337</v>
      </c>
      <c r="C161" s="9" t="s">
        <v>338</v>
      </c>
      <c r="D161" s="12">
        <v>21</v>
      </c>
      <c r="E161" s="12"/>
      <c r="F161" s="12">
        <f t="shared" si="7"/>
        <v>21</v>
      </c>
      <c r="G161" s="9">
        <v>21</v>
      </c>
      <c r="H161" s="18">
        <f t="shared" si="6"/>
        <v>0</v>
      </c>
      <c r="I161" s="21" t="s">
        <v>550</v>
      </c>
    </row>
    <row r="162" spans="1:9" ht="15.75" x14ac:dyDescent="0.25">
      <c r="A162" s="9">
        <v>161</v>
      </c>
      <c r="B162" s="9" t="s">
        <v>339</v>
      </c>
      <c r="C162" s="9" t="s">
        <v>340</v>
      </c>
      <c r="D162" s="12">
        <v>4</v>
      </c>
      <c r="E162" s="12"/>
      <c r="F162" s="12">
        <f t="shared" si="7"/>
        <v>4</v>
      </c>
      <c r="G162" s="9">
        <v>4</v>
      </c>
      <c r="H162" s="18">
        <f t="shared" si="6"/>
        <v>0</v>
      </c>
      <c r="I162" s="21" t="s">
        <v>550</v>
      </c>
    </row>
    <row r="163" spans="1:9" ht="15.75" x14ac:dyDescent="0.25">
      <c r="A163" s="9">
        <v>162</v>
      </c>
      <c r="B163" s="9" t="s">
        <v>341</v>
      </c>
      <c r="C163" s="9" t="s">
        <v>342</v>
      </c>
      <c r="D163" s="12">
        <v>15</v>
      </c>
      <c r="E163" s="12"/>
      <c r="F163" s="12">
        <f t="shared" si="7"/>
        <v>15</v>
      </c>
      <c r="G163" s="9">
        <v>15</v>
      </c>
      <c r="H163" s="18">
        <f t="shared" si="6"/>
        <v>0</v>
      </c>
      <c r="I163" s="21" t="s">
        <v>550</v>
      </c>
    </row>
    <row r="164" spans="1:9" ht="15.75" x14ac:dyDescent="0.25">
      <c r="A164" s="9">
        <v>163</v>
      </c>
      <c r="B164" s="9" t="s">
        <v>343</v>
      </c>
      <c r="C164" s="9" t="s">
        <v>344</v>
      </c>
      <c r="D164" s="12">
        <v>15</v>
      </c>
      <c r="E164" s="12"/>
      <c r="F164" s="12">
        <f t="shared" si="7"/>
        <v>15</v>
      </c>
      <c r="G164" s="9">
        <v>15</v>
      </c>
      <c r="H164" s="18">
        <f t="shared" si="6"/>
        <v>0</v>
      </c>
      <c r="I164" s="21" t="s">
        <v>550</v>
      </c>
    </row>
    <row r="165" spans="1:9" ht="15.75" x14ac:dyDescent="0.25">
      <c r="A165" s="9">
        <v>164</v>
      </c>
      <c r="B165" s="9" t="s">
        <v>434</v>
      </c>
      <c r="C165" s="9" t="s">
        <v>435</v>
      </c>
      <c r="D165" s="12">
        <v>3</v>
      </c>
      <c r="E165" s="12"/>
      <c r="F165" s="12">
        <f t="shared" si="7"/>
        <v>3</v>
      </c>
      <c r="G165" s="9">
        <v>3</v>
      </c>
      <c r="H165" s="18">
        <f t="shared" si="6"/>
        <v>0</v>
      </c>
      <c r="I165" s="21" t="s">
        <v>550</v>
      </c>
    </row>
    <row r="166" spans="1:9" ht="15.75" x14ac:dyDescent="0.25">
      <c r="A166" s="9">
        <v>165</v>
      </c>
      <c r="B166" s="9" t="s">
        <v>389</v>
      </c>
      <c r="C166" s="9" t="s">
        <v>391</v>
      </c>
      <c r="D166" s="12">
        <v>18</v>
      </c>
      <c r="E166" s="12"/>
      <c r="F166" s="12">
        <f t="shared" si="7"/>
        <v>18</v>
      </c>
      <c r="G166" s="9">
        <v>18</v>
      </c>
      <c r="H166" s="18">
        <f t="shared" si="6"/>
        <v>0</v>
      </c>
      <c r="I166" s="21" t="s">
        <v>550</v>
      </c>
    </row>
    <row r="167" spans="1:9" ht="15.75" x14ac:dyDescent="0.25">
      <c r="A167" s="9">
        <v>166</v>
      </c>
      <c r="B167" s="9" t="s">
        <v>132</v>
      </c>
      <c r="C167" s="9" t="s">
        <v>133</v>
      </c>
      <c r="D167" s="12">
        <v>4</v>
      </c>
      <c r="E167" s="12"/>
      <c r="F167" s="12">
        <f t="shared" si="7"/>
        <v>4</v>
      </c>
      <c r="G167" s="9">
        <v>4</v>
      </c>
      <c r="H167" s="18">
        <f t="shared" si="6"/>
        <v>0</v>
      </c>
      <c r="I167" s="21" t="s">
        <v>550</v>
      </c>
    </row>
    <row r="168" spans="1:9" ht="15.75" x14ac:dyDescent="0.25">
      <c r="A168" s="9">
        <v>167</v>
      </c>
      <c r="B168" s="9" t="s">
        <v>279</v>
      </c>
      <c r="C168" s="9" t="s">
        <v>280</v>
      </c>
      <c r="D168" s="12">
        <v>3</v>
      </c>
      <c r="E168" s="12"/>
      <c r="F168" s="12">
        <f t="shared" si="7"/>
        <v>3</v>
      </c>
      <c r="G168" s="9">
        <v>3</v>
      </c>
      <c r="H168" s="18">
        <f t="shared" si="6"/>
        <v>0</v>
      </c>
      <c r="I168" s="21" t="s">
        <v>550</v>
      </c>
    </row>
    <row r="169" spans="1:9" ht="15.75" x14ac:dyDescent="0.25">
      <c r="A169" s="9">
        <v>168</v>
      </c>
      <c r="B169" s="9" t="s">
        <v>200</v>
      </c>
      <c r="C169" s="9" t="s">
        <v>201</v>
      </c>
      <c r="D169" s="12">
        <v>1</v>
      </c>
      <c r="E169" s="12"/>
      <c r="F169" s="12">
        <f t="shared" si="7"/>
        <v>1</v>
      </c>
      <c r="G169" s="9">
        <v>1</v>
      </c>
      <c r="H169" s="18">
        <f t="shared" si="6"/>
        <v>0</v>
      </c>
      <c r="I169" s="21" t="s">
        <v>550</v>
      </c>
    </row>
    <row r="170" spans="1:9" ht="15.75" x14ac:dyDescent="0.25">
      <c r="A170" s="9">
        <v>169</v>
      </c>
      <c r="B170" s="9" t="s">
        <v>202</v>
      </c>
      <c r="C170" s="9" t="s">
        <v>203</v>
      </c>
      <c r="D170" s="12">
        <v>1</v>
      </c>
      <c r="E170" s="12"/>
      <c r="F170" s="12">
        <f t="shared" si="7"/>
        <v>1</v>
      </c>
      <c r="G170" s="9">
        <v>1</v>
      </c>
      <c r="H170" s="18">
        <f t="shared" si="6"/>
        <v>0</v>
      </c>
      <c r="I170" s="21" t="s">
        <v>550</v>
      </c>
    </row>
    <row r="171" spans="1:9" ht="15.75" x14ac:dyDescent="0.25">
      <c r="A171" s="9">
        <v>170</v>
      </c>
      <c r="B171" s="9" t="s">
        <v>62</v>
      </c>
      <c r="C171" s="9" t="s">
        <v>63</v>
      </c>
      <c r="D171" s="12">
        <v>2</v>
      </c>
      <c r="E171" s="12"/>
      <c r="F171" s="12">
        <f t="shared" si="7"/>
        <v>2</v>
      </c>
      <c r="G171" s="9">
        <v>2</v>
      </c>
      <c r="H171" s="18">
        <f t="shared" si="6"/>
        <v>0</v>
      </c>
      <c r="I171" s="21" t="s">
        <v>550</v>
      </c>
    </row>
    <row r="172" spans="1:9" ht="15.75" x14ac:dyDescent="0.25">
      <c r="A172" s="9">
        <v>171</v>
      </c>
      <c r="B172" s="9" t="s">
        <v>345</v>
      </c>
      <c r="C172" s="14" t="s">
        <v>346</v>
      </c>
      <c r="D172" s="12">
        <v>4</v>
      </c>
      <c r="E172" s="12"/>
      <c r="F172" s="12">
        <f t="shared" si="7"/>
        <v>4</v>
      </c>
      <c r="G172" s="9">
        <v>4</v>
      </c>
      <c r="H172" s="18">
        <f t="shared" si="6"/>
        <v>0</v>
      </c>
      <c r="I172" s="21" t="s">
        <v>550</v>
      </c>
    </row>
    <row r="173" spans="1:9" ht="15.75" x14ac:dyDescent="0.25">
      <c r="A173" s="9">
        <v>172</v>
      </c>
      <c r="B173" s="9" t="s">
        <v>64</v>
      </c>
      <c r="C173" s="9" t="s">
        <v>65</v>
      </c>
      <c r="D173" s="12">
        <v>15</v>
      </c>
      <c r="E173" s="12"/>
      <c r="F173" s="12">
        <f t="shared" si="7"/>
        <v>15</v>
      </c>
      <c r="G173" s="9">
        <v>15</v>
      </c>
      <c r="H173" s="18">
        <f t="shared" si="6"/>
        <v>0</v>
      </c>
      <c r="I173" s="21" t="s">
        <v>550</v>
      </c>
    </row>
    <row r="174" spans="1:9" ht="15.75" x14ac:dyDescent="0.25">
      <c r="A174" s="9">
        <v>173</v>
      </c>
      <c r="B174" s="9" t="s">
        <v>204</v>
      </c>
      <c r="C174" s="9" t="s">
        <v>205</v>
      </c>
      <c r="D174" s="12">
        <v>2</v>
      </c>
      <c r="E174" s="12"/>
      <c r="F174" s="12">
        <f t="shared" si="7"/>
        <v>2</v>
      </c>
      <c r="G174" s="9">
        <v>2</v>
      </c>
      <c r="H174" s="18">
        <f t="shared" si="6"/>
        <v>0</v>
      </c>
      <c r="I174" s="21" t="s">
        <v>550</v>
      </c>
    </row>
    <row r="175" spans="1:9" ht="15.75" x14ac:dyDescent="0.25">
      <c r="A175" s="9">
        <v>174</v>
      </c>
      <c r="B175" s="9" t="s">
        <v>206</v>
      </c>
      <c r="C175" s="9" t="s">
        <v>207</v>
      </c>
      <c r="D175" s="12">
        <v>3</v>
      </c>
      <c r="E175" s="12"/>
      <c r="F175" s="12">
        <f t="shared" si="7"/>
        <v>3</v>
      </c>
      <c r="G175" s="9">
        <v>3</v>
      </c>
      <c r="H175" s="18">
        <f t="shared" si="6"/>
        <v>0</v>
      </c>
      <c r="I175" s="21" t="s">
        <v>550</v>
      </c>
    </row>
    <row r="176" spans="1:9" ht="15.75" x14ac:dyDescent="0.25">
      <c r="A176" s="9">
        <v>175</v>
      </c>
      <c r="B176" s="9" t="s">
        <v>392</v>
      </c>
      <c r="C176" s="9" t="s">
        <v>393</v>
      </c>
      <c r="D176" s="12">
        <v>2</v>
      </c>
      <c r="E176" s="12"/>
      <c r="F176" s="12">
        <f t="shared" si="7"/>
        <v>2</v>
      </c>
      <c r="G176" s="9">
        <v>2</v>
      </c>
      <c r="H176" s="18">
        <f t="shared" si="6"/>
        <v>0</v>
      </c>
      <c r="I176" s="21" t="s">
        <v>550</v>
      </c>
    </row>
    <row r="177" spans="1:9" ht="15.75" x14ac:dyDescent="0.25">
      <c r="A177" s="9">
        <v>176</v>
      </c>
      <c r="B177" s="9" t="s">
        <v>436</v>
      </c>
      <c r="C177" s="9" t="s">
        <v>437</v>
      </c>
      <c r="D177" s="12">
        <v>3</v>
      </c>
      <c r="E177" s="12"/>
      <c r="F177" s="12">
        <f t="shared" si="7"/>
        <v>3</v>
      </c>
      <c r="G177" s="9">
        <v>3</v>
      </c>
      <c r="H177" s="18">
        <f t="shared" si="6"/>
        <v>0</v>
      </c>
      <c r="I177" s="21" t="s">
        <v>550</v>
      </c>
    </row>
    <row r="178" spans="1:9" ht="15.75" x14ac:dyDescent="0.25">
      <c r="A178" s="9">
        <v>177</v>
      </c>
      <c r="B178" s="9" t="s">
        <v>347</v>
      </c>
      <c r="C178" s="9" t="s">
        <v>348</v>
      </c>
      <c r="D178" s="12">
        <v>5</v>
      </c>
      <c r="E178" s="12"/>
      <c r="F178" s="12">
        <f t="shared" si="7"/>
        <v>5</v>
      </c>
      <c r="G178" s="9">
        <v>5</v>
      </c>
      <c r="H178" s="18">
        <f t="shared" si="6"/>
        <v>0</v>
      </c>
      <c r="I178" s="21" t="s">
        <v>550</v>
      </c>
    </row>
    <row r="179" spans="1:9" ht="15.75" x14ac:dyDescent="0.25">
      <c r="A179" s="9">
        <v>178</v>
      </c>
      <c r="B179" s="9" t="s">
        <v>281</v>
      </c>
      <c r="C179" s="9" t="s">
        <v>282</v>
      </c>
      <c r="D179" s="12">
        <v>20</v>
      </c>
      <c r="E179" s="12"/>
      <c r="F179" s="12">
        <f t="shared" si="7"/>
        <v>20</v>
      </c>
      <c r="G179" s="9">
        <v>20</v>
      </c>
      <c r="H179" s="18">
        <f t="shared" si="6"/>
        <v>0</v>
      </c>
      <c r="I179" s="21" t="s">
        <v>550</v>
      </c>
    </row>
    <row r="180" spans="1:9" ht="15.75" x14ac:dyDescent="0.25">
      <c r="A180" s="9">
        <v>179</v>
      </c>
      <c r="B180" s="9" t="s">
        <v>208</v>
      </c>
      <c r="C180" s="9" t="s">
        <v>209</v>
      </c>
      <c r="D180" s="12">
        <v>5</v>
      </c>
      <c r="E180" s="12"/>
      <c r="F180" s="12">
        <f t="shared" si="7"/>
        <v>5</v>
      </c>
      <c r="G180" s="9">
        <v>5</v>
      </c>
      <c r="H180" s="18">
        <f t="shared" si="6"/>
        <v>0</v>
      </c>
      <c r="I180" s="21" t="s">
        <v>550</v>
      </c>
    </row>
    <row r="181" spans="1:9" ht="15.75" x14ac:dyDescent="0.25">
      <c r="A181" s="9">
        <v>180</v>
      </c>
      <c r="B181" s="9">
        <v>1000102863</v>
      </c>
      <c r="C181" s="9" t="s">
        <v>284</v>
      </c>
      <c r="D181" s="12">
        <v>5</v>
      </c>
      <c r="E181" s="12"/>
      <c r="F181" s="12">
        <f t="shared" si="7"/>
        <v>5</v>
      </c>
      <c r="G181" s="9">
        <v>5</v>
      </c>
      <c r="H181" s="18">
        <f t="shared" si="6"/>
        <v>0</v>
      </c>
      <c r="I181" s="21" t="s">
        <v>550</v>
      </c>
    </row>
    <row r="182" spans="1:9" ht="15.75" x14ac:dyDescent="0.25">
      <c r="A182" s="9">
        <v>181</v>
      </c>
      <c r="B182" s="9" t="s">
        <v>210</v>
      </c>
      <c r="C182" s="9" t="s">
        <v>211</v>
      </c>
      <c r="D182" s="12">
        <v>3</v>
      </c>
      <c r="E182" s="12"/>
      <c r="F182" s="12">
        <f t="shared" si="7"/>
        <v>3</v>
      </c>
      <c r="G182" s="9">
        <v>3</v>
      </c>
      <c r="H182" s="18">
        <f t="shared" si="6"/>
        <v>0</v>
      </c>
      <c r="I182" s="21" t="s">
        <v>550</v>
      </c>
    </row>
    <row r="183" spans="1:9" ht="15.75" x14ac:dyDescent="0.25">
      <c r="A183" s="9">
        <v>182</v>
      </c>
      <c r="B183" s="9" t="s">
        <v>212</v>
      </c>
      <c r="C183" s="9" t="s">
        <v>213</v>
      </c>
      <c r="D183" s="12">
        <v>15</v>
      </c>
      <c r="E183" s="12"/>
      <c r="F183" s="12">
        <f t="shared" si="7"/>
        <v>15</v>
      </c>
      <c r="G183" s="9">
        <v>15</v>
      </c>
      <c r="H183" s="18">
        <f t="shared" si="6"/>
        <v>0</v>
      </c>
      <c r="I183" s="21" t="s">
        <v>550</v>
      </c>
    </row>
    <row r="184" spans="1:9" ht="15.75" x14ac:dyDescent="0.25">
      <c r="A184" s="9">
        <v>183</v>
      </c>
      <c r="B184" s="9" t="s">
        <v>438</v>
      </c>
      <c r="C184" s="9" t="s">
        <v>439</v>
      </c>
      <c r="D184" s="12">
        <v>2</v>
      </c>
      <c r="E184" s="12"/>
      <c r="F184" s="12">
        <f t="shared" si="7"/>
        <v>2</v>
      </c>
      <c r="G184" s="9">
        <v>2</v>
      </c>
      <c r="H184" s="18">
        <f t="shared" si="6"/>
        <v>0</v>
      </c>
      <c r="I184" s="21" t="s">
        <v>550</v>
      </c>
    </row>
    <row r="185" spans="1:9" ht="15.75" x14ac:dyDescent="0.25">
      <c r="A185" s="9">
        <v>184</v>
      </c>
      <c r="B185" s="9" t="s">
        <v>513</v>
      </c>
      <c r="C185" s="9" t="s">
        <v>514</v>
      </c>
      <c r="D185" s="12">
        <v>1</v>
      </c>
      <c r="E185" s="12"/>
      <c r="F185" s="12">
        <f t="shared" si="7"/>
        <v>1</v>
      </c>
      <c r="G185" s="9">
        <v>1</v>
      </c>
      <c r="H185" s="18">
        <f t="shared" si="6"/>
        <v>0</v>
      </c>
      <c r="I185" s="21" t="s">
        <v>550</v>
      </c>
    </row>
    <row r="186" spans="1:9" ht="15.75" x14ac:dyDescent="0.25">
      <c r="A186" s="9">
        <v>185</v>
      </c>
      <c r="B186" s="9" t="s">
        <v>285</v>
      </c>
      <c r="C186" s="9" t="s">
        <v>286</v>
      </c>
      <c r="D186" s="12">
        <v>4</v>
      </c>
      <c r="E186" s="12"/>
      <c r="F186" s="12">
        <f t="shared" si="7"/>
        <v>4</v>
      </c>
      <c r="G186" s="9">
        <v>4</v>
      </c>
      <c r="H186" s="18">
        <f t="shared" si="6"/>
        <v>0</v>
      </c>
      <c r="I186" s="21" t="s">
        <v>550</v>
      </c>
    </row>
    <row r="187" spans="1:9" ht="15.75" x14ac:dyDescent="0.25">
      <c r="A187" s="9">
        <v>186</v>
      </c>
      <c r="B187" s="9" t="s">
        <v>66</v>
      </c>
      <c r="C187" s="9" t="s">
        <v>67</v>
      </c>
      <c r="D187" s="12">
        <v>3</v>
      </c>
      <c r="E187" s="12"/>
      <c r="F187" s="12">
        <f t="shared" si="7"/>
        <v>3</v>
      </c>
      <c r="G187" s="9">
        <v>3</v>
      </c>
      <c r="H187" s="18">
        <f t="shared" si="6"/>
        <v>0</v>
      </c>
      <c r="I187" s="21" t="s">
        <v>550</v>
      </c>
    </row>
    <row r="188" spans="1:9" ht="15.75" x14ac:dyDescent="0.25">
      <c r="A188" s="9">
        <v>187</v>
      </c>
      <c r="B188" s="9" t="s">
        <v>214</v>
      </c>
      <c r="C188" s="9" t="s">
        <v>215</v>
      </c>
      <c r="D188" s="12">
        <v>10</v>
      </c>
      <c r="E188" s="12"/>
      <c r="F188" s="12">
        <f t="shared" si="7"/>
        <v>10</v>
      </c>
      <c r="G188" s="9">
        <v>10</v>
      </c>
      <c r="H188" s="18">
        <f t="shared" si="6"/>
        <v>0</v>
      </c>
      <c r="I188" s="21" t="s">
        <v>550</v>
      </c>
    </row>
    <row r="189" spans="1:9" ht="15.75" x14ac:dyDescent="0.25">
      <c r="A189" s="9">
        <v>188</v>
      </c>
      <c r="B189" s="9" t="s">
        <v>216</v>
      </c>
      <c r="C189" s="9" t="s">
        <v>217</v>
      </c>
      <c r="D189" s="12">
        <v>11</v>
      </c>
      <c r="E189" s="12"/>
      <c r="F189" s="12">
        <f t="shared" si="7"/>
        <v>11</v>
      </c>
      <c r="G189" s="9">
        <v>11</v>
      </c>
      <c r="H189" s="18">
        <f t="shared" si="6"/>
        <v>0</v>
      </c>
      <c r="I189" s="21" t="s">
        <v>550</v>
      </c>
    </row>
    <row r="190" spans="1:9" ht="15.75" x14ac:dyDescent="0.25">
      <c r="A190" s="9">
        <v>189</v>
      </c>
      <c r="B190" s="9" t="s">
        <v>515</v>
      </c>
      <c r="C190" s="9" t="s">
        <v>516</v>
      </c>
      <c r="D190" s="12">
        <v>10</v>
      </c>
      <c r="E190" s="12"/>
      <c r="F190" s="12">
        <f t="shared" si="7"/>
        <v>10</v>
      </c>
      <c r="G190" s="9">
        <v>10</v>
      </c>
      <c r="H190" s="18">
        <f t="shared" si="6"/>
        <v>0</v>
      </c>
      <c r="I190" s="21" t="s">
        <v>550</v>
      </c>
    </row>
    <row r="191" spans="1:9" ht="15.75" x14ac:dyDescent="0.25">
      <c r="A191" s="9">
        <v>190</v>
      </c>
      <c r="B191" s="9" t="s">
        <v>517</v>
      </c>
      <c r="C191" s="9" t="s">
        <v>518</v>
      </c>
      <c r="D191" s="12">
        <v>7</v>
      </c>
      <c r="E191" s="12"/>
      <c r="F191" s="12">
        <f t="shared" si="7"/>
        <v>7</v>
      </c>
      <c r="G191" s="9">
        <v>7</v>
      </c>
      <c r="H191" s="18">
        <f t="shared" si="6"/>
        <v>0</v>
      </c>
      <c r="I191" s="21" t="s">
        <v>550</v>
      </c>
    </row>
    <row r="192" spans="1:9" ht="15.75" x14ac:dyDescent="0.25">
      <c r="A192" s="9">
        <v>191</v>
      </c>
      <c r="B192" s="9" t="s">
        <v>394</v>
      </c>
      <c r="C192" s="9" t="s">
        <v>395</v>
      </c>
      <c r="D192" s="12">
        <v>9</v>
      </c>
      <c r="E192" s="12"/>
      <c r="F192" s="12">
        <f t="shared" ref="F192:F223" si="8">D192+E192</f>
        <v>9</v>
      </c>
      <c r="G192" s="9">
        <v>9</v>
      </c>
      <c r="H192" s="18">
        <f t="shared" si="6"/>
        <v>0</v>
      </c>
      <c r="I192" s="21" t="s">
        <v>550</v>
      </c>
    </row>
    <row r="193" spans="1:9" ht="15.75" x14ac:dyDescent="0.25">
      <c r="A193" s="9">
        <v>192</v>
      </c>
      <c r="B193" s="9" t="s">
        <v>440</v>
      </c>
      <c r="C193" s="9" t="s">
        <v>441</v>
      </c>
      <c r="D193" s="12">
        <v>2</v>
      </c>
      <c r="E193" s="12"/>
      <c r="F193" s="12">
        <f t="shared" si="8"/>
        <v>2</v>
      </c>
      <c r="G193" s="9">
        <v>2</v>
      </c>
      <c r="H193" s="18">
        <f t="shared" si="6"/>
        <v>0</v>
      </c>
      <c r="I193" s="21" t="s">
        <v>550</v>
      </c>
    </row>
    <row r="194" spans="1:9" ht="15.75" x14ac:dyDescent="0.25">
      <c r="A194" s="9">
        <v>193</v>
      </c>
      <c r="B194" s="9" t="s">
        <v>442</v>
      </c>
      <c r="C194" s="9" t="s">
        <v>443</v>
      </c>
      <c r="D194" s="12">
        <v>3</v>
      </c>
      <c r="E194" s="12"/>
      <c r="F194" s="12">
        <f t="shared" si="8"/>
        <v>3</v>
      </c>
      <c r="G194" s="9">
        <v>3</v>
      </c>
      <c r="H194" s="18">
        <f t="shared" si="6"/>
        <v>0</v>
      </c>
      <c r="I194" s="21" t="s">
        <v>550</v>
      </c>
    </row>
    <row r="195" spans="1:9" ht="15.75" x14ac:dyDescent="0.25">
      <c r="A195" s="9">
        <v>194</v>
      </c>
      <c r="B195" s="9">
        <v>1000104204</v>
      </c>
      <c r="C195" s="9" t="s">
        <v>520</v>
      </c>
      <c r="D195" s="12">
        <v>2</v>
      </c>
      <c r="E195" s="12"/>
      <c r="F195" s="12">
        <f t="shared" si="8"/>
        <v>2</v>
      </c>
      <c r="G195" s="9">
        <v>2</v>
      </c>
      <c r="H195" s="18">
        <f t="shared" ref="H195:H258" si="9">G195-F195</f>
        <v>0</v>
      </c>
      <c r="I195" s="21" t="s">
        <v>550</v>
      </c>
    </row>
    <row r="196" spans="1:9" ht="15.75" x14ac:dyDescent="0.25">
      <c r="A196" s="9">
        <v>195</v>
      </c>
      <c r="B196" s="9" t="s">
        <v>218</v>
      </c>
      <c r="C196" s="9" t="s">
        <v>219</v>
      </c>
      <c r="D196" s="12">
        <v>2</v>
      </c>
      <c r="E196" s="12"/>
      <c r="F196" s="12">
        <f t="shared" si="8"/>
        <v>2</v>
      </c>
      <c r="G196" s="9">
        <v>2</v>
      </c>
      <c r="H196" s="18">
        <f t="shared" si="9"/>
        <v>0</v>
      </c>
      <c r="I196" s="21" t="s">
        <v>550</v>
      </c>
    </row>
    <row r="197" spans="1:9" ht="15.75" x14ac:dyDescent="0.25">
      <c r="A197" s="9">
        <v>196</v>
      </c>
      <c r="B197" s="9" t="s">
        <v>287</v>
      </c>
      <c r="C197" s="9" t="s">
        <v>288</v>
      </c>
      <c r="D197" s="12">
        <v>4</v>
      </c>
      <c r="E197" s="12"/>
      <c r="F197" s="12">
        <f t="shared" si="8"/>
        <v>4</v>
      </c>
      <c r="G197" s="9">
        <v>4</v>
      </c>
      <c r="H197" s="18">
        <f t="shared" si="9"/>
        <v>0</v>
      </c>
      <c r="I197" s="21" t="s">
        <v>550</v>
      </c>
    </row>
    <row r="198" spans="1:9" ht="15.75" x14ac:dyDescent="0.25">
      <c r="A198" s="9">
        <v>197</v>
      </c>
      <c r="B198" s="9" t="s">
        <v>134</v>
      </c>
      <c r="C198" s="9" t="s">
        <v>135</v>
      </c>
      <c r="D198" s="12">
        <v>20</v>
      </c>
      <c r="E198" s="12"/>
      <c r="F198" s="12">
        <f t="shared" si="8"/>
        <v>20</v>
      </c>
      <c r="G198" s="9">
        <v>20</v>
      </c>
      <c r="H198" s="18">
        <f t="shared" si="9"/>
        <v>0</v>
      </c>
      <c r="I198" s="21" t="s">
        <v>550</v>
      </c>
    </row>
    <row r="199" spans="1:9" ht="15.75" x14ac:dyDescent="0.25">
      <c r="A199" s="9">
        <v>198</v>
      </c>
      <c r="B199" s="9" t="s">
        <v>136</v>
      </c>
      <c r="C199" s="9" t="s">
        <v>137</v>
      </c>
      <c r="D199" s="12">
        <v>12</v>
      </c>
      <c r="E199" s="12"/>
      <c r="F199" s="12">
        <f t="shared" si="8"/>
        <v>12</v>
      </c>
      <c r="G199" s="9">
        <v>12</v>
      </c>
      <c r="H199" s="18">
        <f t="shared" si="9"/>
        <v>0</v>
      </c>
      <c r="I199" s="21" t="s">
        <v>550</v>
      </c>
    </row>
    <row r="200" spans="1:9" ht="15.75" x14ac:dyDescent="0.25">
      <c r="A200" s="9">
        <v>199</v>
      </c>
      <c r="B200" s="9" t="s">
        <v>444</v>
      </c>
      <c r="C200" s="9" t="s">
        <v>445</v>
      </c>
      <c r="D200" s="12">
        <v>1</v>
      </c>
      <c r="E200" s="12"/>
      <c r="F200" s="12">
        <f t="shared" si="8"/>
        <v>1</v>
      </c>
      <c r="G200" s="9">
        <v>1</v>
      </c>
      <c r="H200" s="18">
        <f t="shared" si="9"/>
        <v>0</v>
      </c>
      <c r="I200" s="21" t="s">
        <v>550</v>
      </c>
    </row>
    <row r="201" spans="1:9" ht="15.75" x14ac:dyDescent="0.25">
      <c r="A201" s="9">
        <v>200</v>
      </c>
      <c r="B201" s="9" t="s">
        <v>521</v>
      </c>
      <c r="C201" s="9" t="s">
        <v>522</v>
      </c>
      <c r="D201" s="12">
        <v>7</v>
      </c>
      <c r="E201" s="12"/>
      <c r="F201" s="12">
        <f t="shared" si="8"/>
        <v>7</v>
      </c>
      <c r="G201" s="9">
        <v>7</v>
      </c>
      <c r="H201" s="18">
        <f t="shared" si="9"/>
        <v>0</v>
      </c>
      <c r="I201" s="21" t="s">
        <v>550</v>
      </c>
    </row>
    <row r="202" spans="1:9" ht="15.75" x14ac:dyDescent="0.25">
      <c r="A202" s="9">
        <v>201</v>
      </c>
      <c r="B202" s="9" t="s">
        <v>289</v>
      </c>
      <c r="C202" s="9" t="s">
        <v>290</v>
      </c>
      <c r="D202" s="12">
        <v>7</v>
      </c>
      <c r="E202" s="12"/>
      <c r="F202" s="12">
        <f t="shared" si="8"/>
        <v>7</v>
      </c>
      <c r="G202" s="9">
        <v>7</v>
      </c>
      <c r="H202" s="18">
        <f t="shared" si="9"/>
        <v>0</v>
      </c>
      <c r="I202" s="21" t="s">
        <v>550</v>
      </c>
    </row>
    <row r="203" spans="1:9" ht="15.75" x14ac:dyDescent="0.25">
      <c r="A203" s="9">
        <v>202</v>
      </c>
      <c r="B203" s="9" t="s">
        <v>523</v>
      </c>
      <c r="C203" s="9" t="s">
        <v>524</v>
      </c>
      <c r="D203" s="12">
        <v>18</v>
      </c>
      <c r="E203" s="12"/>
      <c r="F203" s="12">
        <f t="shared" si="8"/>
        <v>18</v>
      </c>
      <c r="G203" s="9">
        <v>18</v>
      </c>
      <c r="H203" s="18">
        <f t="shared" si="9"/>
        <v>0</v>
      </c>
      <c r="I203" s="21" t="s">
        <v>550</v>
      </c>
    </row>
    <row r="204" spans="1:9" ht="15.75" x14ac:dyDescent="0.25">
      <c r="A204" s="9">
        <v>203</v>
      </c>
      <c r="B204" s="9" t="s">
        <v>525</v>
      </c>
      <c r="C204" s="9" t="s">
        <v>526</v>
      </c>
      <c r="D204" s="12">
        <v>12</v>
      </c>
      <c r="E204" s="12"/>
      <c r="F204" s="12">
        <f t="shared" si="8"/>
        <v>12</v>
      </c>
      <c r="G204" s="9">
        <v>12</v>
      </c>
      <c r="H204" s="18">
        <f t="shared" si="9"/>
        <v>0</v>
      </c>
      <c r="I204" s="21" t="s">
        <v>550</v>
      </c>
    </row>
    <row r="205" spans="1:9" ht="15.75" x14ac:dyDescent="0.25">
      <c r="A205" s="9">
        <v>204</v>
      </c>
      <c r="B205" s="9" t="s">
        <v>396</v>
      </c>
      <c r="C205" s="9" t="s">
        <v>397</v>
      </c>
      <c r="D205" s="12">
        <v>5</v>
      </c>
      <c r="E205" s="12"/>
      <c r="F205" s="12">
        <f t="shared" si="8"/>
        <v>5</v>
      </c>
      <c r="G205" s="9">
        <v>5</v>
      </c>
      <c r="H205" s="18">
        <f t="shared" si="9"/>
        <v>0</v>
      </c>
      <c r="I205" s="21" t="s">
        <v>550</v>
      </c>
    </row>
    <row r="206" spans="1:9" ht="15.75" x14ac:dyDescent="0.25">
      <c r="A206" s="9">
        <v>205</v>
      </c>
      <c r="B206" s="9" t="s">
        <v>398</v>
      </c>
      <c r="C206" s="9" t="s">
        <v>399</v>
      </c>
      <c r="D206" s="12">
        <v>25</v>
      </c>
      <c r="E206" s="12"/>
      <c r="F206" s="12">
        <f t="shared" si="8"/>
        <v>25</v>
      </c>
      <c r="G206" s="9">
        <v>25</v>
      </c>
      <c r="H206" s="18">
        <f t="shared" si="9"/>
        <v>0</v>
      </c>
      <c r="I206" s="21" t="s">
        <v>550</v>
      </c>
    </row>
    <row r="207" spans="1:9" ht="15.75" x14ac:dyDescent="0.25">
      <c r="A207" s="9">
        <v>206</v>
      </c>
      <c r="B207" s="9">
        <v>1000105769</v>
      </c>
      <c r="C207" s="9" t="s">
        <v>447</v>
      </c>
      <c r="D207" s="12">
        <v>9</v>
      </c>
      <c r="E207" s="12"/>
      <c r="F207" s="12">
        <f t="shared" si="8"/>
        <v>9</v>
      </c>
      <c r="G207" s="9">
        <v>9</v>
      </c>
      <c r="H207" s="18">
        <f t="shared" si="9"/>
        <v>0</v>
      </c>
      <c r="I207" s="21" t="s">
        <v>550</v>
      </c>
    </row>
    <row r="208" spans="1:9" ht="15.75" x14ac:dyDescent="0.25">
      <c r="A208" s="9">
        <v>207</v>
      </c>
      <c r="B208" s="9" t="s">
        <v>220</v>
      </c>
      <c r="C208" s="9" t="s">
        <v>221</v>
      </c>
      <c r="D208" s="12">
        <v>5</v>
      </c>
      <c r="E208" s="12"/>
      <c r="F208" s="12">
        <f t="shared" si="8"/>
        <v>5</v>
      </c>
      <c r="G208" s="9">
        <v>5</v>
      </c>
      <c r="H208" s="18">
        <f t="shared" si="9"/>
        <v>0</v>
      </c>
      <c r="I208" s="21" t="s">
        <v>550</v>
      </c>
    </row>
    <row r="209" spans="1:9" ht="15.75" x14ac:dyDescent="0.25">
      <c r="A209" s="9">
        <v>208</v>
      </c>
      <c r="B209" s="9" t="s">
        <v>291</v>
      </c>
      <c r="C209" s="9" t="s">
        <v>292</v>
      </c>
      <c r="D209" s="12">
        <v>5</v>
      </c>
      <c r="E209" s="12"/>
      <c r="F209" s="12">
        <f t="shared" si="8"/>
        <v>5</v>
      </c>
      <c r="G209" s="9">
        <v>5</v>
      </c>
      <c r="H209" s="18">
        <f t="shared" si="9"/>
        <v>0</v>
      </c>
      <c r="I209" s="21" t="s">
        <v>550</v>
      </c>
    </row>
    <row r="210" spans="1:9" ht="15.75" x14ac:dyDescent="0.25">
      <c r="A210" s="9">
        <v>209</v>
      </c>
      <c r="B210" s="9" t="s">
        <v>448</v>
      </c>
      <c r="C210" s="9" t="s">
        <v>449</v>
      </c>
      <c r="D210" s="12">
        <v>3</v>
      </c>
      <c r="E210" s="12"/>
      <c r="F210" s="12">
        <f t="shared" si="8"/>
        <v>3</v>
      </c>
      <c r="G210" s="9">
        <v>3</v>
      </c>
      <c r="H210" s="18">
        <f t="shared" si="9"/>
        <v>0</v>
      </c>
      <c r="I210" s="21" t="s">
        <v>550</v>
      </c>
    </row>
    <row r="211" spans="1:9" ht="15.75" x14ac:dyDescent="0.25">
      <c r="A211" s="9">
        <v>210</v>
      </c>
      <c r="B211" s="9" t="s">
        <v>349</v>
      </c>
      <c r="C211" s="9" t="s">
        <v>350</v>
      </c>
      <c r="D211" s="12">
        <v>3</v>
      </c>
      <c r="E211" s="12"/>
      <c r="F211" s="12">
        <f t="shared" si="8"/>
        <v>3</v>
      </c>
      <c r="G211" s="9">
        <v>3</v>
      </c>
      <c r="H211" s="18">
        <f t="shared" si="9"/>
        <v>0</v>
      </c>
      <c r="I211" s="21" t="s">
        <v>550</v>
      </c>
    </row>
    <row r="212" spans="1:9" ht="15.75" x14ac:dyDescent="0.25">
      <c r="A212" s="9">
        <v>211</v>
      </c>
      <c r="B212" s="9">
        <v>1000106051</v>
      </c>
      <c r="C212" s="9" t="s">
        <v>69</v>
      </c>
      <c r="D212" s="12">
        <v>6</v>
      </c>
      <c r="E212" s="12"/>
      <c r="F212" s="12">
        <f t="shared" si="8"/>
        <v>6</v>
      </c>
      <c r="G212" s="9">
        <v>6</v>
      </c>
      <c r="H212" s="18">
        <f t="shared" si="9"/>
        <v>0</v>
      </c>
      <c r="I212" s="21" t="s">
        <v>550</v>
      </c>
    </row>
    <row r="213" spans="1:9" ht="15.75" x14ac:dyDescent="0.25">
      <c r="A213" s="9">
        <v>212</v>
      </c>
      <c r="B213" s="9" t="s">
        <v>293</v>
      </c>
      <c r="C213" s="9" t="s">
        <v>294</v>
      </c>
      <c r="D213" s="12">
        <v>2</v>
      </c>
      <c r="E213" s="12"/>
      <c r="F213" s="12">
        <f t="shared" si="8"/>
        <v>2</v>
      </c>
      <c r="G213" s="9">
        <v>2</v>
      </c>
      <c r="H213" s="18">
        <f t="shared" si="9"/>
        <v>0</v>
      </c>
      <c r="I213" s="21" t="s">
        <v>550</v>
      </c>
    </row>
    <row r="214" spans="1:9" ht="15.75" x14ac:dyDescent="0.25">
      <c r="A214" s="9">
        <v>213</v>
      </c>
      <c r="B214" s="9" t="s">
        <v>527</v>
      </c>
      <c r="C214" s="9" t="s">
        <v>528</v>
      </c>
      <c r="D214" s="12">
        <v>6</v>
      </c>
      <c r="E214" s="12"/>
      <c r="F214" s="12">
        <f t="shared" si="8"/>
        <v>6</v>
      </c>
      <c r="G214" s="9">
        <v>6</v>
      </c>
      <c r="H214" s="18">
        <f t="shared" si="9"/>
        <v>0</v>
      </c>
      <c r="I214" s="21" t="s">
        <v>550</v>
      </c>
    </row>
    <row r="215" spans="1:9" ht="15.75" x14ac:dyDescent="0.25">
      <c r="A215" s="9">
        <v>214</v>
      </c>
      <c r="B215" s="9" t="s">
        <v>222</v>
      </c>
      <c r="C215" s="9" t="s">
        <v>223</v>
      </c>
      <c r="D215" s="12">
        <v>2</v>
      </c>
      <c r="E215" s="12"/>
      <c r="F215" s="12">
        <f t="shared" si="8"/>
        <v>2</v>
      </c>
      <c r="G215" s="9">
        <v>2</v>
      </c>
      <c r="H215" s="18">
        <f t="shared" si="9"/>
        <v>0</v>
      </c>
      <c r="I215" s="21" t="s">
        <v>550</v>
      </c>
    </row>
    <row r="216" spans="1:9" ht="15.75" x14ac:dyDescent="0.25">
      <c r="A216" s="9">
        <v>215</v>
      </c>
      <c r="B216" s="9" t="s">
        <v>295</v>
      </c>
      <c r="C216" s="9" t="s">
        <v>296</v>
      </c>
      <c r="D216" s="12">
        <v>2</v>
      </c>
      <c r="E216" s="12"/>
      <c r="F216" s="12">
        <f t="shared" si="8"/>
        <v>2</v>
      </c>
      <c r="G216" s="9">
        <v>2</v>
      </c>
      <c r="H216" s="18">
        <f t="shared" si="9"/>
        <v>0</v>
      </c>
      <c r="I216" s="21" t="s">
        <v>550</v>
      </c>
    </row>
    <row r="217" spans="1:9" ht="15.75" x14ac:dyDescent="0.25">
      <c r="A217" s="9">
        <v>216</v>
      </c>
      <c r="B217" s="9" t="s">
        <v>224</v>
      </c>
      <c r="C217" s="9" t="s">
        <v>225</v>
      </c>
      <c r="D217" s="12">
        <v>3</v>
      </c>
      <c r="E217" s="12"/>
      <c r="F217" s="12">
        <f t="shared" si="8"/>
        <v>3</v>
      </c>
      <c r="G217" s="9">
        <v>3</v>
      </c>
      <c r="H217" s="18">
        <f t="shared" si="9"/>
        <v>0</v>
      </c>
      <c r="I217" s="21" t="s">
        <v>550</v>
      </c>
    </row>
    <row r="218" spans="1:9" ht="15.75" x14ac:dyDescent="0.25">
      <c r="A218" s="9">
        <v>217</v>
      </c>
      <c r="B218" s="9" t="s">
        <v>70</v>
      </c>
      <c r="C218" s="9" t="s">
        <v>71</v>
      </c>
      <c r="D218" s="12">
        <v>2</v>
      </c>
      <c r="E218" s="12"/>
      <c r="F218" s="12">
        <f t="shared" si="8"/>
        <v>2</v>
      </c>
      <c r="G218" s="9">
        <v>2</v>
      </c>
      <c r="H218" s="18">
        <f t="shared" si="9"/>
        <v>0</v>
      </c>
      <c r="I218" s="21" t="s">
        <v>550</v>
      </c>
    </row>
    <row r="219" spans="1:9" ht="15.75" x14ac:dyDescent="0.25">
      <c r="A219" s="9">
        <v>218</v>
      </c>
      <c r="B219" s="9" t="s">
        <v>297</v>
      </c>
      <c r="C219" s="9" t="s">
        <v>298</v>
      </c>
      <c r="D219" s="12">
        <v>5</v>
      </c>
      <c r="E219" s="12"/>
      <c r="F219" s="12">
        <f t="shared" si="8"/>
        <v>5</v>
      </c>
      <c r="G219" s="9">
        <v>5</v>
      </c>
      <c r="H219" s="18">
        <f t="shared" si="9"/>
        <v>0</v>
      </c>
      <c r="I219" s="21" t="s">
        <v>550</v>
      </c>
    </row>
    <row r="220" spans="1:9" ht="15.75" x14ac:dyDescent="0.25">
      <c r="A220" s="9">
        <v>219</v>
      </c>
      <c r="B220" s="9" t="s">
        <v>400</v>
      </c>
      <c r="C220" s="9" t="s">
        <v>401</v>
      </c>
      <c r="D220" s="12">
        <v>5</v>
      </c>
      <c r="E220" s="12"/>
      <c r="F220" s="12">
        <f t="shared" si="8"/>
        <v>5</v>
      </c>
      <c r="G220" s="9">
        <v>5</v>
      </c>
      <c r="H220" s="18">
        <f t="shared" si="9"/>
        <v>0</v>
      </c>
      <c r="I220" s="21" t="s">
        <v>550</v>
      </c>
    </row>
    <row r="221" spans="1:9" ht="15.75" x14ac:dyDescent="0.25">
      <c r="A221" s="9">
        <v>220</v>
      </c>
      <c r="B221" s="9" t="s">
        <v>72</v>
      </c>
      <c r="C221" s="9" t="s">
        <v>73</v>
      </c>
      <c r="D221" s="12">
        <v>2</v>
      </c>
      <c r="E221" s="12"/>
      <c r="F221" s="12">
        <f t="shared" si="8"/>
        <v>2</v>
      </c>
      <c r="G221" s="9">
        <v>2</v>
      </c>
      <c r="H221" s="18">
        <f t="shared" si="9"/>
        <v>0</v>
      </c>
      <c r="I221" s="21" t="s">
        <v>550</v>
      </c>
    </row>
    <row r="222" spans="1:9" ht="15.75" x14ac:dyDescent="0.25">
      <c r="A222" s="9">
        <v>221</v>
      </c>
      <c r="B222" s="9">
        <v>1000106064</v>
      </c>
      <c r="C222" s="9" t="s">
        <v>530</v>
      </c>
      <c r="D222" s="12">
        <v>2</v>
      </c>
      <c r="E222" s="12"/>
      <c r="F222" s="12">
        <f t="shared" si="8"/>
        <v>2</v>
      </c>
      <c r="G222" s="9">
        <v>2</v>
      </c>
      <c r="H222" s="18">
        <f t="shared" si="9"/>
        <v>0</v>
      </c>
      <c r="I222" s="21" t="s">
        <v>550</v>
      </c>
    </row>
    <row r="223" spans="1:9" ht="15.75" x14ac:dyDescent="0.25">
      <c r="A223" s="9">
        <v>222</v>
      </c>
      <c r="B223" s="9" t="s">
        <v>138</v>
      </c>
      <c r="C223" s="9" t="s">
        <v>139</v>
      </c>
      <c r="D223" s="12">
        <v>4</v>
      </c>
      <c r="E223" s="12"/>
      <c r="F223" s="12">
        <f t="shared" si="8"/>
        <v>4</v>
      </c>
      <c r="G223" s="9">
        <v>4</v>
      </c>
      <c r="H223" s="18">
        <f t="shared" si="9"/>
        <v>0</v>
      </c>
      <c r="I223" s="21" t="s">
        <v>550</v>
      </c>
    </row>
    <row r="224" spans="1:9" ht="15.75" x14ac:dyDescent="0.25">
      <c r="A224" s="9">
        <v>223</v>
      </c>
      <c r="B224" s="9" t="s">
        <v>299</v>
      </c>
      <c r="C224" s="9" t="s">
        <v>300</v>
      </c>
      <c r="D224" s="12">
        <v>2</v>
      </c>
      <c r="E224" s="12"/>
      <c r="F224" s="12">
        <f t="shared" ref="F224:F255" si="10">D224+E224</f>
        <v>2</v>
      </c>
      <c r="G224" s="9">
        <v>2</v>
      </c>
      <c r="H224" s="18">
        <f t="shared" si="9"/>
        <v>0</v>
      </c>
      <c r="I224" s="21" t="s">
        <v>550</v>
      </c>
    </row>
    <row r="225" spans="1:9" ht="15.75" x14ac:dyDescent="0.25">
      <c r="A225" s="9">
        <v>224</v>
      </c>
      <c r="B225" s="9" t="s">
        <v>226</v>
      </c>
      <c r="C225" s="9" t="s">
        <v>227</v>
      </c>
      <c r="D225" s="12">
        <v>2</v>
      </c>
      <c r="E225" s="12"/>
      <c r="F225" s="12">
        <f t="shared" si="10"/>
        <v>2</v>
      </c>
      <c r="G225" s="9">
        <v>2</v>
      </c>
      <c r="H225" s="18">
        <f t="shared" si="9"/>
        <v>0</v>
      </c>
      <c r="I225" s="21" t="s">
        <v>550</v>
      </c>
    </row>
    <row r="226" spans="1:9" ht="15.75" x14ac:dyDescent="0.25">
      <c r="A226" s="9">
        <v>225</v>
      </c>
      <c r="B226" s="9" t="s">
        <v>140</v>
      </c>
      <c r="C226" s="9" t="s">
        <v>141</v>
      </c>
      <c r="D226" s="12">
        <v>2</v>
      </c>
      <c r="E226" s="12"/>
      <c r="F226" s="12">
        <f t="shared" si="10"/>
        <v>2</v>
      </c>
      <c r="G226" s="9">
        <v>2</v>
      </c>
      <c r="H226" s="18">
        <f t="shared" si="9"/>
        <v>0</v>
      </c>
      <c r="I226" s="21" t="s">
        <v>550</v>
      </c>
    </row>
    <row r="227" spans="1:9" ht="15.75" x14ac:dyDescent="0.25">
      <c r="A227" s="9">
        <v>226</v>
      </c>
      <c r="B227" s="9" t="s">
        <v>351</v>
      </c>
      <c r="C227" s="9" t="s">
        <v>352</v>
      </c>
      <c r="D227" s="12">
        <v>2</v>
      </c>
      <c r="E227" s="12"/>
      <c r="F227" s="12">
        <f t="shared" si="10"/>
        <v>2</v>
      </c>
      <c r="G227" s="9">
        <v>2</v>
      </c>
      <c r="H227" s="18">
        <f t="shared" si="9"/>
        <v>0</v>
      </c>
      <c r="I227" s="21" t="s">
        <v>550</v>
      </c>
    </row>
    <row r="228" spans="1:9" ht="15.75" x14ac:dyDescent="0.25">
      <c r="A228" s="9">
        <v>227</v>
      </c>
      <c r="B228" s="9" t="s">
        <v>531</v>
      </c>
      <c r="C228" s="9" t="s">
        <v>532</v>
      </c>
      <c r="D228" s="12">
        <v>2</v>
      </c>
      <c r="E228" s="12"/>
      <c r="F228" s="12">
        <f t="shared" si="10"/>
        <v>2</v>
      </c>
      <c r="G228" s="9">
        <v>2</v>
      </c>
      <c r="H228" s="18">
        <f t="shared" si="9"/>
        <v>0</v>
      </c>
      <c r="I228" s="21" t="s">
        <v>550</v>
      </c>
    </row>
    <row r="229" spans="1:9" ht="15.75" x14ac:dyDescent="0.25">
      <c r="A229" s="9">
        <v>228</v>
      </c>
      <c r="B229" s="9" t="s">
        <v>74</v>
      </c>
      <c r="C229" s="9" t="s">
        <v>75</v>
      </c>
      <c r="D229" s="12">
        <v>2</v>
      </c>
      <c r="E229" s="12"/>
      <c r="F229" s="12">
        <f t="shared" si="10"/>
        <v>2</v>
      </c>
      <c r="G229" s="9">
        <v>2</v>
      </c>
      <c r="H229" s="18">
        <f t="shared" si="9"/>
        <v>0</v>
      </c>
      <c r="I229" s="21" t="s">
        <v>550</v>
      </c>
    </row>
    <row r="230" spans="1:9" ht="15.75" x14ac:dyDescent="0.25">
      <c r="A230" s="9">
        <v>229</v>
      </c>
      <c r="B230" s="9" t="s">
        <v>533</v>
      </c>
      <c r="C230" s="9" t="s">
        <v>534</v>
      </c>
      <c r="D230" s="12">
        <v>2</v>
      </c>
      <c r="E230" s="12"/>
      <c r="F230" s="12">
        <f t="shared" si="10"/>
        <v>2</v>
      </c>
      <c r="G230" s="9">
        <v>2</v>
      </c>
      <c r="H230" s="18">
        <f t="shared" si="9"/>
        <v>0</v>
      </c>
      <c r="I230" s="21" t="s">
        <v>550</v>
      </c>
    </row>
    <row r="231" spans="1:9" ht="15.75" x14ac:dyDescent="0.25">
      <c r="A231" s="9">
        <v>230</v>
      </c>
      <c r="B231" s="9" t="s">
        <v>228</v>
      </c>
      <c r="C231" s="9" t="s">
        <v>229</v>
      </c>
      <c r="D231" s="12">
        <v>2</v>
      </c>
      <c r="E231" s="12"/>
      <c r="F231" s="12">
        <f t="shared" si="10"/>
        <v>2</v>
      </c>
      <c r="G231" s="9">
        <v>2</v>
      </c>
      <c r="H231" s="18">
        <f t="shared" si="9"/>
        <v>0</v>
      </c>
      <c r="I231" s="21" t="s">
        <v>550</v>
      </c>
    </row>
    <row r="232" spans="1:9" ht="15.75" x14ac:dyDescent="0.25">
      <c r="A232" s="9">
        <v>231</v>
      </c>
      <c r="B232" s="9" t="s">
        <v>142</v>
      </c>
      <c r="C232" s="9" t="s">
        <v>143</v>
      </c>
      <c r="D232" s="12">
        <v>5</v>
      </c>
      <c r="E232" s="12"/>
      <c r="F232" s="12">
        <f t="shared" si="10"/>
        <v>5</v>
      </c>
      <c r="G232" s="9">
        <v>5</v>
      </c>
      <c r="H232" s="18">
        <f t="shared" si="9"/>
        <v>0</v>
      </c>
      <c r="I232" s="21" t="s">
        <v>550</v>
      </c>
    </row>
    <row r="233" spans="1:9" ht="15.75" x14ac:dyDescent="0.25">
      <c r="A233" s="9">
        <v>232</v>
      </c>
      <c r="B233" s="9" t="s">
        <v>450</v>
      </c>
      <c r="C233" s="9" t="s">
        <v>451</v>
      </c>
      <c r="D233" s="12">
        <v>5</v>
      </c>
      <c r="E233" s="12"/>
      <c r="F233" s="12">
        <f t="shared" si="10"/>
        <v>5</v>
      </c>
      <c r="G233" s="9">
        <v>5</v>
      </c>
      <c r="H233" s="18">
        <f t="shared" si="9"/>
        <v>0</v>
      </c>
      <c r="I233" s="21" t="s">
        <v>550</v>
      </c>
    </row>
    <row r="234" spans="1:9" ht="15.75" x14ac:dyDescent="0.25">
      <c r="A234" s="9">
        <v>233</v>
      </c>
      <c r="B234" s="9" t="s">
        <v>452</v>
      </c>
      <c r="C234" s="9" t="s">
        <v>453</v>
      </c>
      <c r="D234" s="12">
        <v>10</v>
      </c>
      <c r="E234" s="12"/>
      <c r="F234" s="12">
        <f t="shared" si="10"/>
        <v>10</v>
      </c>
      <c r="G234" s="9">
        <v>10</v>
      </c>
      <c r="H234" s="18">
        <f t="shared" si="9"/>
        <v>0</v>
      </c>
      <c r="I234" s="21" t="s">
        <v>550</v>
      </c>
    </row>
    <row r="235" spans="1:9" ht="15.75" x14ac:dyDescent="0.25">
      <c r="A235" s="9">
        <v>234</v>
      </c>
      <c r="B235" s="9" t="s">
        <v>144</v>
      </c>
      <c r="C235" s="9" t="s">
        <v>145</v>
      </c>
      <c r="D235" s="12">
        <v>7</v>
      </c>
      <c r="E235" s="12"/>
      <c r="F235" s="12">
        <f t="shared" si="10"/>
        <v>7</v>
      </c>
      <c r="G235" s="9">
        <v>7</v>
      </c>
      <c r="H235" s="18">
        <f t="shared" si="9"/>
        <v>0</v>
      </c>
      <c r="I235" s="21" t="s">
        <v>550</v>
      </c>
    </row>
    <row r="236" spans="1:9" ht="15.75" x14ac:dyDescent="0.25">
      <c r="A236" s="9">
        <v>235</v>
      </c>
      <c r="B236" s="9" t="s">
        <v>535</v>
      </c>
      <c r="C236" s="9" t="s">
        <v>536</v>
      </c>
      <c r="D236" s="12">
        <v>5</v>
      </c>
      <c r="E236" s="12"/>
      <c r="F236" s="12">
        <f t="shared" si="10"/>
        <v>5</v>
      </c>
      <c r="G236" s="9">
        <v>5</v>
      </c>
      <c r="H236" s="18">
        <f t="shared" si="9"/>
        <v>0</v>
      </c>
      <c r="I236" s="21" t="s">
        <v>550</v>
      </c>
    </row>
    <row r="237" spans="1:9" ht="15.75" x14ac:dyDescent="0.25">
      <c r="A237" s="9">
        <v>236</v>
      </c>
      <c r="B237" s="9" t="s">
        <v>146</v>
      </c>
      <c r="C237" s="9" t="s">
        <v>147</v>
      </c>
      <c r="D237" s="12">
        <v>10</v>
      </c>
      <c r="E237" s="12"/>
      <c r="F237" s="12">
        <f t="shared" si="10"/>
        <v>10</v>
      </c>
      <c r="G237" s="9">
        <v>10</v>
      </c>
      <c r="H237" s="18">
        <f t="shared" si="9"/>
        <v>0</v>
      </c>
      <c r="I237" s="21" t="s">
        <v>550</v>
      </c>
    </row>
    <row r="238" spans="1:9" ht="15.75" x14ac:dyDescent="0.25">
      <c r="A238" s="9">
        <v>237</v>
      </c>
      <c r="B238" s="9" t="s">
        <v>454</v>
      </c>
      <c r="C238" s="9" t="s">
        <v>455</v>
      </c>
      <c r="D238" s="12">
        <v>2</v>
      </c>
      <c r="E238" s="12"/>
      <c r="F238" s="12">
        <f t="shared" si="10"/>
        <v>2</v>
      </c>
      <c r="G238" s="9">
        <v>2</v>
      </c>
      <c r="H238" s="18">
        <f t="shared" si="9"/>
        <v>0</v>
      </c>
      <c r="I238" s="21" t="s">
        <v>550</v>
      </c>
    </row>
    <row r="239" spans="1:9" ht="15.75" x14ac:dyDescent="0.25">
      <c r="A239" s="9">
        <v>238</v>
      </c>
      <c r="B239" s="9" t="s">
        <v>301</v>
      </c>
      <c r="C239" s="9" t="s">
        <v>302</v>
      </c>
      <c r="D239" s="12">
        <v>10</v>
      </c>
      <c r="E239" s="12"/>
      <c r="F239" s="12">
        <f t="shared" si="10"/>
        <v>10</v>
      </c>
      <c r="G239" s="9">
        <v>10</v>
      </c>
      <c r="H239" s="18">
        <f t="shared" si="9"/>
        <v>0</v>
      </c>
      <c r="I239" s="21" t="s">
        <v>550</v>
      </c>
    </row>
    <row r="240" spans="1:9" ht="15.75" x14ac:dyDescent="0.25">
      <c r="A240" s="9">
        <v>239</v>
      </c>
      <c r="B240" s="9" t="s">
        <v>456</v>
      </c>
      <c r="C240" s="9" t="s">
        <v>457</v>
      </c>
      <c r="D240" s="12">
        <v>15</v>
      </c>
      <c r="E240" s="12"/>
      <c r="F240" s="12">
        <f t="shared" si="10"/>
        <v>15</v>
      </c>
      <c r="G240" s="9">
        <v>15</v>
      </c>
      <c r="H240" s="18">
        <f t="shared" si="9"/>
        <v>0</v>
      </c>
      <c r="I240" s="21" t="s">
        <v>550</v>
      </c>
    </row>
    <row r="241" spans="1:9" ht="15.75" x14ac:dyDescent="0.25">
      <c r="A241" s="9">
        <v>240</v>
      </c>
      <c r="B241" s="9" t="s">
        <v>303</v>
      </c>
      <c r="C241" s="9" t="s">
        <v>304</v>
      </c>
      <c r="D241" s="12">
        <v>10</v>
      </c>
      <c r="E241" s="12"/>
      <c r="F241" s="12">
        <f t="shared" si="10"/>
        <v>10</v>
      </c>
      <c r="G241" s="9">
        <v>10</v>
      </c>
      <c r="H241" s="18">
        <f t="shared" si="9"/>
        <v>0</v>
      </c>
      <c r="I241" s="21" t="s">
        <v>550</v>
      </c>
    </row>
    <row r="242" spans="1:9" ht="15.75" x14ac:dyDescent="0.25">
      <c r="A242" s="9">
        <v>241</v>
      </c>
      <c r="B242" s="9" t="s">
        <v>458</v>
      </c>
      <c r="C242" s="9" t="s">
        <v>459</v>
      </c>
      <c r="D242" s="12">
        <v>13</v>
      </c>
      <c r="E242" s="12"/>
      <c r="F242" s="12">
        <f t="shared" si="10"/>
        <v>13</v>
      </c>
      <c r="G242" s="9">
        <v>13</v>
      </c>
      <c r="H242" s="18">
        <f t="shared" si="9"/>
        <v>0</v>
      </c>
      <c r="I242" s="21" t="s">
        <v>550</v>
      </c>
    </row>
    <row r="243" spans="1:9" ht="15.75" x14ac:dyDescent="0.25">
      <c r="A243" s="9">
        <v>242</v>
      </c>
      <c r="B243" s="9" t="s">
        <v>460</v>
      </c>
      <c r="C243" s="9" t="s">
        <v>461</v>
      </c>
      <c r="D243" s="12">
        <v>5</v>
      </c>
      <c r="E243" s="12"/>
      <c r="F243" s="12">
        <f t="shared" si="10"/>
        <v>5</v>
      </c>
      <c r="G243" s="9">
        <v>5</v>
      </c>
      <c r="H243" s="18">
        <f t="shared" si="9"/>
        <v>0</v>
      </c>
      <c r="I243" s="21" t="s">
        <v>550</v>
      </c>
    </row>
    <row r="244" spans="1:9" ht="15.75" x14ac:dyDescent="0.25">
      <c r="A244" s="9">
        <v>243</v>
      </c>
      <c r="B244" s="9" t="s">
        <v>230</v>
      </c>
      <c r="C244" s="9" t="s">
        <v>231</v>
      </c>
      <c r="D244" s="12">
        <v>5</v>
      </c>
      <c r="E244" s="12"/>
      <c r="F244" s="12">
        <f t="shared" si="10"/>
        <v>5</v>
      </c>
      <c r="G244" s="9">
        <v>5</v>
      </c>
      <c r="H244" s="18">
        <f t="shared" si="9"/>
        <v>0</v>
      </c>
      <c r="I244" s="21" t="s">
        <v>550</v>
      </c>
    </row>
    <row r="245" spans="1:9" ht="15.75" x14ac:dyDescent="0.25">
      <c r="A245" s="9">
        <v>244</v>
      </c>
      <c r="B245" s="9" t="s">
        <v>232</v>
      </c>
      <c r="C245" s="9" t="s">
        <v>233</v>
      </c>
      <c r="D245" s="12">
        <v>10</v>
      </c>
      <c r="E245" s="12"/>
      <c r="F245" s="12">
        <f t="shared" si="10"/>
        <v>10</v>
      </c>
      <c r="G245" s="9">
        <v>10</v>
      </c>
      <c r="H245" s="18">
        <f t="shared" si="9"/>
        <v>0</v>
      </c>
      <c r="I245" s="21" t="s">
        <v>550</v>
      </c>
    </row>
    <row r="246" spans="1:9" ht="15.75" x14ac:dyDescent="0.25">
      <c r="A246" s="9">
        <v>245</v>
      </c>
      <c r="B246" s="9" t="s">
        <v>305</v>
      </c>
      <c r="C246" s="9" t="s">
        <v>306</v>
      </c>
      <c r="D246" s="12">
        <v>9</v>
      </c>
      <c r="E246" s="12"/>
      <c r="F246" s="12">
        <f t="shared" si="10"/>
        <v>9</v>
      </c>
      <c r="G246" s="9">
        <v>9</v>
      </c>
      <c r="H246" s="18">
        <f t="shared" si="9"/>
        <v>0</v>
      </c>
      <c r="I246" s="21" t="s">
        <v>550</v>
      </c>
    </row>
    <row r="247" spans="1:9" ht="15.75" x14ac:dyDescent="0.25">
      <c r="A247" s="9">
        <v>246</v>
      </c>
      <c r="B247" s="9" t="s">
        <v>234</v>
      </c>
      <c r="C247" s="9" t="s">
        <v>235</v>
      </c>
      <c r="D247" s="12">
        <v>5</v>
      </c>
      <c r="E247" s="12"/>
      <c r="F247" s="12">
        <f t="shared" si="10"/>
        <v>5</v>
      </c>
      <c r="G247" s="9">
        <v>5</v>
      </c>
      <c r="H247" s="18">
        <f t="shared" si="9"/>
        <v>0</v>
      </c>
      <c r="I247" s="21" t="s">
        <v>550</v>
      </c>
    </row>
    <row r="248" spans="1:9" ht="15.75" x14ac:dyDescent="0.25">
      <c r="A248" s="9">
        <v>247</v>
      </c>
      <c r="B248" s="9" t="s">
        <v>236</v>
      </c>
      <c r="C248" s="9" t="s">
        <v>237</v>
      </c>
      <c r="D248" s="12">
        <v>2</v>
      </c>
      <c r="E248" s="12"/>
      <c r="F248" s="12">
        <f t="shared" si="10"/>
        <v>2</v>
      </c>
      <c r="G248" s="9">
        <v>2</v>
      </c>
      <c r="H248" s="18">
        <f t="shared" si="9"/>
        <v>0</v>
      </c>
      <c r="I248" s="21" t="s">
        <v>550</v>
      </c>
    </row>
    <row r="249" spans="1:9" ht="15.75" x14ac:dyDescent="0.25">
      <c r="A249" s="9">
        <v>248</v>
      </c>
      <c r="B249" s="9" t="s">
        <v>402</v>
      </c>
      <c r="C249" s="9" t="s">
        <v>403</v>
      </c>
      <c r="D249" s="12">
        <v>4</v>
      </c>
      <c r="E249" s="12"/>
      <c r="F249" s="12">
        <f t="shared" si="10"/>
        <v>4</v>
      </c>
      <c r="G249" s="9">
        <v>4</v>
      </c>
      <c r="H249" s="18">
        <f t="shared" si="9"/>
        <v>0</v>
      </c>
      <c r="I249" s="21" t="s">
        <v>550</v>
      </c>
    </row>
    <row r="250" spans="1:9" ht="15.75" x14ac:dyDescent="0.25">
      <c r="A250" s="9">
        <v>249</v>
      </c>
      <c r="B250" s="9" t="s">
        <v>238</v>
      </c>
      <c r="C250" s="9" t="s">
        <v>239</v>
      </c>
      <c r="D250" s="12">
        <v>2</v>
      </c>
      <c r="E250" s="12"/>
      <c r="F250" s="12">
        <f t="shared" si="10"/>
        <v>2</v>
      </c>
      <c r="G250" s="9">
        <v>2</v>
      </c>
      <c r="H250" s="18">
        <f t="shared" si="9"/>
        <v>0</v>
      </c>
      <c r="I250" s="21" t="s">
        <v>550</v>
      </c>
    </row>
    <row r="251" spans="1:9" ht="15.75" x14ac:dyDescent="0.25">
      <c r="A251" s="9">
        <v>250</v>
      </c>
      <c r="B251" s="9" t="s">
        <v>462</v>
      </c>
      <c r="C251" s="9" t="s">
        <v>463</v>
      </c>
      <c r="D251" s="12">
        <v>4</v>
      </c>
      <c r="E251" s="12"/>
      <c r="F251" s="12">
        <f t="shared" si="10"/>
        <v>4</v>
      </c>
      <c r="G251" s="9">
        <v>4</v>
      </c>
      <c r="H251" s="18">
        <f t="shared" si="9"/>
        <v>0</v>
      </c>
      <c r="I251" s="21" t="s">
        <v>550</v>
      </c>
    </row>
    <row r="252" spans="1:9" ht="15.75" x14ac:dyDescent="0.25">
      <c r="A252" s="9">
        <v>251</v>
      </c>
      <c r="B252" s="9" t="s">
        <v>404</v>
      </c>
      <c r="C252" s="9" t="s">
        <v>405</v>
      </c>
      <c r="D252" s="12">
        <v>2</v>
      </c>
      <c r="E252" s="12"/>
      <c r="F252" s="12">
        <f t="shared" si="10"/>
        <v>2</v>
      </c>
      <c r="G252" s="9">
        <v>2</v>
      </c>
      <c r="H252" s="18">
        <f t="shared" si="9"/>
        <v>0</v>
      </c>
      <c r="I252" s="21" t="s">
        <v>550</v>
      </c>
    </row>
    <row r="253" spans="1:9" ht="15.75" x14ac:dyDescent="0.25">
      <c r="A253" s="9">
        <v>252</v>
      </c>
      <c r="B253" s="9" t="s">
        <v>537</v>
      </c>
      <c r="C253" s="9" t="s">
        <v>538</v>
      </c>
      <c r="D253" s="12">
        <v>2</v>
      </c>
      <c r="E253" s="12"/>
      <c r="F253" s="12">
        <f t="shared" si="10"/>
        <v>2</v>
      </c>
      <c r="G253" s="9">
        <v>2</v>
      </c>
      <c r="H253" s="18">
        <f t="shared" si="9"/>
        <v>0</v>
      </c>
      <c r="I253" s="21" t="s">
        <v>550</v>
      </c>
    </row>
    <row r="254" spans="1:9" ht="15.75" x14ac:dyDescent="0.25">
      <c r="A254" s="9">
        <v>253</v>
      </c>
      <c r="B254" s="9" t="s">
        <v>353</v>
      </c>
      <c r="C254" s="9" t="s">
        <v>354</v>
      </c>
      <c r="D254" s="12">
        <v>3</v>
      </c>
      <c r="E254" s="12"/>
      <c r="F254" s="12">
        <f t="shared" si="10"/>
        <v>3</v>
      </c>
      <c r="G254" s="9">
        <v>3</v>
      </c>
      <c r="H254" s="18">
        <f t="shared" si="9"/>
        <v>0</v>
      </c>
      <c r="I254" s="21" t="s">
        <v>550</v>
      </c>
    </row>
    <row r="255" spans="1:9" ht="15.75" x14ac:dyDescent="0.25">
      <c r="A255" s="9">
        <v>254</v>
      </c>
      <c r="B255" s="9" t="s">
        <v>355</v>
      </c>
      <c r="C255" s="9" t="s">
        <v>356</v>
      </c>
      <c r="D255" s="12">
        <v>1</v>
      </c>
      <c r="E255" s="12"/>
      <c r="F255" s="12">
        <f t="shared" si="10"/>
        <v>1</v>
      </c>
      <c r="G255" s="9">
        <v>1</v>
      </c>
      <c r="H255" s="18">
        <f t="shared" si="9"/>
        <v>0</v>
      </c>
      <c r="I255" s="21" t="s">
        <v>550</v>
      </c>
    </row>
    <row r="256" spans="1:9" ht="15.75" x14ac:dyDescent="0.25">
      <c r="A256" s="9">
        <v>255</v>
      </c>
      <c r="B256" s="9" t="s">
        <v>76</v>
      </c>
      <c r="C256" s="9" t="s">
        <v>77</v>
      </c>
      <c r="D256" s="12">
        <v>5</v>
      </c>
      <c r="E256" s="12"/>
      <c r="F256" s="12">
        <f t="shared" ref="F256:F266" si="11">D256+E256</f>
        <v>5</v>
      </c>
      <c r="G256" s="9">
        <v>5</v>
      </c>
      <c r="H256" s="18">
        <f t="shared" si="9"/>
        <v>0</v>
      </c>
      <c r="I256" s="21" t="s">
        <v>550</v>
      </c>
    </row>
    <row r="257" spans="1:9" ht="15.75" x14ac:dyDescent="0.25">
      <c r="A257" s="9">
        <v>256</v>
      </c>
      <c r="B257" s="9" t="s">
        <v>406</v>
      </c>
      <c r="C257" s="9" t="s">
        <v>407</v>
      </c>
      <c r="D257" s="12">
        <v>5</v>
      </c>
      <c r="E257" s="12"/>
      <c r="F257" s="12">
        <f t="shared" si="11"/>
        <v>5</v>
      </c>
      <c r="G257" s="9">
        <v>5</v>
      </c>
      <c r="H257" s="18">
        <f t="shared" si="9"/>
        <v>0</v>
      </c>
      <c r="I257" s="21" t="s">
        <v>550</v>
      </c>
    </row>
    <row r="258" spans="1:9" ht="15.75" x14ac:dyDescent="0.25">
      <c r="A258" s="9">
        <v>257</v>
      </c>
      <c r="B258" s="9">
        <v>1000107341</v>
      </c>
      <c r="C258" s="9" t="s">
        <v>79</v>
      </c>
      <c r="D258" s="12">
        <v>138</v>
      </c>
      <c r="E258" s="12"/>
      <c r="F258" s="12">
        <f t="shared" si="11"/>
        <v>138</v>
      </c>
      <c r="G258" s="9">
        <v>138</v>
      </c>
      <c r="H258" s="18">
        <f t="shared" si="9"/>
        <v>0</v>
      </c>
      <c r="I258" s="21" t="s">
        <v>550</v>
      </c>
    </row>
    <row r="259" spans="1:9" ht="15.75" x14ac:dyDescent="0.25">
      <c r="A259" s="9">
        <v>258</v>
      </c>
      <c r="B259" s="9" t="s">
        <v>307</v>
      </c>
      <c r="C259" s="9" t="s">
        <v>308</v>
      </c>
      <c r="D259" s="12">
        <v>371</v>
      </c>
      <c r="E259" s="12"/>
      <c r="F259" s="12">
        <f t="shared" si="11"/>
        <v>371</v>
      </c>
      <c r="G259" s="9">
        <v>371</v>
      </c>
      <c r="H259" s="18">
        <f t="shared" ref="H259:H266" si="12">G259-F259</f>
        <v>0</v>
      </c>
      <c r="I259" s="21" t="s">
        <v>550</v>
      </c>
    </row>
    <row r="260" spans="1:9" ht="15.75" x14ac:dyDescent="0.25">
      <c r="A260" s="9">
        <v>259</v>
      </c>
      <c r="B260" s="9" t="s">
        <v>309</v>
      </c>
      <c r="C260" s="9" t="s">
        <v>310</v>
      </c>
      <c r="D260" s="12">
        <v>151</v>
      </c>
      <c r="E260" s="12"/>
      <c r="F260" s="12">
        <f t="shared" si="11"/>
        <v>151</v>
      </c>
      <c r="G260" s="9">
        <v>151</v>
      </c>
      <c r="H260" s="18">
        <f t="shared" si="12"/>
        <v>0</v>
      </c>
      <c r="I260" s="21" t="s">
        <v>550</v>
      </c>
    </row>
    <row r="261" spans="1:9" ht="15.75" x14ac:dyDescent="0.25">
      <c r="A261" s="9">
        <v>260</v>
      </c>
      <c r="B261" s="9" t="s">
        <v>464</v>
      </c>
      <c r="C261" s="9" t="s">
        <v>465</v>
      </c>
      <c r="D261" s="12">
        <v>14</v>
      </c>
      <c r="E261" s="12"/>
      <c r="F261" s="12">
        <f t="shared" si="11"/>
        <v>14</v>
      </c>
      <c r="G261" s="9">
        <v>14</v>
      </c>
      <c r="H261" s="18">
        <f t="shared" si="12"/>
        <v>0</v>
      </c>
      <c r="I261" s="21" t="s">
        <v>550</v>
      </c>
    </row>
    <row r="262" spans="1:9" ht="15.75" x14ac:dyDescent="0.25">
      <c r="A262" s="9">
        <v>261</v>
      </c>
      <c r="B262" s="9">
        <v>1000107345</v>
      </c>
      <c r="C262" s="9" t="s">
        <v>81</v>
      </c>
      <c r="D262" s="12">
        <v>42</v>
      </c>
      <c r="E262" s="12"/>
      <c r="F262" s="12">
        <f t="shared" si="11"/>
        <v>42</v>
      </c>
      <c r="G262" s="9">
        <v>42</v>
      </c>
      <c r="H262" s="18">
        <f t="shared" si="12"/>
        <v>0</v>
      </c>
      <c r="I262" s="21" t="s">
        <v>550</v>
      </c>
    </row>
    <row r="263" spans="1:9" ht="15.75" x14ac:dyDescent="0.25">
      <c r="A263" s="9">
        <v>262</v>
      </c>
      <c r="B263" s="9" t="s">
        <v>408</v>
      </c>
      <c r="C263" s="9" t="s">
        <v>409</v>
      </c>
      <c r="D263" s="12">
        <v>10</v>
      </c>
      <c r="E263" s="12"/>
      <c r="F263" s="12">
        <f t="shared" si="11"/>
        <v>10</v>
      </c>
      <c r="G263" s="9">
        <v>10</v>
      </c>
      <c r="H263" s="18">
        <f t="shared" si="12"/>
        <v>0</v>
      </c>
      <c r="I263" s="21" t="s">
        <v>550</v>
      </c>
    </row>
    <row r="264" spans="1:9" ht="15.75" x14ac:dyDescent="0.25">
      <c r="A264" s="9">
        <v>263</v>
      </c>
      <c r="B264" s="9" t="s">
        <v>82</v>
      </c>
      <c r="C264" s="9" t="s">
        <v>83</v>
      </c>
      <c r="D264" s="12">
        <v>10</v>
      </c>
      <c r="E264" s="12"/>
      <c r="F264" s="12">
        <f t="shared" si="11"/>
        <v>10</v>
      </c>
      <c r="G264" s="9">
        <v>10</v>
      </c>
      <c r="H264" s="18">
        <f t="shared" si="12"/>
        <v>0</v>
      </c>
      <c r="I264" s="21" t="s">
        <v>550</v>
      </c>
    </row>
    <row r="265" spans="1:9" ht="15.75" x14ac:dyDescent="0.25">
      <c r="A265" s="9">
        <v>264</v>
      </c>
      <c r="B265" s="9">
        <v>1000108302</v>
      </c>
      <c r="C265" s="9" t="s">
        <v>312</v>
      </c>
      <c r="D265" s="12">
        <v>4</v>
      </c>
      <c r="E265" s="12"/>
      <c r="F265" s="12">
        <f t="shared" si="11"/>
        <v>4</v>
      </c>
      <c r="G265" s="9">
        <v>4</v>
      </c>
      <c r="H265" s="18">
        <f t="shared" si="12"/>
        <v>0</v>
      </c>
      <c r="I265" s="21" t="s">
        <v>550</v>
      </c>
    </row>
    <row r="266" spans="1:9" ht="15.75" x14ac:dyDescent="0.25">
      <c r="A266" s="9">
        <v>265</v>
      </c>
      <c r="B266" s="9" t="s">
        <v>410</v>
      </c>
      <c r="C266" s="9" t="s">
        <v>411</v>
      </c>
      <c r="D266" s="12">
        <v>15</v>
      </c>
      <c r="E266" s="12"/>
      <c r="F266" s="12">
        <f t="shared" si="11"/>
        <v>15</v>
      </c>
      <c r="G266" s="9">
        <v>15</v>
      </c>
      <c r="H266" s="18">
        <f t="shared" si="12"/>
        <v>0</v>
      </c>
      <c r="I266" s="21" t="s">
        <v>550</v>
      </c>
    </row>
    <row r="267" spans="1:9" hidden="1" x14ac:dyDescent="0.25">
      <c r="B267" s="9" t="s">
        <v>540</v>
      </c>
      <c r="C267" s="9"/>
      <c r="D267" s="9">
        <f>SUM(D2:D266)</f>
        <v>2508</v>
      </c>
      <c r="E267" s="9">
        <f>SUM(E2:E266)</f>
        <v>20</v>
      </c>
      <c r="F267" s="9">
        <f>SUM(F2:F266)</f>
        <v>2528</v>
      </c>
      <c r="G267" s="9"/>
      <c r="H267" s="9"/>
      <c r="I267" s="9"/>
    </row>
    <row r="275" spans="3:3" x14ac:dyDescent="0.25">
      <c r="C275" s="26"/>
    </row>
  </sheetData>
  <autoFilter ref="A1:J267" xr:uid="{0B733C19-E294-43B0-85C8-E7599BF83124}">
    <filterColumn colId="8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3395-38AF-4C31-94FE-46F8264990D7}">
  <dimension ref="A1:G270"/>
  <sheetViews>
    <sheetView topLeftCell="A237" workbookViewId="0">
      <selection activeCell="C254" sqref="C254"/>
    </sheetView>
  </sheetViews>
  <sheetFormatPr defaultRowHeight="15" x14ac:dyDescent="0.25"/>
  <cols>
    <col min="1" max="1" width="4" bestFit="1" customWidth="1"/>
    <col min="2" max="2" width="6.85546875" customWidth="1"/>
    <col min="3" max="3" width="11.42578125" customWidth="1"/>
    <col min="4" max="4" width="35.42578125" customWidth="1"/>
    <col min="5" max="5" width="66.42578125" customWidth="1"/>
    <col min="6" max="6" width="6.85546875" bestFit="1" customWidth="1"/>
    <col min="7" max="7" width="6.140625" hidden="1" customWidth="1"/>
  </cols>
  <sheetData>
    <row r="1" spans="1:7" x14ac:dyDescent="0.25">
      <c r="A1" s="5" t="s">
        <v>539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544</v>
      </c>
      <c r="G1" s="6" t="s">
        <v>541</v>
      </c>
    </row>
    <row r="2" spans="1:7" x14ac:dyDescent="0.25">
      <c r="A2">
        <v>1</v>
      </c>
      <c r="B2" s="1" t="s">
        <v>4</v>
      </c>
      <c r="C2" s="1" t="s">
        <v>5</v>
      </c>
      <c r="D2" s="2"/>
      <c r="E2" s="1" t="s">
        <v>6</v>
      </c>
      <c r="F2" s="3">
        <v>1</v>
      </c>
      <c r="G2" s="4">
        <v>0</v>
      </c>
    </row>
    <row r="3" spans="1:7" x14ac:dyDescent="0.25">
      <c r="A3">
        <v>2</v>
      </c>
      <c r="B3" s="1" t="s">
        <v>4</v>
      </c>
      <c r="C3" s="1" t="s">
        <v>7</v>
      </c>
      <c r="D3" s="2"/>
      <c r="E3" s="1" t="s">
        <v>8</v>
      </c>
      <c r="F3" s="3">
        <v>3</v>
      </c>
      <c r="G3" s="4">
        <v>0</v>
      </c>
    </row>
    <row r="4" spans="1:7" x14ac:dyDescent="0.25">
      <c r="A4">
        <v>3</v>
      </c>
      <c r="B4" s="1" t="s">
        <v>4</v>
      </c>
      <c r="C4" s="1" t="s">
        <v>9</v>
      </c>
      <c r="D4" s="1" t="s">
        <v>10</v>
      </c>
      <c r="E4" s="1" t="s">
        <v>11</v>
      </c>
      <c r="F4" s="3">
        <v>1</v>
      </c>
      <c r="G4" s="4">
        <v>1400.1321440285205</v>
      </c>
    </row>
    <row r="5" spans="1:7" x14ac:dyDescent="0.25">
      <c r="A5">
        <v>4</v>
      </c>
      <c r="B5" s="1" t="s">
        <v>4</v>
      </c>
      <c r="C5" s="1" t="s">
        <v>12</v>
      </c>
      <c r="D5" s="1" t="s">
        <v>10</v>
      </c>
      <c r="E5" s="1" t="s">
        <v>13</v>
      </c>
      <c r="F5" s="3">
        <v>1</v>
      </c>
      <c r="G5" s="4">
        <v>123.92462500000001</v>
      </c>
    </row>
    <row r="6" spans="1:7" x14ac:dyDescent="0.25">
      <c r="A6">
        <v>5</v>
      </c>
      <c r="B6" s="1" t="s">
        <v>4</v>
      </c>
      <c r="C6" s="1" t="s">
        <v>14</v>
      </c>
      <c r="D6" s="1" t="s">
        <v>10</v>
      </c>
      <c r="E6" s="1" t="s">
        <v>15</v>
      </c>
      <c r="F6" s="3">
        <v>10</v>
      </c>
      <c r="G6" s="4">
        <v>2200.9789999999998</v>
      </c>
    </row>
    <row r="7" spans="1:7" x14ac:dyDescent="0.25">
      <c r="A7">
        <v>6</v>
      </c>
      <c r="B7" s="1" t="s">
        <v>4</v>
      </c>
      <c r="C7" s="1" t="s">
        <v>16</v>
      </c>
      <c r="D7" s="2"/>
      <c r="E7" s="1" t="s">
        <v>17</v>
      </c>
      <c r="F7" s="3">
        <v>4</v>
      </c>
      <c r="G7" s="4">
        <v>0</v>
      </c>
    </row>
    <row r="8" spans="1:7" x14ac:dyDescent="0.25">
      <c r="A8">
        <v>7</v>
      </c>
      <c r="B8" s="1" t="s">
        <v>18</v>
      </c>
      <c r="C8" s="1" t="s">
        <v>19</v>
      </c>
      <c r="D8" s="2"/>
      <c r="E8" s="1" t="s">
        <v>20</v>
      </c>
      <c r="F8" s="3">
        <v>8</v>
      </c>
      <c r="G8" s="4">
        <v>0</v>
      </c>
    </row>
    <row r="9" spans="1:7" x14ac:dyDescent="0.25">
      <c r="A9">
        <v>8</v>
      </c>
      <c r="B9" s="1" t="s">
        <v>18</v>
      </c>
      <c r="C9" s="1" t="s">
        <v>21</v>
      </c>
      <c r="D9" s="2"/>
      <c r="E9" s="1" t="s">
        <v>22</v>
      </c>
      <c r="F9" s="3">
        <v>8</v>
      </c>
      <c r="G9" s="4">
        <v>0</v>
      </c>
    </row>
    <row r="10" spans="1:7" x14ac:dyDescent="0.25">
      <c r="A10">
        <v>9</v>
      </c>
      <c r="B10" s="1" t="s">
        <v>18</v>
      </c>
      <c r="C10" s="1" t="s">
        <v>23</v>
      </c>
      <c r="D10" s="1" t="s">
        <v>10</v>
      </c>
      <c r="E10" s="1" t="s">
        <v>24</v>
      </c>
      <c r="F10" s="3">
        <v>11</v>
      </c>
      <c r="G10" s="4">
        <v>1550.2734291294644</v>
      </c>
    </row>
    <row r="11" spans="1:7" x14ac:dyDescent="0.25">
      <c r="A11">
        <v>10</v>
      </c>
      <c r="B11" s="1" t="s">
        <v>18</v>
      </c>
      <c r="C11" s="1" t="s">
        <v>25</v>
      </c>
      <c r="D11" s="1" t="s">
        <v>10</v>
      </c>
      <c r="E11" s="1" t="s">
        <v>26</v>
      </c>
      <c r="F11" s="3">
        <v>1</v>
      </c>
      <c r="G11" s="4">
        <v>330.7992158730159</v>
      </c>
    </row>
    <row r="12" spans="1:7" x14ac:dyDescent="0.25">
      <c r="A12">
        <v>11</v>
      </c>
      <c r="B12" s="1" t="s">
        <v>18</v>
      </c>
      <c r="C12" s="1" t="s">
        <v>27</v>
      </c>
      <c r="D12" s="1" t="s">
        <v>10</v>
      </c>
      <c r="E12" s="1" t="s">
        <v>28</v>
      </c>
      <c r="F12" s="3">
        <v>1</v>
      </c>
      <c r="G12" s="4">
        <v>201.09666666666666</v>
      </c>
    </row>
    <row r="13" spans="1:7" x14ac:dyDescent="0.25">
      <c r="A13">
        <v>12</v>
      </c>
      <c r="B13" s="1" t="s">
        <v>18</v>
      </c>
      <c r="C13" s="1" t="s">
        <v>29</v>
      </c>
      <c r="D13" s="1" t="s">
        <v>10</v>
      </c>
      <c r="E13" s="1" t="s">
        <v>30</v>
      </c>
      <c r="F13" s="3">
        <v>10</v>
      </c>
      <c r="G13" s="4">
        <v>1430.63</v>
      </c>
    </row>
    <row r="14" spans="1:7" x14ac:dyDescent="0.25">
      <c r="A14">
        <v>13</v>
      </c>
      <c r="B14" s="1" t="s">
        <v>18</v>
      </c>
      <c r="C14" s="1" t="s">
        <v>31</v>
      </c>
      <c r="D14" s="1" t="s">
        <v>10</v>
      </c>
      <c r="E14" s="1" t="s">
        <v>32</v>
      </c>
      <c r="F14" s="3">
        <v>5</v>
      </c>
      <c r="G14" s="4">
        <v>222.43350000000001</v>
      </c>
    </row>
    <row r="15" spans="1:7" x14ac:dyDescent="0.25">
      <c r="A15">
        <v>14</v>
      </c>
      <c r="B15" s="1" t="s">
        <v>18</v>
      </c>
      <c r="C15" s="1" t="s">
        <v>34</v>
      </c>
      <c r="D15" s="1" t="s">
        <v>10</v>
      </c>
      <c r="E15" s="1" t="s">
        <v>35</v>
      </c>
      <c r="F15" s="3">
        <v>5</v>
      </c>
      <c r="G15" s="4">
        <v>844.15</v>
      </c>
    </row>
    <row r="16" spans="1:7" x14ac:dyDescent="0.25">
      <c r="A16">
        <v>15</v>
      </c>
      <c r="B16" s="1" t="s">
        <v>18</v>
      </c>
      <c r="C16" s="1" t="s">
        <v>36</v>
      </c>
      <c r="D16" s="1" t="s">
        <v>10</v>
      </c>
      <c r="E16" s="1" t="s">
        <v>37</v>
      </c>
      <c r="F16" s="3">
        <v>1</v>
      </c>
      <c r="G16" s="4">
        <v>662.4</v>
      </c>
    </row>
    <row r="17" spans="1:7" x14ac:dyDescent="0.25">
      <c r="A17">
        <v>16</v>
      </c>
      <c r="B17" s="1" t="s">
        <v>18</v>
      </c>
      <c r="C17" s="1" t="s">
        <v>38</v>
      </c>
      <c r="D17" s="1" t="s">
        <v>10</v>
      </c>
      <c r="E17" s="1" t="s">
        <v>39</v>
      </c>
      <c r="F17" s="3">
        <v>1</v>
      </c>
      <c r="G17" s="4">
        <v>115.876</v>
      </c>
    </row>
    <row r="18" spans="1:7" x14ac:dyDescent="0.25">
      <c r="A18">
        <v>17</v>
      </c>
      <c r="B18" s="1" t="s">
        <v>18</v>
      </c>
      <c r="C18" s="1" t="s">
        <v>40</v>
      </c>
      <c r="D18" s="1" t="s">
        <v>10</v>
      </c>
      <c r="E18" s="1" t="s">
        <v>41</v>
      </c>
      <c r="F18" s="3">
        <v>1</v>
      </c>
      <c r="G18" s="4">
        <v>245.03674206349206</v>
      </c>
    </row>
    <row r="19" spans="1:7" x14ac:dyDescent="0.25">
      <c r="A19">
        <v>18</v>
      </c>
      <c r="B19" s="1" t="s">
        <v>18</v>
      </c>
      <c r="C19" s="1" t="s">
        <v>42</v>
      </c>
      <c r="D19" s="1" t="s">
        <v>10</v>
      </c>
      <c r="E19" s="1" t="s">
        <v>43</v>
      </c>
      <c r="F19" s="3">
        <v>5</v>
      </c>
      <c r="G19" s="4">
        <v>1012.5</v>
      </c>
    </row>
    <row r="20" spans="1:7" x14ac:dyDescent="0.25">
      <c r="A20">
        <v>19</v>
      </c>
      <c r="B20" s="1" t="s">
        <v>18</v>
      </c>
      <c r="C20" s="1" t="s">
        <v>44</v>
      </c>
      <c r="D20" s="1" t="s">
        <v>10</v>
      </c>
      <c r="E20" s="1" t="s">
        <v>45</v>
      </c>
      <c r="F20" s="3">
        <v>3</v>
      </c>
      <c r="G20" s="4">
        <v>1712.81</v>
      </c>
    </row>
    <row r="21" spans="1:7" x14ac:dyDescent="0.25">
      <c r="A21">
        <v>20</v>
      </c>
      <c r="B21" s="1" t="s">
        <v>18</v>
      </c>
      <c r="C21" s="1" t="s">
        <v>46</v>
      </c>
      <c r="D21" s="1" t="s">
        <v>10</v>
      </c>
      <c r="E21" s="1" t="s">
        <v>47</v>
      </c>
      <c r="F21" s="3">
        <v>3</v>
      </c>
      <c r="G21" s="4">
        <v>875.07680000000005</v>
      </c>
    </row>
    <row r="22" spans="1:7" x14ac:dyDescent="0.25">
      <c r="A22">
        <v>21</v>
      </c>
      <c r="B22" s="1" t="s">
        <v>18</v>
      </c>
      <c r="C22" s="1" t="s">
        <v>48</v>
      </c>
      <c r="D22" s="1" t="s">
        <v>10</v>
      </c>
      <c r="E22" s="1" t="s">
        <v>49</v>
      </c>
      <c r="F22" s="3">
        <v>2</v>
      </c>
      <c r="G22" s="4">
        <v>1738.7066666666667</v>
      </c>
    </row>
    <row r="23" spans="1:7" x14ac:dyDescent="0.25">
      <c r="A23">
        <v>22</v>
      </c>
      <c r="B23" s="1" t="s">
        <v>18</v>
      </c>
      <c r="C23" s="1" t="s">
        <v>50</v>
      </c>
      <c r="D23" s="1" t="s">
        <v>10</v>
      </c>
      <c r="E23" s="1" t="s">
        <v>51</v>
      </c>
      <c r="F23" s="3">
        <v>3</v>
      </c>
      <c r="G23" s="4">
        <v>7971.9500300309601</v>
      </c>
    </row>
    <row r="24" spans="1:7" x14ac:dyDescent="0.25">
      <c r="A24">
        <v>23</v>
      </c>
      <c r="B24" s="1" t="s">
        <v>18</v>
      </c>
      <c r="C24" s="1" t="s">
        <v>52</v>
      </c>
      <c r="D24" s="1" t="s">
        <v>10</v>
      </c>
      <c r="E24" s="1" t="s">
        <v>53</v>
      </c>
      <c r="F24" s="3">
        <v>3</v>
      </c>
      <c r="G24" s="4">
        <v>886.95</v>
      </c>
    </row>
    <row r="25" spans="1:7" x14ac:dyDescent="0.25">
      <c r="A25">
        <v>24</v>
      </c>
      <c r="B25" s="1" t="s">
        <v>18</v>
      </c>
      <c r="C25" s="1" t="s">
        <v>54</v>
      </c>
      <c r="D25" s="1" t="s">
        <v>10</v>
      </c>
      <c r="E25" s="1" t="s">
        <v>55</v>
      </c>
      <c r="F25" s="3">
        <v>4</v>
      </c>
      <c r="G25" s="4">
        <v>547.20000000000005</v>
      </c>
    </row>
    <row r="26" spans="1:7" x14ac:dyDescent="0.25">
      <c r="A26">
        <v>25</v>
      </c>
      <c r="B26" s="1" t="s">
        <v>18</v>
      </c>
      <c r="C26" s="1" t="s">
        <v>56</v>
      </c>
      <c r="D26" s="1" t="s">
        <v>10</v>
      </c>
      <c r="E26" s="1" t="s">
        <v>57</v>
      </c>
      <c r="F26" s="3">
        <v>5</v>
      </c>
      <c r="G26" s="4">
        <v>517.14</v>
      </c>
    </row>
    <row r="27" spans="1:7" x14ac:dyDescent="0.25">
      <c r="A27">
        <v>26</v>
      </c>
      <c r="B27" s="1" t="s">
        <v>18</v>
      </c>
      <c r="C27" s="1" t="s">
        <v>58</v>
      </c>
      <c r="D27" s="1" t="s">
        <v>10</v>
      </c>
      <c r="E27" s="1" t="s">
        <v>59</v>
      </c>
      <c r="F27" s="3">
        <v>15</v>
      </c>
      <c r="G27" s="4">
        <v>13225.74</v>
      </c>
    </row>
    <row r="28" spans="1:7" x14ac:dyDescent="0.25">
      <c r="A28">
        <v>27</v>
      </c>
      <c r="B28" s="1" t="s">
        <v>18</v>
      </c>
      <c r="C28" s="1" t="s">
        <v>60</v>
      </c>
      <c r="D28" s="1" t="s">
        <v>10</v>
      </c>
      <c r="E28" s="1" t="s">
        <v>61</v>
      </c>
      <c r="F28" s="3">
        <v>3</v>
      </c>
      <c r="G28" s="4">
        <v>952.88</v>
      </c>
    </row>
    <row r="29" spans="1:7" x14ac:dyDescent="0.25">
      <c r="A29">
        <v>28</v>
      </c>
      <c r="B29" s="1" t="s">
        <v>18</v>
      </c>
      <c r="C29" s="1" t="s">
        <v>62</v>
      </c>
      <c r="D29" s="1" t="s">
        <v>10</v>
      </c>
      <c r="E29" s="1" t="s">
        <v>63</v>
      </c>
      <c r="F29" s="3">
        <v>2</v>
      </c>
      <c r="G29" s="4">
        <v>799.66800000000001</v>
      </c>
    </row>
    <row r="30" spans="1:7" x14ac:dyDescent="0.25">
      <c r="A30">
        <v>29</v>
      </c>
      <c r="B30" s="1" t="s">
        <v>18</v>
      </c>
      <c r="C30" s="1" t="s">
        <v>64</v>
      </c>
      <c r="D30" s="1" t="s">
        <v>10</v>
      </c>
      <c r="E30" s="1" t="s">
        <v>65</v>
      </c>
      <c r="F30" s="3">
        <v>15</v>
      </c>
      <c r="G30" s="4">
        <v>7506</v>
      </c>
    </row>
    <row r="31" spans="1:7" x14ac:dyDescent="0.25">
      <c r="A31">
        <v>30</v>
      </c>
      <c r="B31" s="1" t="s">
        <v>18</v>
      </c>
      <c r="C31" s="1" t="s">
        <v>66</v>
      </c>
      <c r="D31" s="1" t="s">
        <v>10</v>
      </c>
      <c r="E31" s="1" t="s">
        <v>67</v>
      </c>
      <c r="F31" s="3">
        <v>3</v>
      </c>
      <c r="G31" s="4">
        <v>785.28</v>
      </c>
    </row>
    <row r="32" spans="1:7" x14ac:dyDescent="0.25">
      <c r="A32">
        <v>31</v>
      </c>
      <c r="B32" s="1" t="s">
        <v>18</v>
      </c>
      <c r="C32" s="1" t="s">
        <v>68</v>
      </c>
      <c r="D32" s="1" t="s">
        <v>10</v>
      </c>
      <c r="E32" s="1" t="s">
        <v>69</v>
      </c>
      <c r="F32" s="3">
        <v>6</v>
      </c>
      <c r="G32" s="4">
        <v>1504.26</v>
      </c>
    </row>
    <row r="33" spans="1:7" x14ac:dyDescent="0.25">
      <c r="A33">
        <v>32</v>
      </c>
      <c r="B33" s="1" t="s">
        <v>18</v>
      </c>
      <c r="C33" s="1" t="s">
        <v>70</v>
      </c>
      <c r="D33" s="1" t="s">
        <v>10</v>
      </c>
      <c r="E33" s="1" t="s">
        <v>71</v>
      </c>
      <c r="F33" s="3">
        <v>2</v>
      </c>
      <c r="G33" s="4">
        <v>287.7</v>
      </c>
    </row>
    <row r="34" spans="1:7" x14ac:dyDescent="0.25">
      <c r="A34">
        <v>33</v>
      </c>
      <c r="B34" s="1" t="s">
        <v>18</v>
      </c>
      <c r="C34" s="1" t="s">
        <v>72</v>
      </c>
      <c r="D34" s="1" t="s">
        <v>10</v>
      </c>
      <c r="E34" s="1" t="s">
        <v>73</v>
      </c>
      <c r="F34" s="3">
        <v>2</v>
      </c>
      <c r="G34" s="4">
        <v>2096.1</v>
      </c>
    </row>
    <row r="35" spans="1:7" x14ac:dyDescent="0.25">
      <c r="A35">
        <v>34</v>
      </c>
      <c r="B35" s="1" t="s">
        <v>18</v>
      </c>
      <c r="C35" s="1" t="s">
        <v>74</v>
      </c>
      <c r="D35" s="1" t="s">
        <v>10</v>
      </c>
      <c r="E35" s="1" t="s">
        <v>75</v>
      </c>
      <c r="F35" s="3">
        <v>2</v>
      </c>
      <c r="G35" s="4">
        <v>3288</v>
      </c>
    </row>
    <row r="36" spans="1:7" x14ac:dyDescent="0.25">
      <c r="A36">
        <v>35</v>
      </c>
      <c r="B36" s="1" t="s">
        <v>18</v>
      </c>
      <c r="C36" s="1" t="s">
        <v>76</v>
      </c>
      <c r="D36" s="1" t="s">
        <v>10</v>
      </c>
      <c r="E36" s="1" t="s">
        <v>77</v>
      </c>
      <c r="F36" s="3">
        <v>5</v>
      </c>
      <c r="G36" s="4">
        <v>2308.9</v>
      </c>
    </row>
    <row r="37" spans="1:7" x14ac:dyDescent="0.25">
      <c r="A37">
        <v>36</v>
      </c>
      <c r="B37" s="1" t="s">
        <v>18</v>
      </c>
      <c r="C37" s="1" t="s">
        <v>78</v>
      </c>
      <c r="D37" s="1" t="s">
        <v>10</v>
      </c>
      <c r="E37" s="1" t="s">
        <v>79</v>
      </c>
      <c r="F37" s="3">
        <v>138</v>
      </c>
      <c r="G37" s="4">
        <v>101158.6531792848</v>
      </c>
    </row>
    <row r="38" spans="1:7" x14ac:dyDescent="0.25">
      <c r="A38">
        <v>37</v>
      </c>
      <c r="B38" s="1" t="s">
        <v>18</v>
      </c>
      <c r="C38" s="1" t="s">
        <v>80</v>
      </c>
      <c r="D38" s="1" t="s">
        <v>10</v>
      </c>
      <c r="E38" s="1" t="s">
        <v>81</v>
      </c>
      <c r="F38" s="3">
        <v>42</v>
      </c>
      <c r="G38" s="4">
        <v>45578.332799999996</v>
      </c>
    </row>
    <row r="39" spans="1:7" x14ac:dyDescent="0.25">
      <c r="A39">
        <v>38</v>
      </c>
      <c r="B39" s="1" t="s">
        <v>18</v>
      </c>
      <c r="C39" s="1" t="s">
        <v>82</v>
      </c>
      <c r="D39" s="1" t="s">
        <v>10</v>
      </c>
      <c r="E39" s="1" t="s">
        <v>83</v>
      </c>
      <c r="F39" s="3">
        <v>10</v>
      </c>
      <c r="G39" s="4">
        <v>3626.23</v>
      </c>
    </row>
    <row r="40" spans="1:7" x14ac:dyDescent="0.25">
      <c r="A40">
        <v>39</v>
      </c>
      <c r="B40" s="1" t="s">
        <v>18</v>
      </c>
      <c r="C40" s="1" t="s">
        <v>84</v>
      </c>
      <c r="D40" s="1" t="s">
        <v>10</v>
      </c>
      <c r="E40" s="1" t="s">
        <v>85</v>
      </c>
      <c r="F40" s="3">
        <v>8</v>
      </c>
      <c r="G40" s="4">
        <v>1634.088695652174</v>
      </c>
    </row>
    <row r="41" spans="1:7" x14ac:dyDescent="0.25">
      <c r="A41">
        <v>40</v>
      </c>
      <c r="B41" s="1" t="s">
        <v>18</v>
      </c>
      <c r="C41" s="1" t="s">
        <v>86</v>
      </c>
      <c r="D41" s="1" t="s">
        <v>10</v>
      </c>
      <c r="E41" s="1" t="s">
        <v>87</v>
      </c>
      <c r="F41" s="3">
        <v>6</v>
      </c>
      <c r="G41" s="4">
        <v>1085.04</v>
      </c>
    </row>
    <row r="42" spans="1:7" x14ac:dyDescent="0.25">
      <c r="A42">
        <v>41</v>
      </c>
      <c r="B42" s="1" t="s">
        <v>18</v>
      </c>
      <c r="C42" s="1" t="s">
        <v>88</v>
      </c>
      <c r="D42" s="2"/>
      <c r="E42" s="1" t="s">
        <v>89</v>
      </c>
      <c r="F42" s="3">
        <v>1</v>
      </c>
      <c r="G42" s="4">
        <v>0</v>
      </c>
    </row>
    <row r="43" spans="1:7" x14ac:dyDescent="0.25">
      <c r="A43">
        <v>42</v>
      </c>
      <c r="B43" s="1" t="s">
        <v>18</v>
      </c>
      <c r="C43" s="1" t="s">
        <v>90</v>
      </c>
      <c r="D43" s="1" t="s">
        <v>10</v>
      </c>
      <c r="E43" s="1" t="s">
        <v>91</v>
      </c>
      <c r="F43" s="3">
        <v>19</v>
      </c>
      <c r="G43" s="4">
        <v>3355.2965369034091</v>
      </c>
    </row>
    <row r="44" spans="1:7" x14ac:dyDescent="0.25">
      <c r="A44">
        <v>43</v>
      </c>
      <c r="B44" s="1" t="s">
        <v>18</v>
      </c>
      <c r="C44" s="1" t="s">
        <v>92</v>
      </c>
      <c r="D44" s="1" t="s">
        <v>10</v>
      </c>
      <c r="E44" s="1" t="s">
        <v>93</v>
      </c>
      <c r="F44" s="3">
        <v>6</v>
      </c>
      <c r="G44" s="4">
        <v>827.73</v>
      </c>
    </row>
    <row r="45" spans="1:7" x14ac:dyDescent="0.25">
      <c r="A45">
        <v>44</v>
      </c>
      <c r="B45" s="1" t="s">
        <v>18</v>
      </c>
      <c r="C45" s="1" t="s">
        <v>94</v>
      </c>
      <c r="D45" s="1" t="s">
        <v>10</v>
      </c>
      <c r="E45" s="1" t="s">
        <v>95</v>
      </c>
      <c r="F45" s="3">
        <v>5</v>
      </c>
      <c r="G45" s="4">
        <v>215.671875</v>
      </c>
    </row>
    <row r="46" spans="1:7" x14ac:dyDescent="0.25">
      <c r="A46">
        <v>45</v>
      </c>
      <c r="B46" s="1" t="s">
        <v>18</v>
      </c>
      <c r="C46" s="1" t="s">
        <v>96</v>
      </c>
      <c r="D46" s="1" t="s">
        <v>10</v>
      </c>
      <c r="E46" s="1" t="s">
        <v>97</v>
      </c>
      <c r="F46" s="3">
        <v>2</v>
      </c>
      <c r="G46" s="4">
        <v>508.2</v>
      </c>
    </row>
    <row r="47" spans="1:7" x14ac:dyDescent="0.25">
      <c r="A47">
        <v>46</v>
      </c>
      <c r="B47" s="1" t="s">
        <v>18</v>
      </c>
      <c r="C47" s="1" t="s">
        <v>98</v>
      </c>
      <c r="D47" s="1" t="s">
        <v>10</v>
      </c>
      <c r="E47" s="1" t="s">
        <v>99</v>
      </c>
      <c r="F47" s="3">
        <v>3</v>
      </c>
      <c r="G47" s="4">
        <v>767.59005000000002</v>
      </c>
    </row>
    <row r="48" spans="1:7" x14ac:dyDescent="0.25">
      <c r="A48">
        <v>47</v>
      </c>
      <c r="B48" s="1" t="s">
        <v>18</v>
      </c>
      <c r="C48" s="1" t="s">
        <v>100</v>
      </c>
      <c r="D48" s="1" t="s">
        <v>10</v>
      </c>
      <c r="E48" s="1" t="s">
        <v>101</v>
      </c>
      <c r="F48" s="3">
        <v>5</v>
      </c>
      <c r="G48" s="4">
        <v>968.67</v>
      </c>
    </row>
    <row r="49" spans="1:7" x14ac:dyDescent="0.25">
      <c r="A49">
        <v>48</v>
      </c>
      <c r="B49" s="1" t="s">
        <v>18</v>
      </c>
      <c r="C49" s="1" t="s">
        <v>102</v>
      </c>
      <c r="D49" s="1" t="s">
        <v>10</v>
      </c>
      <c r="E49" s="1" t="s">
        <v>103</v>
      </c>
      <c r="F49" s="3">
        <v>2</v>
      </c>
      <c r="G49" s="4">
        <v>478.12666666666667</v>
      </c>
    </row>
    <row r="50" spans="1:7" x14ac:dyDescent="0.25">
      <c r="A50">
        <v>49</v>
      </c>
      <c r="B50" s="1" t="s">
        <v>18</v>
      </c>
      <c r="C50" s="1" t="s">
        <v>104</v>
      </c>
      <c r="D50" s="1" t="s">
        <v>10</v>
      </c>
      <c r="E50" s="1" t="s">
        <v>105</v>
      </c>
      <c r="F50" s="3">
        <v>2</v>
      </c>
      <c r="G50" s="4">
        <v>1653.310592754372</v>
      </c>
    </row>
    <row r="51" spans="1:7" x14ac:dyDescent="0.25">
      <c r="A51">
        <v>50</v>
      </c>
      <c r="B51" s="1" t="s">
        <v>18</v>
      </c>
      <c r="C51" s="1" t="s">
        <v>106</v>
      </c>
      <c r="D51" s="1" t="s">
        <v>10</v>
      </c>
      <c r="E51" s="1" t="s">
        <v>107</v>
      </c>
      <c r="F51" s="3">
        <v>5</v>
      </c>
      <c r="G51" s="4">
        <v>2350.3532843137255</v>
      </c>
    </row>
    <row r="52" spans="1:7" x14ac:dyDescent="0.25">
      <c r="A52">
        <v>51</v>
      </c>
      <c r="B52" s="1" t="s">
        <v>18</v>
      </c>
      <c r="C52" s="1" t="s">
        <v>108</v>
      </c>
      <c r="D52" s="1" t="s">
        <v>10</v>
      </c>
      <c r="E52" s="1" t="s">
        <v>109</v>
      </c>
      <c r="F52" s="3">
        <v>3</v>
      </c>
      <c r="G52" s="4">
        <v>3458.25</v>
      </c>
    </row>
    <row r="53" spans="1:7" x14ac:dyDescent="0.25">
      <c r="A53">
        <v>52</v>
      </c>
      <c r="B53" s="1" t="s">
        <v>18</v>
      </c>
      <c r="C53" s="1" t="s">
        <v>110</v>
      </c>
      <c r="D53" s="1" t="s">
        <v>10</v>
      </c>
      <c r="E53" s="1" t="s">
        <v>111</v>
      </c>
      <c r="F53" s="3">
        <v>5</v>
      </c>
      <c r="G53" s="4">
        <v>743.82</v>
      </c>
    </row>
    <row r="54" spans="1:7" x14ac:dyDescent="0.25">
      <c r="A54">
        <v>53</v>
      </c>
      <c r="B54" s="1" t="s">
        <v>18</v>
      </c>
      <c r="C54" s="1" t="s">
        <v>112</v>
      </c>
      <c r="D54" s="1" t="s">
        <v>10</v>
      </c>
      <c r="E54" s="1" t="s">
        <v>113</v>
      </c>
      <c r="F54" s="3">
        <v>29</v>
      </c>
      <c r="G54" s="4">
        <v>7786.2704000000003</v>
      </c>
    </row>
    <row r="55" spans="1:7" x14ac:dyDescent="0.25">
      <c r="A55">
        <v>54</v>
      </c>
      <c r="B55" s="1" t="s">
        <v>18</v>
      </c>
      <c r="C55" s="1" t="s">
        <v>114</v>
      </c>
      <c r="D55" s="1" t="s">
        <v>10</v>
      </c>
      <c r="E55" s="1" t="s">
        <v>115</v>
      </c>
      <c r="F55" s="3">
        <v>3</v>
      </c>
      <c r="G55" s="4">
        <v>1660.12</v>
      </c>
    </row>
    <row r="56" spans="1:7" x14ac:dyDescent="0.25">
      <c r="A56">
        <v>55</v>
      </c>
      <c r="B56" s="1" t="s">
        <v>18</v>
      </c>
      <c r="C56" s="1" t="s">
        <v>116</v>
      </c>
      <c r="D56" s="1" t="s">
        <v>10</v>
      </c>
      <c r="E56" s="1" t="s">
        <v>117</v>
      </c>
      <c r="F56" s="3">
        <v>12</v>
      </c>
      <c r="G56" s="4">
        <v>2150.0700000000002</v>
      </c>
    </row>
    <row r="57" spans="1:7" x14ac:dyDescent="0.25">
      <c r="A57">
        <v>56</v>
      </c>
      <c r="B57" s="1" t="s">
        <v>18</v>
      </c>
      <c r="C57" s="1" t="s">
        <v>118</v>
      </c>
      <c r="D57" s="1" t="s">
        <v>10</v>
      </c>
      <c r="E57" s="1" t="s">
        <v>119</v>
      </c>
      <c r="F57" s="3">
        <v>5</v>
      </c>
      <c r="G57" s="4">
        <v>108.21</v>
      </c>
    </row>
    <row r="58" spans="1:7" x14ac:dyDescent="0.25">
      <c r="A58">
        <v>57</v>
      </c>
      <c r="B58" s="1" t="s">
        <v>18</v>
      </c>
      <c r="C58" s="1" t="s">
        <v>120</v>
      </c>
      <c r="D58" s="1" t="s">
        <v>10</v>
      </c>
      <c r="E58" s="1" t="s">
        <v>121</v>
      </c>
      <c r="F58" s="3">
        <v>5</v>
      </c>
      <c r="G58" s="4">
        <v>1250.5351766666668</v>
      </c>
    </row>
    <row r="59" spans="1:7" x14ac:dyDescent="0.25">
      <c r="A59">
        <v>58</v>
      </c>
      <c r="B59" s="1" t="s">
        <v>18</v>
      </c>
      <c r="C59" s="1" t="s">
        <v>122</v>
      </c>
      <c r="D59" s="1" t="s">
        <v>10</v>
      </c>
      <c r="E59" s="1" t="s">
        <v>123</v>
      </c>
      <c r="F59" s="3">
        <v>2</v>
      </c>
      <c r="G59" s="4">
        <v>2187</v>
      </c>
    </row>
    <row r="60" spans="1:7" x14ac:dyDescent="0.25">
      <c r="A60">
        <v>59</v>
      </c>
      <c r="B60" s="1" t="s">
        <v>18</v>
      </c>
      <c r="C60" s="1" t="s">
        <v>124</v>
      </c>
      <c r="D60" s="1" t="s">
        <v>10</v>
      </c>
      <c r="E60" s="1" t="s">
        <v>125</v>
      </c>
      <c r="F60" s="3">
        <v>5</v>
      </c>
      <c r="G60" s="4">
        <v>1402.8842500000001</v>
      </c>
    </row>
    <row r="61" spans="1:7" x14ac:dyDescent="0.25">
      <c r="A61">
        <v>60</v>
      </c>
      <c r="B61" s="1" t="s">
        <v>18</v>
      </c>
      <c r="C61" s="1" t="s">
        <v>126</v>
      </c>
      <c r="D61" s="1" t="s">
        <v>10</v>
      </c>
      <c r="E61" s="1" t="s">
        <v>127</v>
      </c>
      <c r="F61" s="3">
        <v>4</v>
      </c>
      <c r="G61" s="4">
        <v>1182.4000000000001</v>
      </c>
    </row>
    <row r="62" spans="1:7" x14ac:dyDescent="0.25">
      <c r="A62">
        <v>61</v>
      </c>
      <c r="B62" s="1" t="s">
        <v>18</v>
      </c>
      <c r="C62" s="1" t="s">
        <v>128</v>
      </c>
      <c r="D62" s="1" t="s">
        <v>10</v>
      </c>
      <c r="E62" s="1" t="s">
        <v>129</v>
      </c>
      <c r="F62" s="3">
        <v>3</v>
      </c>
      <c r="G62" s="4">
        <v>863.46974999999998</v>
      </c>
    </row>
    <row r="63" spans="1:7" x14ac:dyDescent="0.25">
      <c r="A63">
        <v>62</v>
      </c>
      <c r="B63" s="1" t="s">
        <v>18</v>
      </c>
      <c r="C63" s="1" t="s">
        <v>130</v>
      </c>
      <c r="D63" s="1" t="s">
        <v>10</v>
      </c>
      <c r="E63" s="1" t="s">
        <v>131</v>
      </c>
      <c r="F63" s="3">
        <v>3</v>
      </c>
      <c r="G63" s="4">
        <v>686.01726666666661</v>
      </c>
    </row>
    <row r="64" spans="1:7" x14ac:dyDescent="0.25">
      <c r="A64">
        <v>63</v>
      </c>
      <c r="B64" s="1" t="s">
        <v>18</v>
      </c>
      <c r="C64" s="1" t="s">
        <v>132</v>
      </c>
      <c r="D64" s="1" t="s">
        <v>10</v>
      </c>
      <c r="E64" s="1" t="s">
        <v>133</v>
      </c>
      <c r="F64" s="3">
        <v>4</v>
      </c>
      <c r="G64" s="4">
        <v>1350.576</v>
      </c>
    </row>
    <row r="65" spans="1:7" x14ac:dyDescent="0.25">
      <c r="A65">
        <v>64</v>
      </c>
      <c r="B65" s="1" t="s">
        <v>18</v>
      </c>
      <c r="C65" s="1" t="s">
        <v>134</v>
      </c>
      <c r="D65" s="1" t="s">
        <v>10</v>
      </c>
      <c r="E65" s="1" t="s">
        <v>135</v>
      </c>
      <c r="F65" s="3">
        <v>20</v>
      </c>
      <c r="G65" s="4">
        <v>4837.83</v>
      </c>
    </row>
    <row r="66" spans="1:7" x14ac:dyDescent="0.25">
      <c r="A66">
        <v>65</v>
      </c>
      <c r="B66" s="1" t="s">
        <v>18</v>
      </c>
      <c r="C66" s="1" t="s">
        <v>136</v>
      </c>
      <c r="D66" s="1" t="s">
        <v>10</v>
      </c>
      <c r="E66" s="1" t="s">
        <v>137</v>
      </c>
      <c r="F66" s="3">
        <v>12</v>
      </c>
      <c r="G66" s="4">
        <v>6406.51</v>
      </c>
    </row>
    <row r="67" spans="1:7" x14ac:dyDescent="0.25">
      <c r="A67">
        <v>66</v>
      </c>
      <c r="B67" s="1" t="s">
        <v>18</v>
      </c>
      <c r="C67" s="1" t="s">
        <v>138</v>
      </c>
      <c r="D67" s="1" t="s">
        <v>10</v>
      </c>
      <c r="E67" s="1" t="s">
        <v>139</v>
      </c>
      <c r="F67" s="3">
        <v>4</v>
      </c>
      <c r="G67" s="4">
        <v>1005.768</v>
      </c>
    </row>
    <row r="68" spans="1:7" x14ac:dyDescent="0.25">
      <c r="A68">
        <v>67</v>
      </c>
      <c r="B68" s="1" t="s">
        <v>18</v>
      </c>
      <c r="C68" s="1" t="s">
        <v>140</v>
      </c>
      <c r="D68" s="1" t="s">
        <v>10</v>
      </c>
      <c r="E68" s="1" t="s">
        <v>141</v>
      </c>
      <c r="F68" s="3">
        <v>2</v>
      </c>
      <c r="G68" s="4">
        <v>1068.5999999999999</v>
      </c>
    </row>
    <row r="69" spans="1:7" x14ac:dyDescent="0.25">
      <c r="A69">
        <v>68</v>
      </c>
      <c r="B69" s="1" t="s">
        <v>18</v>
      </c>
      <c r="C69" s="1" t="s">
        <v>142</v>
      </c>
      <c r="D69" s="1" t="s">
        <v>10</v>
      </c>
      <c r="E69" s="1" t="s">
        <v>143</v>
      </c>
      <c r="F69" s="3">
        <v>5</v>
      </c>
      <c r="G69" s="4">
        <v>42522.29</v>
      </c>
    </row>
    <row r="70" spans="1:7" x14ac:dyDescent="0.25">
      <c r="A70">
        <v>69</v>
      </c>
      <c r="B70" s="1" t="s">
        <v>18</v>
      </c>
      <c r="C70" s="1" t="s">
        <v>144</v>
      </c>
      <c r="D70" s="1" t="s">
        <v>10</v>
      </c>
      <c r="E70" s="1" t="s">
        <v>145</v>
      </c>
      <c r="F70" s="3">
        <v>7</v>
      </c>
      <c r="G70" s="4">
        <v>9573.4</v>
      </c>
    </row>
    <row r="71" spans="1:7" x14ac:dyDescent="0.25">
      <c r="A71">
        <v>70</v>
      </c>
      <c r="B71" s="1" t="s">
        <v>18</v>
      </c>
      <c r="C71" s="1" t="s">
        <v>146</v>
      </c>
      <c r="D71" s="1" t="s">
        <v>10</v>
      </c>
      <c r="E71" s="1" t="s">
        <v>147</v>
      </c>
      <c r="F71" s="3">
        <v>10</v>
      </c>
      <c r="G71" s="4">
        <v>4227.3100000000004</v>
      </c>
    </row>
    <row r="72" spans="1:7" x14ac:dyDescent="0.25">
      <c r="A72">
        <v>71</v>
      </c>
      <c r="B72" s="1" t="s">
        <v>18</v>
      </c>
      <c r="C72" s="1" t="s">
        <v>148</v>
      </c>
      <c r="D72" s="1" t="s">
        <v>33</v>
      </c>
      <c r="E72" s="1" t="s">
        <v>149</v>
      </c>
      <c r="F72" s="3">
        <v>8</v>
      </c>
      <c r="G72" s="4">
        <v>6086.4636363636364</v>
      </c>
    </row>
    <row r="73" spans="1:7" x14ac:dyDescent="0.25">
      <c r="A73">
        <v>72</v>
      </c>
      <c r="B73" s="1" t="s">
        <v>18</v>
      </c>
      <c r="C73" s="1" t="s">
        <v>150</v>
      </c>
      <c r="D73" s="1" t="s">
        <v>10</v>
      </c>
      <c r="E73" s="1" t="s">
        <v>151</v>
      </c>
      <c r="F73" s="3">
        <v>21</v>
      </c>
      <c r="G73" s="4">
        <v>3964.0592115384616</v>
      </c>
    </row>
    <row r="74" spans="1:7" x14ac:dyDescent="0.25">
      <c r="A74">
        <v>73</v>
      </c>
      <c r="B74" s="1" t="s">
        <v>18</v>
      </c>
      <c r="C74" s="1" t="s">
        <v>152</v>
      </c>
      <c r="D74" s="1" t="s">
        <v>10</v>
      </c>
      <c r="E74" s="1" t="s">
        <v>153</v>
      </c>
      <c r="F74" s="3">
        <v>10</v>
      </c>
      <c r="G74" s="4">
        <v>243.75</v>
      </c>
    </row>
    <row r="75" spans="1:7" x14ac:dyDescent="0.25">
      <c r="A75">
        <v>74</v>
      </c>
      <c r="B75" s="1" t="s">
        <v>18</v>
      </c>
      <c r="C75" s="1" t="s">
        <v>154</v>
      </c>
      <c r="D75" s="1" t="s">
        <v>10</v>
      </c>
      <c r="E75" s="1" t="s">
        <v>155</v>
      </c>
      <c r="F75" s="3">
        <v>11</v>
      </c>
      <c r="G75" s="4">
        <v>1132.08</v>
      </c>
    </row>
    <row r="76" spans="1:7" x14ac:dyDescent="0.25">
      <c r="A76">
        <v>75</v>
      </c>
      <c r="B76" s="1" t="s">
        <v>18</v>
      </c>
      <c r="C76" s="1" t="s">
        <v>156</v>
      </c>
      <c r="D76" s="2"/>
      <c r="E76" s="1" t="s">
        <v>157</v>
      </c>
      <c r="F76" s="3">
        <v>8</v>
      </c>
      <c r="G76" s="4">
        <v>0</v>
      </c>
    </row>
    <row r="77" spans="1:7" x14ac:dyDescent="0.25">
      <c r="A77">
        <v>76</v>
      </c>
      <c r="B77" s="1" t="s">
        <v>18</v>
      </c>
      <c r="C77" s="1" t="s">
        <v>158</v>
      </c>
      <c r="D77" s="2"/>
      <c r="E77" s="1" t="s">
        <v>159</v>
      </c>
      <c r="F77" s="3">
        <v>8</v>
      </c>
      <c r="G77" s="4">
        <v>0</v>
      </c>
    </row>
    <row r="78" spans="1:7" x14ac:dyDescent="0.25">
      <c r="A78">
        <v>77</v>
      </c>
      <c r="B78" s="1" t="s">
        <v>18</v>
      </c>
      <c r="C78" s="1" t="s">
        <v>160</v>
      </c>
      <c r="D78" s="1" t="s">
        <v>10</v>
      </c>
      <c r="E78" s="1" t="s">
        <v>161</v>
      </c>
      <c r="F78" s="3">
        <v>1</v>
      </c>
      <c r="G78" s="4">
        <v>0</v>
      </c>
    </row>
    <row r="79" spans="1:7" x14ac:dyDescent="0.25">
      <c r="A79">
        <v>78</v>
      </c>
      <c r="B79" s="1" t="s">
        <v>18</v>
      </c>
      <c r="C79" s="1" t="s">
        <v>162</v>
      </c>
      <c r="D79" s="1" t="s">
        <v>10</v>
      </c>
      <c r="E79" s="1" t="s">
        <v>163</v>
      </c>
      <c r="F79" s="3">
        <v>6</v>
      </c>
      <c r="G79" s="4">
        <v>669.19964285714286</v>
      </c>
    </row>
    <row r="80" spans="1:7" x14ac:dyDescent="0.25">
      <c r="A80">
        <v>79</v>
      </c>
      <c r="B80" s="1" t="s">
        <v>18</v>
      </c>
      <c r="C80" s="1" t="s">
        <v>164</v>
      </c>
      <c r="D80" s="1" t="s">
        <v>10</v>
      </c>
      <c r="E80" s="1" t="s">
        <v>165</v>
      </c>
      <c r="F80" s="3">
        <v>13</v>
      </c>
      <c r="G80" s="4">
        <v>3512.9633048128344</v>
      </c>
    </row>
    <row r="81" spans="1:7" x14ac:dyDescent="0.25">
      <c r="A81">
        <v>80</v>
      </c>
      <c r="B81" s="1" t="s">
        <v>18</v>
      </c>
      <c r="C81" s="1" t="s">
        <v>166</v>
      </c>
      <c r="D81" s="1" t="s">
        <v>10</v>
      </c>
      <c r="E81" s="1" t="s">
        <v>167</v>
      </c>
      <c r="F81" s="3">
        <v>6</v>
      </c>
      <c r="G81" s="4">
        <v>1170</v>
      </c>
    </row>
    <row r="82" spans="1:7" x14ac:dyDescent="0.25">
      <c r="A82">
        <v>81</v>
      </c>
      <c r="B82" s="1" t="s">
        <v>18</v>
      </c>
      <c r="C82" s="1" t="s">
        <v>168</v>
      </c>
      <c r="D82" s="1" t="s">
        <v>10</v>
      </c>
      <c r="E82" s="1" t="s">
        <v>169</v>
      </c>
      <c r="F82" s="3">
        <v>3</v>
      </c>
      <c r="G82" s="4">
        <v>955.12800000000004</v>
      </c>
    </row>
    <row r="83" spans="1:7" x14ac:dyDescent="0.25">
      <c r="A83">
        <v>82</v>
      </c>
      <c r="B83" s="1" t="s">
        <v>18</v>
      </c>
      <c r="C83" s="1" t="s">
        <v>170</v>
      </c>
      <c r="D83" s="1" t="s">
        <v>10</v>
      </c>
      <c r="E83" s="1" t="s">
        <v>171</v>
      </c>
      <c r="F83" s="3">
        <v>12</v>
      </c>
      <c r="G83" s="4">
        <v>3011.4479999999999</v>
      </c>
    </row>
    <row r="84" spans="1:7" x14ac:dyDescent="0.25">
      <c r="A84">
        <v>83</v>
      </c>
      <c r="B84" s="1" t="s">
        <v>18</v>
      </c>
      <c r="C84" s="1" t="s">
        <v>172</v>
      </c>
      <c r="D84" s="1" t="s">
        <v>10</v>
      </c>
      <c r="E84" s="1" t="s">
        <v>173</v>
      </c>
      <c r="F84" s="3">
        <v>18</v>
      </c>
      <c r="G84" s="4">
        <v>17976</v>
      </c>
    </row>
    <row r="85" spans="1:7" x14ac:dyDescent="0.25">
      <c r="A85">
        <v>84</v>
      </c>
      <c r="B85" s="1" t="s">
        <v>18</v>
      </c>
      <c r="C85" s="1" t="s">
        <v>174</v>
      </c>
      <c r="D85" s="1" t="s">
        <v>10</v>
      </c>
      <c r="E85" s="1" t="s">
        <v>175</v>
      </c>
      <c r="F85" s="3">
        <v>23</v>
      </c>
      <c r="G85" s="4">
        <v>7867.9909374999997</v>
      </c>
    </row>
    <row r="86" spans="1:7" x14ac:dyDescent="0.25">
      <c r="A86">
        <v>85</v>
      </c>
      <c r="B86" s="1" t="s">
        <v>18</v>
      </c>
      <c r="C86" s="1" t="s">
        <v>176</v>
      </c>
      <c r="D86" s="1" t="s">
        <v>10</v>
      </c>
      <c r="E86" s="1" t="s">
        <v>177</v>
      </c>
      <c r="F86" s="3">
        <v>5</v>
      </c>
      <c r="G86" s="4">
        <v>2592.19</v>
      </c>
    </row>
    <row r="87" spans="1:7" x14ac:dyDescent="0.25">
      <c r="A87">
        <v>86</v>
      </c>
      <c r="B87" s="1" t="s">
        <v>18</v>
      </c>
      <c r="C87" s="1" t="s">
        <v>178</v>
      </c>
      <c r="D87" s="1" t="s">
        <v>10</v>
      </c>
      <c r="E87" s="1" t="s">
        <v>179</v>
      </c>
      <c r="F87" s="3">
        <v>5</v>
      </c>
      <c r="G87" s="4">
        <v>597.19000000000005</v>
      </c>
    </row>
    <row r="88" spans="1:7" x14ac:dyDescent="0.25">
      <c r="A88">
        <v>87</v>
      </c>
      <c r="B88" s="1" t="s">
        <v>18</v>
      </c>
      <c r="C88" s="1" t="s">
        <v>180</v>
      </c>
      <c r="D88" s="1" t="s">
        <v>10</v>
      </c>
      <c r="E88" s="1" t="s">
        <v>181</v>
      </c>
      <c r="F88" s="3">
        <v>3</v>
      </c>
      <c r="G88" s="4">
        <v>341.43599999999998</v>
      </c>
    </row>
    <row r="89" spans="1:7" x14ac:dyDescent="0.25">
      <c r="A89">
        <v>88</v>
      </c>
      <c r="B89" s="1" t="s">
        <v>18</v>
      </c>
      <c r="C89" s="1" t="s">
        <v>182</v>
      </c>
      <c r="D89" s="1" t="s">
        <v>10</v>
      </c>
      <c r="E89" s="1" t="s">
        <v>183</v>
      </c>
      <c r="F89" s="3">
        <v>3</v>
      </c>
      <c r="G89" s="4">
        <v>394.56</v>
      </c>
    </row>
    <row r="90" spans="1:7" x14ac:dyDescent="0.25">
      <c r="A90">
        <v>89</v>
      </c>
      <c r="B90" s="1" t="s">
        <v>18</v>
      </c>
      <c r="C90" s="1" t="s">
        <v>184</v>
      </c>
      <c r="D90" s="1" t="s">
        <v>10</v>
      </c>
      <c r="E90" s="1" t="s">
        <v>185</v>
      </c>
      <c r="F90" s="3">
        <v>8</v>
      </c>
      <c r="G90" s="4">
        <v>1446.72</v>
      </c>
    </row>
    <row r="91" spans="1:7" x14ac:dyDescent="0.25">
      <c r="A91">
        <v>90</v>
      </c>
      <c r="B91" s="1" t="s">
        <v>18</v>
      </c>
      <c r="C91" s="1" t="s">
        <v>186</v>
      </c>
      <c r="D91" s="1" t="s">
        <v>10</v>
      </c>
      <c r="E91" s="1" t="s">
        <v>187</v>
      </c>
      <c r="F91" s="3">
        <v>2</v>
      </c>
      <c r="G91" s="4">
        <v>20149.366666666665</v>
      </c>
    </row>
    <row r="92" spans="1:7" x14ac:dyDescent="0.25">
      <c r="A92">
        <v>91</v>
      </c>
      <c r="B92" s="1" t="s">
        <v>18</v>
      </c>
      <c r="C92" s="1" t="s">
        <v>188</v>
      </c>
      <c r="D92" s="1" t="s">
        <v>10</v>
      </c>
      <c r="E92" s="1" t="s">
        <v>189</v>
      </c>
      <c r="F92" s="3">
        <v>8</v>
      </c>
      <c r="G92" s="4">
        <v>8819.2000000000007</v>
      </c>
    </row>
    <row r="93" spans="1:7" x14ac:dyDescent="0.25">
      <c r="A93">
        <v>92</v>
      </c>
      <c r="B93" s="1" t="s">
        <v>18</v>
      </c>
      <c r="C93" s="1" t="s">
        <v>190</v>
      </c>
      <c r="D93" s="1" t="s">
        <v>10</v>
      </c>
      <c r="E93" s="1" t="s">
        <v>191</v>
      </c>
      <c r="F93" s="3">
        <v>2</v>
      </c>
      <c r="G93" s="4">
        <v>10743.103333333333</v>
      </c>
    </row>
    <row r="94" spans="1:7" x14ac:dyDescent="0.25">
      <c r="A94">
        <v>93</v>
      </c>
      <c r="B94" s="1" t="s">
        <v>18</v>
      </c>
      <c r="C94" s="1" t="s">
        <v>192</v>
      </c>
      <c r="D94" s="1" t="s">
        <v>10</v>
      </c>
      <c r="E94" s="1" t="s">
        <v>193</v>
      </c>
      <c r="F94" s="3">
        <v>3</v>
      </c>
      <c r="G94" s="4">
        <v>10982.25</v>
      </c>
    </row>
    <row r="95" spans="1:7" x14ac:dyDescent="0.25">
      <c r="A95">
        <v>94</v>
      </c>
      <c r="B95" s="1" t="s">
        <v>18</v>
      </c>
      <c r="C95" s="1" t="s">
        <v>194</v>
      </c>
      <c r="D95" s="1" t="s">
        <v>10</v>
      </c>
      <c r="E95" s="1" t="s">
        <v>195</v>
      </c>
      <c r="F95" s="3">
        <v>5</v>
      </c>
      <c r="G95" s="4">
        <v>1286</v>
      </c>
    </row>
    <row r="96" spans="1:7" x14ac:dyDescent="0.25">
      <c r="A96">
        <v>95</v>
      </c>
      <c r="B96" s="1" t="s">
        <v>18</v>
      </c>
      <c r="C96" s="1" t="s">
        <v>196</v>
      </c>
      <c r="D96" s="1" t="s">
        <v>10</v>
      </c>
      <c r="E96" s="1" t="s">
        <v>197</v>
      </c>
      <c r="F96" s="3">
        <v>1</v>
      </c>
      <c r="G96" s="4">
        <v>729</v>
      </c>
    </row>
    <row r="97" spans="1:7" x14ac:dyDescent="0.25">
      <c r="A97">
        <v>96</v>
      </c>
      <c r="B97" s="1" t="s">
        <v>18</v>
      </c>
      <c r="C97" s="1" t="s">
        <v>198</v>
      </c>
      <c r="D97" s="1" t="s">
        <v>10</v>
      </c>
      <c r="E97" s="1" t="s">
        <v>199</v>
      </c>
      <c r="F97" s="3">
        <v>1</v>
      </c>
      <c r="G97" s="4">
        <v>3942.5</v>
      </c>
    </row>
    <row r="98" spans="1:7" x14ac:dyDescent="0.25">
      <c r="A98">
        <v>97</v>
      </c>
      <c r="B98" s="1" t="s">
        <v>18</v>
      </c>
      <c r="C98" s="1" t="s">
        <v>200</v>
      </c>
      <c r="D98" s="1" t="s">
        <v>10</v>
      </c>
      <c r="E98" s="1" t="s">
        <v>201</v>
      </c>
      <c r="F98" s="3">
        <v>1</v>
      </c>
      <c r="G98" s="4">
        <v>1705.4475</v>
      </c>
    </row>
    <row r="99" spans="1:7" x14ac:dyDescent="0.25">
      <c r="A99">
        <v>98</v>
      </c>
      <c r="B99" s="1" t="s">
        <v>18</v>
      </c>
      <c r="C99" s="1" t="s">
        <v>202</v>
      </c>
      <c r="D99" s="1" t="s">
        <v>10</v>
      </c>
      <c r="E99" s="1" t="s">
        <v>203</v>
      </c>
      <c r="F99" s="3">
        <v>1</v>
      </c>
      <c r="G99" s="4">
        <v>1239.2439999999999</v>
      </c>
    </row>
    <row r="100" spans="1:7" x14ac:dyDescent="0.25">
      <c r="A100">
        <v>99</v>
      </c>
      <c r="B100" s="1" t="s">
        <v>18</v>
      </c>
      <c r="C100" s="1" t="s">
        <v>204</v>
      </c>
      <c r="D100" s="1" t="s">
        <v>10</v>
      </c>
      <c r="E100" s="1" t="s">
        <v>205</v>
      </c>
      <c r="F100" s="3">
        <v>2</v>
      </c>
      <c r="G100" s="4">
        <v>339.65199999999999</v>
      </c>
    </row>
    <row r="101" spans="1:7" x14ac:dyDescent="0.25">
      <c r="A101">
        <v>100</v>
      </c>
      <c r="B101" s="1" t="s">
        <v>18</v>
      </c>
      <c r="C101" s="1" t="s">
        <v>206</v>
      </c>
      <c r="D101" s="1" t="s">
        <v>10</v>
      </c>
      <c r="E101" s="1" t="s">
        <v>207</v>
      </c>
      <c r="F101" s="3">
        <v>3</v>
      </c>
      <c r="G101" s="4">
        <v>837.42</v>
      </c>
    </row>
    <row r="102" spans="1:7" x14ac:dyDescent="0.25">
      <c r="A102">
        <v>101</v>
      </c>
      <c r="B102" s="1" t="s">
        <v>18</v>
      </c>
      <c r="C102" s="1" t="s">
        <v>208</v>
      </c>
      <c r="D102" s="1" t="s">
        <v>10</v>
      </c>
      <c r="E102" s="1" t="s">
        <v>209</v>
      </c>
      <c r="F102" s="3">
        <v>5</v>
      </c>
      <c r="G102" s="4">
        <v>15021.09</v>
      </c>
    </row>
    <row r="103" spans="1:7" x14ac:dyDescent="0.25">
      <c r="A103">
        <v>102</v>
      </c>
      <c r="B103" s="1" t="s">
        <v>18</v>
      </c>
      <c r="C103" s="1" t="s">
        <v>210</v>
      </c>
      <c r="D103" s="1" t="s">
        <v>10</v>
      </c>
      <c r="E103" s="1" t="s">
        <v>211</v>
      </c>
      <c r="F103" s="3">
        <v>3</v>
      </c>
      <c r="G103" s="4">
        <v>507.43740000000003</v>
      </c>
    </row>
    <row r="104" spans="1:7" x14ac:dyDescent="0.25">
      <c r="A104">
        <v>103</v>
      </c>
      <c r="B104" s="1" t="s">
        <v>18</v>
      </c>
      <c r="C104" s="1" t="s">
        <v>212</v>
      </c>
      <c r="D104" s="1" t="s">
        <v>10</v>
      </c>
      <c r="E104" s="1" t="s">
        <v>213</v>
      </c>
      <c r="F104" s="3">
        <v>15</v>
      </c>
      <c r="G104" s="4">
        <v>2949.91</v>
      </c>
    </row>
    <row r="105" spans="1:7" x14ac:dyDescent="0.25">
      <c r="A105">
        <v>104</v>
      </c>
      <c r="B105" s="1" t="s">
        <v>18</v>
      </c>
      <c r="C105" s="1" t="s">
        <v>214</v>
      </c>
      <c r="D105" s="1" t="s">
        <v>10</v>
      </c>
      <c r="E105" s="1" t="s">
        <v>215</v>
      </c>
      <c r="F105" s="3">
        <v>10</v>
      </c>
      <c r="G105" s="4">
        <v>6273</v>
      </c>
    </row>
    <row r="106" spans="1:7" x14ac:dyDescent="0.25">
      <c r="A106">
        <v>105</v>
      </c>
      <c r="B106" s="1" t="s">
        <v>18</v>
      </c>
      <c r="C106" s="1" t="s">
        <v>216</v>
      </c>
      <c r="D106" s="1" t="s">
        <v>10</v>
      </c>
      <c r="E106" s="1" t="s">
        <v>217</v>
      </c>
      <c r="F106" s="3">
        <v>11</v>
      </c>
      <c r="G106" s="4">
        <v>2014.9753846153847</v>
      </c>
    </row>
    <row r="107" spans="1:7" x14ac:dyDescent="0.25">
      <c r="A107">
        <v>106</v>
      </c>
      <c r="B107" s="1" t="s">
        <v>18</v>
      </c>
      <c r="C107" s="1" t="s">
        <v>218</v>
      </c>
      <c r="D107" s="1" t="s">
        <v>10</v>
      </c>
      <c r="E107" s="1" t="s">
        <v>219</v>
      </c>
      <c r="F107" s="3">
        <v>2</v>
      </c>
      <c r="G107" s="4">
        <v>1002.84</v>
      </c>
    </row>
    <row r="108" spans="1:7" x14ac:dyDescent="0.25">
      <c r="A108">
        <v>107</v>
      </c>
      <c r="B108" s="1" t="s">
        <v>18</v>
      </c>
      <c r="C108" s="1" t="s">
        <v>220</v>
      </c>
      <c r="D108" s="1" t="s">
        <v>10</v>
      </c>
      <c r="E108" s="1" t="s">
        <v>221</v>
      </c>
      <c r="F108" s="3">
        <v>5</v>
      </c>
      <c r="G108" s="4">
        <v>23683.83</v>
      </c>
    </row>
    <row r="109" spans="1:7" x14ac:dyDescent="0.25">
      <c r="A109">
        <v>108</v>
      </c>
      <c r="B109" s="1" t="s">
        <v>18</v>
      </c>
      <c r="C109" s="1" t="s">
        <v>222</v>
      </c>
      <c r="D109" s="1" t="s">
        <v>10</v>
      </c>
      <c r="E109" s="1" t="s">
        <v>223</v>
      </c>
      <c r="F109" s="3">
        <v>2</v>
      </c>
      <c r="G109" s="4">
        <v>41.93</v>
      </c>
    </row>
    <row r="110" spans="1:7" x14ac:dyDescent="0.25">
      <c r="A110">
        <v>109</v>
      </c>
      <c r="B110" s="1" t="s">
        <v>18</v>
      </c>
      <c r="C110" s="1" t="s">
        <v>224</v>
      </c>
      <c r="D110" s="1" t="s">
        <v>10</v>
      </c>
      <c r="E110" s="1" t="s">
        <v>225</v>
      </c>
      <c r="F110" s="3">
        <v>3</v>
      </c>
      <c r="G110" s="4">
        <v>185.85</v>
      </c>
    </row>
    <row r="111" spans="1:7" x14ac:dyDescent="0.25">
      <c r="A111">
        <v>110</v>
      </c>
      <c r="B111" s="1" t="s">
        <v>18</v>
      </c>
      <c r="C111" s="1" t="s">
        <v>226</v>
      </c>
      <c r="D111" s="1" t="s">
        <v>10</v>
      </c>
      <c r="E111" s="1" t="s">
        <v>227</v>
      </c>
      <c r="F111" s="3">
        <v>2</v>
      </c>
      <c r="G111" s="4">
        <v>790.28</v>
      </c>
    </row>
    <row r="112" spans="1:7" x14ac:dyDescent="0.25">
      <c r="A112">
        <v>111</v>
      </c>
      <c r="B112" s="1" t="s">
        <v>18</v>
      </c>
      <c r="C112" s="1" t="s">
        <v>228</v>
      </c>
      <c r="D112" s="1" t="s">
        <v>10</v>
      </c>
      <c r="E112" s="1" t="s">
        <v>229</v>
      </c>
      <c r="F112" s="3">
        <v>2</v>
      </c>
      <c r="G112" s="4">
        <v>1890.6</v>
      </c>
    </row>
    <row r="113" spans="1:7" x14ac:dyDescent="0.25">
      <c r="A113">
        <v>112</v>
      </c>
      <c r="B113" s="1" t="s">
        <v>18</v>
      </c>
      <c r="C113" s="1" t="s">
        <v>230</v>
      </c>
      <c r="D113" s="1" t="s">
        <v>10</v>
      </c>
      <c r="E113" s="1" t="s">
        <v>231</v>
      </c>
      <c r="F113" s="3">
        <v>5</v>
      </c>
      <c r="G113" s="4">
        <v>4539.91</v>
      </c>
    </row>
    <row r="114" spans="1:7" x14ac:dyDescent="0.25">
      <c r="A114">
        <v>113</v>
      </c>
      <c r="B114" s="1" t="s">
        <v>18</v>
      </c>
      <c r="C114" s="1" t="s">
        <v>232</v>
      </c>
      <c r="D114" s="1" t="s">
        <v>10</v>
      </c>
      <c r="E114" s="1" t="s">
        <v>233</v>
      </c>
      <c r="F114" s="3">
        <v>10</v>
      </c>
      <c r="G114" s="4">
        <v>6113.26</v>
      </c>
    </row>
    <row r="115" spans="1:7" x14ac:dyDescent="0.25">
      <c r="A115">
        <v>114</v>
      </c>
      <c r="B115" s="1" t="s">
        <v>18</v>
      </c>
      <c r="C115" s="1" t="s">
        <v>234</v>
      </c>
      <c r="D115" s="1" t="s">
        <v>10</v>
      </c>
      <c r="E115" s="1" t="s">
        <v>235</v>
      </c>
      <c r="F115" s="3">
        <v>5</v>
      </c>
      <c r="G115" s="4">
        <v>27613.47</v>
      </c>
    </row>
    <row r="116" spans="1:7" x14ac:dyDescent="0.25">
      <c r="A116">
        <v>115</v>
      </c>
      <c r="B116" s="1" t="s">
        <v>18</v>
      </c>
      <c r="C116" s="1" t="s">
        <v>236</v>
      </c>
      <c r="D116" s="1" t="s">
        <v>10</v>
      </c>
      <c r="E116" s="1" t="s">
        <v>237</v>
      </c>
      <c r="F116" s="3">
        <v>2</v>
      </c>
      <c r="G116" s="4">
        <v>509.64</v>
      </c>
    </row>
    <row r="117" spans="1:7" x14ac:dyDescent="0.25">
      <c r="A117">
        <v>116</v>
      </c>
      <c r="B117" s="1" t="s">
        <v>18</v>
      </c>
      <c r="C117" s="1" t="s">
        <v>238</v>
      </c>
      <c r="D117" s="1" t="s">
        <v>10</v>
      </c>
      <c r="E117" s="1" t="s">
        <v>239</v>
      </c>
      <c r="F117" s="3">
        <v>2</v>
      </c>
      <c r="G117" s="4">
        <v>1085.1079999999999</v>
      </c>
    </row>
    <row r="118" spans="1:7" x14ac:dyDescent="0.25">
      <c r="A118">
        <v>117</v>
      </c>
      <c r="B118" s="1" t="s">
        <v>18</v>
      </c>
      <c r="C118" s="1" t="s">
        <v>240</v>
      </c>
      <c r="D118" s="1" t="s">
        <v>10</v>
      </c>
      <c r="E118" s="1" t="s">
        <v>241</v>
      </c>
      <c r="F118" s="3">
        <v>3</v>
      </c>
      <c r="G118" s="4">
        <v>892.75073609467461</v>
      </c>
    </row>
    <row r="119" spans="1:7" x14ac:dyDescent="0.25">
      <c r="A119">
        <v>118</v>
      </c>
      <c r="B119" s="1" t="s">
        <v>18</v>
      </c>
      <c r="C119" s="1" t="s">
        <v>242</v>
      </c>
      <c r="D119" s="2"/>
      <c r="E119" s="1" t="s">
        <v>243</v>
      </c>
      <c r="F119" s="3">
        <v>3</v>
      </c>
      <c r="G119" s="4">
        <v>0</v>
      </c>
    </row>
    <row r="120" spans="1:7" x14ac:dyDescent="0.25">
      <c r="A120">
        <v>119</v>
      </c>
      <c r="B120" s="1" t="s">
        <v>18</v>
      </c>
      <c r="C120" s="1" t="s">
        <v>244</v>
      </c>
      <c r="D120" s="2"/>
      <c r="E120" s="1" t="s">
        <v>245</v>
      </c>
      <c r="F120" s="3">
        <v>6</v>
      </c>
      <c r="G120" s="4">
        <v>0</v>
      </c>
    </row>
    <row r="121" spans="1:7" x14ac:dyDescent="0.25">
      <c r="A121">
        <v>120</v>
      </c>
      <c r="B121" s="1" t="s">
        <v>18</v>
      </c>
      <c r="C121" s="1" t="s">
        <v>246</v>
      </c>
      <c r="D121" s="1" t="s">
        <v>10</v>
      </c>
      <c r="E121" s="1" t="s">
        <v>247</v>
      </c>
      <c r="F121" s="3">
        <v>1</v>
      </c>
      <c r="G121" s="4">
        <v>408.81470967741933</v>
      </c>
    </row>
    <row r="122" spans="1:7" x14ac:dyDescent="0.25">
      <c r="A122">
        <v>121</v>
      </c>
      <c r="B122" s="1" t="s">
        <v>18</v>
      </c>
      <c r="C122" s="1" t="s">
        <v>248</v>
      </c>
      <c r="D122" s="1" t="s">
        <v>10</v>
      </c>
      <c r="E122" s="1" t="s">
        <v>249</v>
      </c>
      <c r="F122" s="3">
        <v>3</v>
      </c>
      <c r="G122" s="4">
        <v>1792.22</v>
      </c>
    </row>
    <row r="123" spans="1:7" x14ac:dyDescent="0.25">
      <c r="A123">
        <v>122</v>
      </c>
      <c r="B123" s="1" t="s">
        <v>18</v>
      </c>
      <c r="C123" s="1" t="s">
        <v>14</v>
      </c>
      <c r="D123" s="1" t="s">
        <v>10</v>
      </c>
      <c r="E123" s="1" t="s">
        <v>250</v>
      </c>
      <c r="F123" s="3">
        <v>21</v>
      </c>
      <c r="G123" s="4">
        <v>4553.6189999999997</v>
      </c>
    </row>
    <row r="124" spans="1:7" x14ac:dyDescent="0.25">
      <c r="A124">
        <v>123</v>
      </c>
      <c r="B124" s="1" t="s">
        <v>18</v>
      </c>
      <c r="C124" s="1" t="s">
        <v>251</v>
      </c>
      <c r="D124" s="1" t="s">
        <v>10</v>
      </c>
      <c r="E124" s="1" t="s">
        <v>252</v>
      </c>
      <c r="F124" s="3">
        <v>10</v>
      </c>
      <c r="G124" s="4">
        <v>3394.5266666666666</v>
      </c>
    </row>
    <row r="125" spans="1:7" x14ac:dyDescent="0.25">
      <c r="A125">
        <v>124</v>
      </c>
      <c r="B125" s="1" t="s">
        <v>18</v>
      </c>
      <c r="C125" s="1" t="s">
        <v>253</v>
      </c>
      <c r="D125" s="1" t="s">
        <v>10</v>
      </c>
      <c r="E125" s="1" t="s">
        <v>254</v>
      </c>
      <c r="F125" s="3">
        <v>3</v>
      </c>
      <c r="G125" s="4">
        <v>445.60124999999999</v>
      </c>
    </row>
    <row r="126" spans="1:7" x14ac:dyDescent="0.25">
      <c r="A126">
        <v>125</v>
      </c>
      <c r="B126" s="1" t="s">
        <v>18</v>
      </c>
      <c r="C126" s="1" t="s">
        <v>255</v>
      </c>
      <c r="D126" s="1" t="s">
        <v>10</v>
      </c>
      <c r="E126" s="1" t="s">
        <v>256</v>
      </c>
      <c r="F126" s="3">
        <v>30</v>
      </c>
      <c r="G126" s="4">
        <v>6781.47</v>
      </c>
    </row>
    <row r="127" spans="1:7" x14ac:dyDescent="0.25">
      <c r="A127">
        <v>126</v>
      </c>
      <c r="B127" s="1" t="s">
        <v>18</v>
      </c>
      <c r="C127" s="1" t="s">
        <v>257</v>
      </c>
      <c r="D127" s="1" t="s">
        <v>10</v>
      </c>
      <c r="E127" s="1" t="s">
        <v>258</v>
      </c>
      <c r="F127" s="3">
        <v>5</v>
      </c>
      <c r="G127" s="4">
        <v>721.35</v>
      </c>
    </row>
    <row r="128" spans="1:7" x14ac:dyDescent="0.25">
      <c r="A128">
        <v>127</v>
      </c>
      <c r="B128" s="1" t="s">
        <v>18</v>
      </c>
      <c r="C128" s="1" t="s">
        <v>259</v>
      </c>
      <c r="D128" s="1" t="s">
        <v>10</v>
      </c>
      <c r="E128" s="1" t="s">
        <v>260</v>
      </c>
      <c r="F128" s="3">
        <v>5</v>
      </c>
      <c r="G128" s="4">
        <v>1064.674</v>
      </c>
    </row>
    <row r="129" spans="1:7" x14ac:dyDescent="0.25">
      <c r="A129">
        <v>128</v>
      </c>
      <c r="B129" s="1" t="s">
        <v>18</v>
      </c>
      <c r="C129" s="1" t="s">
        <v>12</v>
      </c>
      <c r="D129" s="1" t="s">
        <v>10</v>
      </c>
      <c r="E129" s="1" t="s">
        <v>13</v>
      </c>
      <c r="F129" s="3">
        <v>6</v>
      </c>
      <c r="G129" s="4">
        <v>802.42624999999998</v>
      </c>
    </row>
    <row r="130" spans="1:7" x14ac:dyDescent="0.25">
      <c r="A130">
        <v>129</v>
      </c>
      <c r="B130" s="1" t="s">
        <v>18</v>
      </c>
      <c r="C130" s="1" t="s">
        <v>261</v>
      </c>
      <c r="D130" s="1" t="s">
        <v>10</v>
      </c>
      <c r="E130" s="1" t="s">
        <v>262</v>
      </c>
      <c r="F130" s="3">
        <v>125</v>
      </c>
      <c r="G130" s="4">
        <v>40136.25</v>
      </c>
    </row>
    <row r="131" spans="1:7" x14ac:dyDescent="0.25">
      <c r="A131">
        <v>130</v>
      </c>
      <c r="B131" s="1" t="s">
        <v>18</v>
      </c>
      <c r="C131" s="1" t="s">
        <v>263</v>
      </c>
      <c r="D131" s="1" t="s">
        <v>10</v>
      </c>
      <c r="E131" s="1" t="s">
        <v>264</v>
      </c>
      <c r="F131" s="3">
        <v>4</v>
      </c>
      <c r="G131" s="4">
        <v>653.25599999999997</v>
      </c>
    </row>
    <row r="132" spans="1:7" x14ac:dyDescent="0.25">
      <c r="A132">
        <v>131</v>
      </c>
      <c r="B132" s="1" t="s">
        <v>18</v>
      </c>
      <c r="C132" s="1" t="s">
        <v>265</v>
      </c>
      <c r="D132" s="1" t="s">
        <v>10</v>
      </c>
      <c r="E132" s="1" t="s">
        <v>266</v>
      </c>
      <c r="F132" s="3">
        <v>28</v>
      </c>
      <c r="G132" s="4">
        <v>13898.997178107607</v>
      </c>
    </row>
    <row r="133" spans="1:7" x14ac:dyDescent="0.25">
      <c r="A133">
        <v>132</v>
      </c>
      <c r="B133" s="1" t="s">
        <v>18</v>
      </c>
      <c r="C133" s="1" t="s">
        <v>267</v>
      </c>
      <c r="D133" s="1" t="s">
        <v>10</v>
      </c>
      <c r="E133" s="1" t="s">
        <v>268</v>
      </c>
      <c r="F133" s="3">
        <v>3</v>
      </c>
      <c r="G133" s="4">
        <v>1378.8245333333334</v>
      </c>
    </row>
    <row r="134" spans="1:7" x14ac:dyDescent="0.25">
      <c r="A134">
        <v>133</v>
      </c>
      <c r="B134" s="1" t="s">
        <v>18</v>
      </c>
      <c r="C134" s="1" t="s">
        <v>269</v>
      </c>
      <c r="D134" s="1" t="s">
        <v>10</v>
      </c>
      <c r="E134" s="1" t="s">
        <v>270</v>
      </c>
      <c r="F134" s="3">
        <v>3</v>
      </c>
      <c r="G134" s="4">
        <v>2467.13</v>
      </c>
    </row>
    <row r="135" spans="1:7" x14ac:dyDescent="0.25">
      <c r="A135">
        <v>134</v>
      </c>
      <c r="B135" s="1" t="s">
        <v>18</v>
      </c>
      <c r="C135" s="1" t="s">
        <v>271</v>
      </c>
      <c r="D135" s="1" t="s">
        <v>10</v>
      </c>
      <c r="E135" s="1" t="s">
        <v>272</v>
      </c>
      <c r="F135" s="3">
        <v>5</v>
      </c>
      <c r="G135" s="4">
        <v>1334.36</v>
      </c>
    </row>
    <row r="136" spans="1:7" x14ac:dyDescent="0.25">
      <c r="A136">
        <v>135</v>
      </c>
      <c r="B136" s="1" t="s">
        <v>18</v>
      </c>
      <c r="C136" s="1" t="s">
        <v>273</v>
      </c>
      <c r="D136" s="1" t="s">
        <v>10</v>
      </c>
      <c r="E136" s="1" t="s">
        <v>274</v>
      </c>
      <c r="F136" s="3">
        <v>5</v>
      </c>
      <c r="G136" s="4">
        <v>992</v>
      </c>
    </row>
    <row r="137" spans="1:7" x14ac:dyDescent="0.25">
      <c r="A137">
        <v>136</v>
      </c>
      <c r="B137" s="1" t="s">
        <v>18</v>
      </c>
      <c r="C137" s="1" t="s">
        <v>275</v>
      </c>
      <c r="D137" s="1" t="s">
        <v>10</v>
      </c>
      <c r="E137" s="1" t="s">
        <v>276</v>
      </c>
      <c r="F137" s="3">
        <v>5</v>
      </c>
      <c r="G137" s="4">
        <v>882.66205882352938</v>
      </c>
    </row>
    <row r="138" spans="1:7" x14ac:dyDescent="0.25">
      <c r="A138">
        <v>137</v>
      </c>
      <c r="B138" s="1" t="s">
        <v>18</v>
      </c>
      <c r="C138" s="1" t="s">
        <v>277</v>
      </c>
      <c r="D138" s="1" t="s">
        <v>10</v>
      </c>
      <c r="E138" s="1" t="s">
        <v>278</v>
      </c>
      <c r="F138" s="3">
        <v>3</v>
      </c>
      <c r="G138" s="4">
        <v>342</v>
      </c>
    </row>
    <row r="139" spans="1:7" x14ac:dyDescent="0.25">
      <c r="A139">
        <v>138</v>
      </c>
      <c r="B139" s="1" t="s">
        <v>18</v>
      </c>
      <c r="C139" s="1" t="s">
        <v>279</v>
      </c>
      <c r="D139" s="1" t="s">
        <v>10</v>
      </c>
      <c r="E139" s="1" t="s">
        <v>280</v>
      </c>
      <c r="F139" s="3">
        <v>3</v>
      </c>
      <c r="G139" s="4">
        <v>3216.92</v>
      </c>
    </row>
    <row r="140" spans="1:7" x14ac:dyDescent="0.25">
      <c r="A140">
        <v>139</v>
      </c>
      <c r="B140" s="1" t="s">
        <v>18</v>
      </c>
      <c r="C140" s="1" t="s">
        <v>281</v>
      </c>
      <c r="D140" s="1" t="s">
        <v>10</v>
      </c>
      <c r="E140" s="1" t="s">
        <v>282</v>
      </c>
      <c r="F140" s="3">
        <v>20</v>
      </c>
      <c r="G140" s="4">
        <v>2877</v>
      </c>
    </row>
    <row r="141" spans="1:7" x14ac:dyDescent="0.25">
      <c r="A141">
        <v>140</v>
      </c>
      <c r="B141" s="1" t="s">
        <v>18</v>
      </c>
      <c r="C141" s="1" t="s">
        <v>283</v>
      </c>
      <c r="D141" s="1" t="s">
        <v>10</v>
      </c>
      <c r="E141" s="1" t="s">
        <v>284</v>
      </c>
      <c r="F141" s="3">
        <v>5</v>
      </c>
      <c r="G141" s="4">
        <v>10461.14</v>
      </c>
    </row>
    <row r="142" spans="1:7" x14ac:dyDescent="0.25">
      <c r="A142">
        <v>141</v>
      </c>
      <c r="B142" s="1" t="s">
        <v>18</v>
      </c>
      <c r="C142" s="1" t="s">
        <v>285</v>
      </c>
      <c r="D142" s="1" t="s">
        <v>10</v>
      </c>
      <c r="E142" s="1" t="s">
        <v>286</v>
      </c>
      <c r="F142" s="3">
        <v>4</v>
      </c>
      <c r="G142" s="4">
        <v>5469.9744000000001</v>
      </c>
    </row>
    <row r="143" spans="1:7" x14ac:dyDescent="0.25">
      <c r="A143">
        <v>142</v>
      </c>
      <c r="B143" s="1" t="s">
        <v>18</v>
      </c>
      <c r="C143" s="1" t="s">
        <v>287</v>
      </c>
      <c r="D143" s="1" t="s">
        <v>10</v>
      </c>
      <c r="E143" s="1" t="s">
        <v>288</v>
      </c>
      <c r="F143" s="3">
        <v>4</v>
      </c>
      <c r="G143" s="4">
        <v>98.64</v>
      </c>
    </row>
    <row r="144" spans="1:7" x14ac:dyDescent="0.25">
      <c r="A144">
        <v>143</v>
      </c>
      <c r="B144" s="1" t="s">
        <v>18</v>
      </c>
      <c r="C144" s="1" t="s">
        <v>289</v>
      </c>
      <c r="D144" s="1" t="s">
        <v>10</v>
      </c>
      <c r="E144" s="1" t="s">
        <v>290</v>
      </c>
      <c r="F144" s="3">
        <v>7</v>
      </c>
      <c r="G144" s="4">
        <v>1297.3599999999999</v>
      </c>
    </row>
    <row r="145" spans="1:7" x14ac:dyDescent="0.25">
      <c r="A145">
        <v>144</v>
      </c>
      <c r="B145" s="1" t="s">
        <v>18</v>
      </c>
      <c r="C145" s="1" t="s">
        <v>291</v>
      </c>
      <c r="D145" s="1" t="s">
        <v>10</v>
      </c>
      <c r="E145" s="1" t="s">
        <v>292</v>
      </c>
      <c r="F145" s="3">
        <v>5</v>
      </c>
      <c r="G145" s="4">
        <v>1751.86</v>
      </c>
    </row>
    <row r="146" spans="1:7" x14ac:dyDescent="0.25">
      <c r="A146">
        <v>145</v>
      </c>
      <c r="B146" s="1" t="s">
        <v>18</v>
      </c>
      <c r="C146" s="1" t="s">
        <v>293</v>
      </c>
      <c r="D146" s="1" t="s">
        <v>10</v>
      </c>
      <c r="E146" s="1" t="s">
        <v>294</v>
      </c>
      <c r="F146" s="3">
        <v>2</v>
      </c>
      <c r="G146" s="4">
        <v>349.92</v>
      </c>
    </row>
    <row r="147" spans="1:7" x14ac:dyDescent="0.25">
      <c r="A147">
        <v>146</v>
      </c>
      <c r="B147" s="1" t="s">
        <v>18</v>
      </c>
      <c r="C147" s="1" t="s">
        <v>295</v>
      </c>
      <c r="D147" s="1" t="s">
        <v>10</v>
      </c>
      <c r="E147" s="1" t="s">
        <v>296</v>
      </c>
      <c r="F147" s="3">
        <v>2</v>
      </c>
      <c r="G147" s="4">
        <v>534.6</v>
      </c>
    </row>
    <row r="148" spans="1:7" x14ac:dyDescent="0.25">
      <c r="A148">
        <v>147</v>
      </c>
      <c r="B148" s="1" t="s">
        <v>18</v>
      </c>
      <c r="C148" s="1" t="s">
        <v>297</v>
      </c>
      <c r="D148" s="1" t="s">
        <v>10</v>
      </c>
      <c r="E148" s="1" t="s">
        <v>298</v>
      </c>
      <c r="F148" s="3">
        <v>5</v>
      </c>
      <c r="G148" s="4">
        <v>2689.65</v>
      </c>
    </row>
    <row r="149" spans="1:7" x14ac:dyDescent="0.25">
      <c r="A149">
        <v>148</v>
      </c>
      <c r="B149" s="1" t="s">
        <v>18</v>
      </c>
      <c r="C149" s="1" t="s">
        <v>299</v>
      </c>
      <c r="D149" s="1" t="s">
        <v>10</v>
      </c>
      <c r="E149" s="1" t="s">
        <v>300</v>
      </c>
      <c r="F149" s="3">
        <v>2</v>
      </c>
      <c r="G149" s="4">
        <v>2383.8000000000002</v>
      </c>
    </row>
    <row r="150" spans="1:7" x14ac:dyDescent="0.25">
      <c r="A150">
        <v>149</v>
      </c>
      <c r="B150" s="1" t="s">
        <v>18</v>
      </c>
      <c r="C150" s="1" t="s">
        <v>301</v>
      </c>
      <c r="D150" s="1" t="s">
        <v>10</v>
      </c>
      <c r="E150" s="1" t="s">
        <v>302</v>
      </c>
      <c r="F150" s="3">
        <v>10</v>
      </c>
      <c r="G150" s="4">
        <v>5294.61</v>
      </c>
    </row>
    <row r="151" spans="1:7" x14ac:dyDescent="0.25">
      <c r="A151">
        <v>150</v>
      </c>
      <c r="B151" s="1" t="s">
        <v>18</v>
      </c>
      <c r="C151" s="1" t="s">
        <v>303</v>
      </c>
      <c r="D151" s="1" t="s">
        <v>10</v>
      </c>
      <c r="E151" s="1" t="s">
        <v>304</v>
      </c>
      <c r="F151" s="3">
        <v>10</v>
      </c>
      <c r="G151" s="4">
        <v>17092.900000000001</v>
      </c>
    </row>
    <row r="152" spans="1:7" x14ac:dyDescent="0.25">
      <c r="A152">
        <v>151</v>
      </c>
      <c r="B152" s="1" t="s">
        <v>18</v>
      </c>
      <c r="C152" s="1" t="s">
        <v>305</v>
      </c>
      <c r="D152" s="1" t="s">
        <v>10</v>
      </c>
      <c r="E152" s="1" t="s">
        <v>306</v>
      </c>
      <c r="F152" s="3">
        <v>9</v>
      </c>
      <c r="G152" s="4">
        <v>7504.9470000000001</v>
      </c>
    </row>
    <row r="153" spans="1:7" x14ac:dyDescent="0.25">
      <c r="A153">
        <v>152</v>
      </c>
      <c r="B153" s="1" t="s">
        <v>18</v>
      </c>
      <c r="C153" s="1" t="s">
        <v>307</v>
      </c>
      <c r="D153" s="1" t="s">
        <v>10</v>
      </c>
      <c r="E153" s="1" t="s">
        <v>308</v>
      </c>
      <c r="F153" s="3">
        <v>371</v>
      </c>
      <c r="G153" s="4">
        <v>605148.08661785698</v>
      </c>
    </row>
    <row r="154" spans="1:7" x14ac:dyDescent="0.25">
      <c r="A154">
        <v>153</v>
      </c>
      <c r="B154" s="1" t="s">
        <v>18</v>
      </c>
      <c r="C154" s="1" t="s">
        <v>309</v>
      </c>
      <c r="D154" s="1" t="s">
        <v>10</v>
      </c>
      <c r="E154" s="1" t="s">
        <v>310</v>
      </c>
      <c r="F154" s="3">
        <v>151</v>
      </c>
      <c r="G154" s="4">
        <v>17769.246257851886</v>
      </c>
    </row>
    <row r="155" spans="1:7" x14ac:dyDescent="0.25">
      <c r="A155">
        <v>154</v>
      </c>
      <c r="B155" s="1" t="s">
        <v>18</v>
      </c>
      <c r="C155" s="1" t="s">
        <v>311</v>
      </c>
      <c r="D155" s="1" t="s">
        <v>10</v>
      </c>
      <c r="E155" s="1" t="s">
        <v>312</v>
      </c>
      <c r="F155" s="3">
        <v>4</v>
      </c>
      <c r="G155" s="4">
        <v>2485.6799999999998</v>
      </c>
    </row>
    <row r="156" spans="1:7" x14ac:dyDescent="0.25">
      <c r="A156">
        <v>155</v>
      </c>
      <c r="B156" s="1" t="s">
        <v>18</v>
      </c>
      <c r="C156" s="1" t="s">
        <v>313</v>
      </c>
      <c r="D156" s="2"/>
      <c r="E156" s="1" t="s">
        <v>314</v>
      </c>
      <c r="F156" s="3">
        <v>5</v>
      </c>
      <c r="G156" s="4">
        <v>0</v>
      </c>
    </row>
    <row r="157" spans="1:7" x14ac:dyDescent="0.25">
      <c r="A157">
        <v>156</v>
      </c>
      <c r="B157" s="1" t="s">
        <v>18</v>
      </c>
      <c r="C157" s="1" t="s">
        <v>315</v>
      </c>
      <c r="D157" s="1" t="s">
        <v>10</v>
      </c>
      <c r="E157" s="1" t="s">
        <v>316</v>
      </c>
      <c r="F157" s="3">
        <v>6</v>
      </c>
      <c r="G157" s="4">
        <v>1775.52</v>
      </c>
    </row>
    <row r="158" spans="1:7" x14ac:dyDescent="0.25">
      <c r="A158">
        <v>157</v>
      </c>
      <c r="B158" s="1" t="s">
        <v>18</v>
      </c>
      <c r="C158" s="1" t="s">
        <v>317</v>
      </c>
      <c r="D158" s="1" t="s">
        <v>10</v>
      </c>
      <c r="E158" s="1" t="s">
        <v>318</v>
      </c>
      <c r="F158" s="3">
        <v>17</v>
      </c>
      <c r="G158" s="4">
        <v>4594.0639873737373</v>
      </c>
    </row>
    <row r="159" spans="1:7" x14ac:dyDescent="0.25">
      <c r="A159">
        <v>158</v>
      </c>
      <c r="B159" s="1" t="s">
        <v>18</v>
      </c>
      <c r="C159" s="1" t="s">
        <v>319</v>
      </c>
      <c r="D159" s="1" t="s">
        <v>10</v>
      </c>
      <c r="E159" s="1" t="s">
        <v>320</v>
      </c>
      <c r="F159" s="3">
        <v>6</v>
      </c>
      <c r="G159" s="4">
        <v>2776.6345714285712</v>
      </c>
    </row>
    <row r="160" spans="1:7" x14ac:dyDescent="0.25">
      <c r="A160">
        <v>159</v>
      </c>
      <c r="B160" s="1" t="s">
        <v>18</v>
      </c>
      <c r="C160" s="1" t="s">
        <v>321</v>
      </c>
      <c r="D160" s="1" t="s">
        <v>10</v>
      </c>
      <c r="E160" s="1" t="s">
        <v>322</v>
      </c>
      <c r="F160" s="3">
        <v>19</v>
      </c>
      <c r="G160" s="4">
        <v>13841.975</v>
      </c>
    </row>
    <row r="161" spans="1:7" x14ac:dyDescent="0.25">
      <c r="A161">
        <v>160</v>
      </c>
      <c r="B161" s="1" t="s">
        <v>18</v>
      </c>
      <c r="C161" s="1" t="s">
        <v>323</v>
      </c>
      <c r="D161" s="1" t="s">
        <v>10</v>
      </c>
      <c r="E161" s="1" t="s">
        <v>324</v>
      </c>
      <c r="F161" s="3">
        <v>2</v>
      </c>
      <c r="G161" s="4">
        <v>1741.5</v>
      </c>
    </row>
    <row r="162" spans="1:7" x14ac:dyDescent="0.25">
      <c r="A162">
        <v>161</v>
      </c>
      <c r="B162" s="1" t="s">
        <v>18</v>
      </c>
      <c r="C162" s="1" t="s">
        <v>325</v>
      </c>
      <c r="D162" s="1" t="s">
        <v>10</v>
      </c>
      <c r="E162" s="1" t="s">
        <v>326</v>
      </c>
      <c r="F162" s="3">
        <v>7</v>
      </c>
      <c r="G162" s="4">
        <v>1485.2909999999999</v>
      </c>
    </row>
    <row r="163" spans="1:7" x14ac:dyDescent="0.25">
      <c r="A163">
        <v>162</v>
      </c>
      <c r="B163" s="1" t="s">
        <v>18</v>
      </c>
      <c r="C163" s="1" t="s">
        <v>327</v>
      </c>
      <c r="D163" s="1" t="s">
        <v>10</v>
      </c>
      <c r="E163" s="1" t="s">
        <v>328</v>
      </c>
      <c r="F163" s="3">
        <v>3</v>
      </c>
      <c r="G163" s="4">
        <v>829.4</v>
      </c>
    </row>
    <row r="164" spans="1:7" x14ac:dyDescent="0.25">
      <c r="A164">
        <v>163</v>
      </c>
      <c r="B164" s="1" t="s">
        <v>18</v>
      </c>
      <c r="C164" s="1" t="s">
        <v>329</v>
      </c>
      <c r="D164" s="1" t="s">
        <v>10</v>
      </c>
      <c r="E164" s="1" t="s">
        <v>330</v>
      </c>
      <c r="F164" s="3">
        <v>4</v>
      </c>
      <c r="G164" s="4">
        <v>503.85759999999999</v>
      </c>
    </row>
    <row r="165" spans="1:7" x14ac:dyDescent="0.25">
      <c r="A165">
        <v>164</v>
      </c>
      <c r="B165" s="1" t="s">
        <v>18</v>
      </c>
      <c r="C165" s="1" t="s">
        <v>331</v>
      </c>
      <c r="D165" s="1" t="s">
        <v>10</v>
      </c>
      <c r="E165" s="1" t="s">
        <v>332</v>
      </c>
      <c r="F165" s="3">
        <v>3</v>
      </c>
      <c r="G165" s="4">
        <v>6755.9691666666668</v>
      </c>
    </row>
    <row r="166" spans="1:7" x14ac:dyDescent="0.25">
      <c r="A166">
        <v>165</v>
      </c>
      <c r="B166" s="1" t="s">
        <v>18</v>
      </c>
      <c r="C166" s="1" t="s">
        <v>333</v>
      </c>
      <c r="D166" s="1" t="s">
        <v>10</v>
      </c>
      <c r="E166" s="1" t="s">
        <v>334</v>
      </c>
      <c r="F166" s="3">
        <v>2</v>
      </c>
      <c r="G166" s="4">
        <v>1962.1283066666667</v>
      </c>
    </row>
    <row r="167" spans="1:7" x14ac:dyDescent="0.25">
      <c r="A167">
        <v>166</v>
      </c>
      <c r="B167" s="1" t="s">
        <v>18</v>
      </c>
      <c r="C167" s="1" t="s">
        <v>335</v>
      </c>
      <c r="D167" s="1" t="s">
        <v>10</v>
      </c>
      <c r="E167" s="1" t="s">
        <v>336</v>
      </c>
      <c r="F167" s="3">
        <v>5</v>
      </c>
      <c r="G167" s="4">
        <v>1091.72</v>
      </c>
    </row>
    <row r="168" spans="1:7" x14ac:dyDescent="0.25">
      <c r="A168">
        <v>167</v>
      </c>
      <c r="B168" s="1" t="s">
        <v>18</v>
      </c>
      <c r="C168" s="1" t="s">
        <v>337</v>
      </c>
      <c r="D168" s="1" t="s">
        <v>10</v>
      </c>
      <c r="E168" s="1" t="s">
        <v>338</v>
      </c>
      <c r="F168" s="3">
        <v>21</v>
      </c>
      <c r="G168" s="4">
        <v>11736.007374000001</v>
      </c>
    </row>
    <row r="169" spans="1:7" x14ac:dyDescent="0.25">
      <c r="A169">
        <v>168</v>
      </c>
      <c r="B169" s="1" t="s">
        <v>18</v>
      </c>
      <c r="C169" s="1" t="s">
        <v>339</v>
      </c>
      <c r="D169" s="1" t="s">
        <v>10</v>
      </c>
      <c r="E169" s="1" t="s">
        <v>340</v>
      </c>
      <c r="F169" s="3">
        <v>4</v>
      </c>
      <c r="G169" s="4">
        <v>5379.08</v>
      </c>
    </row>
    <row r="170" spans="1:7" x14ac:dyDescent="0.25">
      <c r="A170">
        <v>169</v>
      </c>
      <c r="B170" s="1" t="s">
        <v>18</v>
      </c>
      <c r="C170" s="1" t="s">
        <v>341</v>
      </c>
      <c r="D170" s="1" t="s">
        <v>10</v>
      </c>
      <c r="E170" s="1" t="s">
        <v>342</v>
      </c>
      <c r="F170" s="3">
        <v>15</v>
      </c>
      <c r="G170" s="4">
        <v>3515.57</v>
      </c>
    </row>
    <row r="171" spans="1:7" x14ac:dyDescent="0.25">
      <c r="A171">
        <v>170</v>
      </c>
      <c r="B171" s="1" t="s">
        <v>18</v>
      </c>
      <c r="C171" s="1" t="s">
        <v>343</v>
      </c>
      <c r="D171" s="1" t="s">
        <v>10</v>
      </c>
      <c r="E171" s="1" t="s">
        <v>344</v>
      </c>
      <c r="F171" s="3">
        <v>15</v>
      </c>
      <c r="G171" s="4">
        <v>5553.9</v>
      </c>
    </row>
    <row r="172" spans="1:7" x14ac:dyDescent="0.25">
      <c r="A172">
        <v>171</v>
      </c>
      <c r="B172" s="1" t="s">
        <v>18</v>
      </c>
      <c r="C172" s="1" t="s">
        <v>345</v>
      </c>
      <c r="D172" s="1" t="s">
        <v>10</v>
      </c>
      <c r="E172" s="1" t="s">
        <v>346</v>
      </c>
      <c r="F172" s="3">
        <v>4</v>
      </c>
      <c r="G172" s="4">
        <v>904.2</v>
      </c>
    </row>
    <row r="173" spans="1:7" x14ac:dyDescent="0.25">
      <c r="A173">
        <v>172</v>
      </c>
      <c r="B173" s="1" t="s">
        <v>18</v>
      </c>
      <c r="C173" s="1" t="s">
        <v>347</v>
      </c>
      <c r="D173" s="1" t="s">
        <v>10</v>
      </c>
      <c r="E173" s="1" t="s">
        <v>348</v>
      </c>
      <c r="F173" s="3">
        <v>5</v>
      </c>
      <c r="G173" s="4">
        <v>696.66</v>
      </c>
    </row>
    <row r="174" spans="1:7" x14ac:dyDescent="0.25">
      <c r="A174">
        <v>173</v>
      </c>
      <c r="B174" s="1" t="s">
        <v>18</v>
      </c>
      <c r="C174" s="1" t="s">
        <v>349</v>
      </c>
      <c r="D174" s="1" t="s">
        <v>10</v>
      </c>
      <c r="E174" s="1" t="s">
        <v>350</v>
      </c>
      <c r="F174" s="3">
        <v>3</v>
      </c>
      <c r="G174" s="4">
        <v>205.57816</v>
      </c>
    </row>
    <row r="175" spans="1:7" x14ac:dyDescent="0.25">
      <c r="A175">
        <v>174</v>
      </c>
      <c r="B175" s="1" t="s">
        <v>18</v>
      </c>
      <c r="C175" s="1" t="s">
        <v>351</v>
      </c>
      <c r="D175" s="1" t="s">
        <v>10</v>
      </c>
      <c r="E175" s="1" t="s">
        <v>352</v>
      </c>
      <c r="F175" s="3">
        <v>2</v>
      </c>
      <c r="G175" s="4">
        <v>345.24</v>
      </c>
    </row>
    <row r="176" spans="1:7" x14ac:dyDescent="0.25">
      <c r="A176">
        <v>175</v>
      </c>
      <c r="B176" s="1" t="s">
        <v>18</v>
      </c>
      <c r="C176" s="1" t="s">
        <v>353</v>
      </c>
      <c r="D176" s="1" t="s">
        <v>10</v>
      </c>
      <c r="E176" s="1" t="s">
        <v>354</v>
      </c>
      <c r="F176" s="3">
        <v>3</v>
      </c>
      <c r="G176" s="4">
        <v>2750.23</v>
      </c>
    </row>
    <row r="177" spans="1:7" x14ac:dyDescent="0.25">
      <c r="A177">
        <v>176</v>
      </c>
      <c r="B177" s="1" t="s">
        <v>18</v>
      </c>
      <c r="C177" s="1" t="s">
        <v>355</v>
      </c>
      <c r="D177" s="1" t="s">
        <v>10</v>
      </c>
      <c r="E177" s="1" t="s">
        <v>356</v>
      </c>
      <c r="F177" s="3">
        <v>1</v>
      </c>
      <c r="G177" s="4">
        <v>254.328</v>
      </c>
    </row>
    <row r="178" spans="1:7" x14ac:dyDescent="0.25">
      <c r="A178">
        <v>177</v>
      </c>
      <c r="B178" s="1" t="s">
        <v>18</v>
      </c>
      <c r="C178" s="1" t="s">
        <v>357</v>
      </c>
      <c r="D178" s="1" t="s">
        <v>10</v>
      </c>
      <c r="E178" s="1" t="s">
        <v>358</v>
      </c>
      <c r="F178" s="3">
        <v>21</v>
      </c>
      <c r="G178" s="4">
        <v>966.36268749999999</v>
      </c>
    </row>
    <row r="179" spans="1:7" x14ac:dyDescent="0.25">
      <c r="A179">
        <v>178</v>
      </c>
      <c r="B179" s="1" t="s">
        <v>18</v>
      </c>
      <c r="C179" s="1" t="s">
        <v>359</v>
      </c>
      <c r="D179" s="1" t="s">
        <v>10</v>
      </c>
      <c r="E179" s="1" t="s">
        <v>360</v>
      </c>
      <c r="F179" s="3">
        <v>10</v>
      </c>
      <c r="G179" s="4">
        <v>941</v>
      </c>
    </row>
    <row r="180" spans="1:7" x14ac:dyDescent="0.25">
      <c r="A180">
        <v>179</v>
      </c>
      <c r="B180" s="1" t="s">
        <v>18</v>
      </c>
      <c r="C180" s="1" t="s">
        <v>361</v>
      </c>
      <c r="D180" s="1" t="s">
        <v>10</v>
      </c>
      <c r="E180" s="1" t="s">
        <v>362</v>
      </c>
      <c r="F180" s="3">
        <v>1</v>
      </c>
      <c r="G180" s="4">
        <v>644.76</v>
      </c>
    </row>
    <row r="181" spans="1:7" x14ac:dyDescent="0.25">
      <c r="A181">
        <v>180</v>
      </c>
      <c r="B181" s="1" t="s">
        <v>18</v>
      </c>
      <c r="C181" s="1" t="s">
        <v>363</v>
      </c>
      <c r="D181" s="2"/>
      <c r="E181" s="1" t="s">
        <v>364</v>
      </c>
      <c r="F181" s="3">
        <v>30</v>
      </c>
      <c r="G181" s="4">
        <v>0</v>
      </c>
    </row>
    <row r="182" spans="1:7" x14ac:dyDescent="0.25">
      <c r="A182">
        <v>181</v>
      </c>
      <c r="B182" s="1" t="s">
        <v>18</v>
      </c>
      <c r="C182" s="1" t="s">
        <v>365</v>
      </c>
      <c r="D182" s="1" t="s">
        <v>10</v>
      </c>
      <c r="E182" s="1" t="s">
        <v>366</v>
      </c>
      <c r="F182" s="3">
        <v>17</v>
      </c>
      <c r="G182" s="4">
        <v>11837.918256841134</v>
      </c>
    </row>
    <row r="183" spans="1:7" x14ac:dyDescent="0.25">
      <c r="A183">
        <v>182</v>
      </c>
      <c r="B183" s="1" t="s">
        <v>18</v>
      </c>
      <c r="C183" s="1" t="s">
        <v>367</v>
      </c>
      <c r="D183" s="1" t="s">
        <v>10</v>
      </c>
      <c r="E183" s="1" t="s">
        <v>368</v>
      </c>
      <c r="F183" s="3">
        <v>3</v>
      </c>
      <c r="G183" s="4">
        <v>836.41499999999996</v>
      </c>
    </row>
    <row r="184" spans="1:7" x14ac:dyDescent="0.25">
      <c r="A184">
        <v>183</v>
      </c>
      <c r="B184" s="1" t="s">
        <v>18</v>
      </c>
      <c r="C184" s="1" t="s">
        <v>369</v>
      </c>
      <c r="D184" s="1" t="s">
        <v>10</v>
      </c>
      <c r="E184" s="1" t="s">
        <v>370</v>
      </c>
      <c r="F184" s="3">
        <v>1</v>
      </c>
      <c r="G184" s="4">
        <v>29.830333333333332</v>
      </c>
    </row>
    <row r="185" spans="1:7" x14ac:dyDescent="0.25">
      <c r="A185">
        <v>184</v>
      </c>
      <c r="B185" s="1" t="s">
        <v>18</v>
      </c>
      <c r="C185" s="1" t="s">
        <v>371</v>
      </c>
      <c r="D185" s="1" t="s">
        <v>10</v>
      </c>
      <c r="E185" s="1" t="s">
        <v>372</v>
      </c>
      <c r="F185" s="3">
        <v>1</v>
      </c>
      <c r="G185" s="4">
        <v>1201.48</v>
      </c>
    </row>
    <row r="186" spans="1:7" x14ac:dyDescent="0.25">
      <c r="A186">
        <v>185</v>
      </c>
      <c r="B186" s="1" t="s">
        <v>18</v>
      </c>
      <c r="C186" s="1" t="s">
        <v>373</v>
      </c>
      <c r="D186" s="1" t="s">
        <v>10</v>
      </c>
      <c r="E186" s="1" t="s">
        <v>374</v>
      </c>
      <c r="F186" s="3">
        <v>6</v>
      </c>
      <c r="G186" s="4">
        <v>1648.7742857142857</v>
      </c>
    </row>
    <row r="187" spans="1:7" x14ac:dyDescent="0.25">
      <c r="A187">
        <v>186</v>
      </c>
      <c r="B187" s="1" t="s">
        <v>18</v>
      </c>
      <c r="C187" s="1" t="s">
        <v>375</v>
      </c>
      <c r="D187" s="1" t="s">
        <v>10</v>
      </c>
      <c r="E187" s="1" t="s">
        <v>376</v>
      </c>
      <c r="F187" s="3">
        <v>11</v>
      </c>
      <c r="G187" s="4">
        <v>4819.5546666666669</v>
      </c>
    </row>
    <row r="188" spans="1:7" x14ac:dyDescent="0.25">
      <c r="A188">
        <v>187</v>
      </c>
      <c r="B188" s="1" t="s">
        <v>18</v>
      </c>
      <c r="C188" s="1" t="s">
        <v>377</v>
      </c>
      <c r="D188" s="1" t="s">
        <v>10</v>
      </c>
      <c r="E188" s="1" t="s">
        <v>378</v>
      </c>
      <c r="F188" s="3">
        <v>4</v>
      </c>
      <c r="G188" s="4">
        <v>2339.7066666666665</v>
      </c>
    </row>
    <row r="189" spans="1:7" x14ac:dyDescent="0.25">
      <c r="A189">
        <v>188</v>
      </c>
      <c r="B189" s="1" t="s">
        <v>18</v>
      </c>
      <c r="C189" s="1" t="s">
        <v>379</v>
      </c>
      <c r="D189" s="1" t="s">
        <v>10</v>
      </c>
      <c r="E189" s="1" t="s">
        <v>380</v>
      </c>
      <c r="F189" s="3">
        <v>1</v>
      </c>
      <c r="G189" s="4">
        <v>1031.7924444444445</v>
      </c>
    </row>
    <row r="190" spans="1:7" x14ac:dyDescent="0.25">
      <c r="A190">
        <v>189</v>
      </c>
      <c r="B190" s="1" t="s">
        <v>18</v>
      </c>
      <c r="C190" s="1" t="s">
        <v>381</v>
      </c>
      <c r="D190" s="1" t="s">
        <v>10</v>
      </c>
      <c r="E190" s="1" t="s">
        <v>382</v>
      </c>
      <c r="F190" s="3">
        <v>6</v>
      </c>
      <c r="G190" s="4">
        <v>5585.3742857142861</v>
      </c>
    </row>
    <row r="191" spans="1:7" x14ac:dyDescent="0.25">
      <c r="A191">
        <v>190</v>
      </c>
      <c r="B191" s="1" t="s">
        <v>18</v>
      </c>
      <c r="C191" s="1" t="s">
        <v>383</v>
      </c>
      <c r="D191" s="1" t="s">
        <v>10</v>
      </c>
      <c r="E191" s="1" t="s">
        <v>384</v>
      </c>
      <c r="F191" s="3">
        <v>5</v>
      </c>
      <c r="G191" s="4">
        <v>1673.701875</v>
      </c>
    </row>
    <row r="192" spans="1:7" x14ac:dyDescent="0.25">
      <c r="A192">
        <v>191</v>
      </c>
      <c r="B192" s="1" t="s">
        <v>18</v>
      </c>
      <c r="C192" s="1" t="s">
        <v>385</v>
      </c>
      <c r="D192" s="1" t="s">
        <v>10</v>
      </c>
      <c r="E192" s="1" t="s">
        <v>386</v>
      </c>
      <c r="F192" s="3">
        <v>3</v>
      </c>
      <c r="G192" s="4">
        <v>493.2</v>
      </c>
    </row>
    <row r="193" spans="1:7" x14ac:dyDescent="0.25">
      <c r="A193">
        <v>192</v>
      </c>
      <c r="B193" s="1" t="s">
        <v>18</v>
      </c>
      <c r="C193" s="1" t="s">
        <v>9</v>
      </c>
      <c r="D193" s="1" t="s">
        <v>10</v>
      </c>
      <c r="E193" s="1" t="s">
        <v>11</v>
      </c>
      <c r="F193" s="3">
        <v>13</v>
      </c>
      <c r="G193" s="4">
        <v>14402.746203903544</v>
      </c>
    </row>
    <row r="194" spans="1:7" x14ac:dyDescent="0.25">
      <c r="A194">
        <v>193</v>
      </c>
      <c r="B194" s="1" t="s">
        <v>18</v>
      </c>
      <c r="C194" s="1" t="s">
        <v>387</v>
      </c>
      <c r="D194" s="1" t="s">
        <v>10</v>
      </c>
      <c r="E194" s="1" t="s">
        <v>388</v>
      </c>
      <c r="F194" s="3">
        <v>9</v>
      </c>
      <c r="G194" s="4">
        <v>6774.1621790289255</v>
      </c>
    </row>
    <row r="195" spans="1:7" x14ac:dyDescent="0.25">
      <c r="A195">
        <v>194</v>
      </c>
      <c r="B195" s="1" t="s">
        <v>18</v>
      </c>
      <c r="C195" s="1" t="s">
        <v>389</v>
      </c>
      <c r="D195" s="1" t="s">
        <v>390</v>
      </c>
      <c r="E195" s="1" t="s">
        <v>391</v>
      </c>
      <c r="F195" s="3">
        <v>18</v>
      </c>
      <c r="G195" s="4">
        <v>5625.7464754866614</v>
      </c>
    </row>
    <row r="196" spans="1:7" x14ac:dyDescent="0.25">
      <c r="A196">
        <v>195</v>
      </c>
      <c r="B196" s="1" t="s">
        <v>18</v>
      </c>
      <c r="C196" s="1" t="s">
        <v>392</v>
      </c>
      <c r="D196" s="1" t="s">
        <v>10</v>
      </c>
      <c r="E196" s="1" t="s">
        <v>393</v>
      </c>
      <c r="F196" s="3">
        <v>2</v>
      </c>
      <c r="G196" s="4">
        <v>616.5</v>
      </c>
    </row>
    <row r="197" spans="1:7" x14ac:dyDescent="0.25">
      <c r="A197">
        <v>196</v>
      </c>
      <c r="B197" s="1" t="s">
        <v>18</v>
      </c>
      <c r="C197" s="1" t="s">
        <v>394</v>
      </c>
      <c r="D197" s="1" t="s">
        <v>10</v>
      </c>
      <c r="E197" s="1" t="s">
        <v>395</v>
      </c>
      <c r="F197" s="3">
        <v>9</v>
      </c>
      <c r="G197" s="4">
        <v>1501.2</v>
      </c>
    </row>
    <row r="198" spans="1:7" x14ac:dyDescent="0.25">
      <c r="A198">
        <v>197</v>
      </c>
      <c r="B198" s="1" t="s">
        <v>18</v>
      </c>
      <c r="C198" s="1" t="s">
        <v>396</v>
      </c>
      <c r="D198" s="1" t="s">
        <v>10</v>
      </c>
      <c r="E198" s="1" t="s">
        <v>397</v>
      </c>
      <c r="F198" s="3">
        <v>5</v>
      </c>
      <c r="G198" s="4">
        <v>3017.7688888888888</v>
      </c>
    </row>
    <row r="199" spans="1:7" x14ac:dyDescent="0.25">
      <c r="A199">
        <v>198</v>
      </c>
      <c r="B199" s="1" t="s">
        <v>18</v>
      </c>
      <c r="C199" s="1" t="s">
        <v>398</v>
      </c>
      <c r="D199" s="1" t="s">
        <v>10</v>
      </c>
      <c r="E199" s="1" t="s">
        <v>399</v>
      </c>
      <c r="F199" s="3">
        <v>25</v>
      </c>
      <c r="G199" s="4">
        <v>45512</v>
      </c>
    </row>
    <row r="200" spans="1:7" x14ac:dyDescent="0.25">
      <c r="A200">
        <v>199</v>
      </c>
      <c r="B200" s="1" t="s">
        <v>18</v>
      </c>
      <c r="C200" s="1" t="s">
        <v>400</v>
      </c>
      <c r="D200" s="1" t="s">
        <v>10</v>
      </c>
      <c r="E200" s="1" t="s">
        <v>401</v>
      </c>
      <c r="F200" s="3">
        <v>5</v>
      </c>
      <c r="G200" s="4">
        <v>1380.87</v>
      </c>
    </row>
    <row r="201" spans="1:7" x14ac:dyDescent="0.25">
      <c r="A201">
        <v>200</v>
      </c>
      <c r="B201" s="1" t="s">
        <v>18</v>
      </c>
      <c r="C201" s="1" t="s">
        <v>402</v>
      </c>
      <c r="D201" s="1" t="s">
        <v>10</v>
      </c>
      <c r="E201" s="1" t="s">
        <v>403</v>
      </c>
      <c r="F201" s="3">
        <v>4</v>
      </c>
      <c r="G201" s="4">
        <v>423.85248655010002</v>
      </c>
    </row>
    <row r="202" spans="1:7" x14ac:dyDescent="0.25">
      <c r="A202">
        <v>201</v>
      </c>
      <c r="B202" s="1" t="s">
        <v>18</v>
      </c>
      <c r="C202" s="1" t="s">
        <v>404</v>
      </c>
      <c r="D202" s="1" t="s">
        <v>10</v>
      </c>
      <c r="E202" s="1" t="s">
        <v>405</v>
      </c>
      <c r="F202" s="3">
        <v>2</v>
      </c>
      <c r="G202" s="4">
        <v>8266.41</v>
      </c>
    </row>
    <row r="203" spans="1:7" x14ac:dyDescent="0.25">
      <c r="A203">
        <v>202</v>
      </c>
      <c r="B203" s="1" t="s">
        <v>18</v>
      </c>
      <c r="C203" s="1" t="s">
        <v>406</v>
      </c>
      <c r="D203" s="1" t="s">
        <v>10</v>
      </c>
      <c r="E203" s="1" t="s">
        <v>407</v>
      </c>
      <c r="F203" s="3">
        <v>5</v>
      </c>
      <c r="G203" s="4">
        <v>1334.4</v>
      </c>
    </row>
    <row r="204" spans="1:7" x14ac:dyDescent="0.25">
      <c r="A204">
        <v>203</v>
      </c>
      <c r="B204" s="1" t="s">
        <v>18</v>
      </c>
      <c r="C204" s="1" t="s">
        <v>408</v>
      </c>
      <c r="D204" s="1" t="s">
        <v>10</v>
      </c>
      <c r="E204" s="1" t="s">
        <v>409</v>
      </c>
      <c r="F204" s="3">
        <v>10</v>
      </c>
      <c r="G204" s="4">
        <v>2660.46</v>
      </c>
    </row>
    <row r="205" spans="1:7" x14ac:dyDescent="0.25">
      <c r="A205">
        <v>204</v>
      </c>
      <c r="B205" s="1" t="s">
        <v>18</v>
      </c>
      <c r="C205" s="1" t="s">
        <v>410</v>
      </c>
      <c r="D205" s="1" t="s">
        <v>10</v>
      </c>
      <c r="E205" s="1" t="s">
        <v>411</v>
      </c>
      <c r="F205" s="3">
        <v>15</v>
      </c>
      <c r="G205" s="4">
        <v>11271</v>
      </c>
    </row>
    <row r="206" spans="1:7" x14ac:dyDescent="0.25">
      <c r="A206">
        <v>205</v>
      </c>
      <c r="B206" s="1" t="s">
        <v>18</v>
      </c>
      <c r="C206" s="1" t="s">
        <v>412</v>
      </c>
      <c r="D206" s="1" t="s">
        <v>10</v>
      </c>
      <c r="E206" s="1" t="s">
        <v>413</v>
      </c>
      <c r="F206" s="3">
        <v>5</v>
      </c>
      <c r="G206" s="4">
        <v>600.3919166666667</v>
      </c>
    </row>
    <row r="207" spans="1:7" x14ac:dyDescent="0.25">
      <c r="A207">
        <v>206</v>
      </c>
      <c r="B207" s="1" t="s">
        <v>18</v>
      </c>
      <c r="C207" s="1" t="s">
        <v>414</v>
      </c>
      <c r="D207" s="1" t="s">
        <v>10</v>
      </c>
      <c r="E207" s="1" t="s">
        <v>415</v>
      </c>
      <c r="F207" s="3">
        <v>3</v>
      </c>
      <c r="G207" s="4">
        <v>1085.04</v>
      </c>
    </row>
    <row r="208" spans="1:7" x14ac:dyDescent="0.25">
      <c r="A208">
        <v>207</v>
      </c>
      <c r="B208" s="1" t="s">
        <v>18</v>
      </c>
      <c r="C208" s="1" t="s">
        <v>416</v>
      </c>
      <c r="D208" s="2"/>
      <c r="E208" s="1" t="s">
        <v>417</v>
      </c>
      <c r="F208" s="3">
        <v>6</v>
      </c>
      <c r="G208" s="4">
        <v>0</v>
      </c>
    </row>
    <row r="209" spans="1:7" x14ac:dyDescent="0.25">
      <c r="A209">
        <v>208</v>
      </c>
      <c r="B209" s="1" t="s">
        <v>18</v>
      </c>
      <c r="C209" s="1" t="s">
        <v>418</v>
      </c>
      <c r="D209" s="1" t="s">
        <v>10</v>
      </c>
      <c r="E209" s="1" t="s">
        <v>419</v>
      </c>
      <c r="F209" s="3">
        <v>2</v>
      </c>
      <c r="G209" s="4">
        <v>282.10399999999998</v>
      </c>
    </row>
    <row r="210" spans="1:7" x14ac:dyDescent="0.25">
      <c r="A210">
        <v>209</v>
      </c>
      <c r="B210" s="1" t="s">
        <v>18</v>
      </c>
      <c r="C210" s="1" t="s">
        <v>420</v>
      </c>
      <c r="D210" s="1" t="s">
        <v>10</v>
      </c>
      <c r="E210" s="1" t="s">
        <v>421</v>
      </c>
      <c r="F210" s="3">
        <v>3</v>
      </c>
      <c r="G210" s="4">
        <v>0</v>
      </c>
    </row>
    <row r="211" spans="1:7" x14ac:dyDescent="0.25">
      <c r="A211">
        <v>210</v>
      </c>
      <c r="B211" s="1" t="s">
        <v>18</v>
      </c>
      <c r="C211" s="1" t="s">
        <v>422</v>
      </c>
      <c r="D211" s="1" t="s">
        <v>10</v>
      </c>
      <c r="E211" s="1" t="s">
        <v>423</v>
      </c>
      <c r="F211" s="3">
        <v>5</v>
      </c>
      <c r="G211" s="4">
        <v>753.75</v>
      </c>
    </row>
    <row r="212" spans="1:7" x14ac:dyDescent="0.25">
      <c r="A212">
        <v>211</v>
      </c>
      <c r="B212" s="1" t="s">
        <v>18</v>
      </c>
      <c r="C212" s="1" t="s">
        <v>424</v>
      </c>
      <c r="D212" s="1" t="s">
        <v>10</v>
      </c>
      <c r="E212" s="1" t="s">
        <v>425</v>
      </c>
      <c r="F212" s="3">
        <v>2</v>
      </c>
      <c r="G212" s="4">
        <v>672.39200000000005</v>
      </c>
    </row>
    <row r="213" spans="1:7" x14ac:dyDescent="0.25">
      <c r="A213">
        <v>212</v>
      </c>
      <c r="B213" s="1" t="s">
        <v>18</v>
      </c>
      <c r="C213" s="1" t="s">
        <v>426</v>
      </c>
      <c r="D213" s="1" t="s">
        <v>33</v>
      </c>
      <c r="E213" s="1" t="s">
        <v>427</v>
      </c>
      <c r="F213" s="3">
        <v>1</v>
      </c>
      <c r="G213" s="4">
        <v>1602.796</v>
      </c>
    </row>
    <row r="214" spans="1:7" x14ac:dyDescent="0.25">
      <c r="A214">
        <v>213</v>
      </c>
      <c r="B214" s="1" t="s">
        <v>18</v>
      </c>
      <c r="C214" s="1" t="s">
        <v>428</v>
      </c>
      <c r="D214" s="1" t="s">
        <v>10</v>
      </c>
      <c r="E214" s="1" t="s">
        <v>429</v>
      </c>
      <c r="F214" s="3">
        <v>6</v>
      </c>
      <c r="G214" s="4">
        <v>986.4</v>
      </c>
    </row>
    <row r="215" spans="1:7" x14ac:dyDescent="0.25">
      <c r="A215">
        <v>214</v>
      </c>
      <c r="B215" s="1" t="s">
        <v>18</v>
      </c>
      <c r="C215" s="1" t="s">
        <v>430</v>
      </c>
      <c r="D215" s="1" t="s">
        <v>10</v>
      </c>
      <c r="E215" s="1" t="s">
        <v>431</v>
      </c>
      <c r="F215" s="3">
        <v>5</v>
      </c>
      <c r="G215" s="4">
        <v>3258.0459999999998</v>
      </c>
    </row>
    <row r="216" spans="1:7" x14ac:dyDescent="0.25">
      <c r="A216">
        <v>215</v>
      </c>
      <c r="B216" s="1" t="s">
        <v>18</v>
      </c>
      <c r="C216" s="1" t="s">
        <v>432</v>
      </c>
      <c r="D216" s="1" t="s">
        <v>10</v>
      </c>
      <c r="E216" s="1" t="s">
        <v>433</v>
      </c>
      <c r="F216" s="3">
        <v>5</v>
      </c>
      <c r="G216" s="4">
        <v>1413.65</v>
      </c>
    </row>
    <row r="217" spans="1:7" x14ac:dyDescent="0.25">
      <c r="A217">
        <v>216</v>
      </c>
      <c r="B217" s="1" t="s">
        <v>18</v>
      </c>
      <c r="C217" s="1" t="s">
        <v>434</v>
      </c>
      <c r="D217" s="1" t="s">
        <v>10</v>
      </c>
      <c r="E217" s="1" t="s">
        <v>435</v>
      </c>
      <c r="F217" s="3">
        <v>3</v>
      </c>
      <c r="G217" s="4">
        <v>3088.13</v>
      </c>
    </row>
    <row r="218" spans="1:7" x14ac:dyDescent="0.25">
      <c r="A218">
        <v>217</v>
      </c>
      <c r="B218" s="1" t="s">
        <v>18</v>
      </c>
      <c r="C218" s="1" t="s">
        <v>436</v>
      </c>
      <c r="D218" s="1" t="s">
        <v>10</v>
      </c>
      <c r="E218" s="1" t="s">
        <v>437</v>
      </c>
      <c r="F218" s="3">
        <v>3</v>
      </c>
      <c r="G218" s="4">
        <v>3155.75</v>
      </c>
    </row>
    <row r="219" spans="1:7" x14ac:dyDescent="0.25">
      <c r="A219">
        <v>218</v>
      </c>
      <c r="B219" s="1" t="s">
        <v>18</v>
      </c>
      <c r="C219" s="1" t="s">
        <v>438</v>
      </c>
      <c r="D219" s="1" t="s">
        <v>10</v>
      </c>
      <c r="E219" s="1" t="s">
        <v>439</v>
      </c>
      <c r="F219" s="3">
        <v>2</v>
      </c>
      <c r="G219" s="4">
        <v>419.22</v>
      </c>
    </row>
    <row r="220" spans="1:7" x14ac:dyDescent="0.25">
      <c r="A220">
        <v>219</v>
      </c>
      <c r="B220" s="1" t="s">
        <v>18</v>
      </c>
      <c r="C220" s="1" t="s">
        <v>440</v>
      </c>
      <c r="D220" s="1" t="s">
        <v>10</v>
      </c>
      <c r="E220" s="1" t="s">
        <v>441</v>
      </c>
      <c r="F220" s="3">
        <v>2</v>
      </c>
      <c r="G220" s="4">
        <v>2055</v>
      </c>
    </row>
    <row r="221" spans="1:7" x14ac:dyDescent="0.25">
      <c r="A221">
        <v>220</v>
      </c>
      <c r="B221" s="1" t="s">
        <v>18</v>
      </c>
      <c r="C221" s="1" t="s">
        <v>442</v>
      </c>
      <c r="D221" s="1" t="s">
        <v>10</v>
      </c>
      <c r="E221" s="1" t="s">
        <v>443</v>
      </c>
      <c r="F221" s="3">
        <v>3</v>
      </c>
      <c r="G221" s="4">
        <v>12063.13</v>
      </c>
    </row>
    <row r="222" spans="1:7" x14ac:dyDescent="0.25">
      <c r="A222">
        <v>221</v>
      </c>
      <c r="B222" s="1" t="s">
        <v>18</v>
      </c>
      <c r="C222" s="1" t="s">
        <v>444</v>
      </c>
      <c r="D222" s="1" t="s">
        <v>10</v>
      </c>
      <c r="E222" s="1" t="s">
        <v>445</v>
      </c>
      <c r="F222" s="3">
        <v>1</v>
      </c>
      <c r="G222" s="4">
        <v>2741.0937406584935</v>
      </c>
    </row>
    <row r="223" spans="1:7" x14ac:dyDescent="0.25">
      <c r="A223">
        <v>222</v>
      </c>
      <c r="B223" s="1" t="s">
        <v>18</v>
      </c>
      <c r="C223" s="1" t="s">
        <v>446</v>
      </c>
      <c r="D223" s="1" t="s">
        <v>10</v>
      </c>
      <c r="E223" s="1" t="s">
        <v>447</v>
      </c>
      <c r="F223" s="3">
        <v>9</v>
      </c>
      <c r="G223" s="4">
        <v>812.34341379310342</v>
      </c>
    </row>
    <row r="224" spans="1:7" x14ac:dyDescent="0.25">
      <c r="A224">
        <v>223</v>
      </c>
      <c r="B224" s="1" t="s">
        <v>18</v>
      </c>
      <c r="C224" s="1" t="s">
        <v>448</v>
      </c>
      <c r="D224" s="1" t="s">
        <v>10</v>
      </c>
      <c r="E224" s="1" t="s">
        <v>449</v>
      </c>
      <c r="F224" s="3">
        <v>3</v>
      </c>
      <c r="G224" s="4">
        <v>17776.25</v>
      </c>
    </row>
    <row r="225" spans="1:7" x14ac:dyDescent="0.25">
      <c r="A225">
        <v>224</v>
      </c>
      <c r="B225" s="1" t="s">
        <v>18</v>
      </c>
      <c r="C225" s="1" t="s">
        <v>450</v>
      </c>
      <c r="D225" s="1" t="s">
        <v>10</v>
      </c>
      <c r="E225" s="1" t="s">
        <v>451</v>
      </c>
      <c r="F225" s="3">
        <v>5</v>
      </c>
      <c r="G225" s="4">
        <v>1819.51</v>
      </c>
    </row>
    <row r="226" spans="1:7" x14ac:dyDescent="0.25">
      <c r="A226">
        <v>225</v>
      </c>
      <c r="B226" s="1" t="s">
        <v>18</v>
      </c>
      <c r="C226" s="1" t="s">
        <v>452</v>
      </c>
      <c r="D226" s="1" t="s">
        <v>10</v>
      </c>
      <c r="E226" s="1" t="s">
        <v>453</v>
      </c>
      <c r="F226" s="3">
        <v>10</v>
      </c>
      <c r="G226" s="4">
        <v>2655.42</v>
      </c>
    </row>
    <row r="227" spans="1:7" x14ac:dyDescent="0.25">
      <c r="A227">
        <v>226</v>
      </c>
      <c r="B227" s="1" t="s">
        <v>18</v>
      </c>
      <c r="C227" s="1" t="s">
        <v>454</v>
      </c>
      <c r="D227" s="1" t="s">
        <v>10</v>
      </c>
      <c r="E227" s="1" t="s">
        <v>455</v>
      </c>
      <c r="F227" s="3">
        <v>2</v>
      </c>
      <c r="G227" s="4">
        <v>5416.93</v>
      </c>
    </row>
    <row r="228" spans="1:7" x14ac:dyDescent="0.25">
      <c r="A228">
        <v>227</v>
      </c>
      <c r="B228" s="1" t="s">
        <v>18</v>
      </c>
      <c r="C228" s="1" t="s">
        <v>456</v>
      </c>
      <c r="D228" s="1" t="s">
        <v>10</v>
      </c>
      <c r="E228" s="1" t="s">
        <v>457</v>
      </c>
      <c r="F228" s="3">
        <v>15</v>
      </c>
      <c r="G228" s="4">
        <v>11761.12</v>
      </c>
    </row>
    <row r="229" spans="1:7" x14ac:dyDescent="0.25">
      <c r="A229">
        <v>228</v>
      </c>
      <c r="B229" s="1" t="s">
        <v>18</v>
      </c>
      <c r="C229" s="1" t="s">
        <v>458</v>
      </c>
      <c r="D229" s="1" t="s">
        <v>10</v>
      </c>
      <c r="E229" s="1" t="s">
        <v>459</v>
      </c>
      <c r="F229" s="3">
        <v>13</v>
      </c>
      <c r="G229" s="4">
        <v>12601.975669297364</v>
      </c>
    </row>
    <row r="230" spans="1:7" x14ac:dyDescent="0.25">
      <c r="A230">
        <v>229</v>
      </c>
      <c r="B230" s="1" t="s">
        <v>18</v>
      </c>
      <c r="C230" s="1" t="s">
        <v>460</v>
      </c>
      <c r="D230" s="1" t="s">
        <v>10</v>
      </c>
      <c r="E230" s="1" t="s">
        <v>461</v>
      </c>
      <c r="F230" s="3">
        <v>5</v>
      </c>
      <c r="G230" s="4">
        <v>6326.99</v>
      </c>
    </row>
    <row r="231" spans="1:7" x14ac:dyDescent="0.25">
      <c r="A231">
        <v>230</v>
      </c>
      <c r="B231" s="1" t="s">
        <v>18</v>
      </c>
      <c r="C231" s="1" t="s">
        <v>462</v>
      </c>
      <c r="D231" s="1" t="s">
        <v>10</v>
      </c>
      <c r="E231" s="1" t="s">
        <v>463</v>
      </c>
      <c r="F231" s="3">
        <v>4</v>
      </c>
      <c r="G231" s="4">
        <v>372.19333333333333</v>
      </c>
    </row>
    <row r="232" spans="1:7" x14ac:dyDescent="0.25">
      <c r="A232">
        <v>231</v>
      </c>
      <c r="B232" s="1" t="s">
        <v>18</v>
      </c>
      <c r="C232" s="1" t="s">
        <v>464</v>
      </c>
      <c r="D232" s="1" t="s">
        <v>10</v>
      </c>
      <c r="E232" s="1" t="s">
        <v>465</v>
      </c>
      <c r="F232" s="3">
        <v>14</v>
      </c>
      <c r="G232" s="4">
        <v>10862.588</v>
      </c>
    </row>
    <row r="233" spans="1:7" x14ac:dyDescent="0.25">
      <c r="A233">
        <v>232</v>
      </c>
      <c r="B233" s="1" t="s">
        <v>18</v>
      </c>
      <c r="C233" s="1" t="s">
        <v>466</v>
      </c>
      <c r="D233" s="1" t="s">
        <v>33</v>
      </c>
      <c r="E233" s="1" t="s">
        <v>467</v>
      </c>
      <c r="F233" s="3">
        <v>4</v>
      </c>
      <c r="G233" s="4">
        <v>1386.2776736854332</v>
      </c>
    </row>
    <row r="234" spans="1:7" x14ac:dyDescent="0.25">
      <c r="A234">
        <v>233</v>
      </c>
      <c r="B234" s="1" t="s">
        <v>18</v>
      </c>
      <c r="C234" s="1" t="s">
        <v>468</v>
      </c>
      <c r="D234" s="1" t="s">
        <v>10</v>
      </c>
      <c r="E234" s="1" t="s">
        <v>469</v>
      </c>
      <c r="F234" s="3">
        <v>20</v>
      </c>
      <c r="G234" s="4">
        <v>3353.76</v>
      </c>
    </row>
    <row r="235" spans="1:7" x14ac:dyDescent="0.25">
      <c r="A235">
        <v>234</v>
      </c>
      <c r="B235" s="1" t="s">
        <v>18</v>
      </c>
      <c r="C235" s="1" t="s">
        <v>470</v>
      </c>
      <c r="D235" s="2"/>
      <c r="E235" s="1" t="s">
        <v>471</v>
      </c>
      <c r="F235" s="3">
        <v>5</v>
      </c>
      <c r="G235" s="4">
        <v>0</v>
      </c>
    </row>
    <row r="236" spans="1:7" x14ac:dyDescent="0.25">
      <c r="A236">
        <v>235</v>
      </c>
      <c r="B236" s="1" t="s">
        <v>18</v>
      </c>
      <c r="C236" s="1" t="s">
        <v>472</v>
      </c>
      <c r="D236" s="1" t="s">
        <v>10</v>
      </c>
      <c r="E236" s="1" t="s">
        <v>473</v>
      </c>
      <c r="F236" s="3">
        <v>5</v>
      </c>
      <c r="G236" s="4">
        <v>0</v>
      </c>
    </row>
    <row r="237" spans="1:7" x14ac:dyDescent="0.25">
      <c r="A237">
        <v>236</v>
      </c>
      <c r="B237" s="1" t="s">
        <v>18</v>
      </c>
      <c r="C237" s="1" t="s">
        <v>474</v>
      </c>
      <c r="D237" s="2"/>
      <c r="E237" s="1" t="s">
        <v>475</v>
      </c>
      <c r="F237" s="3">
        <v>5</v>
      </c>
      <c r="G237" s="4">
        <v>0</v>
      </c>
    </row>
    <row r="238" spans="1:7" x14ac:dyDescent="0.25">
      <c r="A238">
        <v>237</v>
      </c>
      <c r="B238" s="1" t="s">
        <v>18</v>
      </c>
      <c r="C238" s="1" t="s">
        <v>476</v>
      </c>
      <c r="D238" s="2"/>
      <c r="E238" s="1" t="s">
        <v>477</v>
      </c>
      <c r="F238" s="3">
        <v>5</v>
      </c>
      <c r="G238" s="4">
        <v>0</v>
      </c>
    </row>
    <row r="239" spans="1:7" x14ac:dyDescent="0.25">
      <c r="A239">
        <v>238</v>
      </c>
      <c r="B239" s="1" t="s">
        <v>18</v>
      </c>
      <c r="C239" s="1" t="s">
        <v>478</v>
      </c>
      <c r="D239" s="13" t="s">
        <v>10</v>
      </c>
      <c r="E239" s="1" t="s">
        <v>479</v>
      </c>
      <c r="F239" s="3">
        <v>10</v>
      </c>
      <c r="G239" s="4">
        <v>361.68</v>
      </c>
    </row>
    <row r="240" spans="1:7" x14ac:dyDescent="0.25">
      <c r="A240">
        <v>239</v>
      </c>
      <c r="B240" s="1" t="s">
        <v>18</v>
      </c>
      <c r="C240" s="1" t="s">
        <v>480</v>
      </c>
      <c r="D240" s="1" t="s">
        <v>10</v>
      </c>
      <c r="E240" s="1" t="s">
        <v>481</v>
      </c>
      <c r="F240" s="3">
        <v>65</v>
      </c>
      <c r="G240" s="4">
        <v>13668.432947976878</v>
      </c>
    </row>
    <row r="241" spans="1:7" x14ac:dyDescent="0.25">
      <c r="A241">
        <v>240</v>
      </c>
      <c r="B241" s="1" t="s">
        <v>18</v>
      </c>
      <c r="C241" s="1" t="s">
        <v>482</v>
      </c>
      <c r="D241" s="2"/>
      <c r="E241" s="1" t="s">
        <v>483</v>
      </c>
      <c r="F241" s="3">
        <v>2</v>
      </c>
      <c r="G241" s="4">
        <v>0</v>
      </c>
    </row>
    <row r="242" spans="1:7" x14ac:dyDescent="0.25">
      <c r="A242">
        <v>241</v>
      </c>
      <c r="B242" s="1" t="s">
        <v>18</v>
      </c>
      <c r="C242" s="1" t="s">
        <v>484</v>
      </c>
      <c r="D242" s="1" t="s">
        <v>10</v>
      </c>
      <c r="E242" s="1" t="s">
        <v>485</v>
      </c>
      <c r="F242" s="3">
        <v>5</v>
      </c>
      <c r="G242" s="4">
        <v>3400.65</v>
      </c>
    </row>
    <row r="243" spans="1:7" x14ac:dyDescent="0.25">
      <c r="A243">
        <v>242</v>
      </c>
      <c r="B243" s="1" t="s">
        <v>18</v>
      </c>
      <c r="C243" s="1" t="s">
        <v>486</v>
      </c>
      <c r="D243" s="1" t="s">
        <v>10</v>
      </c>
      <c r="E243" s="1" t="s">
        <v>487</v>
      </c>
      <c r="F243" s="3">
        <v>1</v>
      </c>
      <c r="G243" s="4">
        <v>897.39666666666665</v>
      </c>
    </row>
    <row r="244" spans="1:7" x14ac:dyDescent="0.25">
      <c r="A244">
        <v>243</v>
      </c>
      <c r="B244" s="1" t="s">
        <v>18</v>
      </c>
      <c r="C244" s="1" t="s">
        <v>488</v>
      </c>
      <c r="D244" s="1" t="s">
        <v>10</v>
      </c>
      <c r="E244" s="1" t="s">
        <v>489</v>
      </c>
      <c r="F244" s="3">
        <v>7</v>
      </c>
      <c r="G244" s="4">
        <v>740.88</v>
      </c>
    </row>
    <row r="245" spans="1:7" x14ac:dyDescent="0.25">
      <c r="A245">
        <v>244</v>
      </c>
      <c r="B245" s="1" t="s">
        <v>18</v>
      </c>
      <c r="C245" s="1" t="s">
        <v>490</v>
      </c>
      <c r="D245" s="1" t="s">
        <v>10</v>
      </c>
      <c r="E245" s="1" t="s">
        <v>491</v>
      </c>
      <c r="F245" s="3">
        <v>5</v>
      </c>
      <c r="G245" s="4">
        <v>908.24461111111111</v>
      </c>
    </row>
    <row r="246" spans="1:7" x14ac:dyDescent="0.25">
      <c r="A246">
        <v>245</v>
      </c>
      <c r="B246" s="1" t="s">
        <v>18</v>
      </c>
      <c r="C246" s="1" t="s">
        <v>492</v>
      </c>
      <c r="D246" s="1" t="s">
        <v>10</v>
      </c>
      <c r="E246" s="1" t="s">
        <v>493</v>
      </c>
      <c r="F246" s="3">
        <v>3</v>
      </c>
      <c r="G246" s="4">
        <v>1831.2625833333334</v>
      </c>
    </row>
    <row r="247" spans="1:7" x14ac:dyDescent="0.25">
      <c r="A247">
        <v>246</v>
      </c>
      <c r="B247" s="1" t="s">
        <v>18</v>
      </c>
      <c r="C247" s="1" t="s">
        <v>494</v>
      </c>
      <c r="D247" s="1" t="s">
        <v>10</v>
      </c>
      <c r="E247" s="1" t="s">
        <v>495</v>
      </c>
      <c r="F247" s="3">
        <v>4</v>
      </c>
      <c r="G247" s="4">
        <v>1009.1806</v>
      </c>
    </row>
    <row r="248" spans="1:7" x14ac:dyDescent="0.25">
      <c r="A248">
        <v>247</v>
      </c>
      <c r="B248" s="1" t="s">
        <v>18</v>
      </c>
      <c r="C248" s="1" t="s">
        <v>496</v>
      </c>
      <c r="D248" s="1" t="s">
        <v>10</v>
      </c>
      <c r="E248" s="1" t="s">
        <v>497</v>
      </c>
      <c r="F248" s="3">
        <v>3</v>
      </c>
      <c r="G248" s="4">
        <v>431.16149999999999</v>
      </c>
    </row>
    <row r="249" spans="1:7" x14ac:dyDescent="0.25">
      <c r="A249">
        <v>248</v>
      </c>
      <c r="B249" s="1" t="s">
        <v>18</v>
      </c>
      <c r="C249" s="1" t="s">
        <v>498</v>
      </c>
      <c r="D249" s="1" t="s">
        <v>10</v>
      </c>
      <c r="E249" s="1" t="s">
        <v>499</v>
      </c>
      <c r="F249" s="3">
        <v>6</v>
      </c>
      <c r="G249" s="4">
        <v>1754.3848666666668</v>
      </c>
    </row>
    <row r="250" spans="1:7" x14ac:dyDescent="0.25">
      <c r="A250">
        <v>249</v>
      </c>
      <c r="B250" s="1" t="s">
        <v>18</v>
      </c>
      <c r="C250" s="1" t="s">
        <v>500</v>
      </c>
      <c r="D250" s="1" t="s">
        <v>10</v>
      </c>
      <c r="E250" s="1" t="s">
        <v>501</v>
      </c>
      <c r="F250" s="3">
        <v>4</v>
      </c>
      <c r="G250" s="4">
        <v>256.47199999999998</v>
      </c>
    </row>
    <row r="251" spans="1:7" x14ac:dyDescent="0.25">
      <c r="A251">
        <v>250</v>
      </c>
      <c r="B251" s="1" t="s">
        <v>18</v>
      </c>
      <c r="C251" s="1" t="s">
        <v>502</v>
      </c>
      <c r="D251" s="1" t="s">
        <v>10</v>
      </c>
      <c r="E251" s="1" t="s">
        <v>326</v>
      </c>
      <c r="F251" s="3">
        <v>5</v>
      </c>
      <c r="G251" s="4">
        <v>826.88</v>
      </c>
    </row>
    <row r="252" spans="1:7" x14ac:dyDescent="0.25">
      <c r="A252">
        <v>251</v>
      </c>
      <c r="B252" s="1" t="s">
        <v>18</v>
      </c>
      <c r="C252" s="1" t="s">
        <v>503</v>
      </c>
      <c r="D252" s="1" t="s">
        <v>10</v>
      </c>
      <c r="E252" s="1" t="s">
        <v>504</v>
      </c>
      <c r="F252" s="3">
        <v>1</v>
      </c>
      <c r="G252" s="4">
        <v>624.37666666666667</v>
      </c>
    </row>
    <row r="253" spans="1:7" x14ac:dyDescent="0.25">
      <c r="A253">
        <v>252</v>
      </c>
      <c r="B253" s="1" t="s">
        <v>18</v>
      </c>
      <c r="C253" s="1" t="s">
        <v>505</v>
      </c>
      <c r="D253" s="1" t="s">
        <v>10</v>
      </c>
      <c r="E253" s="1" t="s">
        <v>506</v>
      </c>
      <c r="F253" s="3">
        <v>6</v>
      </c>
      <c r="G253" s="4">
        <v>1727.8536427439999</v>
      </c>
    </row>
    <row r="254" spans="1:7" x14ac:dyDescent="0.25">
      <c r="A254">
        <v>253</v>
      </c>
      <c r="B254" s="1" t="s">
        <v>18</v>
      </c>
      <c r="C254" s="1" t="s">
        <v>507</v>
      </c>
      <c r="D254" s="1" t="s">
        <v>10</v>
      </c>
      <c r="E254" s="1" t="s">
        <v>508</v>
      </c>
      <c r="F254" s="3">
        <v>5</v>
      </c>
      <c r="G254" s="4">
        <v>6626.97</v>
      </c>
    </row>
    <row r="255" spans="1:7" x14ac:dyDescent="0.25">
      <c r="A255">
        <v>254</v>
      </c>
      <c r="B255" s="1" t="s">
        <v>18</v>
      </c>
      <c r="C255" s="1" t="s">
        <v>509</v>
      </c>
      <c r="D255" s="1" t="s">
        <v>10</v>
      </c>
      <c r="E255" s="1" t="s">
        <v>510</v>
      </c>
      <c r="F255" s="3">
        <v>16</v>
      </c>
      <c r="G255" s="4">
        <v>493.54</v>
      </c>
    </row>
    <row r="256" spans="1:7" x14ac:dyDescent="0.25">
      <c r="A256">
        <v>255</v>
      </c>
      <c r="B256" s="1" t="s">
        <v>18</v>
      </c>
      <c r="C256" s="1" t="s">
        <v>511</v>
      </c>
      <c r="D256" s="1" t="s">
        <v>10</v>
      </c>
      <c r="E256" s="1" t="s">
        <v>512</v>
      </c>
      <c r="F256" s="3">
        <v>1</v>
      </c>
      <c r="G256" s="4">
        <v>1734.9826</v>
      </c>
    </row>
    <row r="257" spans="1:7" x14ac:dyDescent="0.25">
      <c r="A257">
        <v>256</v>
      </c>
      <c r="B257" s="1" t="s">
        <v>18</v>
      </c>
      <c r="C257" s="1" t="s">
        <v>513</v>
      </c>
      <c r="D257" s="1" t="s">
        <v>10</v>
      </c>
      <c r="E257" s="1" t="s">
        <v>514</v>
      </c>
      <c r="F257" s="3">
        <v>1</v>
      </c>
      <c r="G257" s="4">
        <v>740.59666666666669</v>
      </c>
    </row>
    <row r="258" spans="1:7" x14ac:dyDescent="0.25">
      <c r="A258">
        <v>257</v>
      </c>
      <c r="B258" s="1" t="s">
        <v>18</v>
      </c>
      <c r="C258" s="1" t="s">
        <v>515</v>
      </c>
      <c r="D258" s="1" t="s">
        <v>10</v>
      </c>
      <c r="E258" s="1" t="s">
        <v>516</v>
      </c>
      <c r="F258" s="3">
        <v>10</v>
      </c>
      <c r="G258" s="4">
        <v>4521</v>
      </c>
    </row>
    <row r="259" spans="1:7" x14ac:dyDescent="0.25">
      <c r="A259">
        <v>258</v>
      </c>
      <c r="B259" s="1" t="s">
        <v>18</v>
      </c>
      <c r="C259" s="1" t="s">
        <v>517</v>
      </c>
      <c r="D259" s="1" t="s">
        <v>10</v>
      </c>
      <c r="E259" s="1" t="s">
        <v>518</v>
      </c>
      <c r="F259" s="3">
        <v>7</v>
      </c>
      <c r="G259" s="4">
        <v>36332.800000000003</v>
      </c>
    </row>
    <row r="260" spans="1:7" x14ac:dyDescent="0.25">
      <c r="A260">
        <v>259</v>
      </c>
      <c r="B260" s="1" t="s">
        <v>18</v>
      </c>
      <c r="C260" s="1" t="s">
        <v>519</v>
      </c>
      <c r="D260" s="1" t="s">
        <v>10</v>
      </c>
      <c r="E260" s="1" t="s">
        <v>520</v>
      </c>
      <c r="F260" s="3">
        <v>2</v>
      </c>
      <c r="G260" s="4">
        <v>8266.41</v>
      </c>
    </row>
    <row r="261" spans="1:7" x14ac:dyDescent="0.25">
      <c r="A261">
        <v>260</v>
      </c>
      <c r="B261" s="1" t="s">
        <v>18</v>
      </c>
      <c r="C261" s="1" t="s">
        <v>521</v>
      </c>
      <c r="D261" s="1" t="s">
        <v>10</v>
      </c>
      <c r="E261" s="1" t="s">
        <v>522</v>
      </c>
      <c r="F261" s="3">
        <v>7</v>
      </c>
      <c r="G261" s="4">
        <v>489.60333333333335</v>
      </c>
    </row>
    <row r="262" spans="1:7" x14ac:dyDescent="0.25">
      <c r="A262">
        <v>261</v>
      </c>
      <c r="B262" s="1" t="s">
        <v>18</v>
      </c>
      <c r="C262" s="1" t="s">
        <v>523</v>
      </c>
      <c r="D262" s="1" t="s">
        <v>10</v>
      </c>
      <c r="E262" s="1" t="s">
        <v>524</v>
      </c>
      <c r="F262" s="3">
        <v>18</v>
      </c>
      <c r="G262" s="4">
        <v>26788.278940009688</v>
      </c>
    </row>
    <row r="263" spans="1:7" x14ac:dyDescent="0.25">
      <c r="A263">
        <v>262</v>
      </c>
      <c r="B263" s="1" t="s">
        <v>18</v>
      </c>
      <c r="C263" s="1" t="s">
        <v>525</v>
      </c>
      <c r="D263" s="1" t="s">
        <v>10</v>
      </c>
      <c r="E263" s="1" t="s">
        <v>526</v>
      </c>
      <c r="F263" s="3">
        <v>12</v>
      </c>
      <c r="G263" s="4">
        <v>9425.8596249999991</v>
      </c>
    </row>
    <row r="264" spans="1:7" x14ac:dyDescent="0.25">
      <c r="A264">
        <v>263</v>
      </c>
      <c r="B264" s="1" t="s">
        <v>18</v>
      </c>
      <c r="C264" s="1" t="s">
        <v>527</v>
      </c>
      <c r="D264" s="1" t="s">
        <v>10</v>
      </c>
      <c r="E264" s="1" t="s">
        <v>528</v>
      </c>
      <c r="F264" s="3">
        <v>6</v>
      </c>
      <c r="G264" s="4">
        <v>1648.2</v>
      </c>
    </row>
    <row r="265" spans="1:7" x14ac:dyDescent="0.25">
      <c r="A265">
        <v>264</v>
      </c>
      <c r="B265" s="1" t="s">
        <v>18</v>
      </c>
      <c r="C265" s="1" t="s">
        <v>529</v>
      </c>
      <c r="D265" s="1" t="s">
        <v>10</v>
      </c>
      <c r="E265" s="1" t="s">
        <v>530</v>
      </c>
      <c r="F265" s="3">
        <v>2</v>
      </c>
      <c r="G265" s="4">
        <v>186.34</v>
      </c>
    </row>
    <row r="266" spans="1:7" x14ac:dyDescent="0.25">
      <c r="A266">
        <v>265</v>
      </c>
      <c r="B266" s="1" t="s">
        <v>18</v>
      </c>
      <c r="C266" s="1" t="s">
        <v>531</v>
      </c>
      <c r="D266" s="1" t="s">
        <v>10</v>
      </c>
      <c r="E266" s="1" t="s">
        <v>532</v>
      </c>
      <c r="F266" s="3">
        <v>2</v>
      </c>
      <c r="G266" s="4">
        <v>2096.1</v>
      </c>
    </row>
    <row r="267" spans="1:7" x14ac:dyDescent="0.25">
      <c r="A267">
        <v>266</v>
      </c>
      <c r="B267" s="1" t="s">
        <v>18</v>
      </c>
      <c r="C267" s="1" t="s">
        <v>533</v>
      </c>
      <c r="D267" s="1" t="s">
        <v>10</v>
      </c>
      <c r="E267" s="1" t="s">
        <v>534</v>
      </c>
      <c r="F267" s="3">
        <v>2</v>
      </c>
      <c r="G267" s="4">
        <v>1274.0999999999999</v>
      </c>
    </row>
    <row r="268" spans="1:7" x14ac:dyDescent="0.25">
      <c r="A268">
        <v>267</v>
      </c>
      <c r="B268" s="1" t="s">
        <v>18</v>
      </c>
      <c r="C268" s="1" t="s">
        <v>535</v>
      </c>
      <c r="D268" s="1" t="s">
        <v>10</v>
      </c>
      <c r="E268" s="1" t="s">
        <v>536</v>
      </c>
      <c r="F268" s="3">
        <v>5</v>
      </c>
      <c r="G268" s="4">
        <v>6918.78</v>
      </c>
    </row>
    <row r="269" spans="1:7" x14ac:dyDescent="0.25">
      <c r="A269">
        <v>268</v>
      </c>
      <c r="B269" s="1" t="s">
        <v>18</v>
      </c>
      <c r="C269" s="1" t="s">
        <v>537</v>
      </c>
      <c r="D269" s="1" t="s">
        <v>390</v>
      </c>
      <c r="E269" s="1" t="s">
        <v>538</v>
      </c>
      <c r="F269" s="7">
        <v>2</v>
      </c>
      <c r="G269" s="4">
        <v>555.47439999999995</v>
      </c>
    </row>
    <row r="270" spans="1:7" x14ac:dyDescent="0.25">
      <c r="F270" s="8">
        <f>SUM(F2:F269)</f>
        <v>2528</v>
      </c>
    </row>
  </sheetData>
  <autoFilter ref="B1:AC269" xr:uid="{6CA73395-38AF-4C31-94FE-46F8264990D7}">
    <sortState xmlns:xlrd2="http://schemas.microsoft.com/office/spreadsheetml/2017/richdata2" ref="B2:AC269">
      <sortCondition sortBy="cellColor" ref="E1:E269" dxfId="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Counting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Thivanka Jayaweera</dc:creator>
  <cp:lastModifiedBy>Mohmmed Mafas Najibu Deen</cp:lastModifiedBy>
  <dcterms:created xsi:type="dcterms:W3CDTF">2025-11-04T11:24:43Z</dcterms:created>
  <dcterms:modified xsi:type="dcterms:W3CDTF">2025-11-06T09:52:39Z</dcterms:modified>
</cp:coreProperties>
</file>