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170" documentId="8_{59587AAE-B918-4E3F-98F5-73D0164D06B2}" xr6:coauthVersionLast="47" xr6:coauthVersionMax="47" xr10:uidLastSave="{EE3CCF9A-832C-4A85-8590-3FA961B23684}"/>
  <bookViews>
    <workbookView xWindow="-120" yWindow="-120" windowWidth="20730" windowHeight="11040" xr2:uid="{00000000-000D-0000-FFFF-FFFF00000000}"/>
  </bookViews>
  <sheets>
    <sheet name="Summary " sheetId="4" r:id="rId1"/>
    <sheet name="DATA" sheetId="1" r:id="rId2"/>
    <sheet name="CASH SALES " sheetId="3" r:id="rId3"/>
  </sheets>
  <definedNames>
    <definedName name="_xlnm._FilterDatabase" localSheetId="1" hidden="1">DATA!$A$1:$H$401</definedName>
  </definedName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1" i="1" l="1"/>
  <c r="G400" i="1"/>
  <c r="G399" i="1"/>
  <c r="G398" i="1"/>
  <c r="G397" i="1"/>
  <c r="G396" i="1"/>
  <c r="G395" i="1"/>
  <c r="G394" i="1"/>
  <c r="G393" i="1"/>
  <c r="G392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39" i="1"/>
  <c r="G338" i="1"/>
  <c r="G337" i="1"/>
  <c r="G336" i="1"/>
  <c r="G335" i="1"/>
  <c r="G334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69" i="1"/>
  <c r="G268" i="1"/>
  <c r="G267" i="1"/>
  <c r="G266" i="1"/>
  <c r="G265" i="1"/>
  <c r="G264" i="1"/>
  <c r="G263" i="1"/>
  <c r="G262" i="1"/>
  <c r="G261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2" i="1"/>
  <c r="G231" i="1"/>
  <c r="G229" i="1"/>
  <c r="G228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2" i="1"/>
  <c r="G211" i="1"/>
  <c r="G210" i="1"/>
  <c r="G209" i="1"/>
  <c r="G208" i="1"/>
  <c r="G206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2" i="1"/>
  <c r="G160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21" i="1"/>
  <c r="G119" i="1"/>
  <c r="G118" i="1"/>
  <c r="G117" i="1"/>
  <c r="G116" i="1"/>
  <c r="G115" i="1"/>
  <c r="G114" i="1"/>
  <c r="G112" i="1"/>
  <c r="G111" i="1"/>
  <c r="G110" i="1"/>
  <c r="G109" i="1"/>
  <c r="G108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1" i="1"/>
  <c r="G90" i="1"/>
  <c r="G89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7" i="1"/>
  <c r="G56" i="1"/>
  <c r="G55" i="1"/>
  <c r="G54" i="1"/>
  <c r="G53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8" i="1"/>
  <c r="G7" i="1"/>
  <c r="G6" i="1"/>
  <c r="G5" i="1"/>
  <c r="G4" i="1"/>
  <c r="A3" i="3"/>
  <c r="A4" i="3" s="1"/>
  <c r="A5" i="3" s="1"/>
  <c r="A6" i="3" s="1"/>
  <c r="A7" i="3" s="1"/>
  <c r="F130" i="1"/>
  <c r="F107" i="1"/>
  <c r="G107" i="1" s="1"/>
  <c r="G2" i="1"/>
  <c r="G357" i="1"/>
  <c r="G340" i="1"/>
  <c r="G333" i="1"/>
  <c r="G332" i="1"/>
  <c r="G317" i="1"/>
  <c r="G303" i="1"/>
  <c r="G271" i="1"/>
  <c r="G270" i="1"/>
  <c r="G260" i="1"/>
  <c r="G233" i="1"/>
  <c r="G230" i="1"/>
  <c r="G227" i="1"/>
  <c r="G213" i="1"/>
  <c r="G207" i="1"/>
  <c r="G205" i="1"/>
  <c r="G163" i="1"/>
  <c r="G161" i="1"/>
  <c r="G159" i="1"/>
  <c r="G141" i="1"/>
  <c r="G125" i="1"/>
  <c r="G120" i="1"/>
  <c r="G113" i="1"/>
  <c r="G92" i="1"/>
  <c r="G88" i="1"/>
  <c r="G59" i="1"/>
  <c r="G58" i="1"/>
  <c r="G52" i="1"/>
  <c r="G30" i="1"/>
  <c r="G9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tc={2AEF879D-8907-4A03-9E9E-643AA0DE2CF2}</author>
    <author>tc={8A6CF910-0C76-4D57-8536-201DC54A64C0}</author>
    <author>tc={55DB79F5-9CC7-4250-B0AD-D14B2D92CBE9}</author>
    <author>tc={2BAC6B5C-7C9C-4431-B954-256D47639C27}</author>
  </authors>
  <commentList>
    <comment ref="F107" authorId="0" shapeId="0" xr:uid="{2AEF879D-8907-4A03-9E9E-643AA0DE2CF2}">
      <text>
        <t>[Threaded comment]
Your version of Excel allows you to read this threaded comment; however, any edits to it will get removed if the file is opened in a newer version of Excel. Learn more: https://go.microsoft.com/fwlink/?linkid=870924
Comment:
    Qty 24 is available in Khaldiya Warehouse and Qty 5 is available in Riyad store</t>
      </text>
    </comment>
    <comment ref="F130" authorId="1" shapeId="0" xr:uid="{8A6CF910-0C76-4D57-8536-201DC54A64C0}">
      <text>
        <t>[Threaded comment]
Your version of Excel allows you to read this threaded comment; however, any edits to it will get removed if the file is opened in a newer version of Excel. Learn more: https://go.microsoft.com/fwlink/?linkid=870924
Comment:
    Qty 5 is available in Riyad store</t>
      </text>
    </comment>
    <comment ref="F233" authorId="2" shapeId="0" xr:uid="{55DB79F5-9CC7-4250-B0AD-D14B2D92CBE9}">
      <text>
        <t>[Threaded comment]
Your version of Excel allows you to read this threaded comment; however, any edits to it will get removed if the file is opened in a newer version of Excel. Learn more: https://go.microsoft.com/fwlink/?linkid=870924
Comment:
    Qty 5 is Available in Riyadh Store</t>
      </text>
    </comment>
    <comment ref="F382" authorId="3" shapeId="0" xr:uid="{2BAC6B5C-7C9C-4431-B954-256D47639C27}">
      <text>
        <t>[Threaded comment]
Your version of Excel allows you to read this threaded comment; however, any edits to it will get removed if the file is opened in a newer version of Excel. Learn more: https://go.microsoft.com/fwlink/?linkid=870924
Comment:
    Qty 2 is available in Riyadh Store</t>
      </text>
    </comment>
  </commentList>
</comments>
</file>

<file path=xl/sharedStrings.xml><?xml version="1.0" encoding="utf-8"?>
<sst xmlns="http://schemas.openxmlformats.org/spreadsheetml/2006/main" count="1640" uniqueCount="841">
  <si>
    <t>ITEM_CODE</t>
  </si>
  <si>
    <t>PARTY_NAME</t>
  </si>
  <si>
    <t>ITEM_DESCRIPTION</t>
  </si>
  <si>
    <t>CLOSING_QTY</t>
  </si>
  <si>
    <t>2500007806</t>
  </si>
  <si>
    <t>ELGI Gulf FZE</t>
  </si>
  <si>
    <t xml:space="preserve">AIR FILTER ASSY, PN 220419499   </t>
  </si>
  <si>
    <t>QURUM Technical Company</t>
  </si>
  <si>
    <t xml:space="preserve">AIR OIL SEPERATOR SPINON PN B006700770010 </t>
  </si>
  <si>
    <t>2500006057</t>
  </si>
  <si>
    <t>MINIMUM PRESSURE VALVE KIT PN B009301070002</t>
  </si>
  <si>
    <t>2500006130</t>
  </si>
  <si>
    <t>SERVICE KIT FOR HDKG120 PN B009401070002</t>
  </si>
  <si>
    <t>2500005842</t>
  </si>
  <si>
    <t>DRIVE COUPLING INSERT UCW276 PN B005401170005</t>
  </si>
  <si>
    <t>2500006131</t>
  </si>
  <si>
    <t>BDV KIT HDKG120 PN B009401070003</t>
  </si>
  <si>
    <t>2500003544</t>
  </si>
  <si>
    <t>KIT,VALVE BLOW DOWN,1/2"NPT PN 220371089</t>
  </si>
  <si>
    <t>2500005935</t>
  </si>
  <si>
    <t>SOLENOID VALVE NC,24V,50HZ PN B007300990004</t>
  </si>
  <si>
    <t>2500008072</t>
  </si>
  <si>
    <t xml:space="preserve">Diesel Portable compressor 400 cfm PN PG400-150 </t>
  </si>
  <si>
    <t>2500008102</t>
  </si>
  <si>
    <t xml:space="preserve">4963718_SOLENOID,FUEL  PN B013603500382    </t>
  </si>
  <si>
    <t>2500008130</t>
  </si>
  <si>
    <t xml:space="preserve">AIR FILTER ELEMENT PN B574607      </t>
  </si>
  <si>
    <t>2500008146</t>
  </si>
  <si>
    <t>2/5 DETENT VALVE MDL PG 400-150,300-100,300-150,750-125,850-125 PN B003800170001</t>
  </si>
  <si>
    <t>2500008171</t>
  </si>
  <si>
    <t xml:space="preserve">Coupling Element MDL EG55 PN B011200830003                           </t>
  </si>
  <si>
    <t>2500008222</t>
  </si>
  <si>
    <t xml:space="preserve">F2 HAKG50 INTAKE-PN B009401070007           </t>
  </si>
  <si>
    <t>2500008249</t>
  </si>
  <si>
    <t>ELGI Equipments Limited</t>
  </si>
  <si>
    <t xml:space="preserve">SK274A - DESICCANT WITH SEAL KIT PN B015000110159 </t>
  </si>
  <si>
    <t>2500008250</t>
  </si>
  <si>
    <t xml:space="preserve">Non return valve 1/8"  PN B004100170001  </t>
  </si>
  <si>
    <t>2500008257</t>
  </si>
  <si>
    <t xml:space="preserve">SWITCH REVERSE ROTATION PN 8941151 </t>
  </si>
  <si>
    <t>2500008293</t>
  </si>
  <si>
    <t xml:space="preserve">SINGLE ACTING ACTUATOR HOERBIG PN B011501070001  </t>
  </si>
  <si>
    <t>2500008294</t>
  </si>
  <si>
    <t xml:space="preserve">AIR FILTER KIT1000 CFM PN B005700730005   </t>
  </si>
  <si>
    <t>2500008356</t>
  </si>
  <si>
    <t>KIT ACTUATOR P N B011405770002</t>
  </si>
  <si>
    <t>2500008380</t>
  </si>
  <si>
    <t xml:space="preserve">PIPE MPV TO COOLER P N 15401649        </t>
  </si>
  <si>
    <t>2500008396</t>
  </si>
  <si>
    <t xml:space="preserve">AUTO DRAIN VALVE - F3 PN B000306040013       </t>
  </si>
  <si>
    <t>2500008397</t>
  </si>
  <si>
    <t xml:space="preserve">VALVE, DCV, PUSH PULL, G1/4 PN B003801070001        </t>
  </si>
  <si>
    <t>2900000011</t>
  </si>
  <si>
    <t xml:space="preserve">MESSER CUTTING SYSTEMS INDIA PRIVATE LIMITED </t>
  </si>
  <si>
    <t xml:space="preserve"> 5/2 Roller lever valve- G1/8 -P N 80336038</t>
  </si>
  <si>
    <t>2500008445</t>
  </si>
  <si>
    <t>P2600640_PRIMARY ELEMENT  P N B013603050056</t>
  </si>
  <si>
    <t>2500008444</t>
  </si>
  <si>
    <t xml:space="preserve">KIT AIR FILTER ELEMENT HINO  P N 32304539 </t>
  </si>
  <si>
    <t>2500008450</t>
  </si>
  <si>
    <t>Separator Element(PN-X018332)</t>
  </si>
  <si>
    <t>2500008455</t>
  </si>
  <si>
    <t xml:space="preserve">OIL FILTER P N B004800770003   </t>
  </si>
  <si>
    <t xml:space="preserve">RECEIVER KIT EN73 V3 270 </t>
  </si>
  <si>
    <t>2500008487</t>
  </si>
  <si>
    <t>AF 0059F ,Fine Filter -59 cfm  B003308170021</t>
  </si>
  <si>
    <t>2500008488</t>
  </si>
  <si>
    <t>AF 0088P ,Pre Filter ,88 cfm B003308170005</t>
  </si>
  <si>
    <t>2500008535</t>
  </si>
  <si>
    <t>HEX NIPPLE WITH LOCK NUT &amp; ORING 1/4" X 1/8"(PN 15306565)</t>
  </si>
  <si>
    <t>2500008560</t>
  </si>
  <si>
    <t xml:space="preserve">DCV 3.0" ASSEMBLY , A970027 </t>
  </si>
  <si>
    <t>2500008570</t>
  </si>
  <si>
    <t>Summits Hygronics Private Limited</t>
  </si>
  <si>
    <t xml:space="preserve">MATL : Summits Sub Micro filter with Inbuilt drain valve. Suitable to handle 60cfm,Model SF 006 DY, working pressure of 7 - 16 bar g, </t>
  </si>
  <si>
    <t>2500008599</t>
  </si>
  <si>
    <t>Oil Filter Element, B004800770004</t>
  </si>
  <si>
    <t>2500008662</t>
  </si>
  <si>
    <t xml:space="preserve">MATL :  ELBOW, RUBBER, 8"X7" P/N: 220375380 </t>
  </si>
  <si>
    <t>2500008693</t>
  </si>
  <si>
    <t xml:space="preserve">MATL: Fittings Kit; P/N: 12476659     </t>
  </si>
  <si>
    <t>2500008700</t>
  </si>
  <si>
    <t xml:space="preserve">MATL:  FUEL PUMP  B013603500322    </t>
  </si>
  <si>
    <t>2500008757</t>
  </si>
  <si>
    <t xml:space="preserve">5275527_ENGINE AIR FILTER P/N-B013603500433    </t>
  </si>
  <si>
    <t>2500008773</t>
  </si>
  <si>
    <t xml:space="preserve">HOSE ASSY 1 1/2" P/N-35301850   </t>
  </si>
  <si>
    <t>2500008867</t>
  </si>
  <si>
    <t xml:space="preserve">Refrigerent air dryer ELIX 125 DA    </t>
  </si>
  <si>
    <t>2500008878</t>
  </si>
  <si>
    <t xml:space="preserve">DRIVE COUPLING ASSY(PN B545902)                           </t>
  </si>
  <si>
    <t>2500008920</t>
  </si>
  <si>
    <t xml:space="preserve">ELGI Encaps crew air compressor  EN 5-100 380V/60HZ  S014697 </t>
  </si>
  <si>
    <t>2500008956</t>
  </si>
  <si>
    <t>2879766 TACHOMETER NTA P/N-B013603500500</t>
  </si>
  <si>
    <t>2500008973</t>
  </si>
  <si>
    <t>COUPLING TDS-27/DT-27 DV0</t>
  </si>
  <si>
    <t>2500008966</t>
  </si>
  <si>
    <t>SLACKNESS CABLE-1200      P/N B016206800006</t>
  </si>
  <si>
    <t>2500009191</t>
  </si>
  <si>
    <t xml:space="preserve"> Desc:4080720 STRAINER FUEL| P/N:B013603500362</t>
  </si>
  <si>
    <t>2500009215</t>
  </si>
  <si>
    <t>"AF 1121PF 2 1/2'' BSP  "</t>
  </si>
  <si>
    <t>2500005890</t>
  </si>
  <si>
    <t xml:space="preserve">AIRFILTER ELEMENT E30TO37 PN B005700770006  </t>
  </si>
  <si>
    <t>2500001400</t>
  </si>
  <si>
    <t xml:space="preserve">SOLENOID VALVE 1/4" 110V AC NC PN 10464170  </t>
  </si>
  <si>
    <t xml:space="preserve">AIR FILTER ELEMENT E11-15 PN B005700770004 </t>
  </si>
  <si>
    <t>2500006140</t>
  </si>
  <si>
    <t>Intake valve kit PN B009405770006</t>
  </si>
  <si>
    <t>2500008040</t>
  </si>
  <si>
    <t>Screw Air compressor, 11KW/15HP,51CFM ,10BAR,380V,60HZ, PN EN 11-150</t>
  </si>
  <si>
    <t>2500008048</t>
  </si>
  <si>
    <t>Refrigerent air dryer ,80CFM,14BAR,230V/60HZ PN EGRD080</t>
  </si>
  <si>
    <t>2500008050</t>
  </si>
  <si>
    <t xml:space="preserve">Refrigerent air dryer ,200CFM,14BAR,230V/60HZ PN EGRD200 </t>
  </si>
  <si>
    <t>2500008055</t>
  </si>
  <si>
    <t xml:space="preserve">Refrigerent air dryer ,750CFM,14BAR,380V/60HZ PN EGRD750  </t>
  </si>
  <si>
    <t>2500008039</t>
  </si>
  <si>
    <t xml:space="preserve">Dicharge Check Valve PN 35400469  </t>
  </si>
  <si>
    <t>2500008078</t>
  </si>
  <si>
    <t>Auto drain valve PN B001300110004</t>
  </si>
  <si>
    <t>2500005599</t>
  </si>
  <si>
    <t xml:space="preserve">AUTO DRAIN VALVE F5 &amp; F6 PN B001302940001 </t>
  </si>
  <si>
    <t>2500008131</t>
  </si>
  <si>
    <t xml:space="preserve">OIL FILTER ELEMENT PN B407701       </t>
  </si>
  <si>
    <t>2500008136</t>
  </si>
  <si>
    <t>Rubber Elbow, 4" MDL 300/100 PN 220375400</t>
  </si>
  <si>
    <t>2500008138</t>
  </si>
  <si>
    <t>DISCH CHECK VALVE 60 MDL 300/100 PN B009801070002</t>
  </si>
  <si>
    <t>2500008141</t>
  </si>
  <si>
    <t>ACTUATOR ASSY, SINGLE ACTING MDL 300/100,PG 900 - 200 PN A030006</t>
  </si>
  <si>
    <t>2500008159</t>
  </si>
  <si>
    <t xml:space="preserve">BDV Assembly MDL E11 - E160 PN A010345            </t>
  </si>
  <si>
    <t>2500008169</t>
  </si>
  <si>
    <t xml:space="preserve">Coupling Element EG18-E22 PN B011201170002                             </t>
  </si>
  <si>
    <t>2500008172</t>
  </si>
  <si>
    <t xml:space="preserve">Coupling Element MDL EG110-EG160 PN B005401170007                             </t>
  </si>
  <si>
    <t>2500008223</t>
  </si>
  <si>
    <t xml:space="preserve">MPV Kit- PN B009301070014           </t>
  </si>
  <si>
    <t>2500008242</t>
  </si>
  <si>
    <t xml:space="preserve">ELEMENT, AIR CLEANER PN B013603500460 </t>
  </si>
  <si>
    <t>2500008246</t>
  </si>
  <si>
    <t xml:space="preserve">VALVE SOLENOID E1 PN B015000110080 </t>
  </si>
  <si>
    <t>2500008253</t>
  </si>
  <si>
    <t xml:space="preserve">3815929_SAFETY CATRIDGE PN B013603500582 </t>
  </si>
  <si>
    <t>2500008256</t>
  </si>
  <si>
    <t xml:space="preserve">VALVE KIT A/INTAKE 4" AIRCON  PN 10331099 </t>
  </si>
  <si>
    <t>2500008261</t>
  </si>
  <si>
    <t xml:space="preserve">VALVE ASSY, PR REG, 1/4"NPT PN 220317590 </t>
  </si>
  <si>
    <t>2500008333</t>
  </si>
  <si>
    <t xml:space="preserve">Belt P N  B014606410075     </t>
  </si>
  <si>
    <t>2500008335</t>
  </si>
  <si>
    <t xml:space="preserve">ORING KIT EN 73 V3  P N 12476669        </t>
  </si>
  <si>
    <t>2500008350</t>
  </si>
  <si>
    <t xml:space="preserve">Intake valve kit PN B009401070009 </t>
  </si>
  <si>
    <t>2500008352</t>
  </si>
  <si>
    <t xml:space="preserve">BDV Kit P N 220322889 </t>
  </si>
  <si>
    <t>2500008413</t>
  </si>
  <si>
    <t xml:space="preserve">Engine air filter - Secondary P N 162-0087-S </t>
  </si>
  <si>
    <t>2500008414</t>
  </si>
  <si>
    <t xml:space="preserve">Compressor oil filter P N 099-008-S </t>
  </si>
  <si>
    <t>2500008415</t>
  </si>
  <si>
    <t xml:space="preserve">Air oil seperator filter P N 157-171-S  </t>
  </si>
  <si>
    <t>2900000050</t>
  </si>
  <si>
    <t xml:space="preserve">"Capacity of 400cfm (200cfm @ 45°C Ambient &amp; 55°C Inlet), Model SI 040 DA, Inlet operating air pressure of 7 - 12 bar g, outlet Pressure Dew point of +3C (PDP), Air inlet temperature upto 55C,"  </t>
  </si>
  <si>
    <t>2500008442</t>
  </si>
  <si>
    <t xml:space="preserve">OIL FILTER ELEMENT 25 LPM NEW P N X018283 </t>
  </si>
  <si>
    <t>2500008446</t>
  </si>
  <si>
    <t xml:space="preserve">P1301640_SECONDARY ELEMENT MIC  P N B013603050055 </t>
  </si>
  <si>
    <t>2500008476</t>
  </si>
  <si>
    <t>AIR FILTER KIT Part  Number : B574609AIR OIL SEPERATOR 10S PN B676103</t>
  </si>
  <si>
    <t>2500008507</t>
  </si>
  <si>
    <t xml:space="preserve">AIR FILTER PART NO 12475869 </t>
  </si>
  <si>
    <t>2500008545</t>
  </si>
  <si>
    <t xml:space="preserve">Diesel Portable compressor 380 cfm PN PG380-150  </t>
  </si>
  <si>
    <t>2500008556</t>
  </si>
  <si>
    <t xml:space="preserve">Engine: Yanmar 4TNV 88Capacity: 200 cfm, Pressure: 100 PSI S03231  PG 200-100 </t>
  </si>
  <si>
    <t>2500008563</t>
  </si>
  <si>
    <t xml:space="preserve">MATL : ELIX Summits PLATRONIKA Fully Automatic Continues Operation Refrigerant Air dryer . 100cfm (2.83m3/min), Model Elix 010 DA </t>
  </si>
  <si>
    <t>2500008567</t>
  </si>
  <si>
    <t xml:space="preserve">MATL : ELIX Summits PLATRONIKA Fully Automatic Continues Operation Refrigerant Air dryer.500cfm (14.15m3/min), Model Elix 050DA </t>
  </si>
  <si>
    <t>2500008597</t>
  </si>
  <si>
    <t>MINIMUM PRESSURE VALVE</t>
  </si>
  <si>
    <t>2500008621</t>
  </si>
  <si>
    <t xml:space="preserve">MATL : ELBOW; REDU; RUBBER; 6"X4 PART NO: 220373320  </t>
  </si>
  <si>
    <t>2500008645</t>
  </si>
  <si>
    <t xml:space="preserve">ACTUATOR PNEU; P/N: B011406760001          </t>
  </si>
  <si>
    <t>2500008647</t>
  </si>
  <si>
    <t xml:space="preserve">MATL : BLOW DOWN VALVE KIT P/N : 972300030    </t>
  </si>
  <si>
    <t>2500008725</t>
  </si>
  <si>
    <t xml:space="preserve">MOISTURE SEPARATOR ( MS150) F2 P/N- B000305480003   </t>
  </si>
  <si>
    <t>2500008819</t>
  </si>
  <si>
    <t xml:space="preserve">OKI BERING MIDDLE EAST FZE </t>
  </si>
  <si>
    <t xml:space="preserve">SIZE 1 (15-25MM)OXY-PROPANE CUTTING TIP P/N-00 1502904  </t>
  </si>
  <si>
    <t>TBi Industries GmbH</t>
  </si>
  <si>
    <t xml:space="preserve">TBI 240 5M expert P/N-112P321050                     </t>
  </si>
  <si>
    <t>2500008855</t>
  </si>
  <si>
    <t xml:space="preserve">SF 004 DX, 40cfm-Prefilter  </t>
  </si>
  <si>
    <t>2500008871</t>
  </si>
  <si>
    <t xml:space="preserve">Nozzle con. diam. 12.5mm PN-345P012012                      </t>
  </si>
  <si>
    <t>2500008873</t>
  </si>
  <si>
    <t xml:space="preserve">Gas diffusor ceramic PN-112P002021                      </t>
  </si>
  <si>
    <t>2500008891</t>
  </si>
  <si>
    <t xml:space="preserve">SEPARATOR ELEMENT 1600 CFM P/N-B677701                                     </t>
  </si>
  <si>
    <t>2500008904</t>
  </si>
  <si>
    <t xml:space="preserve">CO2 REGULATOR W/HEATER 220V - BS P/N-900 CO2RH220V   </t>
  </si>
  <si>
    <t>2500008958</t>
  </si>
  <si>
    <t xml:space="preserve">ELGI screw air compressor EG 160-150 380V/60HZ </t>
  </si>
  <si>
    <t>2500009027</t>
  </si>
  <si>
    <t>NEURON XT CONNECTOR SET P/N:897903T</t>
  </si>
  <si>
    <t>2500009140</t>
  </si>
  <si>
    <t>Hose MPV to A/F Cooler     P/N- 15303604  </t>
  </si>
  <si>
    <t>2500009162</t>
  </si>
  <si>
    <t>INNER 3814313_ENGINE AIR FILTE| PN:1</t>
  </si>
  <si>
    <t>2500009194</t>
  </si>
  <si>
    <t xml:space="preserve"> Desc:BDV KIT WITH SOLENOID VALVE| P/N:B009401070018</t>
  </si>
  <si>
    <t>2500000779</t>
  </si>
  <si>
    <t xml:space="preserve">OIL AIR LUBE XD-20L (BPCL) PN 998053  </t>
  </si>
  <si>
    <t>2500005714</t>
  </si>
  <si>
    <t xml:space="preserve">AIR FILTER ELEMENT-F4-75KW PN B004700770031  </t>
  </si>
  <si>
    <t>2500005718</t>
  </si>
  <si>
    <t xml:space="preserve">AIR FILTER ASSY F6 OPEN TYPE PN B004700770036  </t>
  </si>
  <si>
    <t>2500006877</t>
  </si>
  <si>
    <t xml:space="preserve">AIR OIL SEPERATOR ASSY 400CFM PN B674601 </t>
  </si>
  <si>
    <t>2500005915</t>
  </si>
  <si>
    <t xml:space="preserve">AIR-OIL SEPARATOR PN B006700770024 </t>
  </si>
  <si>
    <t>2500001368</t>
  </si>
  <si>
    <t xml:space="preserve">ELEMENT, SEPERATOR,2016TS HOR PN 10454350 </t>
  </si>
  <si>
    <t>2500001778</t>
  </si>
  <si>
    <t xml:space="preserve">SEAL SHAFT55X70X12 AXIS-159 CW PN 13436254 </t>
  </si>
  <si>
    <t>2500001786</t>
  </si>
  <si>
    <t xml:space="preserve">SEAL SHAFT70X85X12 AXIS-225 CW  PN 13436272 </t>
  </si>
  <si>
    <t>2500002325</t>
  </si>
  <si>
    <t xml:space="preserve">PRE FILTER PN 15403266 </t>
  </si>
  <si>
    <t>2500008044</t>
  </si>
  <si>
    <t>Screw Air compressor ,37KW/50HP,203CFM,10BAR,380V/60HZ PN EG 37-150</t>
  </si>
  <si>
    <t>2500008046</t>
  </si>
  <si>
    <t>Screw Air compressor ,55KW/75HP,283CFM,10BAR,380V/60HZ PN EG 55-150</t>
  </si>
  <si>
    <t>2500005929</t>
  </si>
  <si>
    <t>SOLENOID VALVE 2 WAY 24V AC PN B007300170002</t>
  </si>
  <si>
    <t>2500006045</t>
  </si>
  <si>
    <t xml:space="preserve">THERMAL ELEMENT 75 DEG CELCIUS PN B008706030008 </t>
  </si>
  <si>
    <t>2500008143</t>
  </si>
  <si>
    <t>PRESSURE GAUGE 0-16 Kg/cm2 MD PG400/150 PN B002106840003</t>
  </si>
  <si>
    <t>2500008185</t>
  </si>
  <si>
    <t xml:space="preserve">AIR FILTER KIT PN B004700460001                     </t>
  </si>
  <si>
    <t>2500008214</t>
  </si>
  <si>
    <t xml:space="preserve">Kit inlet air cleaner dry PN 22400929   </t>
  </si>
  <si>
    <t>2500008216</t>
  </si>
  <si>
    <t xml:space="preserve">MPV Assembly PN A990080     </t>
  </si>
  <si>
    <t>2500008251</t>
  </si>
  <si>
    <t xml:space="preserve">AIR FILTER PN B005700770015 </t>
  </si>
  <si>
    <t>2500008285</t>
  </si>
  <si>
    <t xml:space="preserve">BDV ASSEMBLY KIT EIV 102 PN 972300080  </t>
  </si>
  <si>
    <t>2500008287</t>
  </si>
  <si>
    <t xml:space="preserve">MPV KIT,EN 102  PN A990293    </t>
  </si>
  <si>
    <t>2500008354</t>
  </si>
  <si>
    <t xml:space="preserve">MPV kit (45KW) P N B009405770008 </t>
  </si>
  <si>
    <t>2500008409</t>
  </si>
  <si>
    <t xml:space="preserve">Oil Filter Kit P N X017503  </t>
  </si>
  <si>
    <t>2500008437</t>
  </si>
  <si>
    <t>Suction Hose Pre filter Box to Air filter, PN B005506260002</t>
  </si>
  <si>
    <t>2500008452</t>
  </si>
  <si>
    <t>ELGI AIR LUBE XD-5L ( EACH= 5 LITER CAN ) P N 998118</t>
  </si>
  <si>
    <t>2500008454</t>
  </si>
  <si>
    <t xml:space="preserve">Separator E30-E45   P N B006700770013   </t>
  </si>
  <si>
    <t>2500008466</t>
  </si>
  <si>
    <t xml:space="preserve">OIL SIGHT GLASS G1/2   B004606280001   </t>
  </si>
  <si>
    <t>2500008489</t>
  </si>
  <si>
    <t>AF 0088F ,Fine Filter -88cfm B003308170023</t>
  </si>
  <si>
    <t>2500008506</t>
  </si>
  <si>
    <t>Intake Valve EG 18  B009801070012</t>
  </si>
  <si>
    <t>2500008532</t>
  </si>
  <si>
    <t>SLEEVE FOR 6x4MM TUBE(PN 959763)</t>
  </si>
  <si>
    <t>2500008509</t>
  </si>
  <si>
    <t xml:space="preserve">TUBINGS 6MM  PART NO : 920620 </t>
  </si>
  <si>
    <t>2500008568</t>
  </si>
  <si>
    <t xml:space="preserve">MATL : ELIX Summits PLATRONIKA Fully Automatic Continues Operation Refrigerant Air dryer.800cfm (22.65m3/min), Model Elix 080DA </t>
  </si>
  <si>
    <t>2500008572</t>
  </si>
  <si>
    <t xml:space="preserve">MATL : Summits Sub Micro filter with Inbuilt drain valve. Suitable to handle 120cfm, Model SF 012 DY, working pressure of 7 - 16 bar g </t>
  </si>
  <si>
    <t>2500008576</t>
  </si>
  <si>
    <t xml:space="preserve">MATL : Summits Activated Carbon filter with Inbuilt drain valve.Suitable to handle 310cfm, Model SF 035 DA,working pressure of 7 - 16 bar g </t>
  </si>
  <si>
    <t>2500008598</t>
  </si>
  <si>
    <t>Separator element with gasket,B006700770021</t>
  </si>
  <si>
    <t>2500008615</t>
  </si>
  <si>
    <t xml:space="preserve">MATL : Pre filter -AF 0294F 1 1/2'' BSP  </t>
  </si>
  <si>
    <t>2500008630</t>
  </si>
  <si>
    <t xml:space="preserve">MATL : AIR FILTER KIT B574609       </t>
  </si>
  <si>
    <t>2500008696</t>
  </si>
  <si>
    <t xml:space="preserve">MATL: TRANSPARENT TUBE 6X4; P/N: B010301230001       </t>
  </si>
  <si>
    <t>2500008756</t>
  </si>
  <si>
    <t xml:space="preserve">KIT AIR FILTER A/E - 1500-400 P/N- 32304579    </t>
  </si>
  <si>
    <t>2500008870</t>
  </si>
  <si>
    <t xml:space="preserve">Contact tip holder M6/L=26mm PN- 342P006012                      </t>
  </si>
  <si>
    <t>2500008885</t>
  </si>
  <si>
    <t xml:space="preserve">PIPE COUPLING STYLE 12 1 P/N-B56XX07                                  </t>
  </si>
  <si>
    <t>2500008902</t>
  </si>
  <si>
    <t xml:space="preserve">ORIFICE CONTROL 1/8x1/4NPT 2.5   </t>
  </si>
  <si>
    <t>2500008941</t>
  </si>
  <si>
    <t xml:space="preserve">ELBOW; TMS; 1/4"X1/4"NPT P/N-22047681B </t>
  </si>
  <si>
    <t>2500008953</t>
  </si>
  <si>
    <t xml:space="preserve">Blowdwon Valve Assy. B009401070017   </t>
  </si>
  <si>
    <t>2500008957</t>
  </si>
  <si>
    <t>RING, ADAPTER, 20S P/N-22027262A</t>
  </si>
  <si>
    <t>2500009006</t>
  </si>
  <si>
    <t>"Screw Air compressor  EG 132P-125 VFD S014542"</t>
  </si>
  <si>
    <t>2500009008</t>
  </si>
  <si>
    <t xml:space="preserve">AF 0912PF 2 1/2'' BSP </t>
  </si>
  <si>
    <t>2500009025</t>
  </si>
  <si>
    <t>MOS Kit P/N:B000305480005</t>
  </si>
  <si>
    <t>2500009023</t>
  </si>
  <si>
    <t>GREASE-EM UNIREX N3 P/N:15404151</t>
  </si>
  <si>
    <t>2500009187</t>
  </si>
  <si>
    <t>TL999LLX1X0034BSTDO10 VT TSW  | P/N-B171901</t>
  </si>
  <si>
    <t>2500009189</t>
  </si>
  <si>
    <t xml:space="preserve">600cfm, Model SI 060 DA </t>
  </si>
  <si>
    <t>2500009235</t>
  </si>
  <si>
    <t>Gulf Level Trading Company</t>
  </si>
  <si>
    <t>1003204103 - COMPLETE PISTON HOSING</t>
  </si>
  <si>
    <t>2500009239</t>
  </si>
  <si>
    <t>1001413 - OIL PUMP</t>
  </si>
  <si>
    <t xml:space="preserve">Element, Air Filter, EN73s PN B005705760002  </t>
  </si>
  <si>
    <t>2500005891</t>
  </si>
  <si>
    <t xml:space="preserve">AIRFILTER ELEMENT E45TO55 PN B005700770007  </t>
  </si>
  <si>
    <t xml:space="preserve">600CFM Air Oil Seprator  PN B006700770009 </t>
  </si>
  <si>
    <t>2500005917</t>
  </si>
  <si>
    <t xml:space="preserve">Air-Oil Separator-F4-75KW PN B006700770027  </t>
  </si>
  <si>
    <t xml:space="preserve">E75 AIR OIL SEPARATOR PN B006700770007 </t>
  </si>
  <si>
    <t>2500001787</t>
  </si>
  <si>
    <t xml:space="preserve">INNER RING IR 60X70X25 (225) PN 13436293 </t>
  </si>
  <si>
    <t>2500006908</t>
  </si>
  <si>
    <t xml:space="preserve">SOLENOID VALVE 240V NC PN B738208 </t>
  </si>
  <si>
    <t>2500005581</t>
  </si>
  <si>
    <t>PRE FILTER-EG 55 kW PN B000606250001</t>
  </si>
  <si>
    <t>2500005578</t>
  </si>
  <si>
    <t xml:space="preserve">PREFILTER-90-160 Kw PN B000606160001 </t>
  </si>
  <si>
    <t>2500008058</t>
  </si>
  <si>
    <t>Pre-filter PN PFE0053</t>
  </si>
  <si>
    <t>2500008145</t>
  </si>
  <si>
    <t>BUTTERFLY VALVE 6" Imported MDL PG 900 - 200 PN B009705790001</t>
  </si>
  <si>
    <t>2500008147</t>
  </si>
  <si>
    <t>CABLE SET CONTROL MDL 300/100 PN 35302579</t>
  </si>
  <si>
    <t>2500008148</t>
  </si>
  <si>
    <t xml:space="preserve">KIT OIL STOP VALVE MDL PG 400-150,300-100,300-150,750-125,850-125 PN 220310329    </t>
  </si>
  <si>
    <t>2500008168</t>
  </si>
  <si>
    <t xml:space="preserve">Coupling Element MDL E55 PN 12437610                     </t>
  </si>
  <si>
    <t>2500008202</t>
  </si>
  <si>
    <t>AIR FILTER PART NO B004700770038</t>
  </si>
  <si>
    <t>2500008206</t>
  </si>
  <si>
    <t xml:space="preserve">ELEMENT PREFILTER - 0108 PART NO.  12400052 </t>
  </si>
  <si>
    <t>2500008220</t>
  </si>
  <si>
    <t xml:space="preserve">Solenoid Valve PN B009800780015         </t>
  </si>
  <si>
    <t>2500008247</t>
  </si>
  <si>
    <t xml:space="preserve">SK239A - EXHA VALVE SPARE KIT PN B015000110162 </t>
  </si>
  <si>
    <t>2500008252</t>
  </si>
  <si>
    <t xml:space="preserve">3815928_PRIMARY CATRIDGE PN B013603500581 </t>
  </si>
  <si>
    <t>2500008254</t>
  </si>
  <si>
    <t xml:space="preserve">MINIMUM PRESSURE VALVE PN.B009301070008 </t>
  </si>
  <si>
    <t>2500008262</t>
  </si>
  <si>
    <t>CONNECTOR; RUBBER; 6" P N 220371770</t>
  </si>
  <si>
    <t>2500008274</t>
  </si>
  <si>
    <t xml:space="preserve">Screw air compressor 7KW,10HP ,34 cfm,380V,3P Model EN7-10 </t>
  </si>
  <si>
    <t>2500008284</t>
  </si>
  <si>
    <t xml:space="preserve">INTAKE VALVE KIT EIV 102 PN 972300040 </t>
  </si>
  <si>
    <t>2500008351</t>
  </si>
  <si>
    <t xml:space="preserve">MPV KIT P N 220210379 </t>
  </si>
  <si>
    <t>2500008394</t>
  </si>
  <si>
    <t xml:space="preserve"> Flexible Hose PN B010406260006        </t>
  </si>
  <si>
    <t>2500008408</t>
  </si>
  <si>
    <t xml:space="preserve">AIR FILTER ASSY 530 CFM P N B004700770039 </t>
  </si>
  <si>
    <t>2500008416</t>
  </si>
  <si>
    <t xml:space="preserve">S03268 PG 850-150S (Standard unit-without A/c)  </t>
  </si>
  <si>
    <t>2500008418</t>
  </si>
  <si>
    <t xml:space="preserve">ELEMENT FINE FILTER PN B004000040018  </t>
  </si>
  <si>
    <t>2500008425</t>
  </si>
  <si>
    <t xml:space="preserve">Drive Coupling PN B005404400002   </t>
  </si>
  <si>
    <t>2500008558</t>
  </si>
  <si>
    <t xml:space="preserve">ENGINE AIRFILTER KIT - 32400249 </t>
  </si>
  <si>
    <t>2500008565</t>
  </si>
  <si>
    <t xml:space="preserve">MATL : ELIX Summits PLATRONIKA Fully Automatic Continues Operation Refrigerant Air dryer .300cfm (8.49m3/min), Model Elix 030 DA </t>
  </si>
  <si>
    <t>2500008573</t>
  </si>
  <si>
    <t xml:space="preserve">MATL : Summits Micro filter with Inbuilt drain valve. Suitable to handle 200cfm, Model SF 020 DX, working pressure of 7 - 16 bar g </t>
  </si>
  <si>
    <t xml:space="preserve">MATL : THERMAL VALVE KIT    12484859    </t>
  </si>
  <si>
    <t>2500008663</t>
  </si>
  <si>
    <t xml:space="preserve">MATL : DC-Vulastik-T500 P/N: B005405750012  </t>
  </si>
  <si>
    <t>2500008821</t>
  </si>
  <si>
    <t xml:space="preserve">Argon flowmeter regulator P/N-900 3100680     </t>
  </si>
  <si>
    <t>2500008856</t>
  </si>
  <si>
    <t xml:space="preserve">SF 004 DY, 40cfm-Fine Filter  </t>
  </si>
  <si>
    <t>2500008866</t>
  </si>
  <si>
    <t xml:space="preserve">Screw Air compressor EG 110-150 380V/60HZ S012990    </t>
  </si>
  <si>
    <t>2500008881</t>
  </si>
  <si>
    <t xml:space="preserve">ELIX 080 DA, 800cfm  ,460V ,60 Hz                              </t>
  </si>
  <si>
    <t>2500008886</t>
  </si>
  <si>
    <t xml:space="preserve">PRESSURE RELIEF VALVE, 1/2" NPT P/N-A010019                                   </t>
  </si>
  <si>
    <t>2500008894</t>
  </si>
  <si>
    <t xml:space="preserve">Size 2 : (25-50mm) Oxy propane cutting tip | P/N-900 1502905                                         </t>
  </si>
  <si>
    <t>2500008939</t>
  </si>
  <si>
    <t>ROD,PISTON,MPV,25S.M/C P/N-220214710</t>
  </si>
  <si>
    <t>2500009020</t>
  </si>
  <si>
    <t>"VERTICAL AIR RECEIVER TANK CAPACITY – 4000 Liters Working Pressure – 10 bar Design Pressure -12 bar"</t>
  </si>
  <si>
    <t>2500009165</t>
  </si>
  <si>
    <t xml:space="preserve">Closed Air Filter, EN73s| PN:3 </t>
  </si>
  <si>
    <t>2500009192</t>
  </si>
  <si>
    <t xml:space="preserve"> Desc:NC THERMAL VALVE KIT 65 DEG F5| P/N:12477649</t>
  </si>
  <si>
    <t>2500009298</t>
  </si>
  <si>
    <t xml:space="preserve">Intake valve - 3" P/N-B009806750002 </t>
  </si>
  <si>
    <t>2500005900</t>
  </si>
  <si>
    <t xml:space="preserve">A/F PRIMARY-185CFM PN B005706740002 </t>
  </si>
  <si>
    <t xml:space="preserve">AIRFILTER ELEMENT E18TO22 PN B005700770005  </t>
  </si>
  <si>
    <t>2500002370</t>
  </si>
  <si>
    <t>CONTROLLER BOARD NEURON XT PN 18362887</t>
  </si>
  <si>
    <t xml:space="preserve">SPIN ON FILTER ELEMENT 378.5 M PN B679102 </t>
  </si>
  <si>
    <t>2500001100</t>
  </si>
  <si>
    <t xml:space="preserve">ELEMENT SEPARATOR PN 10350060  </t>
  </si>
  <si>
    <t>2500005912</t>
  </si>
  <si>
    <t xml:space="preserve">AIR OIL SEPARATOR PN B006700770018 </t>
  </si>
  <si>
    <t>2500008047</t>
  </si>
  <si>
    <t>Screw Air compressor,75KW/100HP,415CFM,10BAR,380V/60HZ PN EG 75-150</t>
  </si>
  <si>
    <t>2500008064</t>
  </si>
  <si>
    <t xml:space="preserve">Pre-filter PN PFE0210  </t>
  </si>
  <si>
    <t>2500008065</t>
  </si>
  <si>
    <t xml:space="preserve">Fine -Filter  PN FFE0210  </t>
  </si>
  <si>
    <t>2500003460</t>
  </si>
  <si>
    <t>ELEMENT, THERM VALVE 125 DEG PN 220310800</t>
  </si>
  <si>
    <t>2500008074</t>
  </si>
  <si>
    <t xml:space="preserve">Horizontal Air receiver tank 500 LTRS  </t>
  </si>
  <si>
    <t>2500008037</t>
  </si>
  <si>
    <t xml:space="preserve">AXIAL FAN 150W,230V,60HZ PN 18361053  </t>
  </si>
  <si>
    <t>2500008075</t>
  </si>
  <si>
    <t>ELEMENT COUPLING S2800 GR1918 PN B005400900010</t>
  </si>
  <si>
    <t>2500007363</t>
  </si>
  <si>
    <t xml:space="preserve">AIR OIL SEPERATOR 10S PN B676103 </t>
  </si>
  <si>
    <t>2500008193</t>
  </si>
  <si>
    <t>Refrigerent air dryer ,150CFM,14BAR,230V/60HZ MDL EGRD150</t>
  </si>
  <si>
    <t>2500008204</t>
  </si>
  <si>
    <t xml:space="preserve">FUEL SOLENOID PART NO. B013603500475 </t>
  </si>
  <si>
    <t>2500008209</t>
  </si>
  <si>
    <t xml:space="preserve">INTAKE VALVE KIT 3" FOR 12S ALUM PN 10331219 </t>
  </si>
  <si>
    <t>2500008215</t>
  </si>
  <si>
    <t xml:space="preserve">Pre Filter-PN B005506160003    </t>
  </si>
  <si>
    <t>2500008231</t>
  </si>
  <si>
    <t xml:space="preserve">O Ring PN 10453920 </t>
  </si>
  <si>
    <t>2500008241</t>
  </si>
  <si>
    <t xml:space="preserve">ELEMENT, AIR CLEANER PN B013603500499 </t>
  </si>
  <si>
    <t>2500008244</t>
  </si>
  <si>
    <t xml:space="preserve">FILTER ELEMENT ASSY T600 PN B015000110168 </t>
  </si>
  <si>
    <t>2500008245</t>
  </si>
  <si>
    <t xml:space="preserve">SOL. AMISCO 24V  PN B015000110086 </t>
  </si>
  <si>
    <t>2500008263</t>
  </si>
  <si>
    <t>Housing Assembly PN B011106740001</t>
  </si>
  <si>
    <t xml:space="preserve">CONNECTOR; RUBBER; 6" QTC220371770   </t>
  </si>
  <si>
    <t>2500008358</t>
  </si>
  <si>
    <t>DCV KIT P N 220311539</t>
  </si>
  <si>
    <t>2500008369</t>
  </si>
  <si>
    <t xml:space="preserve">OIL INLET PIPE P N 35400845      </t>
  </si>
  <si>
    <t>2500008395</t>
  </si>
  <si>
    <t xml:space="preserve">2 1 /2" PIPE COUPLING PN B56XX05       </t>
  </si>
  <si>
    <t>2500008411</t>
  </si>
  <si>
    <t xml:space="preserve">Compressor air filter - Secondary P N 162-577-S </t>
  </si>
  <si>
    <t>2500008412</t>
  </si>
  <si>
    <t xml:space="preserve">Engine air filter - Primary P N 162-0086-S </t>
  </si>
  <si>
    <t>2500008453</t>
  </si>
  <si>
    <t xml:space="preserve">ELGI AIRLUBE UT SYNTHETIC PLUS - 5L (1.3G) ( EACH= 5 LITER CAN ) 998101  </t>
  </si>
  <si>
    <t>2500008590</t>
  </si>
  <si>
    <t>Kit, check valve  P/N : 412400001</t>
  </si>
  <si>
    <t>2500008600</t>
  </si>
  <si>
    <t>OIL ELGI AIRLUBE RAC 1 Ltr, 998044</t>
  </si>
  <si>
    <t>2500008646</t>
  </si>
  <si>
    <t xml:space="preserve">VALVE, 3/2, PUSH PULL, G1/4; P/N: B009800170001    </t>
  </si>
  <si>
    <t>2500008649</t>
  </si>
  <si>
    <t xml:space="preserve">MATL : INTAKE VALVE KIT  972400030    </t>
  </si>
  <si>
    <t>2500008689</t>
  </si>
  <si>
    <t xml:space="preserve">MATL: OIL SIGHT GLASS- 3/4 INCH; 15306521     </t>
  </si>
  <si>
    <t>2500008752</t>
  </si>
  <si>
    <t xml:space="preserve">KIT3238155_ENGINE AIR FILTER P/N- B013603500454    </t>
  </si>
  <si>
    <t>2500008759</t>
  </si>
  <si>
    <t xml:space="preserve">N4 EG Basic Sub-Controller Assy P/N-18365237    </t>
  </si>
  <si>
    <t>2500008796</t>
  </si>
  <si>
    <t xml:space="preserve">Flexible Hose(PN B010406260004)      </t>
  </si>
  <si>
    <t>2500008799</t>
  </si>
  <si>
    <t xml:space="preserve">703002 Unit 05-09-2024 no TUNGSTEN ELECTRODES 2.4MM    </t>
  </si>
  <si>
    <t>2500008807</t>
  </si>
  <si>
    <t xml:space="preserve">SERVICE KIT 6" NC VALVE P/N-B009401070004    </t>
  </si>
  <si>
    <t>2500008808</t>
  </si>
  <si>
    <t xml:space="preserve">DIA150 SUCTIONHOSE WIT ENDCUFF P/N-B010306260001    </t>
  </si>
  <si>
    <t>2500008853</t>
  </si>
  <si>
    <t xml:space="preserve">ELIX 004 DA, 40cfm  </t>
  </si>
  <si>
    <t>2500008874</t>
  </si>
  <si>
    <t xml:space="preserve">Liner red 5.40m for wire 1.0-1.2 PN-324P204554                      </t>
  </si>
  <si>
    <t>2500008888</t>
  </si>
  <si>
    <t xml:space="preserve">AIR FILTER ASSLY E18-22 P/N-B004700770002                                    </t>
  </si>
  <si>
    <t>2500008892</t>
  </si>
  <si>
    <t xml:space="preserve">PRE FILTER EG200-250 P/N-B016306250001                                      </t>
  </si>
  <si>
    <t>2500008945</t>
  </si>
  <si>
    <t>"bestweld 8mm gouging rod P/N-900 BWS-GC-7.9MM"</t>
  </si>
  <si>
    <t>2500008947</t>
  </si>
  <si>
    <t>RO 600 ST. GROUND CLAMP - BESTWELD P/N-900 GC-P600</t>
  </si>
  <si>
    <t>2500009024</t>
  </si>
  <si>
    <t>MPV Kit P/N:B009301070017</t>
  </si>
  <si>
    <t>2500009022</t>
  </si>
  <si>
    <t>Polyrex EM N2/400 grams P/N:15404152</t>
  </si>
  <si>
    <t>2500009147</t>
  </si>
  <si>
    <t>SEAL; SHAFT; 12S(LIP)  P/N-13431010</t>
  </si>
  <si>
    <t>2500009145</t>
  </si>
  <si>
    <t>AIR FILTER ELEMENT SET 1765CFM  P/N-B005700770013</t>
  </si>
  <si>
    <t>2500009163</t>
  </si>
  <si>
    <t>Prefilter 30kW EN102| PN:1</t>
  </si>
  <si>
    <t>2500009161</t>
  </si>
  <si>
    <t>AIR FILTER ASSY E11-E15| PN:1</t>
  </si>
  <si>
    <t>2500009166</t>
  </si>
  <si>
    <t xml:space="preserve">VAR 5000L tank -S04089 </t>
  </si>
  <si>
    <t>2500003653</t>
  </si>
  <si>
    <t xml:space="preserve">AIR FILTER ELE CSK1434 PN 220419480 </t>
  </si>
  <si>
    <t>2500006867</t>
  </si>
  <si>
    <t xml:space="preserve">The Machinery Group LLC </t>
  </si>
  <si>
    <t xml:space="preserve">AIR FILTER; KIT PN B574602  </t>
  </si>
  <si>
    <t xml:space="preserve">OIL FILTER ELEMENT-75 LPM PN B004800770001 </t>
  </si>
  <si>
    <t>2500004424</t>
  </si>
  <si>
    <t xml:space="preserve">SEPARATOR ELEMENT TWO STAGE PN 22032259B </t>
  </si>
  <si>
    <t>2500001300</t>
  </si>
  <si>
    <t>ELEMENT SEPARATOR 317 CFM1 PN 10451050</t>
  </si>
  <si>
    <t>2500001319</t>
  </si>
  <si>
    <t xml:space="preserve">ELEMENT SEPERATOR 400 CFM PN 10452250 </t>
  </si>
  <si>
    <t>2500001767</t>
  </si>
  <si>
    <t xml:space="preserve">SEAL SHAFT 28X40X10 AXIS-73CCW PN 13436029 </t>
  </si>
  <si>
    <t>2500001763</t>
  </si>
  <si>
    <t xml:space="preserve">SLEEVE WEAR 73S PN 13436020 </t>
  </si>
  <si>
    <t>2500008051</t>
  </si>
  <si>
    <t>Refrigerent air dryer ,300CFM,14BAR,230V/60HZ PN EGRD300</t>
  </si>
  <si>
    <t>2500008056</t>
  </si>
  <si>
    <t xml:space="preserve">Vertical Air receiver tank 1000 LTRS  Max Pr 12.5 Model No. VA 00 040   </t>
  </si>
  <si>
    <t xml:space="preserve">Fine -Filter  PN FFE0420  </t>
  </si>
  <si>
    <t>2500004256</t>
  </si>
  <si>
    <t>Pressure Transmitter(0-16bar)M PN 00897902N</t>
  </si>
  <si>
    <t>2500008076</t>
  </si>
  <si>
    <t xml:space="preserve">5259157_BELT V RIBBED PN B013603500580   </t>
  </si>
  <si>
    <t xml:space="preserve">AL. BLOW DOWN VALVE - 1/2 NPT  MDL 300/100,750 - 125,PG 900 - 200,PG400/150 PN A010042   </t>
  </si>
  <si>
    <t>2500008150</t>
  </si>
  <si>
    <t>REGULATOR KIT MDL DT 900-200, 750-125, 400-150, 300-150,300-100 PN 220317599</t>
  </si>
  <si>
    <t>2500008151</t>
  </si>
  <si>
    <t xml:space="preserve">KIT BLOW DOWN VALVE MDL DT 750-125, 650-200, 400-150,300-150 , 300-100 PN 220460459 </t>
  </si>
  <si>
    <t>2500008153</t>
  </si>
  <si>
    <t>DCV ASSLY MDL DT 750-125, 650 - 200, 400-150 PN 220311530</t>
  </si>
  <si>
    <t>2500008158</t>
  </si>
  <si>
    <t>BDV Kit PN B009405770007</t>
  </si>
  <si>
    <t>2500008221</t>
  </si>
  <si>
    <t xml:space="preserve">Belt PN B014606410051         </t>
  </si>
  <si>
    <t>2500008233</t>
  </si>
  <si>
    <t xml:space="preserve">Solenoid Valve24V PN B009405770014 </t>
  </si>
  <si>
    <t>2500008234</t>
  </si>
  <si>
    <t xml:space="preserve">Hoes' MPV' to Cooleb PN 12472969 </t>
  </si>
  <si>
    <t>2500008238</t>
  </si>
  <si>
    <t>Cooler Oil &amp; After PN B012900690003</t>
  </si>
  <si>
    <t>2500008255</t>
  </si>
  <si>
    <t xml:space="preserve">Intake valve kit PN. B009405770005 </t>
  </si>
  <si>
    <t>2500008286</t>
  </si>
  <si>
    <t xml:space="preserve">SOLENOID VALVE NC,24V50/60HZ PN B007300990017   </t>
  </si>
  <si>
    <t>2100002078</t>
  </si>
  <si>
    <t>MPV KIT</t>
  </si>
  <si>
    <t>2500008329</t>
  </si>
  <si>
    <t xml:space="preserve">MPV KIT ENCAP P N  A990288 </t>
  </si>
  <si>
    <t>2500008336</t>
  </si>
  <si>
    <t xml:space="preserve">Filter Assembly Element P N B015000110145        </t>
  </si>
  <si>
    <t>2500008360</t>
  </si>
  <si>
    <t>Air filter element P N B004700770028</t>
  </si>
  <si>
    <t>2500008365</t>
  </si>
  <si>
    <t xml:space="preserve">Screw Air compressor,75KW/100HP,415CFM,10BAR,460V/60HZ </t>
  </si>
  <si>
    <t>2500008379</t>
  </si>
  <si>
    <t xml:space="preserve">O RING-62.5x55.5x3.5 P N 10451120        </t>
  </si>
  <si>
    <t>2500008398</t>
  </si>
  <si>
    <t xml:space="preserve">PF Element 0048 PN 12400008  </t>
  </si>
  <si>
    <t>2500008410</t>
  </si>
  <si>
    <t xml:space="preserve">Compressor air filter - Primary P N 162-576-S </t>
  </si>
  <si>
    <t>2500008417</t>
  </si>
  <si>
    <t xml:space="preserve">ELEMENT PRE FILTER PN B000600040020  </t>
  </si>
  <si>
    <t>2500008492</t>
  </si>
  <si>
    <t>AF 0177P ,Pre Filter ,177 cfm  B003308170007</t>
  </si>
  <si>
    <t>2500008493</t>
  </si>
  <si>
    <t>AF 0177F ,Fine Filter -177 cfm  B003308170025</t>
  </si>
  <si>
    <t>2500008495</t>
  </si>
  <si>
    <t>AF 0235F ,,Fine Filter -235cfm  B003308170026</t>
  </si>
  <si>
    <t>2500008548</t>
  </si>
  <si>
    <t>GASKET DCV , 35400362</t>
  </si>
  <si>
    <t>2500008559</t>
  </si>
  <si>
    <t xml:space="preserve">2/1  Two way ball valve , B003106100003 </t>
  </si>
  <si>
    <t>2500008566</t>
  </si>
  <si>
    <t xml:space="preserve">MATL : ELIX Summits PLATRONIKA Fully Automatic Continues Operation Refrigerant Air dryer .400cfm (11.32m3/min), Model Elix 040DA </t>
  </si>
  <si>
    <t>2500008571</t>
  </si>
  <si>
    <t xml:space="preserve">MATL : Micro filter with Inbuilt drain valve. Suitable to handle 120cfm, Model SF 012 DX, working pressure of 7 - 16 bar g </t>
  </si>
  <si>
    <t>2500008574</t>
  </si>
  <si>
    <t xml:space="preserve">MATL : Summits Sub Micro filter with Inbuilt drain valve. Suitable to handle 200cfm,Model SF 020 DY, working pressure of 7 - 16 bar g </t>
  </si>
  <si>
    <t>2500008575</t>
  </si>
  <si>
    <t xml:space="preserve">MATL : Summits Micro filter with Inbuilt drain valve. Suitable to handle 310cfm, Model SF 035 DX, working pressure of 7 - 16 bar g </t>
  </si>
  <si>
    <t>2500008677</t>
  </si>
  <si>
    <t xml:space="preserve">MATL : CABLE SET CONTROL PG 750; P/N: B016206800002             </t>
  </si>
  <si>
    <t>2500008692</t>
  </si>
  <si>
    <t xml:space="preserve">MATL: ST 1 - 4 to 6mm OD; P/N: 15401697    </t>
  </si>
  <si>
    <t>2500008701</t>
  </si>
  <si>
    <t xml:space="preserve">KIT3238155 Engine air filter </t>
  </si>
  <si>
    <t>2500008758</t>
  </si>
  <si>
    <t xml:space="preserve">N4 Display Sub-Assy P/N-18364636    </t>
  </si>
  <si>
    <t>2500008854</t>
  </si>
  <si>
    <t xml:space="preserve">ELIX 006 DA, 60cfm  </t>
  </si>
  <si>
    <t>2500008942</t>
  </si>
  <si>
    <t>FERRULE; 1/4" P/N-220370700</t>
  </si>
  <si>
    <t>2500008972</t>
  </si>
  <si>
    <t xml:space="preserve">3067459_GASKET,ROCKER LEVER CO </t>
  </si>
  <si>
    <t>2500008974</t>
  </si>
  <si>
    <t xml:space="preserve">ELGI Mikropor AF 0059C 1/2'' BSP B003308170039 </t>
  </si>
  <si>
    <t>2500009028</t>
  </si>
  <si>
    <t xml:space="preserve">FILTER UNIT              </t>
  </si>
  <si>
    <t>2500009055</t>
  </si>
  <si>
    <t>PARANTHAMAN EXPORTERS</t>
  </si>
  <si>
    <t>SWIVEL SHAFT, ITEM CODE : PRD 17 46980</t>
  </si>
  <si>
    <t>2500009190</t>
  </si>
  <si>
    <t xml:space="preserve"> Desc:64320FF082-COND.DRAIN SOLENOID| P/N:B000506530171</t>
  </si>
  <si>
    <t>2500009195</t>
  </si>
  <si>
    <t xml:space="preserve">Desc : TEMP.SENSOR;0-150DEG;KTY10 | P/N:00897902M </t>
  </si>
  <si>
    <t>2500003026</t>
  </si>
  <si>
    <t xml:space="preserve">AIR FILTER KIT ASSY_PG 750 PN 32400149 </t>
  </si>
  <si>
    <t>2500001185</t>
  </si>
  <si>
    <t xml:space="preserve">OIL FILTER KIT 10 MICRONS PN 10440229  </t>
  </si>
  <si>
    <t>2500005916</t>
  </si>
  <si>
    <t xml:space="preserve">Air-Oil Separator-F4-55KW PN B006700770026  </t>
  </si>
  <si>
    <t>2500004253</t>
  </si>
  <si>
    <t>TEMP.SENSOR;0-150DEG;KTY10 PN 00897902C</t>
  </si>
  <si>
    <t>2500006616</t>
  </si>
  <si>
    <t>ACTR REPAIR KIT WITH SPRING PN B015401070005</t>
  </si>
  <si>
    <t>PREFILTER-F4-75 kW PN B000606160002</t>
  </si>
  <si>
    <t>2500002166</t>
  </si>
  <si>
    <t>MPV kit (37KW) PN 15400445</t>
  </si>
  <si>
    <t>2500008052</t>
  </si>
  <si>
    <t xml:space="preserve">Refrigerent air dryer ,400CFM,14BAR,230V/60HZ PN EGRD400 </t>
  </si>
  <si>
    <t>2500008135</t>
  </si>
  <si>
    <t xml:space="preserve">VALVE ASSY, BUTTERFLY, 4"MODEL 300/100, PG400/150 PN 220210470 </t>
  </si>
  <si>
    <t>2500008139</t>
  </si>
  <si>
    <t xml:space="preserve">GASKET MDL 300/100 PN 35400013    </t>
  </si>
  <si>
    <t>2500008170</t>
  </si>
  <si>
    <t xml:space="preserve">Coupling Element MDL EG30 PN 12437590                 </t>
  </si>
  <si>
    <t>2500008210</t>
  </si>
  <si>
    <t xml:space="preserve">AUTO DRAIN VALVE INTERNAL PN B001305480003 </t>
  </si>
  <si>
    <t>2500008213</t>
  </si>
  <si>
    <t xml:space="preserve">AUTO DRAIN FLOAT TYPE PN B001305630001  </t>
  </si>
  <si>
    <t>2500008219</t>
  </si>
  <si>
    <t xml:space="preserve">TEMPERATURE SENSOR PN 18400079        </t>
  </si>
  <si>
    <t>2500008232</t>
  </si>
  <si>
    <t xml:space="preserve">PIPE COUPLING 2 IN STY12  PN B005602930001 </t>
  </si>
  <si>
    <t>2500008264</t>
  </si>
  <si>
    <t>VALVE ASSY PR.RELIEF 1" P N A010107</t>
  </si>
  <si>
    <t>2500008283</t>
  </si>
  <si>
    <t xml:space="preserve">DCV 3.0" ASSEMBLY PN A970027 </t>
  </si>
  <si>
    <t>2500008355</t>
  </si>
  <si>
    <t>Actuator kit P N B009405770004</t>
  </si>
  <si>
    <t>2500008359</t>
  </si>
  <si>
    <t>SINGLE ACTING ACTUATOR P N B011405770001</t>
  </si>
  <si>
    <t>2500008370</t>
  </si>
  <si>
    <t xml:space="preserve">HOSE 1-1/4 P N 35303627      </t>
  </si>
  <si>
    <t>2500008432</t>
  </si>
  <si>
    <t xml:space="preserve">MPV kit 2"  P N 220371399 </t>
  </si>
  <si>
    <t>2500008436</t>
  </si>
  <si>
    <t>INTAKE VALVE RH25S  P N  B009800780016</t>
  </si>
  <si>
    <t>2500008438</t>
  </si>
  <si>
    <t>MPV WITH CHECK VALVE MPVL50(B009301070001)</t>
  </si>
  <si>
    <t>2500008465</t>
  </si>
  <si>
    <t xml:space="preserve">DRIVE COUPLING  B005401170048 </t>
  </si>
  <si>
    <t>2500008494</t>
  </si>
  <si>
    <t>AF 0235P ,Pre Filter ,235 cfm  B003308170008</t>
  </si>
  <si>
    <t>2500008557</t>
  </si>
  <si>
    <t xml:space="preserve">S04054 : VA00020 500  Vertical air receiver tank  </t>
  </si>
  <si>
    <t>2500008569</t>
  </si>
  <si>
    <t xml:space="preserve">MATL : Summits Micro filter with Inbuilt drain valve. Suitable to handle 60cfm, Model SF 006 DX, working pressure of 7 - 16 bar g </t>
  </si>
  <si>
    <t>2500008601</t>
  </si>
  <si>
    <t>Intake valve - 30, 37KW, B009800780007</t>
  </si>
  <si>
    <t>2500008616</t>
  </si>
  <si>
    <t xml:space="preserve">MATL : Fine Filter AF 0294F 1 1/2'' BSP   </t>
  </si>
  <si>
    <t>2500008648</t>
  </si>
  <si>
    <t xml:space="preserve">MATL : MINIMUM PRESSURE VALVE KIT  972400030    </t>
  </si>
  <si>
    <t>2500008651</t>
  </si>
  <si>
    <t xml:space="preserve">MATL : TEMPERATURE SENSOR  18400077    </t>
  </si>
  <si>
    <t>2500008678</t>
  </si>
  <si>
    <t xml:space="preserve">MATL: ELBOW; RUBBER; 6"; P/N: 220375410              </t>
  </si>
  <si>
    <t>2500008690</t>
  </si>
  <si>
    <t xml:space="preserve">Intake Valve Kit; P/N: B009805770012  </t>
  </si>
  <si>
    <t>2500008695</t>
  </si>
  <si>
    <t>2500008754</t>
  </si>
  <si>
    <t xml:space="preserve">GASKET -AOS - F6 P/N-B006700770028    </t>
  </si>
  <si>
    <t>2500008787</t>
  </si>
  <si>
    <t xml:space="preserve">2868389_PANEL, DISPLAY ARYA  </t>
  </si>
  <si>
    <t>2500008843</t>
  </si>
  <si>
    <t xml:space="preserve">OIL SIGHT GLASS 1 1/2 INCH BSP P/N-15306517                        </t>
  </si>
  <si>
    <t>2500008860</t>
  </si>
  <si>
    <t xml:space="preserve">"SIZE 1 (15-25MM)OXY-PROPANE CUTTING  TIP - BESTWELDSC P/N- 00 1502904"    </t>
  </si>
  <si>
    <t>2500008896</t>
  </si>
  <si>
    <t xml:space="preserve">Size 4 : (75-100mm) Oxy propane cutting tip | P/N-900 1502907                                         </t>
  </si>
  <si>
    <t>2500009019</t>
  </si>
  <si>
    <t>ELGi Stationary air-cooled screw air compressor Motor Power: 90kW (120 HP) 380V, 60Hz, 3 Phase Model EG90-115</t>
  </si>
  <si>
    <t>2500009026</t>
  </si>
  <si>
    <t>DRIVE COUPLING INSERT UC P/N:B005401170008</t>
  </si>
  <si>
    <t>2500009144</t>
  </si>
  <si>
    <t>FERRULE; 1/4"  P/N-220370700</t>
  </si>
  <si>
    <t>2500009164</t>
  </si>
  <si>
    <t>PRE FILTER ELEMENT- EG 55 - 16| PN:2</t>
  </si>
  <si>
    <t>2500004247</t>
  </si>
  <si>
    <t xml:space="preserve">NEURON II CONTROLLER PN 00897701N </t>
  </si>
  <si>
    <t>2500001780</t>
  </si>
  <si>
    <t xml:space="preserve">SLEEVE WEAR - AXIS 159 PN 13436256 </t>
  </si>
  <si>
    <t xml:space="preserve">PRE FILTER PN 15400889 </t>
  </si>
  <si>
    <t>2500001399</t>
  </si>
  <si>
    <t>SOLENOID VALVE 1/4 inch 110V PN 10464160</t>
  </si>
  <si>
    <t>2500005624</t>
  </si>
  <si>
    <t>PRESSURE REGULATOR PRNE PN B001501070001</t>
  </si>
  <si>
    <t>2500008043</t>
  </si>
  <si>
    <t>Screw Air compressor ,30KW/40HP,157CFM,10BAR,380V/60HZ PN EG 30-150</t>
  </si>
  <si>
    <t>2500008049</t>
  </si>
  <si>
    <t>Refrigerent air dryer ,100CFM,14BAR,230V/60HZ PN EGRD100</t>
  </si>
  <si>
    <t>2500008068</t>
  </si>
  <si>
    <t xml:space="preserve">Pre-filter PN PFE0420  </t>
  </si>
  <si>
    <t>2500008070</t>
  </si>
  <si>
    <t>Diesel Portable compressor 185 cfm PN PG185-100</t>
  </si>
  <si>
    <t>2500008077</t>
  </si>
  <si>
    <t xml:space="preserve">KEY IGNITION SWITCH PN 38400013  </t>
  </si>
  <si>
    <t>2500008144</t>
  </si>
  <si>
    <t>GASKET, BFV, 6", DPSAC PG 900 - 200 PN 220413160</t>
  </si>
  <si>
    <t>2500008149</t>
  </si>
  <si>
    <t>Single Actuator Kit MDL DT 900-200, 750-125, 400-150, 300-150,300-100 PN 220271909</t>
  </si>
  <si>
    <t>2500008166</t>
  </si>
  <si>
    <t xml:space="preserve">Coupling Element MDL EG11-E15 PN B011201170003                    </t>
  </si>
  <si>
    <t>2500008218</t>
  </si>
  <si>
    <t xml:space="preserve">Spare Kit, Intake Valve, EN73s PN B015400780002       </t>
  </si>
  <si>
    <t>2500008243</t>
  </si>
  <si>
    <t>FF Element 0108 PN 12400019</t>
  </si>
  <si>
    <t>2500008288</t>
  </si>
  <si>
    <t xml:space="preserve">Actuator kit PN  972300070     </t>
  </si>
  <si>
    <t>2500008304</t>
  </si>
  <si>
    <t xml:space="preserve">ELBOW; RUBBER; 6"220375410 </t>
  </si>
  <si>
    <t>2500008353</t>
  </si>
  <si>
    <t xml:space="preserve">MINIMUM PRESSURE VALVE KIT P N B009301070004 </t>
  </si>
  <si>
    <t>2500008357</t>
  </si>
  <si>
    <t>SERVICE KIT FOR ACUATOR HB P N B009401070001</t>
  </si>
  <si>
    <t>2500008361</t>
  </si>
  <si>
    <t>Air Receiver tank 3000 ltrs Model VA080</t>
  </si>
  <si>
    <t>2500008366</t>
  </si>
  <si>
    <t xml:space="preserve">STUD COUPLING G 1/8 MALE P N  B009606780004  </t>
  </si>
  <si>
    <t>2500008371</t>
  </si>
  <si>
    <t xml:space="preserve">Safety valve assembly  P N B010506360054       </t>
  </si>
  <si>
    <t>2500008375</t>
  </si>
  <si>
    <t xml:space="preserve">Vacuflex(SUCTION HOSE) P N B010406260003       </t>
  </si>
  <si>
    <t>2500008407</t>
  </si>
  <si>
    <t xml:space="preserve">ENGINE CONTROLLER DSE3210 P N B012706970001 </t>
  </si>
  <si>
    <t xml:space="preserve">AVM ENGINE AIREND MOUNT  P N B001401100002 </t>
  </si>
  <si>
    <t>2500008458</t>
  </si>
  <si>
    <t>GLASS OIL SIGHT 1 1/2 NPT P N A010018</t>
  </si>
  <si>
    <t>2500008467</t>
  </si>
  <si>
    <t xml:space="preserve">INTAKE VALE 4" - NC  B009801070006 </t>
  </si>
  <si>
    <t>2500008475</t>
  </si>
  <si>
    <t>ELGI AIRLUBE UT SYN 20L(5.3G)  Part Number : 998102</t>
  </si>
  <si>
    <t>2500008622</t>
  </si>
  <si>
    <t xml:space="preserve">MATL : A/F KIT PG 825S-250S PART NO: 32400319 </t>
  </si>
  <si>
    <t>2500008624</t>
  </si>
  <si>
    <t xml:space="preserve">MTRL : SPARE KIT - ARV PART NO: 324000149 </t>
  </si>
  <si>
    <t>2500008859</t>
  </si>
  <si>
    <t xml:space="preserve">"HEAVY DUTY TORCH HANDLE -  BESTWELD P/N- 900 1400426"    </t>
  </si>
  <si>
    <t>2500008872</t>
  </si>
  <si>
    <t xml:space="preserve">Nozzle con. diam. 10.0mm PN-345P013012                      </t>
  </si>
  <si>
    <t>2500008889</t>
  </si>
  <si>
    <t xml:space="preserve">SEPARATOR ELEMENT P/N-X018333                                    </t>
  </si>
  <si>
    <t>2500008890</t>
  </si>
  <si>
    <t xml:space="preserve">Air Filter element P/N-B004700770037                                     </t>
  </si>
  <si>
    <t>2500008898</t>
  </si>
  <si>
    <t xml:space="preserve">A030006 ACTUATOR ASSY, SINGLE ACTING                                           </t>
  </si>
  <si>
    <t>2500008901</t>
  </si>
  <si>
    <t xml:space="preserve">GAS SPRING FOR PG 185-100 </t>
  </si>
  <si>
    <t>"bestweld 6mm gouging rod P/N- 900 BWS-GC-6.4MM"</t>
  </si>
  <si>
    <t>2500008971</t>
  </si>
  <si>
    <t xml:space="preserve">200328 BELT V  </t>
  </si>
  <si>
    <t>2500009005</t>
  </si>
  <si>
    <t xml:space="preserve">Luoyang Deping Technology Co. Ltd </t>
  </si>
  <si>
    <t xml:space="preserve">Conversion kit （extend main unit to cover pipe wall thikness from 11.5-21.5mm )  </t>
  </si>
  <si>
    <t>2500009009</t>
  </si>
  <si>
    <t>AF 0912FF 2 1/2'' BSP</t>
  </si>
  <si>
    <t>2500009021</t>
  </si>
  <si>
    <t>ACTUATOR KIT P/N:972300060</t>
  </si>
  <si>
    <t>2500009047</t>
  </si>
  <si>
    <t>INSERT FOR SB6, ITEM CODE : PRD D15 02 08 040</t>
  </si>
  <si>
    <t>2500009148</t>
  </si>
  <si>
    <t>SLEEVE, WEAR, 12S, MEGA P/N-223430700</t>
  </si>
  <si>
    <t>2500009146</t>
  </si>
  <si>
    <t>Drive Coupling Dia.75/50 P/N-B548310</t>
  </si>
  <si>
    <t>2500009143</t>
  </si>
  <si>
    <t>FLOW CONTROL VALVE      P/N-B013406760001</t>
  </si>
  <si>
    <t>2500009193</t>
  </si>
  <si>
    <t xml:space="preserve"> Desc:VALVE ASSY ;NON RETURN 1/4"| P/N:B441701</t>
  </si>
  <si>
    <t>PHY</t>
  </si>
  <si>
    <t>DIF</t>
  </si>
  <si>
    <t>REMARKS</t>
  </si>
  <si>
    <t>No</t>
  </si>
  <si>
    <t>Qty 1 is missing (old issue)</t>
  </si>
  <si>
    <t>Description</t>
  </si>
  <si>
    <t>Qty 1 Damaged</t>
  </si>
  <si>
    <t xml:space="preserve">Item number </t>
  </si>
  <si>
    <t>Qty</t>
  </si>
  <si>
    <t xml:space="preserve">Date of Delivery </t>
  </si>
  <si>
    <t xml:space="preserve">MR reference </t>
  </si>
  <si>
    <t xml:space="preserve">Salesperson </t>
  </si>
  <si>
    <t>S No.</t>
  </si>
  <si>
    <t>Rashid</t>
  </si>
  <si>
    <t xml:space="preserve">customer Name </t>
  </si>
  <si>
    <t>DN 817</t>
  </si>
  <si>
    <t xml:space="preserve">Classic Shawarma </t>
  </si>
  <si>
    <t>Azhar</t>
  </si>
  <si>
    <t>DN-761</t>
  </si>
  <si>
    <t>AMBASSADOR LAUNDRY</t>
  </si>
  <si>
    <t>Shoaib</t>
  </si>
  <si>
    <t xml:space="preserve">  DN-856</t>
  </si>
  <si>
    <t>Hidayat Steel</t>
  </si>
  <si>
    <t xml:space="preserve">DN-851   </t>
  </si>
  <si>
    <t>WAM wadi al mali</t>
  </si>
  <si>
    <t>pending  to close</t>
  </si>
  <si>
    <t>Qty 10 is missing ( MISSING FROM ESHA)</t>
  </si>
  <si>
    <t>Requsted SO to close</t>
  </si>
  <si>
    <t>Stock matching</t>
  </si>
  <si>
    <t xml:space="preserve">Waiting for Sales SO </t>
  </si>
  <si>
    <t>FOC</t>
  </si>
  <si>
    <t>GMT waiting DN copie</t>
  </si>
  <si>
    <t>Row Labels</t>
  </si>
  <si>
    <t>Grand Total</t>
  </si>
  <si>
    <t>Count of REMARKS</t>
  </si>
  <si>
    <t>Missing - ESHA  - 02 QTY</t>
  </si>
  <si>
    <t>Qty 1 is Missing  -ESHA</t>
  </si>
  <si>
    <t>Mafaz Remarks</t>
  </si>
  <si>
    <t xml:space="preserve">Waiting replacement materials form Suppliers under warranty </t>
  </si>
  <si>
    <t xml:space="preserve">DN copies required </t>
  </si>
  <si>
    <t>Logistic will close the SO</t>
  </si>
  <si>
    <t>Customer will return the materials</t>
  </si>
  <si>
    <t xml:space="preserve">Will address to division </t>
  </si>
  <si>
    <t xml:space="preserve">Arieal &amp; Esha will cross check </t>
  </si>
  <si>
    <t xml:space="preserve">Waiting SO to close </t>
  </si>
  <si>
    <t>Logistic will be responsible</t>
  </si>
  <si>
    <t xml:space="preserve">Under Division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</si>
</sst>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</font>
    <font>
      <sz val="8"/>
      <color theme="1"/>
      <name val="Tahoma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8"/>
      <name val="Tahoma"/>
      <family val="2"/>
    </font>
    <font>
      <sz val="11"/>
      <name val="Calibri"/>
      <family val="2"/>
    </font>
    <font>
      <sz val="11"/>
      <name val="Aptos Display"/>
      <family val="2"/>
    </font>
    <font>
      <b/>
      <sz val="11"/>
      <name val="Calibri"/>
      <family val="2"/>
    </font>
    <font>
      <sz val="11"/>
      <color theme="1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77777"/>
      </left>
      <right style="thin">
        <color rgb="FF777777"/>
      </right>
      <top/>
      <bottom style="thin">
        <color rgb="FF777777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164" fontId="3" fillId="3" borderId="1" xfId="1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left" vertical="top"/>
    </xf>
    <xf numFmtId="3" fontId="1" fillId="2" borderId="2" xfId="0" applyNumberFormat="1" applyFont="1" applyFill="1" applyBorder="1" applyAlignment="1">
      <alignment horizontal="right" vertical="top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3" fontId="1" fillId="0" borderId="1" xfId="0" applyNumberFormat="1" applyFont="1" applyBorder="1" applyAlignment="1">
      <alignment horizontal="right" vertical="top"/>
    </xf>
    <xf numFmtId="0" fontId="2" fillId="0" borderId="1" xfId="0" applyFont="1" applyBorder="1"/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5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3" fontId="7" fillId="0" borderId="1" xfId="0" applyNumberFormat="1" applyFont="1" applyBorder="1" applyAlignment="1">
      <alignment horizontal="right" vertical="top"/>
    </xf>
    <xf numFmtId="0" fontId="8" fillId="0" borderId="1" xfId="0" applyFont="1" applyBorder="1"/>
    <xf numFmtId="3" fontId="1" fillId="4" borderId="1" xfId="0" applyNumberFormat="1" applyFont="1" applyFill="1" applyBorder="1" applyAlignment="1">
      <alignment horizontal="right" vertical="top"/>
    </xf>
    <xf numFmtId="164" fontId="10" fillId="3" borderId="1" xfId="1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/>
    <xf numFmtId="2" fontId="10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11" fillId="0" borderId="1" xfId="0" pivotButton="1" applyFont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1" fillId="0" borderId="1" xfId="0" applyNumberFormat="1" applyFont="1" applyBorder="1" applyAlignment="1">
      <alignment horizontal="center"/>
    </xf>
    <xf numFmtId="0" fontId="11" fillId="5" borderId="1" xfId="0" applyFont="1" applyFill="1" applyBorder="1"/>
  </cellXfs>
  <cellStyles count="3">
    <cellStyle name="Comma" xfId="1" builtinId="3"/>
    <cellStyle name="Normal" xfId="0" builtinId="0"/>
    <cellStyle name="Normal 2" xfId="2" xr:uid="{FCFD448B-464B-4C49-8820-26144C8A5CCD}"/>
  </cellStyles>
  <dxfs count="27"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01.497143749999" createdVersion="8" refreshedVersion="8" minRefreshableVersion="3" recordCount="401" xr:uid="{A98929F9-B6B8-48DC-9589-69AA5103D762}">
  <cacheSource type="worksheet">
    <worksheetSource ref="A1:H1048576" sheet="DATA"/>
  </cacheSource>
  <cacheFields count="8">
    <cacheField name="No" numFmtId="0">
      <sharedItems containsString="0" containsBlank="1" containsNumber="1" containsInteger="1" minValue="1" maxValue="400"/>
    </cacheField>
    <cacheField name="ITEM_CODE" numFmtId="0">
      <sharedItems containsBlank="1" containsMixedTypes="1" containsNumber="1" containsInteger="1" minValue="2500002205" maxValue="2500008946"/>
    </cacheField>
    <cacheField name="PARTY_NAME" numFmtId="0">
      <sharedItems containsBlank="1"/>
    </cacheField>
    <cacheField name="ITEM_DESCRIPTION" numFmtId="0">
      <sharedItems containsBlank="1"/>
    </cacheField>
    <cacheField name="CLOSING_QTY" numFmtId="0">
      <sharedItems containsString="0" containsBlank="1" containsNumber="1" containsInteger="1" minValue="0" maxValue="3768"/>
    </cacheField>
    <cacheField name="PHY" numFmtId="0">
      <sharedItems containsString="0" containsBlank="1" containsNumber="1" containsInteger="1" minValue="0" maxValue="900"/>
    </cacheField>
    <cacheField name="DIF" numFmtId="0">
      <sharedItems containsString="0" containsBlank="1" containsNumber="1" containsInteger="1" minValue="-10" maxValue="10"/>
    </cacheField>
    <cacheField name="REMARKS" numFmtId="0">
      <sharedItems containsBlank="1" count="20">
        <s v="Stock matching"/>
        <s v="Missing - ESHA  - 02 QTY"/>
        <s v="FOC"/>
        <s v="Qty 1 is Missing  -ESHA"/>
        <s v="Qty 1 is missing (old issue)"/>
        <s v="Waiting for Sales SO "/>
        <s v="Qty 1 Damaged"/>
        <s v="GMT waiting DN copie"/>
        <s v="Requsted SO to close"/>
        <s v="pending  to close"/>
        <s v="Qty 10 is missing ( MISSING FROM ESHA)"/>
        <m/>
        <s v="Qty 2 is missing " u="1"/>
        <s v="Qty 1 is missing " u="1"/>
        <s v="Qty 1 is missing ESHA -  " u="1"/>
        <s v=" Qty 2 is missing ESHA" u="1"/>
        <s v="Qty 2 is missing - ESHA" u="1"/>
        <s v="Qty 1 is missing   ESHA" u="1"/>
        <s v="Qty 1 is missing ESHA" u="1"/>
        <s v="FOC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n v="1"/>
    <s v="2500007806"/>
    <s v="ELGI Gulf FZE"/>
    <s v="AIR FILTER ASSY, PN 220419499   "/>
    <n v="8"/>
    <n v="8"/>
    <n v="0"/>
    <x v="0"/>
  </r>
  <r>
    <n v="2"/>
    <n v="2500005908"/>
    <s v="QURUM Technical Company"/>
    <s v="AIR OIL SEPERATOR SPINON PN B006700770010 "/>
    <n v="22"/>
    <n v="20"/>
    <n v="-2"/>
    <x v="1"/>
  </r>
  <r>
    <n v="3"/>
    <s v="2500006057"/>
    <s v="ELGI Gulf FZE"/>
    <s v="MINIMUM PRESSURE VALVE KIT PN B009301070002"/>
    <n v="6"/>
    <n v="6"/>
    <n v="0"/>
    <x v="0"/>
  </r>
  <r>
    <n v="4"/>
    <s v="2500006130"/>
    <s v="QURUM Technical Company"/>
    <s v="SERVICE KIT FOR HDKG120 PN B009401070002"/>
    <n v="2"/>
    <n v="2"/>
    <n v="0"/>
    <x v="0"/>
  </r>
  <r>
    <n v="5"/>
    <s v="2500005842"/>
    <s v="ELGI Gulf FZE"/>
    <s v="DRIVE COUPLING INSERT UCW276 PN B005401170005"/>
    <n v="5"/>
    <n v="5"/>
    <n v="0"/>
    <x v="0"/>
  </r>
  <r>
    <n v="6"/>
    <s v="2500006131"/>
    <s v="ELGI Gulf FZE"/>
    <s v="BDV KIT HDKG120 PN B009401070003"/>
    <n v="4"/>
    <n v="4"/>
    <n v="0"/>
    <x v="0"/>
  </r>
  <r>
    <n v="7"/>
    <s v="2500003544"/>
    <s v="QURUM Technical Company"/>
    <s v="KIT,VALVE BLOW DOWN,1/2&quot;NPT PN 220371089"/>
    <n v="7"/>
    <n v="7"/>
    <n v="0"/>
    <x v="0"/>
  </r>
  <r>
    <n v="8"/>
    <s v="2500005935"/>
    <s v="ELGI Gulf FZE"/>
    <s v="SOLENOID VALVE NC,24V,50HZ PN B007300990004"/>
    <n v="1"/>
    <n v="0"/>
    <n v="-1"/>
    <x v="2"/>
  </r>
  <r>
    <n v="9"/>
    <s v="2500008072"/>
    <s v="ELGI Gulf FZE"/>
    <s v="Diesel Portable compressor 400 cfm PN PG400-150 "/>
    <n v="1"/>
    <n v="1"/>
    <n v="0"/>
    <x v="0"/>
  </r>
  <r>
    <n v="10"/>
    <s v="2500008102"/>
    <s v="ELGI Gulf FZE"/>
    <s v="4963718_SOLENOID,FUEL  PN B013603500382    "/>
    <n v="1"/>
    <n v="1"/>
    <n v="0"/>
    <x v="0"/>
  </r>
  <r>
    <n v="11"/>
    <s v="2500008130"/>
    <s v="ELGI Gulf FZE"/>
    <s v="AIR FILTER ELEMENT PN B574607      "/>
    <n v="7"/>
    <n v="7"/>
    <n v="0"/>
    <x v="0"/>
  </r>
  <r>
    <n v="12"/>
    <s v="2500008146"/>
    <s v="QURUM Technical Company"/>
    <s v="2/5 DETENT VALVE MDL PG 400-150,300-100,300-150,750-125,850-125 PN B003800170001"/>
    <n v="2"/>
    <n v="2"/>
    <n v="0"/>
    <x v="0"/>
  </r>
  <r>
    <n v="13"/>
    <s v="2500008171"/>
    <s v="ELGI Gulf FZE"/>
    <s v="Coupling Element MDL EG55 PN B011200830003                           "/>
    <n v="6"/>
    <n v="6"/>
    <n v="0"/>
    <x v="0"/>
  </r>
  <r>
    <n v="14"/>
    <s v="2500008222"/>
    <s v="ELGI Gulf FZE"/>
    <s v="F2 HAKG50 INTAKE-PN B009401070007           "/>
    <n v="7"/>
    <n v="7"/>
    <n v="0"/>
    <x v="0"/>
  </r>
  <r>
    <n v="15"/>
    <s v="2500008249"/>
    <s v="ELGI Equipments Limited"/>
    <s v="SK274A - DESICCANT WITH SEAL KIT PN B015000110159 "/>
    <n v="2"/>
    <n v="2"/>
    <n v="0"/>
    <x v="0"/>
  </r>
  <r>
    <n v="16"/>
    <s v="2500008250"/>
    <s v="ELGI Gulf FZE"/>
    <s v="Non return valve 1/8&quot;  PN B004100170001  "/>
    <n v="4"/>
    <n v="4"/>
    <n v="0"/>
    <x v="0"/>
  </r>
  <r>
    <n v="17"/>
    <s v="2500008257"/>
    <s v="ELGI Gulf FZE"/>
    <s v="SWITCH REVERSE ROTATION PN 8941151 "/>
    <n v="1"/>
    <n v="1"/>
    <n v="0"/>
    <x v="0"/>
  </r>
  <r>
    <n v="18"/>
    <s v="2500008293"/>
    <s v="ELGI Gulf FZE"/>
    <s v="SINGLE ACTING ACTUATOR HOERBIG PN B011501070001  "/>
    <n v="3"/>
    <n v="3"/>
    <n v="0"/>
    <x v="0"/>
  </r>
  <r>
    <n v="19"/>
    <s v="2500008294"/>
    <s v="ELGI Gulf FZE"/>
    <s v="AIR FILTER KIT1000 CFM PN B005700730005   "/>
    <n v="1"/>
    <n v="1"/>
    <n v="0"/>
    <x v="0"/>
  </r>
  <r>
    <n v="20"/>
    <s v="2500008356"/>
    <s v="QURUM Technical Company"/>
    <s v="KIT ACTUATOR P N B011405770002"/>
    <n v="2"/>
    <n v="2"/>
    <n v="0"/>
    <x v="0"/>
  </r>
  <r>
    <n v="21"/>
    <s v="2500008380"/>
    <s v="ELGI Gulf FZE"/>
    <s v="PIPE MPV TO COOLER P N 15401649        "/>
    <n v="1"/>
    <n v="1"/>
    <n v="0"/>
    <x v="0"/>
  </r>
  <r>
    <n v="22"/>
    <s v="2500008396"/>
    <s v="ELGI Gulf FZE"/>
    <s v="AUTO DRAIN VALVE - F3 PN B000306040013       "/>
    <n v="2"/>
    <n v="2"/>
    <n v="0"/>
    <x v="0"/>
  </r>
  <r>
    <n v="23"/>
    <s v="2500008397"/>
    <s v="ELGI Gulf FZE"/>
    <s v="VALVE, DCV, PUSH PULL, G1/4 PN B003801070001        "/>
    <n v="2"/>
    <n v="2"/>
    <n v="0"/>
    <x v="0"/>
  </r>
  <r>
    <n v="24"/>
    <s v="2900000011"/>
    <s v="MESSER CUTTING SYSTEMS INDIA PRIVATE LIMITED "/>
    <s v=" 5/2 Roller lever valve- G1/8 -P N 80336038"/>
    <n v="4"/>
    <n v="4"/>
    <n v="0"/>
    <x v="0"/>
  </r>
  <r>
    <n v="25"/>
    <s v="2500008445"/>
    <s v="ELGI Gulf FZE"/>
    <s v="P2600640_PRIMARY ELEMENT  P N B013603050056"/>
    <n v="4"/>
    <n v="4"/>
    <n v="0"/>
    <x v="0"/>
  </r>
  <r>
    <n v="26"/>
    <s v="2500008444"/>
    <s v="ELGI Gulf FZE"/>
    <s v="KIT AIR FILTER ELEMENT HINO  P N 32304539 "/>
    <n v="7"/>
    <n v="7"/>
    <n v="0"/>
    <x v="0"/>
  </r>
  <r>
    <n v="27"/>
    <s v="2500008450"/>
    <s v="ELGI Gulf FZE"/>
    <s v="Separator Element(PN-X018332)"/>
    <n v="18"/>
    <n v="18"/>
    <n v="0"/>
    <x v="0"/>
  </r>
  <r>
    <n v="28"/>
    <s v="2500008455"/>
    <s v="ELGI Gulf FZE"/>
    <s v="OIL FILTER P N B004800770003   "/>
    <n v="10"/>
    <n v="10"/>
    <n v="0"/>
    <x v="0"/>
  </r>
  <r>
    <n v="29"/>
    <n v="2500008463"/>
    <s v="ELGI Gulf FZE"/>
    <s v="RECEIVER KIT EN73 V3 270 "/>
    <n v="6"/>
    <n v="5"/>
    <n v="-1"/>
    <x v="3"/>
  </r>
  <r>
    <n v="30"/>
    <s v="2500008487"/>
    <s v="ELGI Gulf FZE"/>
    <s v="AF 0059F ,Fine Filter -59 cfm  B003308170021"/>
    <n v="6"/>
    <n v="6"/>
    <n v="0"/>
    <x v="0"/>
  </r>
  <r>
    <n v="31"/>
    <s v="2500008488"/>
    <s v="ELGI Gulf FZE"/>
    <s v="AF 0088P ,Pre Filter ,88 cfm B003308170005"/>
    <n v="5"/>
    <n v="5"/>
    <n v="0"/>
    <x v="0"/>
  </r>
  <r>
    <n v="32"/>
    <s v="2500008535"/>
    <s v="ELGI Gulf FZE"/>
    <s v="HEX NIPPLE WITH LOCK NUT &amp; ORING 1/4&quot; X 1/8&quot;(PN 15306565)"/>
    <n v="2"/>
    <n v="2"/>
    <n v="0"/>
    <x v="0"/>
  </r>
  <r>
    <n v="33"/>
    <s v="2500008560"/>
    <s v="ELGI Gulf FZE"/>
    <s v="DCV 3.0&quot; ASSEMBLY , A970027 "/>
    <n v="2"/>
    <n v="2"/>
    <n v="0"/>
    <x v="0"/>
  </r>
  <r>
    <n v="34"/>
    <s v="2500008570"/>
    <s v="Summits Hygronics Private Limited"/>
    <s v="MATL : Summits Sub Micro filter with Inbuilt drain valve. Suitable to handle 60cfm,Model SF 006 DY, working pressure of 7 - 16 bar g, "/>
    <n v="8"/>
    <n v="8"/>
    <n v="0"/>
    <x v="0"/>
  </r>
  <r>
    <n v="35"/>
    <s v="2500008599"/>
    <s v="ELGI Gulf FZE"/>
    <s v="Oil Filter Element, B004800770004"/>
    <n v="2"/>
    <n v="2"/>
    <n v="0"/>
    <x v="0"/>
  </r>
  <r>
    <n v="36"/>
    <s v="2500008662"/>
    <s v="ELGI Gulf FZE"/>
    <s v="MATL :  ELBOW, RUBBER, 8&quot;X7&quot; P/N: 220375380 "/>
    <n v="2"/>
    <n v="2"/>
    <n v="0"/>
    <x v="0"/>
  </r>
  <r>
    <n v="37"/>
    <s v="2500008693"/>
    <s v="ELGI Gulf FZE"/>
    <s v="MATL: Fittings Kit; P/N: 12476659     "/>
    <n v="2"/>
    <n v="2"/>
    <n v="0"/>
    <x v="0"/>
  </r>
  <r>
    <n v="38"/>
    <s v="2500008700"/>
    <s v="ELGI Gulf FZE"/>
    <s v="MATL:  FUEL PUMP  B013603500322    "/>
    <n v="5"/>
    <n v="5"/>
    <n v="0"/>
    <x v="0"/>
  </r>
  <r>
    <n v="39"/>
    <s v="2500008757"/>
    <s v="ELGI Gulf FZE"/>
    <s v="5275527_ENGINE AIR FILTER P/N-B013603500433    "/>
    <n v="2"/>
    <n v="2"/>
    <n v="0"/>
    <x v="0"/>
  </r>
  <r>
    <n v="40"/>
    <s v="2500008773"/>
    <s v="ELGI Gulf FZE"/>
    <s v="HOSE ASSY 1 1/2&quot; P/N-35301850   "/>
    <n v="6"/>
    <n v="6"/>
    <n v="0"/>
    <x v="0"/>
  </r>
  <r>
    <n v="41"/>
    <s v="2500008867"/>
    <s v="Summits Hygronics Private Limited"/>
    <s v="Refrigerent air dryer ELIX 125 DA    "/>
    <n v="2"/>
    <n v="2"/>
    <n v="0"/>
    <x v="0"/>
  </r>
  <r>
    <n v="42"/>
    <s v="2500008878"/>
    <s v="ELGI Gulf FZE"/>
    <s v="DRIVE COUPLING ASSY(PN B545902)                           "/>
    <n v="1"/>
    <n v="1"/>
    <n v="0"/>
    <x v="0"/>
  </r>
  <r>
    <n v="43"/>
    <s v="2500008920"/>
    <s v="ELGI Gulf FZE"/>
    <s v="ELGI Encaps crew air compressor  EN 5-100 380V/60HZ  S014697 "/>
    <n v="1"/>
    <n v="1"/>
    <n v="0"/>
    <x v="0"/>
  </r>
  <r>
    <n v="44"/>
    <s v="2500008956"/>
    <s v="ELGI Gulf FZE"/>
    <s v="2879766 TACHOMETER NTA P/N-B013603500500"/>
    <n v="1"/>
    <n v="1"/>
    <n v="0"/>
    <x v="0"/>
  </r>
  <r>
    <n v="45"/>
    <s v="2500008973"/>
    <s v="ELGI Gulf FZE"/>
    <s v="COUPLING TDS-27/DT-27 DV0"/>
    <n v="1"/>
    <n v="1"/>
    <n v="0"/>
    <x v="0"/>
  </r>
  <r>
    <n v="46"/>
    <s v="2500008966"/>
    <s v="ELGI Gulf FZE"/>
    <s v="SLACKNESS CABLE-1200      P/N B016206800006"/>
    <n v="1"/>
    <n v="1"/>
    <n v="0"/>
    <x v="0"/>
  </r>
  <r>
    <n v="47"/>
    <s v="2500009191"/>
    <s v="ELGI Gulf FZE"/>
    <s v=" Desc:4080720 STRAINER FUEL| P/N:B013603500362"/>
    <n v="1"/>
    <n v="1"/>
    <n v="0"/>
    <x v="0"/>
  </r>
  <r>
    <n v="48"/>
    <s v="2500009215"/>
    <s v="ELGI Gulf FZE"/>
    <s v="&quot;AF 1121PF 2 1/2'' BSP  &quot;"/>
    <n v="1"/>
    <n v="1"/>
    <n v="0"/>
    <x v="0"/>
  </r>
  <r>
    <n v="49"/>
    <s v="2500005890"/>
    <s v="QURUM Technical Company"/>
    <s v="AIRFILTER ELEMENT E30TO37 PN B005700770006  "/>
    <n v="16"/>
    <n v="16"/>
    <n v="0"/>
    <x v="0"/>
  </r>
  <r>
    <n v="50"/>
    <s v="2500001400"/>
    <s v="QURUM Technical Company"/>
    <s v="SOLENOID VALVE 1/4&quot; 110V AC NC PN 10464170  "/>
    <n v="6"/>
    <n v="6"/>
    <n v="0"/>
    <x v="0"/>
  </r>
  <r>
    <n v="51"/>
    <n v="2500005888"/>
    <s v="ELGI Gulf FZE"/>
    <s v="AIR FILTER ELEMENT E11-15 PN B005700770004 "/>
    <n v="18"/>
    <n v="16"/>
    <n v="-2"/>
    <x v="1"/>
  </r>
  <r>
    <n v="52"/>
    <s v="2500006140"/>
    <s v="QURUM Technical Company"/>
    <s v="Intake valve kit PN B009405770006"/>
    <n v="6"/>
    <n v="6"/>
    <n v="0"/>
    <x v="0"/>
  </r>
  <r>
    <n v="53"/>
    <s v="2500008040"/>
    <s v="ELGI Gulf FZE"/>
    <s v="Screw Air compressor, 11KW/15HP,51CFM ,10BAR,380V,60HZ, PN EN 11-150"/>
    <n v="3"/>
    <n v="3"/>
    <n v="0"/>
    <x v="0"/>
  </r>
  <r>
    <n v="54"/>
    <s v="2500008048"/>
    <s v="ELGI Gulf FZE"/>
    <s v="Refrigerent air dryer ,80CFM,14BAR,230V/60HZ PN EGRD080"/>
    <n v="2"/>
    <n v="2"/>
    <n v="0"/>
    <x v="0"/>
  </r>
  <r>
    <n v="55"/>
    <s v="2500008050"/>
    <s v="ELGI Gulf FZE"/>
    <s v="Refrigerent air dryer ,200CFM,14BAR,230V/60HZ PN EGRD200 "/>
    <n v="3"/>
    <n v="3"/>
    <n v="0"/>
    <x v="0"/>
  </r>
  <r>
    <n v="56"/>
    <s v="2500008055"/>
    <s v="ELGI Gulf FZE"/>
    <s v="Refrigerent air dryer ,750CFM,14BAR,380V/60HZ PN EGRD750  "/>
    <n v="1"/>
    <n v="1"/>
    <n v="0"/>
    <x v="0"/>
  </r>
  <r>
    <n v="57"/>
    <s v="2500008039"/>
    <s v="ELGI Gulf FZE"/>
    <s v="Dicharge Check Valve PN 35400469  "/>
    <n v="1"/>
    <n v="0"/>
    <n v="-1"/>
    <x v="4"/>
  </r>
  <r>
    <n v="58"/>
    <s v="2500008078"/>
    <s v="ELGI Gulf FZE"/>
    <s v="Auto drain valve PN B001300110004"/>
    <n v="9"/>
    <n v="8"/>
    <n v="-1"/>
    <x v="5"/>
  </r>
  <r>
    <n v="59"/>
    <s v="2500005599"/>
    <s v="ELGI Gulf FZE"/>
    <s v="AUTO DRAIN VALVE F5 &amp; F6 PN B001302940001 "/>
    <n v="1"/>
    <n v="1"/>
    <n v="0"/>
    <x v="0"/>
  </r>
  <r>
    <n v="60"/>
    <s v="2500008131"/>
    <s v="ELGI Gulf FZE"/>
    <s v="OIL FILTER ELEMENT PN B407701       "/>
    <n v="12"/>
    <n v="12"/>
    <n v="0"/>
    <x v="0"/>
  </r>
  <r>
    <n v="61"/>
    <s v="2500008136"/>
    <s v="ELGI Gulf FZE"/>
    <s v="Rubber Elbow, 4&quot; MDL 300/100 PN 220375400"/>
    <n v="2"/>
    <n v="2"/>
    <n v="0"/>
    <x v="0"/>
  </r>
  <r>
    <n v="62"/>
    <s v="2500008138"/>
    <s v="ELGI Gulf FZE"/>
    <s v="DISCH CHECK VALVE 60 MDL 300/100 PN B009801070002"/>
    <n v="2"/>
    <n v="2"/>
    <n v="0"/>
    <x v="0"/>
  </r>
  <r>
    <n v="63"/>
    <s v="2500008141"/>
    <s v="ELGI Gulf FZE"/>
    <s v="ACTUATOR ASSY, SINGLE ACTING MDL 300/100,PG 900 - 200 PN A030006"/>
    <n v="1"/>
    <n v="1"/>
    <n v="0"/>
    <x v="0"/>
  </r>
  <r>
    <n v="64"/>
    <s v="2500008159"/>
    <s v="ELGI Gulf FZE"/>
    <s v="BDV Assembly MDL E11 - E160 PN A010345            "/>
    <n v="2"/>
    <n v="2"/>
    <n v="0"/>
    <x v="0"/>
  </r>
  <r>
    <n v="65"/>
    <s v="2500008169"/>
    <s v="QURUM Technical Company"/>
    <s v="Coupling Element EG18-E22 PN B011201170002                             "/>
    <n v="12"/>
    <n v="12"/>
    <n v="0"/>
    <x v="0"/>
  </r>
  <r>
    <n v="66"/>
    <s v="2500008172"/>
    <s v="ELGI Gulf FZE"/>
    <s v="Coupling Element MDL EG110-EG160 PN B005401170007                             "/>
    <n v="6"/>
    <n v="6"/>
    <n v="0"/>
    <x v="0"/>
  </r>
  <r>
    <n v="67"/>
    <s v="2500008223"/>
    <s v="ELGI Gulf FZE"/>
    <s v="MPV Kit- PN B009301070014           "/>
    <n v="5"/>
    <n v="5"/>
    <n v="0"/>
    <x v="0"/>
  </r>
  <r>
    <n v="68"/>
    <s v="2500008242"/>
    <s v="QURUM Technical Company"/>
    <s v="ELEMENT, AIR CLEANER PN B013603500460 "/>
    <n v="4"/>
    <n v="4"/>
    <n v="0"/>
    <x v="0"/>
  </r>
  <r>
    <n v="69"/>
    <s v="2500008246"/>
    <s v="ELGI Equipments Limited"/>
    <s v="VALVE SOLENOID E1 PN B015000110080 "/>
    <n v="2"/>
    <n v="2"/>
    <n v="0"/>
    <x v="0"/>
  </r>
  <r>
    <n v="70"/>
    <s v="2500008253"/>
    <s v="ELGI Gulf FZE"/>
    <s v="3815929_SAFETY CATRIDGE PN B013603500582 "/>
    <n v="7"/>
    <n v="7"/>
    <n v="0"/>
    <x v="0"/>
  </r>
  <r>
    <n v="71"/>
    <s v="2500008256"/>
    <s v="ELGI Gulf FZE"/>
    <s v="VALVE KIT A/INTAKE 4&quot; AIRCON  PN 10331099 "/>
    <n v="2"/>
    <n v="2"/>
    <n v="0"/>
    <x v="0"/>
  </r>
  <r>
    <n v="72"/>
    <s v="2500008261"/>
    <s v="ELGI Gulf FZE"/>
    <s v="VALVE ASSY, PR REG, 1/4&quot;NPT PN 220317590 "/>
    <n v="0"/>
    <n v="0"/>
    <n v="0"/>
    <x v="0"/>
  </r>
  <r>
    <n v="73"/>
    <s v="2500008333"/>
    <s v="ELGI Gulf FZE"/>
    <s v="Belt P N  B014606410075     "/>
    <n v="3"/>
    <n v="3"/>
    <n v="0"/>
    <x v="0"/>
  </r>
  <r>
    <n v="74"/>
    <s v="2500008335"/>
    <s v="ELGI Gulf FZE"/>
    <s v="ORING KIT EN 73 V3  P N 12476669        "/>
    <n v="2"/>
    <n v="2"/>
    <n v="0"/>
    <x v="0"/>
  </r>
  <r>
    <n v="75"/>
    <s v="2500008350"/>
    <s v="QURUM Technical Company"/>
    <s v="Intake valve kit PN B009401070009 "/>
    <n v="8"/>
    <n v="8"/>
    <n v="0"/>
    <x v="0"/>
  </r>
  <r>
    <n v="76"/>
    <s v="2500008352"/>
    <s v="QURUM Technical Company"/>
    <s v="BDV Kit P N 220322889 "/>
    <n v="2"/>
    <n v="2"/>
    <n v="0"/>
    <x v="0"/>
  </r>
  <r>
    <n v="77"/>
    <s v="2500008413"/>
    <s v="ELGI Gulf FZE"/>
    <s v="Engine air filter - Secondary P N 162-0087-S "/>
    <n v="3"/>
    <n v="3"/>
    <n v="0"/>
    <x v="0"/>
  </r>
  <r>
    <n v="78"/>
    <s v="2500008414"/>
    <s v="ELGI Gulf FZE"/>
    <s v="Compressor oil filter P N 099-008-S "/>
    <n v="2"/>
    <n v="2"/>
    <n v="0"/>
    <x v="0"/>
  </r>
  <r>
    <n v="79"/>
    <s v="2500008415"/>
    <s v="ELGI Gulf FZE"/>
    <s v="Air oil seperator filter P N 157-171-S  "/>
    <n v="2"/>
    <n v="2"/>
    <n v="0"/>
    <x v="0"/>
  </r>
  <r>
    <n v="80"/>
    <s v="2900000050"/>
    <s v="Summits Hygronics Private Limited"/>
    <s v="&quot;Capacity of 400cfm (200cfm @ 45°C Ambient &amp; 55°C Inlet), Model SI 040 DA, Inlet operating air pressure of 7 - 12 bar g, outlet Pressure Dew point of +3C (PDP), Air inlet temperature upto 55C,&quot;  "/>
    <n v="1"/>
    <n v="1"/>
    <n v="0"/>
    <x v="0"/>
  </r>
  <r>
    <n v="81"/>
    <s v="2500008442"/>
    <s v="ELGI Gulf FZE"/>
    <s v="OIL FILTER ELEMENT 25 LPM NEW P N X018283 "/>
    <n v="31"/>
    <n v="31"/>
    <n v="0"/>
    <x v="0"/>
  </r>
  <r>
    <n v="82"/>
    <s v="2500008446"/>
    <s v="ELGI Gulf FZE"/>
    <s v="P1301640_SECONDARY ELEMENT MIC  P N B013603050055 "/>
    <n v="6"/>
    <n v="6"/>
    <n v="0"/>
    <x v="0"/>
  </r>
  <r>
    <n v="83"/>
    <s v="2500008476"/>
    <s v="ELGI Gulf FZE"/>
    <s v="AIR FILTER KIT Part  Number : B574609AIR OIL SEPERATOR 10S PN B676103"/>
    <n v="5"/>
    <n v="5"/>
    <n v="0"/>
    <x v="0"/>
  </r>
  <r>
    <n v="84"/>
    <s v="2500008507"/>
    <s v="ELGI Gulf FZE"/>
    <s v="AIR FILTER PART NO 12475869 "/>
    <n v="3"/>
    <n v="3"/>
    <n v="0"/>
    <x v="0"/>
  </r>
  <r>
    <n v="85"/>
    <s v="2500008545"/>
    <s v="ELGI Gulf FZE"/>
    <s v="Diesel Portable compressor 380 cfm PN PG380-150  "/>
    <n v="6"/>
    <n v="6"/>
    <n v="0"/>
    <x v="0"/>
  </r>
  <r>
    <n v="86"/>
    <s v="2500008556"/>
    <s v="ELGI Gulf FZE"/>
    <s v="Engine: Yanmar 4TNV 88Capacity: 200 cfm, Pressure: 100 PSI S03231  PG 200-100 "/>
    <n v="4"/>
    <n v="4"/>
    <n v="0"/>
    <x v="0"/>
  </r>
  <r>
    <n v="87"/>
    <s v="2500008563"/>
    <s v="Summits Hygronics Private Limited"/>
    <s v="MATL : ELIX Summits PLATRONIKA Fully Automatic Continues Operation Refrigerant Air dryer . 100cfm (2.83m3/min), Model Elix 010 DA "/>
    <n v="11"/>
    <n v="10"/>
    <n v="-1"/>
    <x v="6"/>
  </r>
  <r>
    <n v="88"/>
    <s v="2500008567"/>
    <s v="Summits Hygronics Private Limited"/>
    <s v="MATL : ELIX Summits PLATRONIKA Fully Automatic Continues Operation Refrigerant Air dryer.500cfm (14.15m3/min), Model Elix 050DA "/>
    <n v="3"/>
    <n v="3"/>
    <n v="0"/>
    <x v="0"/>
  </r>
  <r>
    <n v="89"/>
    <s v="2500008597"/>
    <s v="ELGI Gulf FZE"/>
    <s v="MINIMUM PRESSURE VALVE"/>
    <n v="3"/>
    <n v="3"/>
    <n v="0"/>
    <x v="0"/>
  </r>
  <r>
    <n v="90"/>
    <s v="2500008621"/>
    <s v="ELGI Gulf FZE"/>
    <s v="MATL : ELBOW; REDU; RUBBER; 6&quot;X4 PART NO: 220373320  "/>
    <n v="1"/>
    <n v="1"/>
    <n v="0"/>
    <x v="0"/>
  </r>
  <r>
    <n v="91"/>
    <s v="2500008645"/>
    <s v="ELGI Gulf FZE"/>
    <s v="ACTUATOR PNEU; P/N: B011406760001          "/>
    <n v="5"/>
    <n v="4"/>
    <n v="-1"/>
    <x v="2"/>
  </r>
  <r>
    <n v="92"/>
    <s v="2500008647"/>
    <s v="ELGI Gulf FZE"/>
    <s v="MATL : BLOW DOWN VALVE KIT P/N : 972300030    "/>
    <n v="4"/>
    <n v="4"/>
    <n v="0"/>
    <x v="0"/>
  </r>
  <r>
    <n v="93"/>
    <s v="2500008725"/>
    <s v="ELGI Gulf FZE"/>
    <s v="MOISTURE SEPARATOR ( MS150) F2 P/N- B000305480003   "/>
    <n v="2"/>
    <n v="2"/>
    <n v="0"/>
    <x v="0"/>
  </r>
  <r>
    <n v="94"/>
    <s v="2500008819"/>
    <s v="OKI BERING MIDDLE EAST FZE "/>
    <s v="SIZE 1 (15-25MM)OXY-PROPANE CUTTING TIP P/N-00 1502904  "/>
    <n v="10"/>
    <n v="10"/>
    <n v="0"/>
    <x v="0"/>
  </r>
  <r>
    <n v="95"/>
    <n v="2500008837"/>
    <s v="TBi Industries GmbH"/>
    <s v="TBI 240 5M expert P/N-112P321050                     "/>
    <n v="5"/>
    <n v="5"/>
    <n v="0"/>
    <x v="0"/>
  </r>
  <r>
    <n v="96"/>
    <s v="2500008855"/>
    <s v="Summits Hygronics Private Limited"/>
    <s v="SF 004 DX, 40cfm-Prefilter  "/>
    <n v="2"/>
    <n v="2"/>
    <n v="0"/>
    <x v="0"/>
  </r>
  <r>
    <n v="97"/>
    <s v="2500008871"/>
    <s v="TBi Industries GmbH"/>
    <s v="Nozzle con. diam. 12.5mm PN-345P012012                      "/>
    <n v="200"/>
    <n v="200"/>
    <n v="0"/>
    <x v="0"/>
  </r>
  <r>
    <n v="98"/>
    <s v="2500008873"/>
    <s v="TBi Industries GmbH"/>
    <s v="Gas diffusor ceramic PN-112P002021                      "/>
    <n v="200"/>
    <n v="200"/>
    <n v="0"/>
    <x v="0"/>
  </r>
  <r>
    <n v="99"/>
    <s v="2500008891"/>
    <s v="ELGI Gulf FZE"/>
    <s v="SEPARATOR ELEMENT 1600 CFM P/N-B677701                                     "/>
    <n v="1"/>
    <n v="1"/>
    <n v="0"/>
    <x v="0"/>
  </r>
  <r>
    <n v="100"/>
    <s v="2500008904"/>
    <s v="OKI BERING MIDDLE EAST FZE "/>
    <s v="CO2 REGULATOR W/HEATER 220V - BS P/N-900 CO2RH220V   "/>
    <n v="2"/>
    <n v="2"/>
    <n v="0"/>
    <x v="0"/>
  </r>
  <r>
    <n v="101"/>
    <s v="2500008958"/>
    <s v="ELGI Gulf FZE"/>
    <s v="ELGI screw air compressor EG 160-150 380V/60HZ "/>
    <n v="1"/>
    <n v="1"/>
    <n v="0"/>
    <x v="0"/>
  </r>
  <r>
    <n v="102"/>
    <s v="2500009027"/>
    <s v="ELGI Gulf FZE"/>
    <s v="NEURON XT CONNECTOR SET P/N:897903T"/>
    <n v="1"/>
    <n v="1"/>
    <n v="0"/>
    <x v="0"/>
  </r>
  <r>
    <n v="103"/>
    <s v="2500009140"/>
    <s v="ELGI Gulf FZE"/>
    <s v="Hose MPV to A/F Cooler     P/N- 15303604  "/>
    <n v="1"/>
    <n v="1"/>
    <n v="0"/>
    <x v="0"/>
  </r>
  <r>
    <n v="104"/>
    <s v="2500009162"/>
    <s v="ELGI Gulf FZE"/>
    <s v="INNER 3814313_ENGINE AIR FILTE| PN:1"/>
    <n v="1"/>
    <n v="1"/>
    <n v="0"/>
    <x v="0"/>
  </r>
  <r>
    <n v="105"/>
    <s v="2500009194"/>
    <s v="ELGI Gulf FZE"/>
    <s v=" Desc:BDV KIT WITH SOLENOID VALVE| P/N:B009401070018"/>
    <n v="3"/>
    <n v="3"/>
    <n v="0"/>
    <x v="0"/>
  </r>
  <r>
    <n v="106"/>
    <s v="2500000779"/>
    <s v="QURUM Technical Company"/>
    <s v="OIL AIR LUBE XD-20L (BPCL) PN 998053  "/>
    <n v="31"/>
    <n v="29"/>
    <n v="-2"/>
    <x v="2"/>
  </r>
  <r>
    <n v="107"/>
    <s v="2500005714"/>
    <s v="ELGI Gulf FZE"/>
    <s v="AIR FILTER ELEMENT-F4-75KW PN B004700770031  "/>
    <n v="33"/>
    <n v="33"/>
    <n v="0"/>
    <x v="0"/>
  </r>
  <r>
    <n v="108"/>
    <s v="2500005718"/>
    <s v="ELGI Gulf FZE"/>
    <s v="AIR FILTER ASSY F6 OPEN TYPE PN B004700770036  "/>
    <n v="5"/>
    <n v="5"/>
    <n v="0"/>
    <x v="0"/>
  </r>
  <r>
    <n v="109"/>
    <s v="2500006877"/>
    <s v="ELGI Gulf FZE"/>
    <s v="AIR OIL SEPERATOR ASSY 400CFM PN B674601 "/>
    <n v="6"/>
    <n v="6"/>
    <n v="0"/>
    <x v="0"/>
  </r>
  <r>
    <n v="110"/>
    <s v="2500005915"/>
    <s v="QURUM Technical Company"/>
    <s v="AIR-OIL SEPARATOR PN B006700770024 "/>
    <n v="3"/>
    <n v="3"/>
    <n v="0"/>
    <x v="0"/>
  </r>
  <r>
    <n v="111"/>
    <s v="2500001368"/>
    <s v="ELGI Gulf FZE"/>
    <s v="ELEMENT, SEPERATOR,2016TS HOR PN 10454350 "/>
    <n v="2"/>
    <n v="2"/>
    <n v="0"/>
    <x v="0"/>
  </r>
  <r>
    <n v="112"/>
    <s v="2500001778"/>
    <s v="ELGI Gulf FZE"/>
    <s v="SEAL SHAFT55X70X12 AXIS-159 CW PN 13436254 "/>
    <n v="2"/>
    <n v="1"/>
    <n v="-1"/>
    <x v="5"/>
  </r>
  <r>
    <n v="113"/>
    <s v="2500001786"/>
    <s v="ELGI Gulf FZE"/>
    <s v="SEAL SHAFT70X85X12 AXIS-225 CW  PN 13436272 "/>
    <n v="3"/>
    <n v="3"/>
    <n v="0"/>
    <x v="0"/>
  </r>
  <r>
    <n v="114"/>
    <s v="2500002325"/>
    <s v="ELGI Gulf FZE"/>
    <s v="PRE FILTER PN 15403266 "/>
    <n v="8"/>
    <n v="8"/>
    <n v="0"/>
    <x v="0"/>
  </r>
  <r>
    <n v="115"/>
    <s v="2500008044"/>
    <s v="ELGI Gulf FZE"/>
    <s v="Screw Air compressor ,37KW/50HP,203CFM,10BAR,380V/60HZ PN EG 37-150"/>
    <n v="6"/>
    <n v="6"/>
    <n v="0"/>
    <x v="0"/>
  </r>
  <r>
    <n v="116"/>
    <s v="2500008046"/>
    <s v="ELGI Gulf FZE"/>
    <s v="Screw Air compressor ,55KW/75HP,283CFM,10BAR,380V/60HZ PN EG 55-150"/>
    <n v="2"/>
    <n v="2"/>
    <n v="0"/>
    <x v="0"/>
  </r>
  <r>
    <n v="117"/>
    <s v="2500005929"/>
    <s v="ELGI Gulf FZE"/>
    <s v="SOLENOID VALVE 2 WAY 24V AC PN B007300170002"/>
    <n v="2"/>
    <n v="2"/>
    <n v="0"/>
    <x v="0"/>
  </r>
  <r>
    <n v="118"/>
    <s v="2500006045"/>
    <s v="QURUM Technical Company"/>
    <s v="THERMAL ELEMENT 75 DEG CELCIUS PN B008706030008 "/>
    <n v="1"/>
    <n v="1"/>
    <n v="0"/>
    <x v="0"/>
  </r>
  <r>
    <n v="119"/>
    <s v="2500008143"/>
    <s v="ELGI Gulf FZE"/>
    <s v="PRESSURE GAUGE 0-16 Kg/cm2 MD PG400/150 PN B002106840003"/>
    <n v="1"/>
    <n v="0"/>
    <n v="-1"/>
    <x v="5"/>
  </r>
  <r>
    <n v="120"/>
    <s v="2500008185"/>
    <s v="ELGI Gulf FZE"/>
    <s v="AIR FILTER KIT PN B004700460001                     "/>
    <n v="5"/>
    <n v="5"/>
    <n v="0"/>
    <x v="0"/>
  </r>
  <r>
    <n v="121"/>
    <s v="2500008214"/>
    <s v="ELGI Gulf FZE"/>
    <s v="Kit inlet air cleaner dry PN 22400929   "/>
    <n v="4"/>
    <n v="4"/>
    <n v="0"/>
    <x v="0"/>
  </r>
  <r>
    <n v="122"/>
    <s v="2500008216"/>
    <s v="ELGI Gulf FZE"/>
    <s v="MPV Assembly PN A990080     "/>
    <n v="7"/>
    <n v="7"/>
    <n v="0"/>
    <x v="0"/>
  </r>
  <r>
    <n v="123"/>
    <s v="2500008251"/>
    <s v="ELGI Gulf FZE"/>
    <s v="AIR FILTER PN B005700770015 "/>
    <n v="20"/>
    <n v="20"/>
    <n v="0"/>
    <x v="0"/>
  </r>
  <r>
    <n v="124"/>
    <s v="2500008285"/>
    <s v="ELGI Gulf FZE"/>
    <s v="BDV ASSEMBLY KIT EIV 102 PN 972300080  "/>
    <n v="8"/>
    <n v="7"/>
    <n v="-1"/>
    <x v="2"/>
  </r>
  <r>
    <n v="125"/>
    <s v="2500008287"/>
    <s v="ELGI Gulf FZE"/>
    <s v="MPV KIT,EN 102  PN A990293    "/>
    <n v="7"/>
    <n v="7"/>
    <n v="0"/>
    <x v="0"/>
  </r>
  <r>
    <n v="126"/>
    <s v="2500008354"/>
    <s v="QURUM Technical Company"/>
    <s v="MPV kit (45KW) P N B009405770008 "/>
    <n v="7"/>
    <n v="7"/>
    <n v="0"/>
    <x v="0"/>
  </r>
  <r>
    <n v="127"/>
    <s v="2500008409"/>
    <s v="ELGI Gulf FZE"/>
    <s v="Oil Filter Kit P N X017503  "/>
    <n v="56"/>
    <n v="56"/>
    <n v="0"/>
    <x v="0"/>
  </r>
  <r>
    <n v="128"/>
    <s v="2500008437"/>
    <s v="ELGI Gulf FZE"/>
    <s v="Suction Hose Pre filter Box to Air filter, PN B005506260002"/>
    <n v="1"/>
    <n v="1"/>
    <n v="0"/>
    <x v="0"/>
  </r>
  <r>
    <n v="129"/>
    <s v="2500008452"/>
    <s v="ELGI Gulf FZE"/>
    <s v="ELGI AIR LUBE XD-5L ( EACH= 5 LITER CAN ) P N 998118"/>
    <n v="22"/>
    <n v="22"/>
    <n v="0"/>
    <x v="0"/>
  </r>
  <r>
    <n v="130"/>
    <s v="2500008454"/>
    <s v="ELGI Gulf FZE"/>
    <s v="Separator E30-E45   P N B006700770013   "/>
    <n v="10"/>
    <n v="10"/>
    <n v="0"/>
    <x v="0"/>
  </r>
  <r>
    <n v="131"/>
    <s v="2500008466"/>
    <s v="ELGI Gulf FZE"/>
    <s v="OIL SIGHT GLASS G1/2   B004606280001   "/>
    <n v="3"/>
    <n v="3"/>
    <n v="0"/>
    <x v="0"/>
  </r>
  <r>
    <n v="132"/>
    <s v="2500008489"/>
    <s v="ELGI Gulf FZE"/>
    <s v="AF 0088F ,Fine Filter -88cfm B003308170023"/>
    <n v="4"/>
    <n v="4"/>
    <n v="0"/>
    <x v="0"/>
  </r>
  <r>
    <n v="133"/>
    <s v="2500008506"/>
    <s v="ELGI Gulf FZE"/>
    <s v="Intake Valve EG 18  B009801070012"/>
    <n v="3"/>
    <n v="3"/>
    <n v="0"/>
    <x v="0"/>
  </r>
  <r>
    <n v="134"/>
    <s v="2500008532"/>
    <s v="ELGI Gulf FZE"/>
    <s v="SLEEVE FOR 6x4MM TUBE(PN 959763)"/>
    <n v="22"/>
    <n v="22"/>
    <n v="0"/>
    <x v="0"/>
  </r>
  <r>
    <n v="135"/>
    <s v="2500008509"/>
    <s v="ELGI Gulf FZE"/>
    <s v="TUBINGS 6MM  PART NO : 920620 "/>
    <n v="2"/>
    <n v="2"/>
    <n v="0"/>
    <x v="0"/>
  </r>
  <r>
    <n v="136"/>
    <s v="2500008568"/>
    <s v="Summits Hygronics Private Limited"/>
    <s v="MATL : ELIX Summits PLATRONIKA Fully Automatic Continues Operation Refrigerant Air dryer.800cfm (22.65m3/min), Model Elix 080DA "/>
    <n v="3"/>
    <n v="3"/>
    <n v="0"/>
    <x v="0"/>
  </r>
  <r>
    <n v="137"/>
    <s v="2500008572"/>
    <s v="Summits Hygronics Private Limited"/>
    <s v="MATL : Summits Sub Micro filter with Inbuilt drain valve. Suitable to handle 120cfm, Model SF 012 DY, working pressure of 7 - 16 bar g "/>
    <n v="1"/>
    <n v="1"/>
    <n v="0"/>
    <x v="0"/>
  </r>
  <r>
    <n v="138"/>
    <s v="2500008576"/>
    <s v="Summits Hygronics Private Limited"/>
    <s v="MATL : Summits Activated Carbon filter with Inbuilt drain valve.Suitable to handle 310cfm, Model SF 035 DA,working pressure of 7 - 16 bar g "/>
    <n v="4"/>
    <n v="4"/>
    <n v="0"/>
    <x v="0"/>
  </r>
  <r>
    <n v="139"/>
    <s v="2500008598"/>
    <s v="ELGI Gulf FZE"/>
    <s v="Separator element with gasket,B006700770021"/>
    <n v="2"/>
    <n v="2"/>
    <n v="0"/>
    <x v="0"/>
  </r>
  <r>
    <n v="140"/>
    <s v="2500008615"/>
    <s v="ELGI Gulf FZE"/>
    <s v="MATL : Pre filter -AF 0294F 1 1/2'' BSP  "/>
    <n v="1"/>
    <n v="0"/>
    <n v="-1"/>
    <x v="2"/>
  </r>
  <r>
    <n v="141"/>
    <s v="2500008630"/>
    <s v="ELGI Gulf FZE"/>
    <s v="MATL : AIR FILTER KIT B574609       "/>
    <n v="3"/>
    <n v="3"/>
    <n v="0"/>
    <x v="0"/>
  </r>
  <r>
    <n v="142"/>
    <s v="2500008696"/>
    <s v="ELGI Gulf FZE"/>
    <s v="MATL: TRANSPARENT TUBE 6X4; P/N: B010301230001       "/>
    <n v="5"/>
    <n v="5"/>
    <n v="0"/>
    <x v="0"/>
  </r>
  <r>
    <n v="143"/>
    <s v="2500008756"/>
    <s v="ELGI Gulf FZE"/>
    <s v="KIT AIR FILTER A/E - 1500-400 P/N- 32304579    "/>
    <n v="2"/>
    <n v="2"/>
    <n v="0"/>
    <x v="0"/>
  </r>
  <r>
    <n v="144"/>
    <s v="2500008870"/>
    <s v="TBi Industries GmbH"/>
    <s v="Contact tip holder M6/L=26mm PN- 342P006012                      "/>
    <n v="100"/>
    <n v="100"/>
    <n v="0"/>
    <x v="0"/>
  </r>
  <r>
    <n v="145"/>
    <s v="2500008885"/>
    <s v="ELGI Gulf FZE"/>
    <s v="PIPE COUPLING STYLE 12 1 P/N-B56XX07                                  "/>
    <n v="7"/>
    <n v="7"/>
    <n v="0"/>
    <x v="0"/>
  </r>
  <r>
    <n v="146"/>
    <s v="2500008902"/>
    <s v="ELGI Gulf FZE"/>
    <s v="ORIFICE CONTROL 1/8x1/4NPT 2.5   "/>
    <n v="3"/>
    <n v="3"/>
    <n v="0"/>
    <x v="0"/>
  </r>
  <r>
    <n v="147"/>
    <s v="2500008941"/>
    <s v="ELGI Gulf FZE"/>
    <s v="ELBOW; TMS; 1/4&quot;X1/4&quot;NPT P/N-22047681B "/>
    <n v="3"/>
    <n v="3"/>
    <n v="0"/>
    <x v="0"/>
  </r>
  <r>
    <n v="148"/>
    <s v="2500008953"/>
    <s v="ELGI Gulf FZE"/>
    <s v="Blowdwon Valve Assy. B009401070017   "/>
    <n v="6"/>
    <n v="6"/>
    <n v="0"/>
    <x v="0"/>
  </r>
  <r>
    <n v="149"/>
    <s v="2500008957"/>
    <s v="ELGI Gulf FZE"/>
    <s v="RING, ADAPTER, 20S P/N-22027262A"/>
    <n v="1"/>
    <n v="1"/>
    <n v="0"/>
    <x v="0"/>
  </r>
  <r>
    <n v="150"/>
    <s v="2500009006"/>
    <s v="ELGI Gulf FZE"/>
    <s v="&quot;Screw Air compressor  EG 132P-125 VFD S014542&quot;"/>
    <n v="2"/>
    <n v="2"/>
    <n v="0"/>
    <x v="0"/>
  </r>
  <r>
    <n v="151"/>
    <s v="2500009008"/>
    <s v="ELGI Gulf FZE"/>
    <s v="AF 0912PF 2 1/2'' BSP "/>
    <n v="1"/>
    <n v="1"/>
    <n v="0"/>
    <x v="0"/>
  </r>
  <r>
    <n v="152"/>
    <s v="2500009025"/>
    <s v="ELGI Gulf FZE"/>
    <s v="MOS Kit P/N:B000305480005"/>
    <n v="1"/>
    <n v="1"/>
    <n v="0"/>
    <x v="0"/>
  </r>
  <r>
    <n v="153"/>
    <s v="2500009023"/>
    <s v="ELGI Gulf FZE"/>
    <s v="GREASE-EM UNIREX N3 P/N:15404151"/>
    <n v="8"/>
    <n v="8"/>
    <n v="0"/>
    <x v="0"/>
  </r>
  <r>
    <n v="154"/>
    <s v="2500009187"/>
    <s v="ELGI Gulf FZE"/>
    <s v="TL999LLX1X0034BSTDO10 VT TSW  | P/N-B171901"/>
    <n v="4"/>
    <n v="4"/>
    <n v="0"/>
    <x v="0"/>
  </r>
  <r>
    <n v="155"/>
    <s v="2500009189"/>
    <s v="Summits Hygronics Private Limited"/>
    <s v="600cfm, Model SI 060 DA "/>
    <n v="1"/>
    <n v="1"/>
    <n v="0"/>
    <x v="0"/>
  </r>
  <r>
    <n v="156"/>
    <s v="2500009235"/>
    <s v="Gulf Level Trading Company"/>
    <s v="1003204103 - COMPLETE PISTON HOSING"/>
    <n v="1"/>
    <n v="1"/>
    <n v="0"/>
    <x v="0"/>
  </r>
  <r>
    <n v="157"/>
    <s v="2500009239"/>
    <s v="Gulf Level Trading Company"/>
    <s v="1001413 - OIL PUMP"/>
    <n v="1"/>
    <n v="1"/>
    <n v="0"/>
    <x v="0"/>
  </r>
  <r>
    <n v="158"/>
    <n v="2500005898"/>
    <s v="ELGI Gulf FZE"/>
    <s v="Element, Air Filter, EN73s PN B005705760002  "/>
    <n v="53"/>
    <n v="52"/>
    <n v="-1"/>
    <x v="7"/>
  </r>
  <r>
    <n v="159"/>
    <s v="2500005891"/>
    <s v="QURUM Technical Company"/>
    <s v="AIRFILTER ELEMENT E45TO55 PN B005700770007  "/>
    <n v="11"/>
    <n v="11"/>
    <n v="0"/>
    <x v="0"/>
  </r>
  <r>
    <n v="160"/>
    <n v="2500005907"/>
    <s v="QURUM Technical Company"/>
    <s v="600CFM Air Oil Seprator  PN B006700770009 "/>
    <n v="10"/>
    <n v="7"/>
    <n v="-3"/>
    <x v="3"/>
  </r>
  <r>
    <n v="161"/>
    <s v="2500005917"/>
    <s v="ELGI Gulf FZE"/>
    <s v="Air-Oil Separator-F4-75KW PN B006700770027  "/>
    <n v="5"/>
    <n v="5"/>
    <n v="0"/>
    <x v="0"/>
  </r>
  <r>
    <n v="162"/>
    <n v="2500005906"/>
    <s v="QURUM Technical Company"/>
    <s v="E75 AIR OIL SEPARATOR PN B006700770007 "/>
    <n v="6"/>
    <n v="3"/>
    <n v="-3"/>
    <x v="1"/>
  </r>
  <r>
    <n v="163"/>
    <s v="2500001787"/>
    <s v="ELGI Gulf FZE"/>
    <s v="INNER RING IR 60X70X25 (225) PN 13436293 "/>
    <n v="2"/>
    <n v="2"/>
    <n v="0"/>
    <x v="0"/>
  </r>
  <r>
    <n v="164"/>
    <s v="2500006908"/>
    <s v="ELGI Gulf FZE"/>
    <s v="SOLENOID VALVE 240V NC PN B738208 "/>
    <n v="2"/>
    <n v="2"/>
    <n v="0"/>
    <x v="0"/>
  </r>
  <r>
    <n v="165"/>
    <s v="2500005581"/>
    <s v="QURUM Technical Company"/>
    <s v="PRE FILTER-EG 55 kW PN B000606250001"/>
    <n v="17"/>
    <n v="17"/>
    <n v="0"/>
    <x v="0"/>
  </r>
  <r>
    <n v="166"/>
    <s v="2500005578"/>
    <s v="ELGI Gulf FZE"/>
    <s v="PREFILTER-90-160 Kw PN B000606160001 "/>
    <n v="12"/>
    <n v="12"/>
    <n v="0"/>
    <x v="0"/>
  </r>
  <r>
    <n v="167"/>
    <s v="2500008058"/>
    <s v="ELGI Gulf FZE"/>
    <s v="Pre-filter PN PFE0053"/>
    <n v="1"/>
    <n v="1"/>
    <n v="0"/>
    <x v="0"/>
  </r>
  <r>
    <n v="168"/>
    <s v="2500008145"/>
    <s v="ELGI Gulf FZE"/>
    <s v="BUTTERFLY VALVE 6&quot; Imported MDL PG 900 - 200 PN B009705790001"/>
    <n v="1"/>
    <n v="1"/>
    <n v="0"/>
    <x v="0"/>
  </r>
  <r>
    <n v="169"/>
    <s v="2500008147"/>
    <s v="ELGI Gulf FZE"/>
    <s v="CABLE SET CONTROL MDL 300/100 PN 35302579"/>
    <n v="2"/>
    <n v="2"/>
    <n v="0"/>
    <x v="0"/>
  </r>
  <r>
    <n v="170"/>
    <s v="2500008148"/>
    <s v="QURUM Technical Company"/>
    <s v="KIT OIL STOP VALVE MDL PG 400-150,300-100,300-150,750-125,850-125 PN 220310329    "/>
    <n v="3"/>
    <n v="3"/>
    <n v="0"/>
    <x v="0"/>
  </r>
  <r>
    <n v="171"/>
    <s v="2500008168"/>
    <s v="ELGI Gulf FZE"/>
    <s v="Coupling Element MDL E55 PN 12437610                     "/>
    <n v="10"/>
    <n v="10"/>
    <n v="0"/>
    <x v="0"/>
  </r>
  <r>
    <n v="172"/>
    <s v="2500008202"/>
    <s v="ELGI Gulf FZE"/>
    <s v="AIR FILTER PART NO B004700770038"/>
    <n v="5"/>
    <n v="5"/>
    <n v="0"/>
    <x v="0"/>
  </r>
  <r>
    <n v="173"/>
    <s v="2500008206"/>
    <s v="ELGI Equipments Limited"/>
    <s v="ELEMENT PREFILTER - 0108 PART NO.  12400052 "/>
    <n v="4"/>
    <n v="4"/>
    <n v="0"/>
    <x v="0"/>
  </r>
  <r>
    <n v="174"/>
    <s v="2500008220"/>
    <s v="ELGI Gulf FZE"/>
    <s v="Solenoid Valve PN B009800780015         "/>
    <n v="2"/>
    <n v="2"/>
    <n v="0"/>
    <x v="0"/>
  </r>
  <r>
    <n v="175"/>
    <s v="2500008247"/>
    <s v="ELGI Equipments Limited"/>
    <s v="SK239A - EXHA VALVE SPARE KIT PN B015000110162 "/>
    <n v="2"/>
    <n v="2"/>
    <n v="0"/>
    <x v="0"/>
  </r>
  <r>
    <n v="176"/>
    <s v="2500008252"/>
    <s v="ELGI Gulf FZE"/>
    <s v="3815928_PRIMARY CATRIDGE PN B013603500581 "/>
    <n v="8"/>
    <n v="8"/>
    <n v="0"/>
    <x v="0"/>
  </r>
  <r>
    <n v="177"/>
    <s v="2500008254"/>
    <s v="QURUM Technical Company"/>
    <s v="MINIMUM PRESSURE VALVE PN.B009301070008 "/>
    <n v="1"/>
    <n v="1"/>
    <n v="0"/>
    <x v="0"/>
  </r>
  <r>
    <n v="178"/>
    <s v="2500008262"/>
    <s v="ELGI Gulf FZE"/>
    <s v="CONNECTOR; RUBBER; 6&quot; P N 220371770"/>
    <n v="3"/>
    <n v="3"/>
    <n v="0"/>
    <x v="0"/>
  </r>
  <r>
    <n v="179"/>
    <s v="2500008274"/>
    <s v="ELGI Gulf FZE"/>
    <s v="Screw air compressor 7KW,10HP ,34 cfm,380V,3P Model EN7-10 "/>
    <n v="2"/>
    <n v="2"/>
    <n v="0"/>
    <x v="0"/>
  </r>
  <r>
    <n v="180"/>
    <s v="2500008284"/>
    <s v="ELGI Gulf FZE"/>
    <s v="INTAKE VALVE KIT EIV 102 PN 972300040 "/>
    <n v="8"/>
    <n v="8"/>
    <n v="0"/>
    <x v="0"/>
  </r>
  <r>
    <n v="181"/>
    <s v="2500008351"/>
    <s v="QURUM Technical Company"/>
    <s v="MPV KIT P N 220210379 "/>
    <n v="1"/>
    <n v="1"/>
    <n v="0"/>
    <x v="0"/>
  </r>
  <r>
    <n v="182"/>
    <s v="2500008394"/>
    <s v="ELGI Gulf FZE"/>
    <s v=" Flexible Hose PN B010406260006        "/>
    <n v="1"/>
    <n v="1"/>
    <n v="0"/>
    <x v="0"/>
  </r>
  <r>
    <n v="183"/>
    <s v="2500008408"/>
    <s v="ELGI Gulf FZE"/>
    <s v="AIR FILTER ASSY 530 CFM P N B004700770039 "/>
    <n v="17"/>
    <n v="17"/>
    <n v="0"/>
    <x v="0"/>
  </r>
  <r>
    <n v="184"/>
    <s v="2500008416"/>
    <s v="ELGI Gulf FZE"/>
    <s v="S03268 PG 850-150S (Standard unit-without A/c)  "/>
    <n v="3"/>
    <n v="3"/>
    <n v="0"/>
    <x v="0"/>
  </r>
  <r>
    <n v="185"/>
    <s v="2500008418"/>
    <s v="ELGI Gulf FZE"/>
    <s v="ELEMENT FINE FILTER PN B004000040018  "/>
    <n v="3"/>
    <n v="3"/>
    <n v="0"/>
    <x v="0"/>
  </r>
  <r>
    <n v="186"/>
    <s v="2500008425"/>
    <s v="ELGI Gulf FZE"/>
    <s v="Drive Coupling PN B005404400002   "/>
    <n v="2"/>
    <n v="2"/>
    <n v="0"/>
    <x v="0"/>
  </r>
  <r>
    <n v="187"/>
    <s v="2500008558"/>
    <s v="ELGI Gulf FZE"/>
    <s v="ENGINE AIRFILTER KIT - 32400249 "/>
    <n v="9"/>
    <n v="9"/>
    <n v="0"/>
    <x v="0"/>
  </r>
  <r>
    <n v="188"/>
    <s v="2500008565"/>
    <s v="Summits Hygronics Private Limited"/>
    <s v="MATL : ELIX Summits PLATRONIKA Fully Automatic Continues Operation Refrigerant Air dryer .300cfm (8.49m3/min), Model Elix 030 DA "/>
    <n v="1"/>
    <n v="1"/>
    <n v="0"/>
    <x v="0"/>
  </r>
  <r>
    <n v="189"/>
    <s v="2500008573"/>
    <s v="Summits Hygronics Private Limited"/>
    <s v="MATL : Summits Micro filter with Inbuilt drain valve. Suitable to handle 200cfm, Model SF 020 DX, working pressure of 7 - 16 bar g "/>
    <n v="4"/>
    <n v="4"/>
    <n v="0"/>
    <x v="0"/>
  </r>
  <r>
    <n v="190"/>
    <n v="2500008652"/>
    <s v="ELGI Gulf FZE"/>
    <s v="MATL : THERMAL VALVE KIT    12484859    "/>
    <n v="2"/>
    <n v="2"/>
    <n v="0"/>
    <x v="0"/>
  </r>
  <r>
    <n v="191"/>
    <s v="2500008663"/>
    <s v="ELGI Gulf FZE"/>
    <s v="MATL : DC-Vulastik-T500 P/N: B005405750012  "/>
    <n v="2"/>
    <n v="2"/>
    <n v="0"/>
    <x v="0"/>
  </r>
  <r>
    <n v="192"/>
    <s v="2500008821"/>
    <s v="OKI BERING MIDDLE EAST FZE "/>
    <s v="Argon flowmeter regulator P/N-900 3100680     "/>
    <n v="2"/>
    <n v="2"/>
    <n v="0"/>
    <x v="0"/>
  </r>
  <r>
    <n v="193"/>
    <s v="2500008856"/>
    <s v="Summits Hygronics Private Limited"/>
    <s v="SF 004 DY, 40cfm-Fine Filter  "/>
    <n v="2"/>
    <n v="2"/>
    <n v="0"/>
    <x v="0"/>
  </r>
  <r>
    <n v="194"/>
    <s v="2500008866"/>
    <s v="ELGI Gulf FZE"/>
    <s v="Screw Air compressor EG 110-150 380V/60HZ S012990    "/>
    <n v="1"/>
    <n v="1"/>
    <n v="0"/>
    <x v="0"/>
  </r>
  <r>
    <n v="195"/>
    <s v="2500008881"/>
    <s v="Summits Hygronics Private Limited"/>
    <s v="ELIX 080 DA, 800cfm  ,460V ,60 Hz                              "/>
    <n v="2"/>
    <n v="2"/>
    <n v="0"/>
    <x v="0"/>
  </r>
  <r>
    <n v="196"/>
    <s v="2500008886"/>
    <s v="ELGI Gulf FZE"/>
    <s v="PRESSURE RELIEF VALVE, 1/2&quot; NPT P/N-A010019                                   "/>
    <n v="2"/>
    <n v="2"/>
    <n v="0"/>
    <x v="0"/>
  </r>
  <r>
    <n v="197"/>
    <s v="2500008894"/>
    <s v="OKI BERING MIDDLE EAST FZE "/>
    <s v="Size 2 : (25-50mm) Oxy propane cutting tip | P/N-900 1502905                                         "/>
    <n v="104"/>
    <n v="104"/>
    <n v="0"/>
    <x v="0"/>
  </r>
  <r>
    <n v="198"/>
    <s v="2500008939"/>
    <s v="ELGI Gulf FZE"/>
    <s v="ROD,PISTON,MPV,25S.M/C P/N-220214710"/>
    <n v="1"/>
    <n v="1"/>
    <n v="0"/>
    <x v="0"/>
  </r>
  <r>
    <n v="199"/>
    <s v="2500009020"/>
    <s v="ELGI Gulf FZE"/>
    <s v="&quot;VERTICAL AIR RECEIVER TANK CAPACITY – 4000 Liters Working Pressure – 10 bar Design Pressure -12 bar&quot;"/>
    <n v="2"/>
    <n v="2"/>
    <n v="0"/>
    <x v="0"/>
  </r>
  <r>
    <n v="200"/>
    <s v="2500009165"/>
    <s v="ELGI Gulf FZE"/>
    <s v="Closed Air Filter, EN73s| PN:3 "/>
    <n v="3"/>
    <n v="3"/>
    <n v="0"/>
    <x v="0"/>
  </r>
  <r>
    <n v="201"/>
    <s v="2500009192"/>
    <s v="ELGI Gulf FZE"/>
    <s v=" Desc:NC THERMAL VALVE KIT 65 DEG F5| P/N:12477649"/>
    <n v="2"/>
    <n v="2"/>
    <n v="0"/>
    <x v="0"/>
  </r>
  <r>
    <n v="202"/>
    <s v="2500009298"/>
    <s v="ELGI Gulf FZE"/>
    <s v="Intake valve - 3&quot; P/N-B009806750002 "/>
    <n v="1"/>
    <n v="1"/>
    <n v="0"/>
    <x v="0"/>
  </r>
  <r>
    <n v="203"/>
    <s v="2500005900"/>
    <s v="ELGI Gulf FZE"/>
    <s v="A/F PRIMARY-185CFM PN B005706740002 "/>
    <n v="11"/>
    <n v="11"/>
    <n v="0"/>
    <x v="0"/>
  </r>
  <r>
    <n v="204"/>
    <n v="2500005889"/>
    <s v="QURUM Technical Company"/>
    <s v="AIRFILTER ELEMENT E18TO22 PN B005700770005  "/>
    <n v="2"/>
    <n v="1"/>
    <n v="-1"/>
    <x v="5"/>
  </r>
  <r>
    <n v="205"/>
    <s v="2500002370"/>
    <s v="ELGI Gulf FZE"/>
    <s v="CONTROLLER BOARD NEURON XT PN 18362887"/>
    <n v="4"/>
    <n v="4"/>
    <n v="0"/>
    <x v="0"/>
  </r>
  <r>
    <n v="206"/>
    <n v="2500006879"/>
    <s v="ELGI Gulf FZE"/>
    <s v="SPIN ON FILTER ELEMENT 378.5 M PN B679102 "/>
    <n v="34"/>
    <n v="32"/>
    <n v="-2"/>
    <x v="1"/>
  </r>
  <r>
    <n v="207"/>
    <s v="2500001100"/>
    <s v="QURUM Technical Company"/>
    <s v="ELEMENT SEPARATOR PN 10350060  "/>
    <n v="7"/>
    <n v="7"/>
    <n v="0"/>
    <x v="0"/>
  </r>
  <r>
    <n v="208"/>
    <s v="2500005912"/>
    <s v="QURUM Technical Company"/>
    <s v="AIR OIL SEPARATOR PN B006700770018 "/>
    <n v="1"/>
    <n v="1"/>
    <n v="0"/>
    <x v="0"/>
  </r>
  <r>
    <n v="209"/>
    <s v="2500008047"/>
    <s v="ELGI Gulf FZE"/>
    <s v="Screw Air compressor,75KW/100HP,415CFM,10BAR,380V/60HZ PN EG 75-150"/>
    <n v="3"/>
    <n v="3"/>
    <n v="0"/>
    <x v="0"/>
  </r>
  <r>
    <n v="210"/>
    <s v="2500008064"/>
    <s v="ELGI Gulf FZE"/>
    <s v="Pre-filter PN PFE0210  "/>
    <n v="1"/>
    <n v="1"/>
    <n v="0"/>
    <x v="0"/>
  </r>
  <r>
    <n v="211"/>
    <s v="2500008065"/>
    <s v="ELGI Gulf FZE"/>
    <s v="Fine -Filter  PN FFE0210  "/>
    <n v="2"/>
    <n v="2"/>
    <n v="0"/>
    <x v="0"/>
  </r>
  <r>
    <n v="212"/>
    <s v="2500003460"/>
    <s v="QURUM Technical Company"/>
    <s v="ELEMENT, THERM VALVE 125 DEG PN 220310800"/>
    <n v="4"/>
    <n v="3"/>
    <n v="-1"/>
    <x v="5"/>
  </r>
  <r>
    <n v="213"/>
    <s v="2500008074"/>
    <s v="ELGI Gulf FZE"/>
    <s v="Horizontal Air receiver tank 500 LTRS  "/>
    <n v="4"/>
    <n v="4"/>
    <n v="0"/>
    <x v="0"/>
  </r>
  <r>
    <n v="214"/>
    <s v="2500008037"/>
    <s v="ELGI Gulf FZE"/>
    <s v="AXIAL FAN 150W,230V,60HZ PN 18361053  "/>
    <n v="1"/>
    <n v="1"/>
    <n v="0"/>
    <x v="0"/>
  </r>
  <r>
    <n v="215"/>
    <s v="2500008075"/>
    <s v="QURUM Technical Company"/>
    <s v="ELEMENT COUPLING S2800 GR1918 PN B005400900010"/>
    <n v="4"/>
    <n v="4"/>
    <n v="0"/>
    <x v="0"/>
  </r>
  <r>
    <n v="216"/>
    <s v="2500007363"/>
    <s v="ELGI Gulf FZE"/>
    <s v="AIR OIL SEPERATOR 10S PN B676103 "/>
    <n v="57"/>
    <n v="57"/>
    <n v="0"/>
    <x v="0"/>
  </r>
  <r>
    <n v="217"/>
    <s v="2500008193"/>
    <s v="ELGI Gulf FZE"/>
    <s v="Refrigerent air dryer ,150CFM,14BAR,230V/60HZ MDL EGRD150"/>
    <n v="3"/>
    <n v="3"/>
    <n v="0"/>
    <x v="0"/>
  </r>
  <r>
    <n v="218"/>
    <s v="2500008204"/>
    <s v="ELGI Equipments Limited"/>
    <s v="FUEL SOLENOID PART NO. B013603500475 "/>
    <n v="2"/>
    <n v="2"/>
    <n v="0"/>
    <x v="0"/>
  </r>
  <r>
    <n v="219"/>
    <s v="2500008209"/>
    <s v="ELGI Gulf FZE"/>
    <s v="INTAKE VALVE KIT 3&quot; FOR 12S ALUM PN 10331219 "/>
    <n v="4"/>
    <n v="4"/>
    <n v="0"/>
    <x v="0"/>
  </r>
  <r>
    <n v="220"/>
    <s v="2500008215"/>
    <s v="ELGI Gulf FZE"/>
    <s v="Pre Filter-PN B005506160003    "/>
    <n v="5"/>
    <n v="5"/>
    <n v="0"/>
    <x v="0"/>
  </r>
  <r>
    <n v="221"/>
    <s v="2500008231"/>
    <s v="ELGI Gulf FZE"/>
    <s v="O Ring PN 10453920 "/>
    <n v="4"/>
    <n v="4"/>
    <n v="0"/>
    <x v="0"/>
  </r>
  <r>
    <n v="222"/>
    <s v="2500008241"/>
    <s v="QURUM Technical Company"/>
    <s v="ELEMENT, AIR CLEANER PN B013603500499 "/>
    <n v="2"/>
    <n v="2"/>
    <n v="0"/>
    <x v="0"/>
  </r>
  <r>
    <n v="223"/>
    <s v="2500008244"/>
    <s v="ELGI Equipments Limited"/>
    <s v="FILTER ELEMENT ASSY T600 PN B015000110168 "/>
    <n v="2"/>
    <n v="2"/>
    <n v="0"/>
    <x v="0"/>
  </r>
  <r>
    <n v="224"/>
    <s v="2500008245"/>
    <s v="ELGI Equipments Limited"/>
    <s v="SOL. AMISCO 24V  PN B015000110086 "/>
    <n v="2"/>
    <n v="2"/>
    <n v="0"/>
    <x v="0"/>
  </r>
  <r>
    <n v="225"/>
    <s v="2500008263"/>
    <s v="ELGI Gulf FZE"/>
    <s v="Housing Assembly PN B011106740001"/>
    <n v="2"/>
    <n v="2"/>
    <n v="0"/>
    <x v="0"/>
  </r>
  <r>
    <n v="226"/>
    <n v="2500008311"/>
    <s v="QURUM Technical Company"/>
    <s v="CONNECTOR; RUBBER; 6&quot; QTC220371770   "/>
    <n v="1"/>
    <n v="0"/>
    <n v="-1"/>
    <x v="8"/>
  </r>
  <r>
    <n v="227"/>
    <s v="2500008358"/>
    <s v="QURUM Technical Company"/>
    <s v="DCV KIT P N 220311539"/>
    <n v="2"/>
    <n v="2"/>
    <n v="0"/>
    <x v="0"/>
  </r>
  <r>
    <n v="228"/>
    <s v="2500008369"/>
    <s v="ELGI Gulf FZE"/>
    <s v="OIL INLET PIPE P N 35400845      "/>
    <n v="2"/>
    <n v="2"/>
    <n v="0"/>
    <x v="0"/>
  </r>
  <r>
    <n v="229"/>
    <s v="2500008395"/>
    <s v="ELGI Gulf FZE"/>
    <s v="2 1 /2&quot; PIPE COUPLING PN B56XX05       "/>
    <n v="2"/>
    <n v="1"/>
    <n v="-1"/>
    <x v="5"/>
  </r>
  <r>
    <n v="230"/>
    <s v="2500008411"/>
    <s v="ELGI Gulf FZE"/>
    <s v="Compressor air filter - Secondary P N 162-577-S "/>
    <n v="3"/>
    <n v="3"/>
    <n v="0"/>
    <x v="0"/>
  </r>
  <r>
    <n v="231"/>
    <s v="2500008412"/>
    <s v="ELGI Gulf FZE"/>
    <s v="Engine air filter - Primary P N 162-0086-S "/>
    <n v="3"/>
    <n v="3"/>
    <n v="0"/>
    <x v="0"/>
  </r>
  <r>
    <n v="232"/>
    <s v="2500008453"/>
    <s v="ELGI Gulf FZE"/>
    <s v="ELGI AIRLUBE UT SYNTHETIC PLUS - 5L (1.3G) ( EACH= 5 LITER CAN ) 998101  "/>
    <n v="20"/>
    <n v="12"/>
    <n v="-8"/>
    <x v="5"/>
  </r>
  <r>
    <n v="233"/>
    <s v="2500008590"/>
    <s v="ELGI Gulf FZE"/>
    <s v="Kit, check valve  P/N : 412400001"/>
    <n v="2"/>
    <n v="2"/>
    <n v="0"/>
    <x v="0"/>
  </r>
  <r>
    <n v="234"/>
    <s v="2500008600"/>
    <s v="ELGI Gulf FZE"/>
    <s v="OIL ELGI AIRLUBE RAC 1 Ltr, 998044"/>
    <n v="8"/>
    <n v="8"/>
    <n v="0"/>
    <x v="0"/>
  </r>
  <r>
    <n v="235"/>
    <s v="2500008646"/>
    <s v="ELGI Gulf FZE"/>
    <s v="VALVE, 3/2, PUSH PULL, G1/4; P/N: B009800170001    "/>
    <n v="5"/>
    <n v="5"/>
    <n v="0"/>
    <x v="0"/>
  </r>
  <r>
    <n v="236"/>
    <s v="2500008649"/>
    <s v="ELGI Gulf FZE"/>
    <s v="MATL : INTAKE VALVE KIT  972400030    "/>
    <n v="2"/>
    <n v="2"/>
    <n v="0"/>
    <x v="0"/>
  </r>
  <r>
    <n v="237"/>
    <s v="2500008689"/>
    <s v="ELGI Gulf FZE"/>
    <s v="MATL: OIL SIGHT GLASS- 3/4 INCH; 15306521     "/>
    <n v="3"/>
    <n v="3"/>
    <n v="0"/>
    <x v="0"/>
  </r>
  <r>
    <n v="238"/>
    <s v="2500008752"/>
    <s v="ELGI Gulf FZE"/>
    <s v="KIT3238155_ENGINE AIR FILTER P/N- B013603500454    "/>
    <n v="2"/>
    <n v="2"/>
    <n v="0"/>
    <x v="0"/>
  </r>
  <r>
    <n v="239"/>
    <s v="2500008759"/>
    <s v="ELGI Gulf FZE"/>
    <s v="N4 EG Basic Sub-Controller Assy P/N-18365237    "/>
    <n v="1"/>
    <n v="1"/>
    <n v="0"/>
    <x v="0"/>
  </r>
  <r>
    <n v="240"/>
    <s v="2500008796"/>
    <s v="ELGI Gulf FZE"/>
    <s v="Flexible Hose(PN B010406260004)      "/>
    <n v="2"/>
    <n v="2"/>
    <n v="0"/>
    <x v="0"/>
  </r>
  <r>
    <n v="241"/>
    <s v="2500008799"/>
    <s v="OKI BERING MIDDLE EAST FZE "/>
    <s v="703002 Unit 05-09-2024 no TUNGSTEN ELECTRODES 2.4MM    "/>
    <n v="900"/>
    <n v="900"/>
    <n v="0"/>
    <x v="0"/>
  </r>
  <r>
    <n v="242"/>
    <s v="2500008807"/>
    <s v="ELGI Gulf FZE"/>
    <s v="SERVICE KIT 6&quot; NC VALVE P/N-B009401070004    "/>
    <n v="3"/>
    <n v="3"/>
    <n v="0"/>
    <x v="0"/>
  </r>
  <r>
    <n v="243"/>
    <s v="2500008808"/>
    <s v="ELGI Gulf FZE"/>
    <s v="DIA150 SUCTIONHOSE WIT ENDCUFF P/N-B010306260001    "/>
    <n v="1"/>
    <n v="1"/>
    <n v="0"/>
    <x v="0"/>
  </r>
  <r>
    <n v="244"/>
    <s v="2500008853"/>
    <s v="Summits Hygronics Private Limited"/>
    <s v="ELIX 004 DA, 40cfm  "/>
    <n v="2"/>
    <n v="2"/>
    <n v="0"/>
    <x v="0"/>
  </r>
  <r>
    <n v="245"/>
    <s v="2500008874"/>
    <s v="TBi Industries GmbH"/>
    <s v="Liner red 5.40m for wire 1.0-1.2 PN-324P204554                      "/>
    <n v="50"/>
    <n v="50"/>
    <n v="0"/>
    <x v="0"/>
  </r>
  <r>
    <n v="246"/>
    <s v="2500008888"/>
    <s v="ELGI Gulf FZE"/>
    <s v="AIR FILTER ASSLY E18-22 P/N-B004700770002                                    "/>
    <n v="1"/>
    <n v="1"/>
    <n v="0"/>
    <x v="0"/>
  </r>
  <r>
    <n v="247"/>
    <s v="2500008892"/>
    <s v="ELGI Gulf FZE"/>
    <s v="PRE FILTER EG200-250 P/N-B016306250001                                      "/>
    <n v="4"/>
    <n v="4"/>
    <n v="0"/>
    <x v="0"/>
  </r>
  <r>
    <n v="248"/>
    <s v="2500008945"/>
    <s v="OKI BERING MIDDLE EAST FZE "/>
    <s v="&quot;bestweld 8mm gouging rod P/N-900 BWS-GC-7.9MM&quot;"/>
    <n v="50"/>
    <n v="50"/>
    <n v="0"/>
    <x v="0"/>
  </r>
  <r>
    <n v="249"/>
    <s v="2500008947"/>
    <s v="OKI BERING MIDDLE EAST FZE "/>
    <s v="RO 600 ST. GROUND CLAMP - BESTWELD P/N-900 GC-P600"/>
    <n v="20"/>
    <n v="20"/>
    <n v="0"/>
    <x v="0"/>
  </r>
  <r>
    <n v="250"/>
    <s v="2500009024"/>
    <s v="ELGI Gulf FZE"/>
    <s v="MPV Kit P/N:B009301070017"/>
    <n v="1"/>
    <n v="1"/>
    <n v="0"/>
    <x v="0"/>
  </r>
  <r>
    <n v="251"/>
    <s v="2500009022"/>
    <s v="ELGI Gulf FZE"/>
    <s v="Polyrex EM N2/400 grams P/N:15404152"/>
    <n v="7"/>
    <n v="7"/>
    <n v="0"/>
    <x v="0"/>
  </r>
  <r>
    <n v="252"/>
    <s v="2500009147"/>
    <s v="ELGI Gulf FZE"/>
    <s v="SEAL; SHAFT; 12S(LIP)  P/N-13431010"/>
    <n v="2"/>
    <n v="2"/>
    <n v="0"/>
    <x v="0"/>
  </r>
  <r>
    <n v="253"/>
    <s v="2500009145"/>
    <s v="ELGI Gulf FZE"/>
    <s v="AIR FILTER ELEMENT SET 1765CFM  P/N-B005700770013"/>
    <n v="5"/>
    <n v="5"/>
    <n v="0"/>
    <x v="0"/>
  </r>
  <r>
    <n v="254"/>
    <s v="2500009163"/>
    <s v="ELGI Gulf FZE"/>
    <s v="Prefilter 30kW EN102| PN:1"/>
    <n v="1"/>
    <n v="1"/>
    <n v="0"/>
    <x v="0"/>
  </r>
  <r>
    <n v="255"/>
    <s v="2500009161"/>
    <s v="ELGI Gulf FZE"/>
    <s v="AIR FILTER ASSY E11-E15| PN:1"/>
    <n v="1"/>
    <n v="1"/>
    <n v="0"/>
    <x v="0"/>
  </r>
  <r>
    <n v="256"/>
    <s v="2500009166"/>
    <s v="ELGI Gulf FZE"/>
    <s v="VAR 5000L tank -S04089 "/>
    <n v="1"/>
    <n v="1"/>
    <n v="0"/>
    <x v="0"/>
  </r>
  <r>
    <n v="257"/>
    <s v="2500003653"/>
    <s v="ELGI Gulf FZE"/>
    <s v="AIR FILTER ELE CSK1434 PN 220419480 "/>
    <n v="5"/>
    <n v="5"/>
    <n v="0"/>
    <x v="0"/>
  </r>
  <r>
    <n v="258"/>
    <s v="2500006867"/>
    <s v="The Machinery Group LLC "/>
    <s v="AIR FILTER; KIT PN B574602  "/>
    <n v="13"/>
    <n v="13"/>
    <n v="0"/>
    <x v="0"/>
  </r>
  <r>
    <n v="259"/>
    <n v="2500005728"/>
    <s v="The Machinery Group LLC "/>
    <s v="OIL FILTER ELEMENT-75 LPM PN B004800770001 "/>
    <n v="113"/>
    <n v="103"/>
    <n v="-10"/>
    <x v="2"/>
  </r>
  <r>
    <n v="260"/>
    <s v="2500004424"/>
    <s v="ELGI Gulf FZE"/>
    <s v="SEPARATOR ELEMENT TWO STAGE PN 22032259B "/>
    <n v="18"/>
    <n v="18"/>
    <n v="0"/>
    <x v="0"/>
  </r>
  <r>
    <n v="261"/>
    <s v="2500001300"/>
    <s v="QURUM Technical Company"/>
    <s v="ELEMENT SEPARATOR 317 CFM1 PN 10451050"/>
    <n v="25"/>
    <n v="25"/>
    <n v="0"/>
    <x v="0"/>
  </r>
  <r>
    <n v="262"/>
    <s v="2500001319"/>
    <s v="ELGI Gulf FZE"/>
    <s v="ELEMENT SEPERATOR 400 CFM PN 10452250 "/>
    <n v="11"/>
    <n v="11"/>
    <n v="0"/>
    <x v="0"/>
  </r>
  <r>
    <n v="263"/>
    <s v="2500001767"/>
    <s v="ELGI Gulf FZE"/>
    <s v="SEAL SHAFT 28X40X10 AXIS-73CCW PN 13436029 "/>
    <n v="3"/>
    <n v="3"/>
    <n v="0"/>
    <x v="0"/>
  </r>
  <r>
    <n v="264"/>
    <s v="2500001763"/>
    <s v="ELGI Gulf FZE"/>
    <s v="SLEEVE WEAR 73S PN 13436020 "/>
    <n v="2"/>
    <n v="2"/>
    <n v="0"/>
    <x v="0"/>
  </r>
  <r>
    <n v="265"/>
    <s v="2500008051"/>
    <s v="ELGI Gulf FZE"/>
    <s v="Refrigerent air dryer ,300CFM,14BAR,230V/60HZ PN EGRD300"/>
    <n v="1"/>
    <n v="1"/>
    <n v="0"/>
    <x v="0"/>
  </r>
  <r>
    <n v="266"/>
    <s v="2500008056"/>
    <s v="ELGI Gulf FZE"/>
    <s v="Vertical Air receiver tank 1000 LTRS  Max Pr 12.5 Model No. VA 00 040   "/>
    <n v="3"/>
    <n v="3"/>
    <n v="0"/>
    <x v="0"/>
  </r>
  <r>
    <n v="267"/>
    <n v="2500008069"/>
    <s v="QURUM Technical Company"/>
    <s v="Fine -Filter  PN FFE0420  "/>
    <n v="6"/>
    <n v="6"/>
    <n v="0"/>
    <x v="0"/>
  </r>
  <r>
    <n v="268"/>
    <s v="2500004256"/>
    <s v="QURUM Technical Company"/>
    <s v="Pressure Transmitter(0-16bar)M PN 00897902N"/>
    <n v="5"/>
    <n v="5"/>
    <n v="0"/>
    <x v="0"/>
  </r>
  <r>
    <n v="269"/>
    <s v="2500008076"/>
    <s v="QURUM Technical Company"/>
    <s v="5259157_BELT V RIBBED PN B013603500580   "/>
    <n v="4"/>
    <n v="3"/>
    <n v="-1"/>
    <x v="4"/>
  </r>
  <r>
    <n v="270"/>
    <n v="2500008140"/>
    <s v="ELGI Gulf FZE"/>
    <s v="AL. BLOW DOWN VALVE - 1/2 NPT  MDL 300/100,750 - 125,PG 900 - 200,PG400/150 PN A010042   "/>
    <n v="6"/>
    <n v="6"/>
    <n v="0"/>
    <x v="0"/>
  </r>
  <r>
    <n v="271"/>
    <s v="2500008150"/>
    <s v="ELGI Gulf FZE"/>
    <s v="REGULATOR KIT MDL DT 900-200, 750-125, 400-150, 300-150,300-100 PN 220317599"/>
    <n v="4"/>
    <n v="4"/>
    <n v="0"/>
    <x v="0"/>
  </r>
  <r>
    <n v="272"/>
    <s v="2500008151"/>
    <s v="QURUM Technical Company"/>
    <s v="KIT BLOW DOWN VALVE MDL DT 750-125, 650-200, 400-150,300-150 , 300-100 PN 220460459 "/>
    <n v="2"/>
    <n v="2"/>
    <n v="0"/>
    <x v="0"/>
  </r>
  <r>
    <n v="273"/>
    <s v="2500008153"/>
    <s v="QURUM Technical Company"/>
    <s v="DCV ASSLY MDL DT 750-125, 650 - 200, 400-150 PN 220311530"/>
    <n v="6"/>
    <n v="6"/>
    <n v="0"/>
    <x v="0"/>
  </r>
  <r>
    <n v="274"/>
    <s v="2500008158"/>
    <s v="ELGI Gulf FZE"/>
    <s v="BDV Kit PN B009405770007"/>
    <n v="7"/>
    <n v="7"/>
    <n v="0"/>
    <x v="0"/>
  </r>
  <r>
    <n v="275"/>
    <s v="2500008221"/>
    <s v="ELGI Gulf FZE"/>
    <s v="Belt PN B014606410051         "/>
    <n v="6"/>
    <n v="6"/>
    <n v="0"/>
    <x v="0"/>
  </r>
  <r>
    <n v="276"/>
    <s v="2500008233"/>
    <s v="ELGI Gulf FZE"/>
    <s v="Solenoid Valve24V PN B009405770014 "/>
    <n v="6"/>
    <n v="6"/>
    <n v="0"/>
    <x v="0"/>
  </r>
  <r>
    <n v="277"/>
    <s v="2500008234"/>
    <s v="ELGI Gulf FZE"/>
    <s v="Hoes' MPV' to Cooleb PN 12472969 "/>
    <n v="0"/>
    <n v="0"/>
    <n v="0"/>
    <x v="0"/>
  </r>
  <r>
    <n v="278"/>
    <s v="2500008238"/>
    <s v="ELGI Gulf FZE"/>
    <s v="Cooler Oil &amp; After PN B012900690003"/>
    <n v="1"/>
    <n v="1"/>
    <n v="0"/>
    <x v="0"/>
  </r>
  <r>
    <n v="279"/>
    <s v="2500008255"/>
    <s v="QURUM Technical Company"/>
    <s v="Intake valve kit PN. B009405770005 "/>
    <n v="6"/>
    <n v="6"/>
    <n v="0"/>
    <x v="0"/>
  </r>
  <r>
    <n v="280"/>
    <s v="2500008286"/>
    <s v="ELGI Gulf FZE"/>
    <s v="SOLENOID VALVE NC,24V50/60HZ PN B007300990017   "/>
    <n v="3"/>
    <n v="3"/>
    <n v="0"/>
    <x v="0"/>
  </r>
  <r>
    <n v="281"/>
    <s v="2100002078"/>
    <s v="QURUM Technical Company"/>
    <s v="MPV KIT"/>
    <n v="2"/>
    <n v="2"/>
    <n v="0"/>
    <x v="0"/>
  </r>
  <r>
    <n v="282"/>
    <s v="2500008329"/>
    <s v="ELGI Gulf FZE"/>
    <s v="MPV KIT ENCAP P N  A990288 "/>
    <n v="6"/>
    <n v="6"/>
    <n v="0"/>
    <x v="0"/>
  </r>
  <r>
    <n v="283"/>
    <s v="2500008336"/>
    <s v="ELGI Gulf FZE"/>
    <s v="Filter Assembly Element P N B015000110145        "/>
    <n v="3"/>
    <n v="3"/>
    <n v="0"/>
    <x v="0"/>
  </r>
  <r>
    <n v="284"/>
    <s v="2500008360"/>
    <s v="QURUM Technical Company"/>
    <s v="Air filter element P N B004700770028"/>
    <n v="2"/>
    <n v="2"/>
    <n v="0"/>
    <x v="0"/>
  </r>
  <r>
    <n v="285"/>
    <s v="2500008365"/>
    <s v="ELGI Gulf FZE"/>
    <s v="Screw Air compressor,75KW/100HP,415CFM,10BAR,460V/60HZ "/>
    <n v="2"/>
    <n v="2"/>
    <n v="0"/>
    <x v="0"/>
  </r>
  <r>
    <n v="286"/>
    <s v="2500008379"/>
    <s v="ELGI Gulf FZE"/>
    <s v="O RING-62.5x55.5x3.5 P N 10451120        "/>
    <n v="8"/>
    <n v="8"/>
    <n v="0"/>
    <x v="0"/>
  </r>
  <r>
    <n v="287"/>
    <s v="2500008398"/>
    <s v="ELGI Gulf FZE"/>
    <s v="PF Element 0048 PN 12400008  "/>
    <n v="1"/>
    <n v="1"/>
    <n v="0"/>
    <x v="0"/>
  </r>
  <r>
    <n v="288"/>
    <s v="2500008410"/>
    <s v="ELGI Gulf FZE"/>
    <s v="Compressor air filter - Primary P N 162-576-S "/>
    <n v="1"/>
    <n v="1"/>
    <n v="0"/>
    <x v="0"/>
  </r>
  <r>
    <n v="289"/>
    <s v="2500008417"/>
    <s v="ELGI Gulf FZE"/>
    <s v="ELEMENT PRE FILTER PN B000600040020  "/>
    <n v="2"/>
    <n v="2"/>
    <n v="0"/>
    <x v="0"/>
  </r>
  <r>
    <n v="290"/>
    <s v="2500008492"/>
    <s v="ELGI Gulf FZE"/>
    <s v="AF 0177P ,Pre Filter ,177 cfm  B003308170007"/>
    <n v="6"/>
    <n v="6"/>
    <n v="0"/>
    <x v="0"/>
  </r>
  <r>
    <n v="291"/>
    <s v="2500008493"/>
    <s v="ELGI Gulf FZE"/>
    <s v="AF 0177F ,Fine Filter -177 cfm  B003308170025"/>
    <n v="6"/>
    <n v="6"/>
    <n v="0"/>
    <x v="0"/>
  </r>
  <r>
    <n v="292"/>
    <s v="2500008495"/>
    <s v="ELGI Gulf FZE"/>
    <s v="AF 0235F ,,Fine Filter -235cfm  B003308170026"/>
    <n v="7"/>
    <n v="7"/>
    <n v="0"/>
    <x v="0"/>
  </r>
  <r>
    <n v="293"/>
    <s v="2500008548"/>
    <s v="ELGI Gulf FZE"/>
    <s v="GASKET DCV , 35400362"/>
    <n v="8"/>
    <n v="8"/>
    <n v="0"/>
    <x v="0"/>
  </r>
  <r>
    <n v="294"/>
    <s v="2500008559"/>
    <s v="ELGI Gulf FZE"/>
    <s v="2/1  Two way ball valve , B003106100003 "/>
    <n v="4"/>
    <n v="4"/>
    <n v="0"/>
    <x v="0"/>
  </r>
  <r>
    <n v="295"/>
    <s v="2500008566"/>
    <s v="Summits Hygronics Private Limited"/>
    <s v="MATL : ELIX Summits PLATRONIKA Fully Automatic Continues Operation Refrigerant Air dryer .400cfm (11.32m3/min), Model Elix 040DA "/>
    <n v="4"/>
    <n v="4"/>
    <n v="0"/>
    <x v="0"/>
  </r>
  <r>
    <n v="296"/>
    <s v="2500008571"/>
    <s v="Summits Hygronics Private Limited"/>
    <s v="MATL : Micro filter with Inbuilt drain valve. Suitable to handle 120cfm, Model SF 012 DX, working pressure of 7 - 16 bar g "/>
    <n v="1"/>
    <n v="1"/>
    <n v="0"/>
    <x v="0"/>
  </r>
  <r>
    <n v="297"/>
    <s v="2500008574"/>
    <s v="Summits Hygronics Private Limited"/>
    <s v="MATL : Summits Sub Micro filter with Inbuilt drain valve. Suitable to handle 200cfm,Model SF 020 DY, working pressure of 7 - 16 bar g "/>
    <n v="4"/>
    <n v="4"/>
    <n v="0"/>
    <x v="0"/>
  </r>
  <r>
    <n v="298"/>
    <s v="2500008575"/>
    <s v="Summits Hygronics Private Limited"/>
    <s v="MATL : Summits Micro filter with Inbuilt drain valve. Suitable to handle 310cfm, Model SF 035 DX, working pressure of 7 - 16 bar g "/>
    <n v="3"/>
    <n v="3"/>
    <n v="0"/>
    <x v="0"/>
  </r>
  <r>
    <n v="299"/>
    <s v="2500008677"/>
    <s v="ELGI Gulf FZE"/>
    <s v="MATL : CABLE SET CONTROL PG 750; P/N: B016206800002             "/>
    <n v="2"/>
    <n v="2"/>
    <n v="0"/>
    <x v="0"/>
  </r>
  <r>
    <n v="300"/>
    <s v="2500008692"/>
    <s v="ELGI Gulf FZE"/>
    <s v="MATL: ST 1 - 4 to 6mm OD; P/N: 15401697    "/>
    <n v="2"/>
    <n v="2"/>
    <n v="0"/>
    <x v="0"/>
  </r>
  <r>
    <n v="301"/>
    <s v="2500008701"/>
    <s v="ELGI Gulf FZE"/>
    <s v="KIT3238155 Engine air filter "/>
    <n v="5"/>
    <n v="5"/>
    <n v="0"/>
    <x v="0"/>
  </r>
  <r>
    <n v="302"/>
    <s v="2500008758"/>
    <s v="ELGI Gulf FZE"/>
    <s v="N4 Display Sub-Assy P/N-18364636    "/>
    <n v="3"/>
    <n v="2"/>
    <n v="-1"/>
    <x v="2"/>
  </r>
  <r>
    <n v="303"/>
    <s v="2500008854"/>
    <s v="Summits Hygronics Private Limited"/>
    <s v="ELIX 006 DA, 60cfm  "/>
    <n v="2"/>
    <n v="2"/>
    <n v="0"/>
    <x v="0"/>
  </r>
  <r>
    <n v="304"/>
    <s v="2500008942"/>
    <s v="ELGI Gulf FZE"/>
    <s v="FERRULE; 1/4&quot; P/N-220370700"/>
    <n v="3"/>
    <n v="3"/>
    <n v="0"/>
    <x v="0"/>
  </r>
  <r>
    <n v="305"/>
    <s v="2500008972"/>
    <s v="ELGI Gulf FZE"/>
    <s v="3067459_GASKET,ROCKER LEVER CO "/>
    <n v="6"/>
    <n v="6"/>
    <n v="0"/>
    <x v="0"/>
  </r>
  <r>
    <n v="306"/>
    <s v="2500008974"/>
    <s v="ELGI Gulf FZE"/>
    <s v="ELGI Mikropor AF 0059C 1/2'' BSP B003308170039 "/>
    <n v="1"/>
    <n v="1"/>
    <n v="0"/>
    <x v="0"/>
  </r>
  <r>
    <n v="307"/>
    <s v="2500009028"/>
    <s v="ELGI Gulf FZE"/>
    <s v="FILTER UNIT              "/>
    <n v="2"/>
    <n v="2"/>
    <n v="0"/>
    <x v="0"/>
  </r>
  <r>
    <n v="308"/>
    <s v="2500009055"/>
    <s v="PARANTHAMAN EXPORTERS"/>
    <s v="SWIVEL SHAFT, ITEM CODE : PRD 17 46980"/>
    <n v="0"/>
    <n v="0"/>
    <n v="0"/>
    <x v="0"/>
  </r>
  <r>
    <n v="309"/>
    <s v="2500009190"/>
    <s v="ELGI Gulf FZE"/>
    <s v=" Desc:64320FF082-COND.DRAIN SOLENOID| P/N:B000506530171"/>
    <n v="1"/>
    <n v="1"/>
    <n v="0"/>
    <x v="0"/>
  </r>
  <r>
    <n v="310"/>
    <s v="2500009195"/>
    <s v="ELGI Gulf FZE"/>
    <s v="Desc : TEMP.SENSOR;0-150DEG;KTY10 | P/N:00897902M "/>
    <n v="2"/>
    <n v="2"/>
    <n v="0"/>
    <x v="0"/>
  </r>
  <r>
    <n v="311"/>
    <s v="2500003026"/>
    <s v="ELGI Gulf FZE"/>
    <s v="AIR FILTER KIT ASSY_PG 750 PN 32400149 "/>
    <n v="2"/>
    <n v="2"/>
    <n v="0"/>
    <x v="0"/>
  </r>
  <r>
    <n v="312"/>
    <s v="2500001185"/>
    <s v="ELGI Gulf FZE"/>
    <s v="OIL FILTER KIT 10 MICRONS PN 10440229  "/>
    <n v="2"/>
    <n v="2"/>
    <n v="0"/>
    <x v="0"/>
  </r>
  <r>
    <n v="313"/>
    <s v="2500005916"/>
    <s v="QURUM Technical Company"/>
    <s v="Air-Oil Separator-F4-55KW PN B006700770026  "/>
    <n v="13"/>
    <n v="13"/>
    <n v="0"/>
    <x v="0"/>
  </r>
  <r>
    <n v="314"/>
    <s v="2500004253"/>
    <s v="QURUM Technical Company"/>
    <s v="TEMP.SENSOR;0-150DEG;KTY10 PN 00897902C"/>
    <n v="4"/>
    <n v="4"/>
    <n v="0"/>
    <x v="0"/>
  </r>
  <r>
    <n v="315"/>
    <s v="2500006616"/>
    <s v="ELGI Gulf FZE"/>
    <s v="ACTR REPAIR KIT WITH SPRING PN B015401070005"/>
    <n v="8"/>
    <n v="8"/>
    <n v="0"/>
    <x v="0"/>
  </r>
  <r>
    <n v="316"/>
    <n v="2500005579"/>
    <s v="ELGI Gulf FZE"/>
    <s v="PREFILTER-F4-75 kW PN B000606160002"/>
    <n v="8"/>
    <n v="7"/>
    <n v="-1"/>
    <x v="3"/>
  </r>
  <r>
    <n v="317"/>
    <s v="2500002166"/>
    <s v="ELGI Gulf FZE"/>
    <s v="MPV kit (37KW) PN 15400445"/>
    <n v="8"/>
    <n v="8"/>
    <n v="0"/>
    <x v="0"/>
  </r>
  <r>
    <n v="318"/>
    <s v="2500008052"/>
    <s v="ELGI Gulf FZE"/>
    <s v="Refrigerent air dryer ,400CFM,14BAR,230V/60HZ PN EGRD400 "/>
    <n v="4"/>
    <n v="4"/>
    <n v="0"/>
    <x v="0"/>
  </r>
  <r>
    <n v="319"/>
    <s v="2500008135"/>
    <s v="ELGI Gulf FZE"/>
    <s v="VALVE ASSY, BUTTERFLY, 4&quot;MODEL 300/100, PG400/150 PN 220210470 "/>
    <n v="1"/>
    <n v="1"/>
    <n v="0"/>
    <x v="0"/>
  </r>
  <r>
    <n v="320"/>
    <s v="2500008139"/>
    <s v="ELGI Gulf FZE"/>
    <s v="GASKET MDL 300/100 PN 35400013    "/>
    <n v="2"/>
    <n v="2"/>
    <n v="0"/>
    <x v="0"/>
  </r>
  <r>
    <n v="321"/>
    <s v="2500008170"/>
    <s v="QURUM Technical Company"/>
    <s v="Coupling Element MDL EG30 PN 12437590                 "/>
    <n v="7"/>
    <n v="7"/>
    <n v="0"/>
    <x v="0"/>
  </r>
  <r>
    <n v="322"/>
    <s v="2500008210"/>
    <s v="ELGI Gulf FZE"/>
    <s v="AUTO DRAIN VALVE INTERNAL PN B001305480003 "/>
    <n v="1"/>
    <n v="1"/>
    <n v="0"/>
    <x v="0"/>
  </r>
  <r>
    <n v="323"/>
    <s v="2500008213"/>
    <s v="ELGI Gulf FZE"/>
    <s v="AUTO DRAIN FLOAT TYPE PN B001305630001  "/>
    <n v="9"/>
    <n v="9"/>
    <n v="0"/>
    <x v="0"/>
  </r>
  <r>
    <n v="324"/>
    <s v="2500008219"/>
    <s v="ELGI Gulf FZE"/>
    <s v="TEMPERATURE SENSOR PN 18400079        "/>
    <n v="2"/>
    <n v="2"/>
    <n v="0"/>
    <x v="0"/>
  </r>
  <r>
    <n v="325"/>
    <s v="2500008232"/>
    <s v="ELGI Gulf FZE"/>
    <s v="PIPE COUPLING 2 IN STY12  PN B005602930001 "/>
    <n v="7"/>
    <n v="7"/>
    <n v="0"/>
    <x v="0"/>
  </r>
  <r>
    <n v="326"/>
    <s v="2500008264"/>
    <s v="ELGI Gulf FZE"/>
    <s v="VALVE ASSY PR.RELIEF 1&quot; P N A010107"/>
    <n v="4"/>
    <n v="4"/>
    <n v="0"/>
    <x v="0"/>
  </r>
  <r>
    <n v="327"/>
    <s v="2500008283"/>
    <s v="ELGI Gulf FZE"/>
    <s v="DCV 3.0&quot; ASSEMBLY PN A970027 "/>
    <n v="1"/>
    <n v="1"/>
    <n v="0"/>
    <x v="0"/>
  </r>
  <r>
    <n v="328"/>
    <s v="2500008355"/>
    <s v="QURUM Technical Company"/>
    <s v="Actuator kit P N B009405770004"/>
    <n v="5"/>
    <n v="5"/>
    <n v="0"/>
    <x v="0"/>
  </r>
  <r>
    <n v="329"/>
    <s v="2500008359"/>
    <s v="QURUM Technical Company"/>
    <s v="SINGLE ACTING ACTUATOR P N B011405770001"/>
    <n v="4"/>
    <n v="4"/>
    <n v="0"/>
    <x v="0"/>
  </r>
  <r>
    <n v="330"/>
    <s v="2500008370"/>
    <s v="ELGI Gulf FZE"/>
    <s v="HOSE 1-1/4 P N 35303627      "/>
    <n v="2"/>
    <n v="2"/>
    <n v="0"/>
    <x v="0"/>
  </r>
  <r>
    <n v="331"/>
    <s v="2500008432"/>
    <s v="ELGI Gulf FZE"/>
    <s v="MPV kit 2&quot;  P N 220371399 "/>
    <n v="1"/>
    <n v="0"/>
    <n v="-1"/>
    <x v="5"/>
  </r>
  <r>
    <n v="332"/>
    <s v="2500008436"/>
    <s v="ELGI Gulf FZE"/>
    <s v="INTAKE VALVE RH25S  P N  B009800780016"/>
    <n v="4"/>
    <n v="3"/>
    <n v="-1"/>
    <x v="2"/>
  </r>
  <r>
    <n v="333"/>
    <s v="2500008438"/>
    <s v="ELGI Gulf FZE"/>
    <s v="MPV WITH CHECK VALVE MPVL50(B009301070001)"/>
    <n v="3"/>
    <n v="3"/>
    <n v="0"/>
    <x v="0"/>
  </r>
  <r>
    <n v="334"/>
    <s v="2500008465"/>
    <s v="ELGI Gulf FZE"/>
    <s v="DRIVE COUPLING  B005401170048 "/>
    <n v="1"/>
    <n v="1"/>
    <n v="0"/>
    <x v="0"/>
  </r>
  <r>
    <n v="335"/>
    <s v="2500008494"/>
    <s v="ELGI Gulf FZE"/>
    <s v="AF 0235P ,Pre Filter ,235 cfm  B003308170008"/>
    <n v="6"/>
    <n v="6"/>
    <n v="0"/>
    <x v="0"/>
  </r>
  <r>
    <n v="336"/>
    <s v="2500008557"/>
    <s v="ELGI Gulf FZE"/>
    <s v="S04054 : VA00020 500  Vertical air receiver tank  "/>
    <n v="4"/>
    <n v="4"/>
    <n v="0"/>
    <x v="0"/>
  </r>
  <r>
    <n v="337"/>
    <s v="2500008569"/>
    <s v="Summits Hygronics Private Limited"/>
    <s v="MATL : Summits Micro filter with Inbuilt drain valve. Suitable to handle 60cfm, Model SF 006 DX, working pressure of 7 - 16 bar g "/>
    <n v="8"/>
    <n v="8"/>
    <n v="0"/>
    <x v="0"/>
  </r>
  <r>
    <n v="338"/>
    <s v="2500008601"/>
    <s v="ELGI Gulf FZE"/>
    <s v="Intake valve - 30, 37KW, B009800780007"/>
    <n v="1"/>
    <n v="1"/>
    <n v="0"/>
    <x v="0"/>
  </r>
  <r>
    <n v="339"/>
    <s v="2500008616"/>
    <s v="ELGI Gulf FZE"/>
    <s v="MATL : Fine Filter AF 0294F 1 1/2'' BSP   "/>
    <n v="1"/>
    <m/>
    <n v="-1"/>
    <x v="2"/>
  </r>
  <r>
    <n v="340"/>
    <s v="2500008648"/>
    <s v="ELGI Gulf FZE"/>
    <s v="MATL : MINIMUM PRESSURE VALVE KIT  972400030    "/>
    <n v="9"/>
    <n v="9"/>
    <n v="0"/>
    <x v="0"/>
  </r>
  <r>
    <n v="341"/>
    <s v="2500008651"/>
    <s v="ELGI Gulf FZE"/>
    <s v="MATL : TEMPERATURE SENSOR  18400077    "/>
    <n v="4"/>
    <n v="4"/>
    <n v="0"/>
    <x v="0"/>
  </r>
  <r>
    <n v="342"/>
    <s v="2500008678"/>
    <s v="ELGI Gulf FZE"/>
    <s v="MATL: ELBOW; RUBBER; 6&quot;; P/N: 220375410              "/>
    <n v="4"/>
    <n v="4"/>
    <n v="0"/>
    <x v="0"/>
  </r>
  <r>
    <n v="343"/>
    <s v="2500008690"/>
    <s v="ELGI Gulf FZE"/>
    <s v="Intake Valve Kit; P/N: B009805770012  "/>
    <n v="4"/>
    <n v="4"/>
    <n v="0"/>
    <x v="0"/>
  </r>
  <r>
    <n v="344"/>
    <s v="2500008695"/>
    <s v="ELGI Gulf FZE"/>
    <s v="MATL: Fittings Kit; P/N: 12476659     "/>
    <n v="2"/>
    <n v="2"/>
    <n v="0"/>
    <x v="0"/>
  </r>
  <r>
    <n v="345"/>
    <s v="2500008754"/>
    <s v="ELGI Gulf FZE"/>
    <s v="GASKET -AOS - F6 P/N-B006700770028    "/>
    <n v="4"/>
    <n v="4"/>
    <n v="0"/>
    <x v="0"/>
  </r>
  <r>
    <n v="346"/>
    <s v="2500008787"/>
    <s v="ELGI Gulf FZE"/>
    <s v="2868389_PANEL, DISPLAY ARYA  "/>
    <n v="1"/>
    <n v="1"/>
    <n v="0"/>
    <x v="0"/>
  </r>
  <r>
    <n v="347"/>
    <s v="2500008843"/>
    <s v="ELGI Gulf FZE"/>
    <s v="OIL SIGHT GLASS 1 1/2 INCH BSP P/N-15306517                        "/>
    <n v="1"/>
    <n v="1"/>
    <n v="0"/>
    <x v="0"/>
  </r>
  <r>
    <n v="348"/>
    <s v="2500008860"/>
    <s v="OKI BERING MIDDLE EAST FZE "/>
    <s v="&quot;SIZE 1 (15-25MM)OXY-PROPANE CUTTING  TIP - BESTWELDSC P/N- 00 1502904&quot;    "/>
    <n v="110"/>
    <n v="110"/>
    <n v="0"/>
    <x v="0"/>
  </r>
  <r>
    <n v="349"/>
    <s v="2500008896"/>
    <s v="OKI BERING MIDDLE EAST FZE "/>
    <s v="Size 4 : (75-100mm) Oxy propane cutting tip | P/N-900 1502907                                         "/>
    <n v="2"/>
    <n v="2"/>
    <n v="0"/>
    <x v="0"/>
  </r>
  <r>
    <n v="350"/>
    <s v="2500009019"/>
    <s v="ELGI Gulf FZE"/>
    <s v="ELGi Stationary air-cooled screw air compressor Motor Power: 90kW (120 HP) 380V, 60Hz, 3 Phase Model EG90-115"/>
    <n v="2"/>
    <n v="2"/>
    <n v="0"/>
    <x v="0"/>
  </r>
  <r>
    <n v="351"/>
    <s v="2500009026"/>
    <s v="ELGI Gulf FZE"/>
    <s v="DRIVE COUPLING INSERT UC P/N:B005401170008"/>
    <n v="1"/>
    <n v="1"/>
    <n v="0"/>
    <x v="0"/>
  </r>
  <r>
    <n v="352"/>
    <s v="2500009144"/>
    <s v="ELGI Gulf FZE"/>
    <s v="FERRULE; 1/4&quot;  P/N-220370700"/>
    <n v="20"/>
    <n v="20"/>
    <n v="0"/>
    <x v="0"/>
  </r>
  <r>
    <n v="353"/>
    <s v="2500009164"/>
    <s v="ELGI Gulf FZE"/>
    <s v="PRE FILTER ELEMENT- EG 55 - 16| PN:2"/>
    <n v="2"/>
    <n v="2"/>
    <n v="0"/>
    <x v="0"/>
  </r>
  <r>
    <n v="354"/>
    <s v="2500004247"/>
    <s v="ELGI Gulf FZE"/>
    <s v="NEURON II CONTROLLER PN 00897701N "/>
    <n v="3"/>
    <n v="3"/>
    <n v="0"/>
    <x v="0"/>
  </r>
  <r>
    <n v="355"/>
    <s v="2500001780"/>
    <s v="ELGI Gulf FZE"/>
    <s v="SLEEVE WEAR - AXIS 159 PN 13436256 "/>
    <n v="2"/>
    <n v="2"/>
    <n v="0"/>
    <x v="0"/>
  </r>
  <r>
    <n v="356"/>
    <n v="2500002205"/>
    <s v="ELGI Gulf FZE"/>
    <s v="PRE FILTER PN 15400889 "/>
    <n v="2"/>
    <n v="1"/>
    <n v="-1"/>
    <x v="3"/>
  </r>
  <r>
    <n v="357"/>
    <s v="2500001399"/>
    <s v="QURUM Technical Company"/>
    <s v="SOLENOID VALVE 1/4 inch 110V PN 10464160"/>
    <n v="4"/>
    <n v="4"/>
    <n v="0"/>
    <x v="0"/>
  </r>
  <r>
    <n v="358"/>
    <s v="2500005624"/>
    <s v="QURUM Technical Company"/>
    <s v="PRESSURE REGULATOR PRNE PN B001501070001"/>
    <n v="4"/>
    <n v="4"/>
    <n v="0"/>
    <x v="0"/>
  </r>
  <r>
    <n v="359"/>
    <s v="2500008043"/>
    <s v="QURUM Technical Company"/>
    <s v="Screw Air compressor ,30KW/40HP,157CFM,10BAR,380V/60HZ PN EG 30-150"/>
    <n v="5"/>
    <n v="5"/>
    <n v="0"/>
    <x v="0"/>
  </r>
  <r>
    <n v="360"/>
    <s v="2500008049"/>
    <s v="ELGI Gulf FZE"/>
    <s v="Refrigerent air dryer ,100CFM,14BAR,230V/60HZ PN EGRD100"/>
    <n v="2"/>
    <n v="2"/>
    <n v="0"/>
    <x v="0"/>
  </r>
  <r>
    <n v="361"/>
    <s v="2500008068"/>
    <s v="QURUM Technical Company"/>
    <s v="Pre-filter PN PFE0420  "/>
    <n v="4"/>
    <n v="4"/>
    <n v="0"/>
    <x v="0"/>
  </r>
  <r>
    <n v="362"/>
    <s v="2500008070"/>
    <s v="ELGI Gulf FZE"/>
    <s v="Diesel Portable compressor 185 cfm PN PG185-100"/>
    <n v="2"/>
    <n v="2"/>
    <n v="0"/>
    <x v="0"/>
  </r>
  <r>
    <n v="363"/>
    <s v="2500008077"/>
    <s v="ELGI Gulf FZE"/>
    <s v="KEY IGNITION SWITCH PN 38400013  "/>
    <n v="3"/>
    <n v="3"/>
    <n v="0"/>
    <x v="0"/>
  </r>
  <r>
    <n v="364"/>
    <s v="2500008144"/>
    <s v="ELGI Gulf FZE"/>
    <s v="GASKET, BFV, 6&quot;, DPSAC PG 900 - 200 PN 220413160"/>
    <n v="2"/>
    <n v="2"/>
    <n v="0"/>
    <x v="0"/>
  </r>
  <r>
    <n v="365"/>
    <s v="2500008149"/>
    <s v="ELGI Gulf FZE"/>
    <s v="Single Actuator Kit MDL DT 900-200, 750-125, 400-150, 300-150,300-100 PN 220271909"/>
    <n v="6"/>
    <n v="6"/>
    <n v="0"/>
    <x v="0"/>
  </r>
  <r>
    <n v="366"/>
    <s v="2500008166"/>
    <s v="ELGI Gulf FZE"/>
    <s v="Coupling Element MDL EG11-E15 PN B011201170003                    "/>
    <n v="6"/>
    <n v="6"/>
    <n v="0"/>
    <x v="0"/>
  </r>
  <r>
    <n v="367"/>
    <s v="2500008218"/>
    <s v="ELGI Gulf FZE"/>
    <s v="Spare Kit, Intake Valve, EN73s PN B015400780002       "/>
    <n v="4"/>
    <n v="4"/>
    <n v="0"/>
    <x v="0"/>
  </r>
  <r>
    <n v="368"/>
    <s v="2500008243"/>
    <s v="ELGI Equipments Limited"/>
    <s v="FF Element 0108 PN 12400019"/>
    <n v="2"/>
    <n v="2"/>
    <n v="0"/>
    <x v="0"/>
  </r>
  <r>
    <n v="369"/>
    <s v="2500008288"/>
    <s v="ELGI Gulf FZE"/>
    <s v="Actuator kit PN  972300070     "/>
    <n v="4"/>
    <n v="4"/>
    <n v="0"/>
    <x v="0"/>
  </r>
  <r>
    <n v="370"/>
    <s v="2500008304"/>
    <s v="QURUM Technical Company"/>
    <s v="ELBOW; RUBBER; 6&quot;220375410 "/>
    <n v="1"/>
    <n v="1"/>
    <n v="0"/>
    <x v="0"/>
  </r>
  <r>
    <n v="371"/>
    <s v="2500008353"/>
    <s v="QURUM Technical Company"/>
    <s v="MINIMUM PRESSURE VALVE KIT P N B009301070004 "/>
    <n v="2"/>
    <n v="2"/>
    <n v="0"/>
    <x v="0"/>
  </r>
  <r>
    <n v="372"/>
    <s v="2500008357"/>
    <s v="QURUM Technical Company"/>
    <s v="SERVICE KIT FOR ACUATOR HB P N B009401070001"/>
    <n v="2"/>
    <n v="2"/>
    <n v="0"/>
    <x v="0"/>
  </r>
  <r>
    <n v="373"/>
    <s v="2500008361"/>
    <s v="ELGI Gulf FZE"/>
    <s v="Air Receiver tank 3000 ltrs Model VA080"/>
    <n v="1"/>
    <n v="1"/>
    <n v="0"/>
    <x v="0"/>
  </r>
  <r>
    <n v="374"/>
    <s v="2500008366"/>
    <s v="ELGI Gulf FZE"/>
    <s v="STUD COUPLING G 1/8 MALE P N  B009606780004  "/>
    <n v="15"/>
    <n v="15"/>
    <n v="0"/>
    <x v="0"/>
  </r>
  <r>
    <n v="375"/>
    <s v="2500008371"/>
    <s v="ELGI Gulf FZE"/>
    <s v="Safety valve assembly  P N B010506360054       "/>
    <n v="2"/>
    <n v="2"/>
    <n v="0"/>
    <x v="0"/>
  </r>
  <r>
    <n v="376"/>
    <s v="2500008375"/>
    <s v="ELGI Gulf FZE"/>
    <s v="Vacuflex(SUCTION HOSE) P N B010406260003       "/>
    <n v="1"/>
    <n v="1"/>
    <n v="0"/>
    <x v="0"/>
  </r>
  <r>
    <n v="377"/>
    <s v="2500008407"/>
    <s v="ELGI Gulf FZE"/>
    <s v="ENGINE CONTROLLER DSE3210 P N B012706970001 "/>
    <n v="1"/>
    <n v="1"/>
    <n v="0"/>
    <x v="0"/>
  </r>
  <r>
    <n v="378"/>
    <n v="2500008439"/>
    <s v="ELGI Gulf FZE"/>
    <s v="AVM ENGINE AIREND MOUNT  P N B001401100002 "/>
    <n v="2"/>
    <n v="2"/>
    <n v="0"/>
    <x v="9"/>
  </r>
  <r>
    <n v="379"/>
    <s v="2500008458"/>
    <s v="ELGI Gulf FZE"/>
    <s v="GLASS OIL SIGHT 1 1/2 NPT P N A010018"/>
    <n v="5"/>
    <n v="5"/>
    <n v="0"/>
    <x v="0"/>
  </r>
  <r>
    <n v="380"/>
    <s v="2500008467"/>
    <s v="ELGI Gulf FZE"/>
    <s v="INTAKE VALE 4&quot; - NC  B009801070006 "/>
    <n v="2"/>
    <n v="2"/>
    <n v="0"/>
    <x v="0"/>
  </r>
  <r>
    <n v="381"/>
    <s v="2500008475"/>
    <s v="ELGI Gulf FZE"/>
    <s v="ELGI AIRLUBE UT SYN 20L(5.3G)  Part Number : 998102"/>
    <n v="2"/>
    <n v="2"/>
    <n v="0"/>
    <x v="0"/>
  </r>
  <r>
    <n v="382"/>
    <s v="2500008622"/>
    <s v="ELGI Gulf FZE"/>
    <s v="MATL : A/F KIT PG 825S-250S PART NO: 32400319 "/>
    <n v="2"/>
    <n v="2"/>
    <n v="0"/>
    <x v="0"/>
  </r>
  <r>
    <n v="383"/>
    <s v="2500008624"/>
    <s v="ELGI Gulf FZE"/>
    <s v="MTRL : SPARE KIT - ARV PART NO: 324000149 "/>
    <n v="1"/>
    <n v="1"/>
    <n v="0"/>
    <x v="0"/>
  </r>
  <r>
    <n v="384"/>
    <s v="2500008859"/>
    <s v="OKI BERING MIDDLE EAST FZE "/>
    <s v="&quot;HEAVY DUTY TORCH HANDLE -  BESTWELD P/N- 900 1400426&quot;    "/>
    <n v="3"/>
    <n v="3"/>
    <n v="0"/>
    <x v="0"/>
  </r>
  <r>
    <n v="385"/>
    <s v="2500008872"/>
    <s v="TBi Industries GmbH"/>
    <s v="Nozzle con. diam. 10.0mm PN-345P013012                      "/>
    <n v="200"/>
    <n v="200"/>
    <n v="0"/>
    <x v="0"/>
  </r>
  <r>
    <n v="386"/>
    <s v="2500008889"/>
    <s v="ELGI Gulf FZE"/>
    <s v="SEPARATOR ELEMENT P/N-X018333                                    "/>
    <n v="16"/>
    <n v="16"/>
    <n v="0"/>
    <x v="0"/>
  </r>
  <r>
    <n v="387"/>
    <s v="2500008890"/>
    <s v="ELGI Gulf FZE"/>
    <s v="Air Filter element P/N-B004700770037                                     "/>
    <n v="1"/>
    <n v="1"/>
    <n v="0"/>
    <x v="0"/>
  </r>
  <r>
    <n v="388"/>
    <s v="2500008898"/>
    <s v="ELGI Gulf FZE"/>
    <s v="A030006 ACTUATOR ASSY, SINGLE ACTING                                           "/>
    <n v="1"/>
    <n v="1"/>
    <n v="0"/>
    <x v="0"/>
  </r>
  <r>
    <n v="389"/>
    <s v="2500008901"/>
    <s v="ELGI Gulf FZE"/>
    <s v="GAS SPRING FOR PG 185-100 "/>
    <n v="4"/>
    <n v="4"/>
    <n v="0"/>
    <x v="0"/>
  </r>
  <r>
    <n v="390"/>
    <n v="2500008946"/>
    <s v="OKI BERING MIDDLE EAST FZE "/>
    <s v="&quot;bestweld 6mm gouging rod P/N- 900 BWS-GC-6.4MM&quot;"/>
    <n v="20"/>
    <n v="10"/>
    <n v="10"/>
    <x v="10"/>
  </r>
  <r>
    <n v="391"/>
    <s v="2500008971"/>
    <s v="ELGI Gulf FZE"/>
    <s v="200328 BELT V  "/>
    <n v="6"/>
    <n v="6"/>
    <n v="0"/>
    <x v="0"/>
  </r>
  <r>
    <n v="392"/>
    <s v="2500009005"/>
    <s v="Luoyang Deping Technology Co. Ltd "/>
    <s v="Conversion kit （extend main unit to cover pipe wall thikness from 11.5-21.5mm )  "/>
    <n v="0"/>
    <n v="0"/>
    <n v="0"/>
    <x v="0"/>
  </r>
  <r>
    <n v="393"/>
    <s v="2500009009"/>
    <s v="ELGI Gulf FZE"/>
    <s v="AF 0912FF 2 1/2'' BSP"/>
    <n v="1"/>
    <n v="1"/>
    <n v="0"/>
    <x v="0"/>
  </r>
  <r>
    <n v="394"/>
    <s v="2500009021"/>
    <s v="ELGI Gulf FZE"/>
    <s v="ACTUATOR KIT P/N:972300060"/>
    <n v="4"/>
    <n v="4"/>
    <n v="0"/>
    <x v="0"/>
  </r>
  <r>
    <n v="395"/>
    <s v="2500009047"/>
    <s v="PARANTHAMAN EXPORTERS"/>
    <s v="INSERT FOR SB6, ITEM CODE : PRD D15 02 08 040"/>
    <n v="3"/>
    <n v="3"/>
    <n v="0"/>
    <x v="0"/>
  </r>
  <r>
    <n v="396"/>
    <s v="2500009148"/>
    <s v="ELGI Gulf FZE"/>
    <s v="SLEEVE, WEAR, 12S, MEGA P/N-223430700"/>
    <n v="2"/>
    <n v="2"/>
    <n v="0"/>
    <x v="0"/>
  </r>
  <r>
    <n v="397"/>
    <s v="2500009146"/>
    <s v="ELGI Gulf FZE"/>
    <s v="Drive Coupling Dia.75/50 P/N-B548310"/>
    <n v="1"/>
    <n v="1"/>
    <n v="0"/>
    <x v="0"/>
  </r>
  <r>
    <n v="398"/>
    <s v="2500009143"/>
    <s v="ELGI Gulf FZE"/>
    <s v="FLOW CONTROL VALVE      P/N-B013406760001"/>
    <n v="10"/>
    <n v="10"/>
    <n v="0"/>
    <x v="0"/>
  </r>
  <r>
    <n v="399"/>
    <s v="2500009193"/>
    <s v="ELGI Gulf FZE"/>
    <s v=" Desc:VALVE ASSY ;NON RETURN 1/4&quot;| P/N:B441701"/>
    <n v="2"/>
    <n v="2"/>
    <n v="0"/>
    <x v="0"/>
  </r>
  <r>
    <n v="400"/>
    <m/>
    <m/>
    <m/>
    <n v="3768"/>
    <m/>
    <m/>
    <x v="11"/>
  </r>
  <r>
    <m/>
    <m/>
    <m/>
    <m/>
    <m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C9A6C-CAFC-4BBF-9A22-AEE531F7EC8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3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1">
        <item m="1" x="15"/>
        <item x="2"/>
        <item m="1" x="19"/>
        <item x="7"/>
        <item x="9"/>
        <item x="6"/>
        <item m="1" x="13"/>
        <item m="1" x="17"/>
        <item x="4"/>
        <item m="1" x="18"/>
        <item m="1" x="14"/>
        <item x="10"/>
        <item m="1" x="12"/>
        <item m="1" x="16"/>
        <item x="8"/>
        <item x="0"/>
        <item x="5"/>
        <item h="1" x="11"/>
        <item h="1" x="1"/>
        <item h="1" x="3"/>
        <item t="default"/>
      </items>
    </pivotField>
  </pivotFields>
  <rowFields count="1">
    <field x="7"/>
  </rowFields>
  <rowItems count="10">
    <i>
      <x v="1"/>
    </i>
    <i>
      <x v="3"/>
    </i>
    <i>
      <x v="4"/>
    </i>
    <i>
      <x v="5"/>
    </i>
    <i>
      <x v="8"/>
    </i>
    <i>
      <x v="11"/>
    </i>
    <i>
      <x v="14"/>
    </i>
    <i>
      <x v="15"/>
    </i>
    <i>
      <x v="16"/>
    </i>
    <i t="grand">
      <x/>
    </i>
  </rowItems>
  <colItems count="1">
    <i/>
  </colItems>
  <dataFields count="1">
    <dataField name="Count of REMARKS" fld="7" subtotal="count" baseField="0" baseItem="0"/>
  </dataFields>
  <formats count="18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7" type="button" dataOnly="0" labelOnly="1" outline="0" axis="axisRow" fieldPosition="0"/>
    </format>
    <format dxfId="23">
      <pivotArea dataOnly="0" labelOnly="1" fieldPosition="0">
        <references count="1">
          <reference field="7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9">
      <pivotArea outline="0" collapsedLevelsAreSubtotals="1" fieldPosition="0"/>
    </format>
    <format dxfId="18">
      <pivotArea dataOnly="0" labelOnly="1" fieldPosition="0">
        <references count="1">
          <reference field="7" count="0"/>
        </references>
      </pivotArea>
    </format>
    <format dxfId="17">
      <pivotArea dataOnly="0" labelOnly="1" grandRow="1" outline="0" fieldPosition="0"/>
    </format>
    <format dxfId="16">
      <pivotArea collapsedLevelsAreSubtotals="1" fieldPosition="0">
        <references count="1">
          <reference field="7" count="0"/>
        </references>
      </pivotArea>
    </format>
    <format dxfId="11">
      <pivotArea outline="0" collapsedLevelsAreSubtotals="1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7" dT="2025-12-03T11:11:03.22" personId="{00000000-0000-0000-0000-000000000000}" id="{2AEF879D-8907-4A03-9E9E-643AA0DE2CF2}">
    <text>Qty 24 is available in Khaldiya Warehouse and Qty 5 is available in Riyad store</text>
  </threadedComment>
  <threadedComment ref="F130" dT="2025-12-03T11:29:22.20" personId="{00000000-0000-0000-0000-000000000000}" id="{8A6CF910-0C76-4D57-8536-201DC54A64C0}">
    <text>Qty 5 is available in Riyad store</text>
  </threadedComment>
  <threadedComment ref="F233" dT="2025-12-03T11:21:18.61" personId="{00000000-0000-0000-0000-000000000000}" id="{55DB79F5-9CC7-4250-B0AD-D14B2D92CBE9}">
    <text>Qty 5 is Available in Riyadh Store</text>
  </threadedComment>
  <threadedComment ref="F382" dT="2025-12-04T08:44:39.71" personId="{00000000-0000-0000-0000-000000000000}" id="{2BAC6B5C-7C9C-4431-B954-256D47639C27}">
    <text>Qty 2 is available in Riyadh Store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FEA3-8579-4314-8D29-27458C8EDFB8}">
  <dimension ref="B3:D13"/>
  <sheetViews>
    <sheetView tabSelected="1" workbookViewId="0">
      <selection activeCell="D17" sqref="D17"/>
    </sheetView>
  </sheetViews>
  <sheetFormatPr defaultRowHeight="15" x14ac:dyDescent="0.25"/>
  <cols>
    <col min="2" max="2" width="37" bestFit="1" customWidth="1"/>
    <col min="3" max="3" width="18.85546875" style="15" bestFit="1" customWidth="1"/>
    <col min="4" max="4" width="57.7109375" bestFit="1" customWidth="1"/>
  </cols>
  <sheetData>
    <row r="3" spans="2:4" x14ac:dyDescent="0.25">
      <c r="B3" s="31" t="s">
        <v>826</v>
      </c>
      <c r="C3" s="32" t="s">
        <v>828</v>
      </c>
      <c r="D3" s="36" t="s">
        <v>831</v>
      </c>
    </row>
    <row r="4" spans="2:4" x14ac:dyDescent="0.25">
      <c r="B4" s="34" t="s">
        <v>824</v>
      </c>
      <c r="C4" s="35">
        <v>9</v>
      </c>
      <c r="D4" s="33" t="s">
        <v>832</v>
      </c>
    </row>
    <row r="5" spans="2:4" x14ac:dyDescent="0.25">
      <c r="B5" s="34" t="s">
        <v>825</v>
      </c>
      <c r="C5" s="35">
        <v>1</v>
      </c>
      <c r="D5" s="33" t="s">
        <v>833</v>
      </c>
    </row>
    <row r="6" spans="2:4" x14ac:dyDescent="0.25">
      <c r="B6" s="34" t="s">
        <v>819</v>
      </c>
      <c r="C6" s="35">
        <v>1</v>
      </c>
      <c r="D6" s="33" t="s">
        <v>834</v>
      </c>
    </row>
    <row r="7" spans="2:4" x14ac:dyDescent="0.25">
      <c r="B7" s="34" t="s">
        <v>800</v>
      </c>
      <c r="C7" s="35">
        <v>1</v>
      </c>
      <c r="D7" s="33" t="s">
        <v>835</v>
      </c>
    </row>
    <row r="8" spans="2:4" x14ac:dyDescent="0.25">
      <c r="B8" s="34" t="s">
        <v>798</v>
      </c>
      <c r="C8" s="35">
        <v>2</v>
      </c>
      <c r="D8" s="33" t="s">
        <v>836</v>
      </c>
    </row>
    <row r="9" spans="2:4" x14ac:dyDescent="0.25">
      <c r="B9" s="34" t="s">
        <v>820</v>
      </c>
      <c r="C9" s="35">
        <v>1</v>
      </c>
      <c r="D9" s="33" t="s">
        <v>837</v>
      </c>
    </row>
    <row r="10" spans="2:4" x14ac:dyDescent="0.25">
      <c r="B10" s="34" t="s">
        <v>821</v>
      </c>
      <c r="C10" s="35">
        <v>1</v>
      </c>
      <c r="D10" s="33" t="s">
        <v>838</v>
      </c>
    </row>
    <row r="11" spans="2:4" x14ac:dyDescent="0.25">
      <c r="B11" s="34" t="s">
        <v>822</v>
      </c>
      <c r="C11" s="35">
        <v>367</v>
      </c>
      <c r="D11" s="33" t="s">
        <v>839</v>
      </c>
    </row>
    <row r="12" spans="2:4" x14ac:dyDescent="0.25">
      <c r="B12" s="34" t="s">
        <v>823</v>
      </c>
      <c r="C12" s="35">
        <v>8</v>
      </c>
      <c r="D12" s="33" t="s">
        <v>840</v>
      </c>
    </row>
    <row r="13" spans="2:4" x14ac:dyDescent="0.25">
      <c r="B13" s="34" t="s">
        <v>827</v>
      </c>
      <c r="C13" s="35">
        <v>391</v>
      </c>
      <c r="D1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01"/>
  <sheetViews>
    <sheetView showGridLines="0" topLeftCell="D1" workbookViewId="0">
      <pane ySplit="1" topLeftCell="A3" activePane="bottomLeft" state="frozen"/>
      <selection pane="bottomLeft" activeCell="H410" sqref="H410"/>
    </sheetView>
  </sheetViews>
  <sheetFormatPr defaultRowHeight="15" x14ac:dyDescent="0.25"/>
  <cols>
    <col min="1" max="1" width="5" bestFit="1" customWidth="1"/>
    <col min="2" max="2" width="11.42578125" customWidth="1"/>
    <col min="3" max="3" width="16.7109375" customWidth="1"/>
    <col min="4" max="4" width="68" customWidth="1"/>
    <col min="5" max="5" width="5.28515625" customWidth="1"/>
    <col min="7" max="7" width="9.140625" style="26"/>
    <col min="8" max="8" width="98.28515625" customWidth="1"/>
    <col min="12" max="12" width="11" bestFit="1" customWidth="1"/>
  </cols>
  <sheetData>
    <row r="1" spans="1:8" x14ac:dyDescent="0.25">
      <c r="A1" s="1" t="s">
        <v>797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794</v>
      </c>
      <c r="G1" s="23" t="s">
        <v>795</v>
      </c>
      <c r="H1" s="1" t="s">
        <v>796</v>
      </c>
    </row>
    <row r="2" spans="1:8" hidden="1" x14ac:dyDescent="0.25">
      <c r="A2" s="4">
        <v>1</v>
      </c>
      <c r="B2" s="5" t="s">
        <v>4</v>
      </c>
      <c r="C2" s="5" t="s">
        <v>5</v>
      </c>
      <c r="D2" s="5" t="s">
        <v>6</v>
      </c>
      <c r="E2" s="6">
        <v>8</v>
      </c>
      <c r="F2" s="4">
        <v>8</v>
      </c>
      <c r="G2" s="24">
        <f t="shared" ref="G2:G65" si="0">F2-E2</f>
        <v>0</v>
      </c>
      <c r="H2" s="27" t="s">
        <v>822</v>
      </c>
    </row>
    <row r="3" spans="1:8" x14ac:dyDescent="0.25">
      <c r="A3" s="4">
        <v>2</v>
      </c>
      <c r="B3" s="8">
        <v>2500005908</v>
      </c>
      <c r="C3" s="8" t="s">
        <v>7</v>
      </c>
      <c r="D3" s="8" t="s">
        <v>8</v>
      </c>
      <c r="E3" s="22">
        <v>22</v>
      </c>
      <c r="F3" s="9">
        <v>20</v>
      </c>
      <c r="G3" s="25">
        <f t="shared" si="0"/>
        <v>-2</v>
      </c>
      <c r="H3" s="28" t="s">
        <v>829</v>
      </c>
    </row>
    <row r="4" spans="1:8" hidden="1" x14ac:dyDescent="0.25">
      <c r="A4" s="4">
        <v>3</v>
      </c>
      <c r="B4" s="5" t="s">
        <v>9</v>
      </c>
      <c r="C4" s="5" t="s">
        <v>5</v>
      </c>
      <c r="D4" s="5" t="s">
        <v>10</v>
      </c>
      <c r="E4" s="6">
        <v>6</v>
      </c>
      <c r="F4" s="4">
        <v>6</v>
      </c>
      <c r="G4" s="24">
        <f t="shared" si="0"/>
        <v>0</v>
      </c>
      <c r="H4" s="28" t="s">
        <v>822</v>
      </c>
    </row>
    <row r="5" spans="1:8" hidden="1" x14ac:dyDescent="0.25">
      <c r="A5" s="4">
        <v>4</v>
      </c>
      <c r="B5" s="5" t="s">
        <v>11</v>
      </c>
      <c r="C5" s="5" t="s">
        <v>7</v>
      </c>
      <c r="D5" s="5" t="s">
        <v>12</v>
      </c>
      <c r="E5" s="6">
        <v>2</v>
      </c>
      <c r="F5" s="4">
        <v>2</v>
      </c>
      <c r="G5" s="24">
        <f t="shared" si="0"/>
        <v>0</v>
      </c>
      <c r="H5" s="28" t="s">
        <v>822</v>
      </c>
    </row>
    <row r="6" spans="1:8" hidden="1" x14ac:dyDescent="0.25">
      <c r="A6" s="4">
        <v>5</v>
      </c>
      <c r="B6" s="5" t="s">
        <v>13</v>
      </c>
      <c r="C6" s="5" t="s">
        <v>5</v>
      </c>
      <c r="D6" s="5" t="s">
        <v>14</v>
      </c>
      <c r="E6" s="6">
        <v>5</v>
      </c>
      <c r="F6" s="4">
        <v>5</v>
      </c>
      <c r="G6" s="24">
        <f t="shared" si="0"/>
        <v>0</v>
      </c>
      <c r="H6" s="28" t="s">
        <v>822</v>
      </c>
    </row>
    <row r="7" spans="1:8" hidden="1" x14ac:dyDescent="0.25">
      <c r="A7" s="4">
        <v>6</v>
      </c>
      <c r="B7" s="5" t="s">
        <v>15</v>
      </c>
      <c r="C7" s="5" t="s">
        <v>5</v>
      </c>
      <c r="D7" s="5" t="s">
        <v>16</v>
      </c>
      <c r="E7" s="6">
        <v>4</v>
      </c>
      <c r="F7" s="4">
        <v>4</v>
      </c>
      <c r="G7" s="24">
        <f t="shared" si="0"/>
        <v>0</v>
      </c>
      <c r="H7" s="28" t="s">
        <v>822</v>
      </c>
    </row>
    <row r="8" spans="1:8" hidden="1" x14ac:dyDescent="0.25">
      <c r="A8" s="4">
        <v>7</v>
      </c>
      <c r="B8" s="5" t="s">
        <v>17</v>
      </c>
      <c r="C8" s="5" t="s">
        <v>7</v>
      </c>
      <c r="D8" s="5" t="s">
        <v>18</v>
      </c>
      <c r="E8" s="6">
        <v>7</v>
      </c>
      <c r="F8" s="4">
        <v>7</v>
      </c>
      <c r="G8" s="24">
        <f t="shared" si="0"/>
        <v>0</v>
      </c>
      <c r="H8" s="28" t="s">
        <v>822</v>
      </c>
    </row>
    <row r="9" spans="1:8" hidden="1" x14ac:dyDescent="0.25">
      <c r="A9" s="4">
        <v>8</v>
      </c>
      <c r="B9" s="8" t="s">
        <v>19</v>
      </c>
      <c r="C9" s="8" t="s">
        <v>5</v>
      </c>
      <c r="D9" s="8" t="s">
        <v>20</v>
      </c>
      <c r="E9" s="22">
        <v>1</v>
      </c>
      <c r="F9" s="9">
        <v>0</v>
      </c>
      <c r="G9" s="25">
        <f t="shared" si="0"/>
        <v>-1</v>
      </c>
      <c r="H9" s="28" t="s">
        <v>824</v>
      </c>
    </row>
    <row r="10" spans="1:8" hidden="1" x14ac:dyDescent="0.25">
      <c r="A10" s="4">
        <v>9</v>
      </c>
      <c r="B10" s="5" t="s">
        <v>21</v>
      </c>
      <c r="C10" s="5" t="s">
        <v>5</v>
      </c>
      <c r="D10" s="5" t="s">
        <v>22</v>
      </c>
      <c r="E10" s="6">
        <v>1</v>
      </c>
      <c r="F10" s="4">
        <v>1</v>
      </c>
      <c r="G10" s="24">
        <f t="shared" si="0"/>
        <v>0</v>
      </c>
      <c r="H10" s="28" t="s">
        <v>822</v>
      </c>
    </row>
    <row r="11" spans="1:8" hidden="1" x14ac:dyDescent="0.25">
      <c r="A11" s="4">
        <v>10</v>
      </c>
      <c r="B11" s="5" t="s">
        <v>23</v>
      </c>
      <c r="C11" s="5" t="s">
        <v>5</v>
      </c>
      <c r="D11" s="5" t="s">
        <v>24</v>
      </c>
      <c r="E11" s="6">
        <v>1</v>
      </c>
      <c r="F11" s="4">
        <v>1</v>
      </c>
      <c r="G11" s="24">
        <f t="shared" si="0"/>
        <v>0</v>
      </c>
      <c r="H11" s="28" t="s">
        <v>822</v>
      </c>
    </row>
    <row r="12" spans="1:8" hidden="1" x14ac:dyDescent="0.25">
      <c r="A12" s="4">
        <v>11</v>
      </c>
      <c r="B12" s="5" t="s">
        <v>25</v>
      </c>
      <c r="C12" s="5" t="s">
        <v>5</v>
      </c>
      <c r="D12" s="5" t="s">
        <v>26</v>
      </c>
      <c r="E12" s="6">
        <v>7</v>
      </c>
      <c r="F12" s="4">
        <v>7</v>
      </c>
      <c r="G12" s="24">
        <f t="shared" si="0"/>
        <v>0</v>
      </c>
      <c r="H12" s="28" t="s">
        <v>822</v>
      </c>
    </row>
    <row r="13" spans="1:8" hidden="1" x14ac:dyDescent="0.25">
      <c r="A13" s="4">
        <v>12</v>
      </c>
      <c r="B13" s="5" t="s">
        <v>27</v>
      </c>
      <c r="C13" s="5" t="s">
        <v>7</v>
      </c>
      <c r="D13" s="5" t="s">
        <v>28</v>
      </c>
      <c r="E13" s="6">
        <v>2</v>
      </c>
      <c r="F13" s="4">
        <v>2</v>
      </c>
      <c r="G13" s="24">
        <f t="shared" si="0"/>
        <v>0</v>
      </c>
      <c r="H13" s="28" t="s">
        <v>822</v>
      </c>
    </row>
    <row r="14" spans="1:8" hidden="1" x14ac:dyDescent="0.25">
      <c r="A14" s="4">
        <v>13</v>
      </c>
      <c r="B14" s="5" t="s">
        <v>29</v>
      </c>
      <c r="C14" s="5" t="s">
        <v>5</v>
      </c>
      <c r="D14" s="5" t="s">
        <v>30</v>
      </c>
      <c r="E14" s="6">
        <v>6</v>
      </c>
      <c r="F14" s="4">
        <v>6</v>
      </c>
      <c r="G14" s="24">
        <f t="shared" si="0"/>
        <v>0</v>
      </c>
      <c r="H14" s="28" t="s">
        <v>822</v>
      </c>
    </row>
    <row r="15" spans="1:8" hidden="1" x14ac:dyDescent="0.25">
      <c r="A15" s="4">
        <v>14</v>
      </c>
      <c r="B15" s="5" t="s">
        <v>31</v>
      </c>
      <c r="C15" s="5" t="s">
        <v>5</v>
      </c>
      <c r="D15" s="5" t="s">
        <v>32</v>
      </c>
      <c r="E15" s="6">
        <v>7</v>
      </c>
      <c r="F15" s="4">
        <v>7</v>
      </c>
      <c r="G15" s="24">
        <f t="shared" si="0"/>
        <v>0</v>
      </c>
      <c r="H15" s="28" t="s">
        <v>822</v>
      </c>
    </row>
    <row r="16" spans="1:8" hidden="1" x14ac:dyDescent="0.25">
      <c r="A16" s="4">
        <v>15</v>
      </c>
      <c r="B16" s="5" t="s">
        <v>33</v>
      </c>
      <c r="C16" s="5" t="s">
        <v>34</v>
      </c>
      <c r="D16" s="5" t="s">
        <v>35</v>
      </c>
      <c r="E16" s="6">
        <v>2</v>
      </c>
      <c r="F16" s="4">
        <v>2</v>
      </c>
      <c r="G16" s="24">
        <f t="shared" si="0"/>
        <v>0</v>
      </c>
      <c r="H16" s="28" t="s">
        <v>822</v>
      </c>
    </row>
    <row r="17" spans="1:8" hidden="1" x14ac:dyDescent="0.25">
      <c r="A17" s="4">
        <v>16</v>
      </c>
      <c r="B17" s="5" t="s">
        <v>36</v>
      </c>
      <c r="C17" s="5" t="s">
        <v>5</v>
      </c>
      <c r="D17" s="5" t="s">
        <v>37</v>
      </c>
      <c r="E17" s="6">
        <v>4</v>
      </c>
      <c r="F17" s="4">
        <v>4</v>
      </c>
      <c r="G17" s="24">
        <f t="shared" si="0"/>
        <v>0</v>
      </c>
      <c r="H17" s="28" t="s">
        <v>822</v>
      </c>
    </row>
    <row r="18" spans="1:8" hidden="1" x14ac:dyDescent="0.25">
      <c r="A18" s="4">
        <v>17</v>
      </c>
      <c r="B18" s="5" t="s">
        <v>38</v>
      </c>
      <c r="C18" s="5" t="s">
        <v>5</v>
      </c>
      <c r="D18" s="5" t="s">
        <v>39</v>
      </c>
      <c r="E18" s="6">
        <v>1</v>
      </c>
      <c r="F18" s="4">
        <v>1</v>
      </c>
      <c r="G18" s="24">
        <f t="shared" si="0"/>
        <v>0</v>
      </c>
      <c r="H18" s="28" t="s">
        <v>822</v>
      </c>
    </row>
    <row r="19" spans="1:8" hidden="1" x14ac:dyDescent="0.25">
      <c r="A19" s="4">
        <v>18</v>
      </c>
      <c r="B19" s="5" t="s">
        <v>40</v>
      </c>
      <c r="C19" s="5" t="s">
        <v>5</v>
      </c>
      <c r="D19" s="5" t="s">
        <v>41</v>
      </c>
      <c r="E19" s="6">
        <v>3</v>
      </c>
      <c r="F19" s="4">
        <v>3</v>
      </c>
      <c r="G19" s="24">
        <f t="shared" si="0"/>
        <v>0</v>
      </c>
      <c r="H19" s="28" t="s">
        <v>822</v>
      </c>
    </row>
    <row r="20" spans="1:8" hidden="1" x14ac:dyDescent="0.25">
      <c r="A20" s="4">
        <v>19</v>
      </c>
      <c r="B20" s="5" t="s">
        <v>42</v>
      </c>
      <c r="C20" s="5" t="s">
        <v>5</v>
      </c>
      <c r="D20" s="5" t="s">
        <v>43</v>
      </c>
      <c r="E20" s="6">
        <v>1</v>
      </c>
      <c r="F20" s="4">
        <v>1</v>
      </c>
      <c r="G20" s="24">
        <f t="shared" si="0"/>
        <v>0</v>
      </c>
      <c r="H20" s="28" t="s">
        <v>822</v>
      </c>
    </row>
    <row r="21" spans="1:8" hidden="1" x14ac:dyDescent="0.25">
      <c r="A21" s="4">
        <v>20</v>
      </c>
      <c r="B21" s="5" t="s">
        <v>44</v>
      </c>
      <c r="C21" s="5" t="s">
        <v>7</v>
      </c>
      <c r="D21" s="5" t="s">
        <v>45</v>
      </c>
      <c r="E21" s="6">
        <v>2</v>
      </c>
      <c r="F21" s="4">
        <v>2</v>
      </c>
      <c r="G21" s="24">
        <f t="shared" si="0"/>
        <v>0</v>
      </c>
      <c r="H21" s="28" t="s">
        <v>822</v>
      </c>
    </row>
    <row r="22" spans="1:8" hidden="1" x14ac:dyDescent="0.25">
      <c r="A22" s="4">
        <v>21</v>
      </c>
      <c r="B22" s="5" t="s">
        <v>46</v>
      </c>
      <c r="C22" s="5" t="s">
        <v>5</v>
      </c>
      <c r="D22" s="5" t="s">
        <v>47</v>
      </c>
      <c r="E22" s="6">
        <v>1</v>
      </c>
      <c r="F22" s="4">
        <v>1</v>
      </c>
      <c r="G22" s="24">
        <f t="shared" si="0"/>
        <v>0</v>
      </c>
      <c r="H22" s="28" t="s">
        <v>822</v>
      </c>
    </row>
    <row r="23" spans="1:8" hidden="1" x14ac:dyDescent="0.25">
      <c r="A23" s="4">
        <v>22</v>
      </c>
      <c r="B23" s="5" t="s">
        <v>48</v>
      </c>
      <c r="C23" s="5" t="s">
        <v>5</v>
      </c>
      <c r="D23" s="5" t="s">
        <v>49</v>
      </c>
      <c r="E23" s="6">
        <v>2</v>
      </c>
      <c r="F23" s="4">
        <v>2</v>
      </c>
      <c r="G23" s="24">
        <f t="shared" si="0"/>
        <v>0</v>
      </c>
      <c r="H23" s="28" t="s">
        <v>822</v>
      </c>
    </row>
    <row r="24" spans="1:8" hidden="1" x14ac:dyDescent="0.25">
      <c r="A24" s="4">
        <v>23</v>
      </c>
      <c r="B24" s="5" t="s">
        <v>50</v>
      </c>
      <c r="C24" s="5" t="s">
        <v>5</v>
      </c>
      <c r="D24" s="5" t="s">
        <v>51</v>
      </c>
      <c r="E24" s="6">
        <v>2</v>
      </c>
      <c r="F24" s="4">
        <v>2</v>
      </c>
      <c r="G24" s="24">
        <f t="shared" si="0"/>
        <v>0</v>
      </c>
      <c r="H24" s="28" t="s">
        <v>822</v>
      </c>
    </row>
    <row r="25" spans="1:8" hidden="1" x14ac:dyDescent="0.25">
      <c r="A25" s="4">
        <v>24</v>
      </c>
      <c r="B25" s="5" t="s">
        <v>52</v>
      </c>
      <c r="C25" s="5" t="s">
        <v>53</v>
      </c>
      <c r="D25" s="5" t="s">
        <v>54</v>
      </c>
      <c r="E25" s="6">
        <v>4</v>
      </c>
      <c r="F25" s="4">
        <v>4</v>
      </c>
      <c r="G25" s="24">
        <f t="shared" si="0"/>
        <v>0</v>
      </c>
      <c r="H25" s="28" t="s">
        <v>822</v>
      </c>
    </row>
    <row r="26" spans="1:8" hidden="1" x14ac:dyDescent="0.25">
      <c r="A26" s="4">
        <v>25</v>
      </c>
      <c r="B26" s="5" t="s">
        <v>55</v>
      </c>
      <c r="C26" s="5" t="s">
        <v>5</v>
      </c>
      <c r="D26" s="5" t="s">
        <v>56</v>
      </c>
      <c r="E26" s="6">
        <v>4</v>
      </c>
      <c r="F26" s="4">
        <v>4</v>
      </c>
      <c r="G26" s="24">
        <f t="shared" si="0"/>
        <v>0</v>
      </c>
      <c r="H26" s="28" t="s">
        <v>822</v>
      </c>
    </row>
    <row r="27" spans="1:8" hidden="1" x14ac:dyDescent="0.25">
      <c r="A27" s="4">
        <v>26</v>
      </c>
      <c r="B27" s="5" t="s">
        <v>57</v>
      </c>
      <c r="C27" s="5" t="s">
        <v>5</v>
      </c>
      <c r="D27" s="5" t="s">
        <v>58</v>
      </c>
      <c r="E27" s="6">
        <v>7</v>
      </c>
      <c r="F27" s="4">
        <v>7</v>
      </c>
      <c r="G27" s="24">
        <f t="shared" si="0"/>
        <v>0</v>
      </c>
      <c r="H27" s="28" t="s">
        <v>822</v>
      </c>
    </row>
    <row r="28" spans="1:8" hidden="1" x14ac:dyDescent="0.25">
      <c r="A28" s="4">
        <v>27</v>
      </c>
      <c r="B28" s="5" t="s">
        <v>59</v>
      </c>
      <c r="C28" s="5" t="s">
        <v>5</v>
      </c>
      <c r="D28" s="5" t="s">
        <v>60</v>
      </c>
      <c r="E28" s="6">
        <v>18</v>
      </c>
      <c r="F28" s="4">
        <v>18</v>
      </c>
      <c r="G28" s="24">
        <f t="shared" si="0"/>
        <v>0</v>
      </c>
      <c r="H28" s="28" t="s">
        <v>822</v>
      </c>
    </row>
    <row r="29" spans="1:8" hidden="1" x14ac:dyDescent="0.25">
      <c r="A29" s="4">
        <v>28</v>
      </c>
      <c r="B29" s="5" t="s">
        <v>61</v>
      </c>
      <c r="C29" s="5" t="s">
        <v>5</v>
      </c>
      <c r="D29" s="5" t="s">
        <v>62</v>
      </c>
      <c r="E29" s="6">
        <v>10</v>
      </c>
      <c r="F29" s="4">
        <v>10</v>
      </c>
      <c r="G29" s="24">
        <f t="shared" si="0"/>
        <v>0</v>
      </c>
      <c r="H29" s="28" t="s">
        <v>822</v>
      </c>
    </row>
    <row r="30" spans="1:8" x14ac:dyDescent="0.25">
      <c r="A30" s="4">
        <v>29</v>
      </c>
      <c r="B30" s="8">
        <v>2500008463</v>
      </c>
      <c r="C30" s="8" t="s">
        <v>5</v>
      </c>
      <c r="D30" s="8" t="s">
        <v>63</v>
      </c>
      <c r="E30" s="22">
        <v>6</v>
      </c>
      <c r="F30" s="9">
        <v>5</v>
      </c>
      <c r="G30" s="25">
        <f t="shared" si="0"/>
        <v>-1</v>
      </c>
      <c r="H30" s="28" t="s">
        <v>830</v>
      </c>
    </row>
    <row r="31" spans="1:8" hidden="1" x14ac:dyDescent="0.25">
      <c r="A31" s="4">
        <v>30</v>
      </c>
      <c r="B31" s="5" t="s">
        <v>64</v>
      </c>
      <c r="C31" s="5" t="s">
        <v>5</v>
      </c>
      <c r="D31" s="5" t="s">
        <v>65</v>
      </c>
      <c r="E31" s="6">
        <v>6</v>
      </c>
      <c r="F31" s="4">
        <v>6</v>
      </c>
      <c r="G31" s="24">
        <f t="shared" si="0"/>
        <v>0</v>
      </c>
      <c r="H31" s="28" t="s">
        <v>822</v>
      </c>
    </row>
    <row r="32" spans="1:8" hidden="1" x14ac:dyDescent="0.25">
      <c r="A32" s="4">
        <v>31</v>
      </c>
      <c r="B32" s="5" t="s">
        <v>66</v>
      </c>
      <c r="C32" s="5" t="s">
        <v>5</v>
      </c>
      <c r="D32" s="5" t="s">
        <v>67</v>
      </c>
      <c r="E32" s="6">
        <v>5</v>
      </c>
      <c r="F32" s="4">
        <v>5</v>
      </c>
      <c r="G32" s="24">
        <f t="shared" si="0"/>
        <v>0</v>
      </c>
      <c r="H32" s="28" t="s">
        <v>822</v>
      </c>
    </row>
    <row r="33" spans="1:8" hidden="1" x14ac:dyDescent="0.25">
      <c r="A33" s="4">
        <v>32</v>
      </c>
      <c r="B33" s="5" t="s">
        <v>68</v>
      </c>
      <c r="C33" s="5" t="s">
        <v>5</v>
      </c>
      <c r="D33" s="5" t="s">
        <v>69</v>
      </c>
      <c r="E33" s="6">
        <v>2</v>
      </c>
      <c r="F33" s="4">
        <v>2</v>
      </c>
      <c r="G33" s="24">
        <f t="shared" si="0"/>
        <v>0</v>
      </c>
      <c r="H33" s="28" t="s">
        <v>822</v>
      </c>
    </row>
    <row r="34" spans="1:8" hidden="1" x14ac:dyDescent="0.25">
      <c r="A34" s="4">
        <v>33</v>
      </c>
      <c r="B34" s="5" t="s">
        <v>70</v>
      </c>
      <c r="C34" s="5" t="s">
        <v>5</v>
      </c>
      <c r="D34" s="5" t="s">
        <v>71</v>
      </c>
      <c r="E34" s="6">
        <v>2</v>
      </c>
      <c r="F34" s="4">
        <v>2</v>
      </c>
      <c r="G34" s="24">
        <f t="shared" si="0"/>
        <v>0</v>
      </c>
      <c r="H34" s="28" t="s">
        <v>822</v>
      </c>
    </row>
    <row r="35" spans="1:8" hidden="1" x14ac:dyDescent="0.25">
      <c r="A35" s="4">
        <v>34</v>
      </c>
      <c r="B35" s="5" t="s">
        <v>72</v>
      </c>
      <c r="C35" s="5" t="s">
        <v>73</v>
      </c>
      <c r="D35" s="5" t="s">
        <v>74</v>
      </c>
      <c r="E35" s="6">
        <v>8</v>
      </c>
      <c r="F35" s="4">
        <v>8</v>
      </c>
      <c r="G35" s="24">
        <f t="shared" si="0"/>
        <v>0</v>
      </c>
      <c r="H35" s="28" t="s">
        <v>822</v>
      </c>
    </row>
    <row r="36" spans="1:8" hidden="1" x14ac:dyDescent="0.25">
      <c r="A36" s="4">
        <v>35</v>
      </c>
      <c r="B36" s="5" t="s">
        <v>75</v>
      </c>
      <c r="C36" s="5" t="s">
        <v>5</v>
      </c>
      <c r="D36" s="5" t="s">
        <v>76</v>
      </c>
      <c r="E36" s="6">
        <v>2</v>
      </c>
      <c r="F36" s="4">
        <v>2</v>
      </c>
      <c r="G36" s="24">
        <f t="shared" si="0"/>
        <v>0</v>
      </c>
      <c r="H36" s="28" t="s">
        <v>822</v>
      </c>
    </row>
    <row r="37" spans="1:8" hidden="1" x14ac:dyDescent="0.25">
      <c r="A37" s="4">
        <v>36</v>
      </c>
      <c r="B37" s="5" t="s">
        <v>77</v>
      </c>
      <c r="C37" s="5" t="s">
        <v>5</v>
      </c>
      <c r="D37" s="5" t="s">
        <v>78</v>
      </c>
      <c r="E37" s="6">
        <v>2</v>
      </c>
      <c r="F37" s="4">
        <v>2</v>
      </c>
      <c r="G37" s="24">
        <f t="shared" si="0"/>
        <v>0</v>
      </c>
      <c r="H37" s="28" t="s">
        <v>822</v>
      </c>
    </row>
    <row r="38" spans="1:8" hidden="1" x14ac:dyDescent="0.25">
      <c r="A38" s="4">
        <v>37</v>
      </c>
      <c r="B38" s="5" t="s">
        <v>79</v>
      </c>
      <c r="C38" s="5" t="s">
        <v>5</v>
      </c>
      <c r="D38" s="5" t="s">
        <v>80</v>
      </c>
      <c r="E38" s="6">
        <v>2</v>
      </c>
      <c r="F38" s="4">
        <v>2</v>
      </c>
      <c r="G38" s="24">
        <f t="shared" si="0"/>
        <v>0</v>
      </c>
      <c r="H38" s="28" t="s">
        <v>822</v>
      </c>
    </row>
    <row r="39" spans="1:8" hidden="1" x14ac:dyDescent="0.25">
      <c r="A39" s="4">
        <v>38</v>
      </c>
      <c r="B39" s="5" t="s">
        <v>81</v>
      </c>
      <c r="C39" s="5" t="s">
        <v>5</v>
      </c>
      <c r="D39" s="5" t="s">
        <v>82</v>
      </c>
      <c r="E39" s="6">
        <v>5</v>
      </c>
      <c r="F39" s="4">
        <v>5</v>
      </c>
      <c r="G39" s="24">
        <f t="shared" si="0"/>
        <v>0</v>
      </c>
      <c r="H39" s="28" t="s">
        <v>822</v>
      </c>
    </row>
    <row r="40" spans="1:8" hidden="1" x14ac:dyDescent="0.25">
      <c r="A40" s="4">
        <v>39</v>
      </c>
      <c r="B40" s="5" t="s">
        <v>83</v>
      </c>
      <c r="C40" s="5" t="s">
        <v>5</v>
      </c>
      <c r="D40" s="5" t="s">
        <v>84</v>
      </c>
      <c r="E40" s="6">
        <v>2</v>
      </c>
      <c r="F40" s="4">
        <v>2</v>
      </c>
      <c r="G40" s="24">
        <f t="shared" si="0"/>
        <v>0</v>
      </c>
      <c r="H40" s="28" t="s">
        <v>822</v>
      </c>
    </row>
    <row r="41" spans="1:8" hidden="1" x14ac:dyDescent="0.25">
      <c r="A41" s="4">
        <v>40</v>
      </c>
      <c r="B41" s="5" t="s">
        <v>85</v>
      </c>
      <c r="C41" s="5" t="s">
        <v>5</v>
      </c>
      <c r="D41" s="5" t="s">
        <v>86</v>
      </c>
      <c r="E41" s="6">
        <v>6</v>
      </c>
      <c r="F41" s="4">
        <v>6</v>
      </c>
      <c r="G41" s="24">
        <f t="shared" si="0"/>
        <v>0</v>
      </c>
      <c r="H41" s="28" t="s">
        <v>822</v>
      </c>
    </row>
    <row r="42" spans="1:8" hidden="1" x14ac:dyDescent="0.25">
      <c r="A42" s="4">
        <v>41</v>
      </c>
      <c r="B42" s="5" t="s">
        <v>87</v>
      </c>
      <c r="C42" s="5" t="s">
        <v>73</v>
      </c>
      <c r="D42" s="5" t="s">
        <v>88</v>
      </c>
      <c r="E42" s="6">
        <v>2</v>
      </c>
      <c r="F42" s="4">
        <v>2</v>
      </c>
      <c r="G42" s="24">
        <f t="shared" si="0"/>
        <v>0</v>
      </c>
      <c r="H42" s="28" t="s">
        <v>822</v>
      </c>
    </row>
    <row r="43" spans="1:8" hidden="1" x14ac:dyDescent="0.25">
      <c r="A43" s="4">
        <v>42</v>
      </c>
      <c r="B43" s="5" t="s">
        <v>89</v>
      </c>
      <c r="C43" s="5" t="s">
        <v>5</v>
      </c>
      <c r="D43" s="5" t="s">
        <v>90</v>
      </c>
      <c r="E43" s="6">
        <v>1</v>
      </c>
      <c r="F43" s="4">
        <v>1</v>
      </c>
      <c r="G43" s="24">
        <f t="shared" si="0"/>
        <v>0</v>
      </c>
      <c r="H43" s="28" t="s">
        <v>822</v>
      </c>
    </row>
    <row r="44" spans="1:8" hidden="1" x14ac:dyDescent="0.25">
      <c r="A44" s="4">
        <v>43</v>
      </c>
      <c r="B44" s="5" t="s">
        <v>91</v>
      </c>
      <c r="C44" s="5" t="s">
        <v>5</v>
      </c>
      <c r="D44" s="5" t="s">
        <v>92</v>
      </c>
      <c r="E44" s="6">
        <v>1</v>
      </c>
      <c r="F44" s="4">
        <v>1</v>
      </c>
      <c r="G44" s="24">
        <f t="shared" si="0"/>
        <v>0</v>
      </c>
      <c r="H44" s="28" t="s">
        <v>822</v>
      </c>
    </row>
    <row r="45" spans="1:8" hidden="1" x14ac:dyDescent="0.25">
      <c r="A45" s="4">
        <v>44</v>
      </c>
      <c r="B45" s="5" t="s">
        <v>93</v>
      </c>
      <c r="C45" s="5" t="s">
        <v>5</v>
      </c>
      <c r="D45" s="5" t="s">
        <v>94</v>
      </c>
      <c r="E45" s="6">
        <v>1</v>
      </c>
      <c r="F45" s="4">
        <v>1</v>
      </c>
      <c r="G45" s="24">
        <f t="shared" si="0"/>
        <v>0</v>
      </c>
      <c r="H45" s="28" t="s">
        <v>822</v>
      </c>
    </row>
    <row r="46" spans="1:8" hidden="1" x14ac:dyDescent="0.25">
      <c r="A46" s="4">
        <v>45</v>
      </c>
      <c r="B46" s="5" t="s">
        <v>95</v>
      </c>
      <c r="C46" s="5" t="s">
        <v>5</v>
      </c>
      <c r="D46" s="5" t="s">
        <v>96</v>
      </c>
      <c r="E46" s="6">
        <v>1</v>
      </c>
      <c r="F46" s="4">
        <v>1</v>
      </c>
      <c r="G46" s="24">
        <f t="shared" si="0"/>
        <v>0</v>
      </c>
      <c r="H46" s="28" t="s">
        <v>822</v>
      </c>
    </row>
    <row r="47" spans="1:8" hidden="1" x14ac:dyDescent="0.25">
      <c r="A47" s="4">
        <v>46</v>
      </c>
      <c r="B47" s="5" t="s">
        <v>97</v>
      </c>
      <c r="C47" s="5" t="s">
        <v>5</v>
      </c>
      <c r="D47" s="5" t="s">
        <v>98</v>
      </c>
      <c r="E47" s="6">
        <v>1</v>
      </c>
      <c r="F47" s="4">
        <v>1</v>
      </c>
      <c r="G47" s="24">
        <f t="shared" si="0"/>
        <v>0</v>
      </c>
      <c r="H47" s="28" t="s">
        <v>822</v>
      </c>
    </row>
    <row r="48" spans="1:8" hidden="1" x14ac:dyDescent="0.25">
      <c r="A48" s="4">
        <v>47</v>
      </c>
      <c r="B48" s="5" t="s">
        <v>99</v>
      </c>
      <c r="C48" s="5" t="s">
        <v>5</v>
      </c>
      <c r="D48" s="5" t="s">
        <v>100</v>
      </c>
      <c r="E48" s="6">
        <v>1</v>
      </c>
      <c r="F48" s="4">
        <v>1</v>
      </c>
      <c r="G48" s="24">
        <f t="shared" si="0"/>
        <v>0</v>
      </c>
      <c r="H48" s="28" t="s">
        <v>822</v>
      </c>
    </row>
    <row r="49" spans="1:8" hidden="1" x14ac:dyDescent="0.25">
      <c r="A49" s="4">
        <v>48</v>
      </c>
      <c r="B49" s="5" t="s">
        <v>101</v>
      </c>
      <c r="C49" s="5" t="s">
        <v>5</v>
      </c>
      <c r="D49" s="5" t="s">
        <v>102</v>
      </c>
      <c r="E49" s="6">
        <v>1</v>
      </c>
      <c r="F49" s="4">
        <v>1</v>
      </c>
      <c r="G49" s="24">
        <f t="shared" si="0"/>
        <v>0</v>
      </c>
      <c r="H49" s="28" t="s">
        <v>822</v>
      </c>
    </row>
    <row r="50" spans="1:8" hidden="1" x14ac:dyDescent="0.25">
      <c r="A50" s="4">
        <v>49</v>
      </c>
      <c r="B50" s="5" t="s">
        <v>103</v>
      </c>
      <c r="C50" s="5" t="s">
        <v>7</v>
      </c>
      <c r="D50" s="5" t="s">
        <v>104</v>
      </c>
      <c r="E50" s="6">
        <v>16</v>
      </c>
      <c r="F50" s="4">
        <v>16</v>
      </c>
      <c r="G50" s="24">
        <f t="shared" si="0"/>
        <v>0</v>
      </c>
      <c r="H50" s="28" t="s">
        <v>822</v>
      </c>
    </row>
    <row r="51" spans="1:8" hidden="1" x14ac:dyDescent="0.25">
      <c r="A51" s="4">
        <v>50</v>
      </c>
      <c r="B51" s="5" t="s">
        <v>105</v>
      </c>
      <c r="C51" s="5" t="s">
        <v>7</v>
      </c>
      <c r="D51" s="5" t="s">
        <v>106</v>
      </c>
      <c r="E51" s="6">
        <v>6</v>
      </c>
      <c r="F51" s="4">
        <v>6</v>
      </c>
      <c r="G51" s="24">
        <f t="shared" si="0"/>
        <v>0</v>
      </c>
      <c r="H51" s="28" t="s">
        <v>822</v>
      </c>
    </row>
    <row r="52" spans="1:8" x14ac:dyDescent="0.25">
      <c r="A52" s="4">
        <v>51</v>
      </c>
      <c r="B52" s="8">
        <v>2500005888</v>
      </c>
      <c r="C52" s="8" t="s">
        <v>5</v>
      </c>
      <c r="D52" s="8" t="s">
        <v>107</v>
      </c>
      <c r="E52" s="22">
        <v>18</v>
      </c>
      <c r="F52" s="9">
        <v>16</v>
      </c>
      <c r="G52" s="25">
        <f t="shared" si="0"/>
        <v>-2</v>
      </c>
      <c r="H52" s="28" t="s">
        <v>829</v>
      </c>
    </row>
    <row r="53" spans="1:8" hidden="1" x14ac:dyDescent="0.25">
      <c r="A53" s="4">
        <v>52</v>
      </c>
      <c r="B53" s="5" t="s">
        <v>108</v>
      </c>
      <c r="C53" s="5" t="s">
        <v>7</v>
      </c>
      <c r="D53" s="5" t="s">
        <v>109</v>
      </c>
      <c r="E53" s="6">
        <v>6</v>
      </c>
      <c r="F53" s="4">
        <v>6</v>
      </c>
      <c r="G53" s="24">
        <f t="shared" si="0"/>
        <v>0</v>
      </c>
      <c r="H53" s="28" t="s">
        <v>822</v>
      </c>
    </row>
    <row r="54" spans="1:8" hidden="1" x14ac:dyDescent="0.25">
      <c r="A54" s="4">
        <v>53</v>
      </c>
      <c r="B54" s="5" t="s">
        <v>110</v>
      </c>
      <c r="C54" s="5" t="s">
        <v>5</v>
      </c>
      <c r="D54" s="5" t="s">
        <v>111</v>
      </c>
      <c r="E54" s="6">
        <v>3</v>
      </c>
      <c r="F54" s="4">
        <v>3</v>
      </c>
      <c r="G54" s="24">
        <f t="shared" si="0"/>
        <v>0</v>
      </c>
      <c r="H54" s="28" t="s">
        <v>822</v>
      </c>
    </row>
    <row r="55" spans="1:8" hidden="1" x14ac:dyDescent="0.25">
      <c r="A55" s="4">
        <v>54</v>
      </c>
      <c r="B55" s="5" t="s">
        <v>112</v>
      </c>
      <c r="C55" s="5" t="s">
        <v>5</v>
      </c>
      <c r="D55" s="5" t="s">
        <v>113</v>
      </c>
      <c r="E55" s="6">
        <v>2</v>
      </c>
      <c r="F55" s="4">
        <v>2</v>
      </c>
      <c r="G55" s="24">
        <f t="shared" si="0"/>
        <v>0</v>
      </c>
      <c r="H55" s="28" t="s">
        <v>822</v>
      </c>
    </row>
    <row r="56" spans="1:8" hidden="1" x14ac:dyDescent="0.25">
      <c r="A56" s="4">
        <v>55</v>
      </c>
      <c r="B56" s="5" t="s">
        <v>114</v>
      </c>
      <c r="C56" s="5" t="s">
        <v>5</v>
      </c>
      <c r="D56" s="5" t="s">
        <v>115</v>
      </c>
      <c r="E56" s="6">
        <v>3</v>
      </c>
      <c r="F56" s="4">
        <v>3</v>
      </c>
      <c r="G56" s="24">
        <f t="shared" si="0"/>
        <v>0</v>
      </c>
      <c r="H56" s="28" t="s">
        <v>822</v>
      </c>
    </row>
    <row r="57" spans="1:8" hidden="1" x14ac:dyDescent="0.25">
      <c r="A57" s="4">
        <v>56</v>
      </c>
      <c r="B57" s="5" t="s">
        <v>116</v>
      </c>
      <c r="C57" s="5" t="s">
        <v>5</v>
      </c>
      <c r="D57" s="5" t="s">
        <v>117</v>
      </c>
      <c r="E57" s="6">
        <v>1</v>
      </c>
      <c r="F57" s="4">
        <v>1</v>
      </c>
      <c r="G57" s="24">
        <f t="shared" si="0"/>
        <v>0</v>
      </c>
      <c r="H57" s="28" t="s">
        <v>822</v>
      </c>
    </row>
    <row r="58" spans="1:8" hidden="1" x14ac:dyDescent="0.25">
      <c r="A58" s="4">
        <v>57</v>
      </c>
      <c r="B58" s="8" t="s">
        <v>118</v>
      </c>
      <c r="C58" s="8" t="s">
        <v>5</v>
      </c>
      <c r="D58" s="8" t="s">
        <v>119</v>
      </c>
      <c r="E58" s="22">
        <v>1</v>
      </c>
      <c r="F58" s="9">
        <v>0</v>
      </c>
      <c r="G58" s="25">
        <f t="shared" si="0"/>
        <v>-1</v>
      </c>
      <c r="H58" s="28" t="s">
        <v>798</v>
      </c>
    </row>
    <row r="59" spans="1:8" hidden="1" x14ac:dyDescent="0.25">
      <c r="A59" s="4">
        <v>58</v>
      </c>
      <c r="B59" s="8" t="s">
        <v>120</v>
      </c>
      <c r="C59" s="8" t="s">
        <v>5</v>
      </c>
      <c r="D59" s="8" t="s">
        <v>121</v>
      </c>
      <c r="E59" s="22">
        <v>9</v>
      </c>
      <c r="F59" s="9">
        <v>8</v>
      </c>
      <c r="G59" s="25">
        <f t="shared" si="0"/>
        <v>-1</v>
      </c>
      <c r="H59" s="28" t="s">
        <v>823</v>
      </c>
    </row>
    <row r="60" spans="1:8" hidden="1" x14ac:dyDescent="0.25">
      <c r="A60" s="4">
        <v>59</v>
      </c>
      <c r="B60" s="5" t="s">
        <v>122</v>
      </c>
      <c r="C60" s="5" t="s">
        <v>5</v>
      </c>
      <c r="D60" s="5" t="s">
        <v>123</v>
      </c>
      <c r="E60" s="6">
        <v>1</v>
      </c>
      <c r="F60" s="4">
        <v>1</v>
      </c>
      <c r="G60" s="24">
        <f t="shared" si="0"/>
        <v>0</v>
      </c>
      <c r="H60" s="28" t="s">
        <v>822</v>
      </c>
    </row>
    <row r="61" spans="1:8" hidden="1" x14ac:dyDescent="0.25">
      <c r="A61" s="4">
        <v>60</v>
      </c>
      <c r="B61" s="5" t="s">
        <v>124</v>
      </c>
      <c r="C61" s="5" t="s">
        <v>5</v>
      </c>
      <c r="D61" s="5" t="s">
        <v>125</v>
      </c>
      <c r="E61" s="6">
        <v>12</v>
      </c>
      <c r="F61" s="4">
        <v>12</v>
      </c>
      <c r="G61" s="24">
        <f t="shared" si="0"/>
        <v>0</v>
      </c>
      <c r="H61" s="28" t="s">
        <v>822</v>
      </c>
    </row>
    <row r="62" spans="1:8" hidden="1" x14ac:dyDescent="0.25">
      <c r="A62" s="4">
        <v>61</v>
      </c>
      <c r="B62" s="5" t="s">
        <v>126</v>
      </c>
      <c r="C62" s="5" t="s">
        <v>5</v>
      </c>
      <c r="D62" s="5" t="s">
        <v>127</v>
      </c>
      <c r="E62" s="6">
        <v>2</v>
      </c>
      <c r="F62" s="4">
        <v>2</v>
      </c>
      <c r="G62" s="24">
        <f t="shared" si="0"/>
        <v>0</v>
      </c>
      <c r="H62" s="28" t="s">
        <v>822</v>
      </c>
    </row>
    <row r="63" spans="1:8" hidden="1" x14ac:dyDescent="0.25">
      <c r="A63" s="4">
        <v>62</v>
      </c>
      <c r="B63" s="5" t="s">
        <v>128</v>
      </c>
      <c r="C63" s="5" t="s">
        <v>5</v>
      </c>
      <c r="D63" s="5" t="s">
        <v>129</v>
      </c>
      <c r="E63" s="6">
        <v>2</v>
      </c>
      <c r="F63" s="4">
        <v>2</v>
      </c>
      <c r="G63" s="24">
        <f t="shared" si="0"/>
        <v>0</v>
      </c>
      <c r="H63" s="28" t="s">
        <v>822</v>
      </c>
    </row>
    <row r="64" spans="1:8" hidden="1" x14ac:dyDescent="0.25">
      <c r="A64" s="4">
        <v>63</v>
      </c>
      <c r="B64" s="5" t="s">
        <v>130</v>
      </c>
      <c r="C64" s="5" t="s">
        <v>5</v>
      </c>
      <c r="D64" s="5" t="s">
        <v>131</v>
      </c>
      <c r="E64" s="6">
        <v>1</v>
      </c>
      <c r="F64" s="4">
        <v>1</v>
      </c>
      <c r="G64" s="24">
        <f t="shared" si="0"/>
        <v>0</v>
      </c>
      <c r="H64" s="28" t="s">
        <v>822</v>
      </c>
    </row>
    <row r="65" spans="1:8" hidden="1" x14ac:dyDescent="0.25">
      <c r="A65" s="4">
        <v>64</v>
      </c>
      <c r="B65" s="5" t="s">
        <v>132</v>
      </c>
      <c r="C65" s="5" t="s">
        <v>5</v>
      </c>
      <c r="D65" s="5" t="s">
        <v>133</v>
      </c>
      <c r="E65" s="6">
        <v>2</v>
      </c>
      <c r="F65" s="4">
        <v>2</v>
      </c>
      <c r="G65" s="24">
        <f t="shared" si="0"/>
        <v>0</v>
      </c>
      <c r="H65" s="28" t="s">
        <v>822</v>
      </c>
    </row>
    <row r="66" spans="1:8" hidden="1" x14ac:dyDescent="0.25">
      <c r="A66" s="4">
        <v>65</v>
      </c>
      <c r="B66" s="5" t="s">
        <v>134</v>
      </c>
      <c r="C66" s="5" t="s">
        <v>7</v>
      </c>
      <c r="D66" s="5" t="s">
        <v>135</v>
      </c>
      <c r="E66" s="6">
        <v>12</v>
      </c>
      <c r="F66" s="4">
        <v>12</v>
      </c>
      <c r="G66" s="24">
        <f t="shared" ref="G66:G87" si="1">F66-E66</f>
        <v>0</v>
      </c>
      <c r="H66" s="28" t="s">
        <v>822</v>
      </c>
    </row>
    <row r="67" spans="1:8" hidden="1" x14ac:dyDescent="0.25">
      <c r="A67" s="4">
        <v>66</v>
      </c>
      <c r="B67" s="5" t="s">
        <v>136</v>
      </c>
      <c r="C67" s="5" t="s">
        <v>5</v>
      </c>
      <c r="D67" s="5" t="s">
        <v>137</v>
      </c>
      <c r="E67" s="6">
        <v>6</v>
      </c>
      <c r="F67" s="4">
        <v>6</v>
      </c>
      <c r="G67" s="24">
        <f t="shared" si="1"/>
        <v>0</v>
      </c>
      <c r="H67" s="28" t="s">
        <v>822</v>
      </c>
    </row>
    <row r="68" spans="1:8" hidden="1" x14ac:dyDescent="0.25">
      <c r="A68" s="4">
        <v>67</v>
      </c>
      <c r="B68" s="5" t="s">
        <v>138</v>
      </c>
      <c r="C68" s="5" t="s">
        <v>5</v>
      </c>
      <c r="D68" s="5" t="s">
        <v>139</v>
      </c>
      <c r="E68" s="6">
        <v>5</v>
      </c>
      <c r="F68" s="4">
        <v>5</v>
      </c>
      <c r="G68" s="24">
        <f t="shared" si="1"/>
        <v>0</v>
      </c>
      <c r="H68" s="28" t="s">
        <v>822</v>
      </c>
    </row>
    <row r="69" spans="1:8" hidden="1" x14ac:dyDescent="0.25">
      <c r="A69" s="4">
        <v>68</v>
      </c>
      <c r="B69" s="5" t="s">
        <v>140</v>
      </c>
      <c r="C69" s="5" t="s">
        <v>7</v>
      </c>
      <c r="D69" s="5" t="s">
        <v>141</v>
      </c>
      <c r="E69" s="6">
        <v>4</v>
      </c>
      <c r="F69" s="4">
        <v>4</v>
      </c>
      <c r="G69" s="24">
        <f t="shared" si="1"/>
        <v>0</v>
      </c>
      <c r="H69" s="28" t="s">
        <v>822</v>
      </c>
    </row>
    <row r="70" spans="1:8" hidden="1" x14ac:dyDescent="0.25">
      <c r="A70" s="4">
        <v>69</v>
      </c>
      <c r="B70" s="5" t="s">
        <v>142</v>
      </c>
      <c r="C70" s="5" t="s">
        <v>34</v>
      </c>
      <c r="D70" s="5" t="s">
        <v>143</v>
      </c>
      <c r="E70" s="6">
        <v>2</v>
      </c>
      <c r="F70" s="4">
        <v>2</v>
      </c>
      <c r="G70" s="24">
        <f t="shared" si="1"/>
        <v>0</v>
      </c>
      <c r="H70" s="28" t="s">
        <v>822</v>
      </c>
    </row>
    <row r="71" spans="1:8" hidden="1" x14ac:dyDescent="0.25">
      <c r="A71" s="4">
        <v>70</v>
      </c>
      <c r="B71" s="5" t="s">
        <v>144</v>
      </c>
      <c r="C71" s="5" t="s">
        <v>5</v>
      </c>
      <c r="D71" s="5" t="s">
        <v>145</v>
      </c>
      <c r="E71" s="6">
        <v>7</v>
      </c>
      <c r="F71" s="4">
        <v>7</v>
      </c>
      <c r="G71" s="24">
        <f t="shared" si="1"/>
        <v>0</v>
      </c>
      <c r="H71" s="28" t="s">
        <v>822</v>
      </c>
    </row>
    <row r="72" spans="1:8" hidden="1" x14ac:dyDescent="0.25">
      <c r="A72" s="4">
        <v>71</v>
      </c>
      <c r="B72" s="5" t="s">
        <v>146</v>
      </c>
      <c r="C72" s="5" t="s">
        <v>5</v>
      </c>
      <c r="D72" s="5" t="s">
        <v>147</v>
      </c>
      <c r="E72" s="6">
        <v>2</v>
      </c>
      <c r="F72" s="4">
        <v>2</v>
      </c>
      <c r="G72" s="24">
        <f t="shared" si="1"/>
        <v>0</v>
      </c>
      <c r="H72" s="28" t="s">
        <v>822</v>
      </c>
    </row>
    <row r="73" spans="1:8" hidden="1" x14ac:dyDescent="0.25">
      <c r="A73" s="4">
        <v>72</v>
      </c>
      <c r="B73" s="5" t="s">
        <v>148</v>
      </c>
      <c r="C73" s="5" t="s">
        <v>5</v>
      </c>
      <c r="D73" s="5" t="s">
        <v>149</v>
      </c>
      <c r="E73" s="6">
        <v>0</v>
      </c>
      <c r="F73" s="4">
        <v>0</v>
      </c>
      <c r="G73" s="24">
        <f t="shared" si="1"/>
        <v>0</v>
      </c>
      <c r="H73" s="28" t="s">
        <v>822</v>
      </c>
    </row>
    <row r="74" spans="1:8" hidden="1" x14ac:dyDescent="0.25">
      <c r="A74" s="4">
        <v>73</v>
      </c>
      <c r="B74" s="5" t="s">
        <v>150</v>
      </c>
      <c r="C74" s="5" t="s">
        <v>5</v>
      </c>
      <c r="D74" s="5" t="s">
        <v>151</v>
      </c>
      <c r="E74" s="6">
        <v>3</v>
      </c>
      <c r="F74" s="4">
        <v>3</v>
      </c>
      <c r="G74" s="24">
        <f t="shared" si="1"/>
        <v>0</v>
      </c>
      <c r="H74" s="28" t="s">
        <v>822</v>
      </c>
    </row>
    <row r="75" spans="1:8" hidden="1" x14ac:dyDescent="0.25">
      <c r="A75" s="4">
        <v>74</v>
      </c>
      <c r="B75" s="5" t="s">
        <v>152</v>
      </c>
      <c r="C75" s="5" t="s">
        <v>5</v>
      </c>
      <c r="D75" s="5" t="s">
        <v>153</v>
      </c>
      <c r="E75" s="6">
        <v>2</v>
      </c>
      <c r="F75" s="4">
        <v>2</v>
      </c>
      <c r="G75" s="24">
        <f t="shared" si="1"/>
        <v>0</v>
      </c>
      <c r="H75" s="28" t="s">
        <v>822</v>
      </c>
    </row>
    <row r="76" spans="1:8" hidden="1" x14ac:dyDescent="0.25">
      <c r="A76" s="4">
        <v>75</v>
      </c>
      <c r="B76" s="5" t="s">
        <v>154</v>
      </c>
      <c r="C76" s="5" t="s">
        <v>7</v>
      </c>
      <c r="D76" s="5" t="s">
        <v>155</v>
      </c>
      <c r="E76" s="6">
        <v>8</v>
      </c>
      <c r="F76" s="4">
        <v>8</v>
      </c>
      <c r="G76" s="24">
        <f t="shared" si="1"/>
        <v>0</v>
      </c>
      <c r="H76" s="28" t="s">
        <v>822</v>
      </c>
    </row>
    <row r="77" spans="1:8" hidden="1" x14ac:dyDescent="0.25">
      <c r="A77" s="4">
        <v>76</v>
      </c>
      <c r="B77" s="5" t="s">
        <v>156</v>
      </c>
      <c r="C77" s="5" t="s">
        <v>7</v>
      </c>
      <c r="D77" s="5" t="s">
        <v>157</v>
      </c>
      <c r="E77" s="6">
        <v>2</v>
      </c>
      <c r="F77" s="4">
        <v>2</v>
      </c>
      <c r="G77" s="24">
        <f t="shared" si="1"/>
        <v>0</v>
      </c>
      <c r="H77" s="28" t="s">
        <v>822</v>
      </c>
    </row>
    <row r="78" spans="1:8" hidden="1" x14ac:dyDescent="0.25">
      <c r="A78" s="4">
        <v>77</v>
      </c>
      <c r="B78" s="5" t="s">
        <v>158</v>
      </c>
      <c r="C78" s="5" t="s">
        <v>5</v>
      </c>
      <c r="D78" s="5" t="s">
        <v>159</v>
      </c>
      <c r="E78" s="6">
        <v>3</v>
      </c>
      <c r="F78" s="4">
        <v>3</v>
      </c>
      <c r="G78" s="24">
        <f t="shared" si="1"/>
        <v>0</v>
      </c>
      <c r="H78" s="28" t="s">
        <v>822</v>
      </c>
    </row>
    <row r="79" spans="1:8" hidden="1" x14ac:dyDescent="0.25">
      <c r="A79" s="4">
        <v>78</v>
      </c>
      <c r="B79" s="5" t="s">
        <v>160</v>
      </c>
      <c r="C79" s="5" t="s">
        <v>5</v>
      </c>
      <c r="D79" s="5" t="s">
        <v>161</v>
      </c>
      <c r="E79" s="6">
        <v>2</v>
      </c>
      <c r="F79" s="4">
        <v>2</v>
      </c>
      <c r="G79" s="24">
        <f t="shared" si="1"/>
        <v>0</v>
      </c>
      <c r="H79" s="28" t="s">
        <v>822</v>
      </c>
    </row>
    <row r="80" spans="1:8" hidden="1" x14ac:dyDescent="0.25">
      <c r="A80" s="4">
        <v>79</v>
      </c>
      <c r="B80" s="5" t="s">
        <v>162</v>
      </c>
      <c r="C80" s="5" t="s">
        <v>5</v>
      </c>
      <c r="D80" s="5" t="s">
        <v>163</v>
      </c>
      <c r="E80" s="6">
        <v>2</v>
      </c>
      <c r="F80" s="4">
        <v>2</v>
      </c>
      <c r="G80" s="24">
        <f t="shared" si="1"/>
        <v>0</v>
      </c>
      <c r="H80" s="28" t="s">
        <v>822</v>
      </c>
    </row>
    <row r="81" spans="1:8" hidden="1" x14ac:dyDescent="0.25">
      <c r="A81" s="4">
        <v>80</v>
      </c>
      <c r="B81" s="5" t="s">
        <v>164</v>
      </c>
      <c r="C81" s="5" t="s">
        <v>73</v>
      </c>
      <c r="D81" s="5" t="s">
        <v>165</v>
      </c>
      <c r="E81" s="6">
        <v>1</v>
      </c>
      <c r="F81" s="4">
        <v>1</v>
      </c>
      <c r="G81" s="24">
        <f t="shared" si="1"/>
        <v>0</v>
      </c>
      <c r="H81" s="28" t="s">
        <v>822</v>
      </c>
    </row>
    <row r="82" spans="1:8" hidden="1" x14ac:dyDescent="0.25">
      <c r="A82" s="4">
        <v>81</v>
      </c>
      <c r="B82" s="5" t="s">
        <v>166</v>
      </c>
      <c r="C82" s="5" t="s">
        <v>5</v>
      </c>
      <c r="D82" s="5" t="s">
        <v>167</v>
      </c>
      <c r="E82" s="6">
        <v>31</v>
      </c>
      <c r="F82" s="4">
        <v>31</v>
      </c>
      <c r="G82" s="24">
        <f t="shared" si="1"/>
        <v>0</v>
      </c>
      <c r="H82" s="28" t="s">
        <v>822</v>
      </c>
    </row>
    <row r="83" spans="1:8" hidden="1" x14ac:dyDescent="0.25">
      <c r="A83" s="4">
        <v>82</v>
      </c>
      <c r="B83" s="5" t="s">
        <v>168</v>
      </c>
      <c r="C83" s="5" t="s">
        <v>5</v>
      </c>
      <c r="D83" s="5" t="s">
        <v>169</v>
      </c>
      <c r="E83" s="6">
        <v>6</v>
      </c>
      <c r="F83" s="4">
        <v>6</v>
      </c>
      <c r="G83" s="24">
        <f t="shared" si="1"/>
        <v>0</v>
      </c>
      <c r="H83" s="28" t="s">
        <v>822</v>
      </c>
    </row>
    <row r="84" spans="1:8" hidden="1" x14ac:dyDescent="0.25">
      <c r="A84" s="4">
        <v>83</v>
      </c>
      <c r="B84" s="5" t="s">
        <v>170</v>
      </c>
      <c r="C84" s="5" t="s">
        <v>5</v>
      </c>
      <c r="D84" s="5" t="s">
        <v>171</v>
      </c>
      <c r="E84" s="6">
        <v>5</v>
      </c>
      <c r="F84" s="4">
        <v>5</v>
      </c>
      <c r="G84" s="24">
        <f t="shared" si="1"/>
        <v>0</v>
      </c>
      <c r="H84" s="28" t="s">
        <v>822</v>
      </c>
    </row>
    <row r="85" spans="1:8" hidden="1" x14ac:dyDescent="0.25">
      <c r="A85" s="4">
        <v>84</v>
      </c>
      <c r="B85" s="5" t="s">
        <v>172</v>
      </c>
      <c r="C85" s="5" t="s">
        <v>5</v>
      </c>
      <c r="D85" s="5" t="s">
        <v>173</v>
      </c>
      <c r="E85" s="6">
        <v>3</v>
      </c>
      <c r="F85" s="4">
        <v>3</v>
      </c>
      <c r="G85" s="24">
        <f t="shared" si="1"/>
        <v>0</v>
      </c>
      <c r="H85" s="28" t="s">
        <v>822</v>
      </c>
    </row>
    <row r="86" spans="1:8" hidden="1" x14ac:dyDescent="0.25">
      <c r="A86" s="4">
        <v>85</v>
      </c>
      <c r="B86" s="5" t="s">
        <v>174</v>
      </c>
      <c r="C86" s="5" t="s">
        <v>5</v>
      </c>
      <c r="D86" s="5" t="s">
        <v>175</v>
      </c>
      <c r="E86" s="6">
        <v>6</v>
      </c>
      <c r="F86" s="4">
        <v>6</v>
      </c>
      <c r="G86" s="24">
        <f t="shared" si="1"/>
        <v>0</v>
      </c>
      <c r="H86" s="28" t="s">
        <v>822</v>
      </c>
    </row>
    <row r="87" spans="1:8" hidden="1" x14ac:dyDescent="0.25">
      <c r="A87" s="4">
        <v>86</v>
      </c>
      <c r="B87" s="5" t="s">
        <v>176</v>
      </c>
      <c r="C87" s="5" t="s">
        <v>5</v>
      </c>
      <c r="D87" s="5" t="s">
        <v>177</v>
      </c>
      <c r="E87" s="6">
        <v>4</v>
      </c>
      <c r="F87" s="4">
        <v>4</v>
      </c>
      <c r="G87" s="24">
        <f t="shared" si="1"/>
        <v>0</v>
      </c>
      <c r="H87" s="28" t="s">
        <v>822</v>
      </c>
    </row>
    <row r="88" spans="1:8" hidden="1" x14ac:dyDescent="0.25">
      <c r="A88" s="4">
        <v>87</v>
      </c>
      <c r="B88" s="8" t="s">
        <v>178</v>
      </c>
      <c r="C88" s="8" t="s">
        <v>73</v>
      </c>
      <c r="D88" s="8" t="s">
        <v>179</v>
      </c>
      <c r="E88" s="22">
        <v>11</v>
      </c>
      <c r="F88" s="9">
        <v>10</v>
      </c>
      <c r="G88" s="25">
        <f t="shared" ref="G88:G129" si="2">F88-E88</f>
        <v>-1</v>
      </c>
      <c r="H88" s="28" t="s">
        <v>800</v>
      </c>
    </row>
    <row r="89" spans="1:8" hidden="1" x14ac:dyDescent="0.25">
      <c r="A89" s="4">
        <v>88</v>
      </c>
      <c r="B89" s="5" t="s">
        <v>180</v>
      </c>
      <c r="C89" s="5" t="s">
        <v>73</v>
      </c>
      <c r="D89" s="5" t="s">
        <v>181</v>
      </c>
      <c r="E89" s="6">
        <v>3</v>
      </c>
      <c r="F89" s="4">
        <v>3</v>
      </c>
      <c r="G89" s="24">
        <f t="shared" si="2"/>
        <v>0</v>
      </c>
      <c r="H89" s="28" t="s">
        <v>822</v>
      </c>
    </row>
    <row r="90" spans="1:8" hidden="1" x14ac:dyDescent="0.25">
      <c r="A90" s="4">
        <v>89</v>
      </c>
      <c r="B90" s="5" t="s">
        <v>182</v>
      </c>
      <c r="C90" s="5" t="s">
        <v>5</v>
      </c>
      <c r="D90" s="5" t="s">
        <v>183</v>
      </c>
      <c r="E90" s="6">
        <v>3</v>
      </c>
      <c r="F90" s="4">
        <v>3</v>
      </c>
      <c r="G90" s="24">
        <f t="shared" si="2"/>
        <v>0</v>
      </c>
      <c r="H90" s="28" t="s">
        <v>822</v>
      </c>
    </row>
    <row r="91" spans="1:8" hidden="1" x14ac:dyDescent="0.25">
      <c r="A91" s="4">
        <v>90</v>
      </c>
      <c r="B91" s="5" t="s">
        <v>184</v>
      </c>
      <c r="C91" s="5" t="s">
        <v>5</v>
      </c>
      <c r="D91" s="5" t="s">
        <v>185</v>
      </c>
      <c r="E91" s="6">
        <v>1</v>
      </c>
      <c r="F91" s="4">
        <v>1</v>
      </c>
      <c r="G91" s="24">
        <f t="shared" si="2"/>
        <v>0</v>
      </c>
      <c r="H91" s="28" t="s">
        <v>822</v>
      </c>
    </row>
    <row r="92" spans="1:8" hidden="1" x14ac:dyDescent="0.25">
      <c r="A92" s="4">
        <v>91</v>
      </c>
      <c r="B92" s="8" t="s">
        <v>186</v>
      </c>
      <c r="C92" s="8" t="s">
        <v>5</v>
      </c>
      <c r="D92" s="8" t="s">
        <v>187</v>
      </c>
      <c r="E92" s="22">
        <v>5</v>
      </c>
      <c r="F92" s="9">
        <v>4</v>
      </c>
      <c r="G92" s="25">
        <f t="shared" si="2"/>
        <v>-1</v>
      </c>
      <c r="H92" s="28" t="s">
        <v>824</v>
      </c>
    </row>
    <row r="93" spans="1:8" hidden="1" x14ac:dyDescent="0.25">
      <c r="A93" s="4">
        <v>92</v>
      </c>
      <c r="B93" s="5" t="s">
        <v>188</v>
      </c>
      <c r="C93" s="5" t="s">
        <v>5</v>
      </c>
      <c r="D93" s="5" t="s">
        <v>189</v>
      </c>
      <c r="E93" s="6">
        <v>4</v>
      </c>
      <c r="F93" s="4">
        <v>4</v>
      </c>
      <c r="G93" s="24">
        <f t="shared" si="2"/>
        <v>0</v>
      </c>
      <c r="H93" s="28" t="s">
        <v>822</v>
      </c>
    </row>
    <row r="94" spans="1:8" hidden="1" x14ac:dyDescent="0.25">
      <c r="A94" s="4">
        <v>93</v>
      </c>
      <c r="B94" s="5" t="s">
        <v>190</v>
      </c>
      <c r="C94" s="5" t="s">
        <v>5</v>
      </c>
      <c r="D94" s="5" t="s">
        <v>191</v>
      </c>
      <c r="E94" s="6">
        <v>2</v>
      </c>
      <c r="F94" s="4">
        <v>2</v>
      </c>
      <c r="G94" s="24">
        <f t="shared" si="2"/>
        <v>0</v>
      </c>
      <c r="H94" s="28" t="s">
        <v>822</v>
      </c>
    </row>
    <row r="95" spans="1:8" hidden="1" x14ac:dyDescent="0.25">
      <c r="A95" s="4">
        <v>94</v>
      </c>
      <c r="B95" s="5" t="s">
        <v>192</v>
      </c>
      <c r="C95" s="5" t="s">
        <v>193</v>
      </c>
      <c r="D95" s="5" t="s">
        <v>194</v>
      </c>
      <c r="E95" s="6">
        <v>10</v>
      </c>
      <c r="F95" s="4">
        <v>10</v>
      </c>
      <c r="G95" s="24">
        <f t="shared" si="2"/>
        <v>0</v>
      </c>
      <c r="H95" s="28" t="s">
        <v>822</v>
      </c>
    </row>
    <row r="96" spans="1:8" hidden="1" x14ac:dyDescent="0.25">
      <c r="A96" s="4">
        <v>95</v>
      </c>
      <c r="B96" s="5">
        <v>2500008837</v>
      </c>
      <c r="C96" s="5" t="s">
        <v>195</v>
      </c>
      <c r="D96" s="5" t="s">
        <v>196</v>
      </c>
      <c r="E96" s="6">
        <v>5</v>
      </c>
      <c r="F96" s="4">
        <v>5</v>
      </c>
      <c r="G96" s="24">
        <f t="shared" si="2"/>
        <v>0</v>
      </c>
      <c r="H96" s="28" t="s">
        <v>822</v>
      </c>
    </row>
    <row r="97" spans="1:8" hidden="1" x14ac:dyDescent="0.25">
      <c r="A97" s="4">
        <v>96</v>
      </c>
      <c r="B97" s="5" t="s">
        <v>197</v>
      </c>
      <c r="C97" s="5" t="s">
        <v>73</v>
      </c>
      <c r="D97" s="5" t="s">
        <v>198</v>
      </c>
      <c r="E97" s="6">
        <v>2</v>
      </c>
      <c r="F97" s="4">
        <v>2</v>
      </c>
      <c r="G97" s="24">
        <f t="shared" si="2"/>
        <v>0</v>
      </c>
      <c r="H97" s="28" t="s">
        <v>822</v>
      </c>
    </row>
    <row r="98" spans="1:8" hidden="1" x14ac:dyDescent="0.25">
      <c r="A98" s="4">
        <v>97</v>
      </c>
      <c r="B98" s="5" t="s">
        <v>199</v>
      </c>
      <c r="C98" s="5" t="s">
        <v>195</v>
      </c>
      <c r="D98" s="5" t="s">
        <v>200</v>
      </c>
      <c r="E98" s="6">
        <v>200</v>
      </c>
      <c r="F98" s="4">
        <v>200</v>
      </c>
      <c r="G98" s="24">
        <f t="shared" si="2"/>
        <v>0</v>
      </c>
      <c r="H98" s="28" t="s">
        <v>822</v>
      </c>
    </row>
    <row r="99" spans="1:8" hidden="1" x14ac:dyDescent="0.25">
      <c r="A99" s="4">
        <v>98</v>
      </c>
      <c r="B99" s="5" t="s">
        <v>201</v>
      </c>
      <c r="C99" s="5" t="s">
        <v>195</v>
      </c>
      <c r="D99" s="5" t="s">
        <v>202</v>
      </c>
      <c r="E99" s="6">
        <v>200</v>
      </c>
      <c r="F99" s="4">
        <v>200</v>
      </c>
      <c r="G99" s="24">
        <f t="shared" si="2"/>
        <v>0</v>
      </c>
      <c r="H99" s="28" t="s">
        <v>822</v>
      </c>
    </row>
    <row r="100" spans="1:8" hidden="1" x14ac:dyDescent="0.25">
      <c r="A100" s="4">
        <v>99</v>
      </c>
      <c r="B100" s="5" t="s">
        <v>203</v>
      </c>
      <c r="C100" s="5" t="s">
        <v>5</v>
      </c>
      <c r="D100" s="5" t="s">
        <v>204</v>
      </c>
      <c r="E100" s="6">
        <v>1</v>
      </c>
      <c r="F100" s="4">
        <v>1</v>
      </c>
      <c r="G100" s="24">
        <f t="shared" si="2"/>
        <v>0</v>
      </c>
      <c r="H100" s="28" t="s">
        <v>822</v>
      </c>
    </row>
    <row r="101" spans="1:8" hidden="1" x14ac:dyDescent="0.25">
      <c r="A101" s="4">
        <v>100</v>
      </c>
      <c r="B101" s="5" t="s">
        <v>205</v>
      </c>
      <c r="C101" s="5" t="s">
        <v>193</v>
      </c>
      <c r="D101" s="5" t="s">
        <v>206</v>
      </c>
      <c r="E101" s="6">
        <v>2</v>
      </c>
      <c r="F101" s="4">
        <v>2</v>
      </c>
      <c r="G101" s="24">
        <f t="shared" si="2"/>
        <v>0</v>
      </c>
      <c r="H101" s="28" t="s">
        <v>822</v>
      </c>
    </row>
    <row r="102" spans="1:8" hidden="1" x14ac:dyDescent="0.25">
      <c r="A102" s="4">
        <v>101</v>
      </c>
      <c r="B102" s="5" t="s">
        <v>207</v>
      </c>
      <c r="C102" s="5" t="s">
        <v>5</v>
      </c>
      <c r="D102" s="5" t="s">
        <v>208</v>
      </c>
      <c r="E102" s="6">
        <v>1</v>
      </c>
      <c r="F102" s="4">
        <v>1</v>
      </c>
      <c r="G102" s="24">
        <f t="shared" si="2"/>
        <v>0</v>
      </c>
      <c r="H102" s="28" t="s">
        <v>822</v>
      </c>
    </row>
    <row r="103" spans="1:8" hidden="1" x14ac:dyDescent="0.25">
      <c r="A103" s="4">
        <v>102</v>
      </c>
      <c r="B103" s="5" t="s">
        <v>209</v>
      </c>
      <c r="C103" s="5" t="s">
        <v>5</v>
      </c>
      <c r="D103" s="5" t="s">
        <v>210</v>
      </c>
      <c r="E103" s="6">
        <v>1</v>
      </c>
      <c r="F103" s="4">
        <v>1</v>
      </c>
      <c r="G103" s="24">
        <f t="shared" si="2"/>
        <v>0</v>
      </c>
      <c r="H103" s="28" t="s">
        <v>822</v>
      </c>
    </row>
    <row r="104" spans="1:8" hidden="1" x14ac:dyDescent="0.25">
      <c r="A104" s="4">
        <v>103</v>
      </c>
      <c r="B104" s="5" t="s">
        <v>211</v>
      </c>
      <c r="C104" s="5" t="s">
        <v>5</v>
      </c>
      <c r="D104" s="5" t="s">
        <v>212</v>
      </c>
      <c r="E104" s="6">
        <v>1</v>
      </c>
      <c r="F104" s="4">
        <v>1</v>
      </c>
      <c r="G104" s="24">
        <f t="shared" si="2"/>
        <v>0</v>
      </c>
      <c r="H104" s="28" t="s">
        <v>822</v>
      </c>
    </row>
    <row r="105" spans="1:8" hidden="1" x14ac:dyDescent="0.25">
      <c r="A105" s="4">
        <v>104</v>
      </c>
      <c r="B105" s="5" t="s">
        <v>213</v>
      </c>
      <c r="C105" s="5" t="s">
        <v>5</v>
      </c>
      <c r="D105" s="5" t="s">
        <v>214</v>
      </c>
      <c r="E105" s="6">
        <v>1</v>
      </c>
      <c r="F105" s="4">
        <v>1</v>
      </c>
      <c r="G105" s="24">
        <f t="shared" si="2"/>
        <v>0</v>
      </c>
      <c r="H105" s="28" t="s">
        <v>822</v>
      </c>
    </row>
    <row r="106" spans="1:8" hidden="1" x14ac:dyDescent="0.25">
      <c r="A106" s="4">
        <v>105</v>
      </c>
      <c r="B106" s="5" t="s">
        <v>215</v>
      </c>
      <c r="C106" s="5" t="s">
        <v>5</v>
      </c>
      <c r="D106" s="5" t="s">
        <v>216</v>
      </c>
      <c r="E106" s="6">
        <v>3</v>
      </c>
      <c r="F106" s="4">
        <v>3</v>
      </c>
      <c r="G106" s="24">
        <f t="shared" si="2"/>
        <v>0</v>
      </c>
      <c r="H106" s="28" t="s">
        <v>822</v>
      </c>
    </row>
    <row r="107" spans="1:8" hidden="1" x14ac:dyDescent="0.25">
      <c r="A107" s="4">
        <v>106</v>
      </c>
      <c r="B107" s="8" t="s">
        <v>217</v>
      </c>
      <c r="C107" s="8" t="s">
        <v>7</v>
      </c>
      <c r="D107" s="8" t="s">
        <v>218</v>
      </c>
      <c r="E107" s="22">
        <v>31</v>
      </c>
      <c r="F107" s="9">
        <f>24+5</f>
        <v>29</v>
      </c>
      <c r="G107" s="25">
        <f t="shared" si="2"/>
        <v>-2</v>
      </c>
      <c r="H107" s="28" t="s">
        <v>824</v>
      </c>
    </row>
    <row r="108" spans="1:8" hidden="1" x14ac:dyDescent="0.25">
      <c r="A108" s="4">
        <v>107</v>
      </c>
      <c r="B108" s="5" t="s">
        <v>219</v>
      </c>
      <c r="C108" s="5" t="s">
        <v>5</v>
      </c>
      <c r="D108" s="5" t="s">
        <v>220</v>
      </c>
      <c r="E108" s="6">
        <v>33</v>
      </c>
      <c r="F108" s="4">
        <v>33</v>
      </c>
      <c r="G108" s="24">
        <f t="shared" si="2"/>
        <v>0</v>
      </c>
      <c r="H108" s="28" t="s">
        <v>822</v>
      </c>
    </row>
    <row r="109" spans="1:8" hidden="1" x14ac:dyDescent="0.25">
      <c r="A109" s="4">
        <v>108</v>
      </c>
      <c r="B109" s="5" t="s">
        <v>221</v>
      </c>
      <c r="C109" s="5" t="s">
        <v>5</v>
      </c>
      <c r="D109" s="5" t="s">
        <v>222</v>
      </c>
      <c r="E109" s="6">
        <v>5</v>
      </c>
      <c r="F109" s="4">
        <v>5</v>
      </c>
      <c r="G109" s="24">
        <f t="shared" si="2"/>
        <v>0</v>
      </c>
      <c r="H109" s="28" t="s">
        <v>822</v>
      </c>
    </row>
    <row r="110" spans="1:8" hidden="1" x14ac:dyDescent="0.25">
      <c r="A110" s="4">
        <v>109</v>
      </c>
      <c r="B110" s="5" t="s">
        <v>223</v>
      </c>
      <c r="C110" s="5" t="s">
        <v>5</v>
      </c>
      <c r="D110" s="5" t="s">
        <v>224</v>
      </c>
      <c r="E110" s="6">
        <v>6</v>
      </c>
      <c r="F110" s="4">
        <v>6</v>
      </c>
      <c r="G110" s="24">
        <f t="shared" si="2"/>
        <v>0</v>
      </c>
      <c r="H110" s="28" t="s">
        <v>822</v>
      </c>
    </row>
    <row r="111" spans="1:8" hidden="1" x14ac:dyDescent="0.25">
      <c r="A111" s="4">
        <v>110</v>
      </c>
      <c r="B111" s="5" t="s">
        <v>225</v>
      </c>
      <c r="C111" s="5" t="s">
        <v>7</v>
      </c>
      <c r="D111" s="5" t="s">
        <v>226</v>
      </c>
      <c r="E111" s="6">
        <v>3</v>
      </c>
      <c r="F111" s="4">
        <v>3</v>
      </c>
      <c r="G111" s="24">
        <f t="shared" si="2"/>
        <v>0</v>
      </c>
      <c r="H111" s="28" t="s">
        <v>822</v>
      </c>
    </row>
    <row r="112" spans="1:8" hidden="1" x14ac:dyDescent="0.25">
      <c r="A112" s="4">
        <v>111</v>
      </c>
      <c r="B112" s="5" t="s">
        <v>227</v>
      </c>
      <c r="C112" s="5" t="s">
        <v>5</v>
      </c>
      <c r="D112" s="5" t="s">
        <v>228</v>
      </c>
      <c r="E112" s="6">
        <v>2</v>
      </c>
      <c r="F112" s="4">
        <v>2</v>
      </c>
      <c r="G112" s="24">
        <f t="shared" si="2"/>
        <v>0</v>
      </c>
      <c r="H112" s="28" t="s">
        <v>822</v>
      </c>
    </row>
    <row r="113" spans="1:8" hidden="1" x14ac:dyDescent="0.25">
      <c r="A113" s="4">
        <v>112</v>
      </c>
      <c r="B113" s="8" t="s">
        <v>229</v>
      </c>
      <c r="C113" s="8" t="s">
        <v>5</v>
      </c>
      <c r="D113" s="8" t="s">
        <v>230</v>
      </c>
      <c r="E113" s="22">
        <v>2</v>
      </c>
      <c r="F113" s="9">
        <v>1</v>
      </c>
      <c r="G113" s="25">
        <f t="shared" si="2"/>
        <v>-1</v>
      </c>
      <c r="H113" s="28" t="s">
        <v>823</v>
      </c>
    </row>
    <row r="114" spans="1:8" hidden="1" x14ac:dyDescent="0.25">
      <c r="A114" s="4">
        <v>113</v>
      </c>
      <c r="B114" s="5" t="s">
        <v>231</v>
      </c>
      <c r="C114" s="5" t="s">
        <v>5</v>
      </c>
      <c r="D114" s="5" t="s">
        <v>232</v>
      </c>
      <c r="E114" s="6">
        <v>3</v>
      </c>
      <c r="F114" s="4">
        <v>3</v>
      </c>
      <c r="G114" s="24">
        <f t="shared" si="2"/>
        <v>0</v>
      </c>
      <c r="H114" s="28" t="s">
        <v>822</v>
      </c>
    </row>
    <row r="115" spans="1:8" hidden="1" x14ac:dyDescent="0.25">
      <c r="A115" s="4">
        <v>114</v>
      </c>
      <c r="B115" s="5" t="s">
        <v>233</v>
      </c>
      <c r="C115" s="5" t="s">
        <v>5</v>
      </c>
      <c r="D115" s="5" t="s">
        <v>234</v>
      </c>
      <c r="E115" s="6">
        <v>8</v>
      </c>
      <c r="F115" s="4">
        <v>8</v>
      </c>
      <c r="G115" s="24">
        <f t="shared" si="2"/>
        <v>0</v>
      </c>
      <c r="H115" s="28" t="s">
        <v>822</v>
      </c>
    </row>
    <row r="116" spans="1:8" hidden="1" x14ac:dyDescent="0.25">
      <c r="A116" s="4">
        <v>115</v>
      </c>
      <c r="B116" s="5" t="s">
        <v>235</v>
      </c>
      <c r="C116" s="5" t="s">
        <v>5</v>
      </c>
      <c r="D116" s="5" t="s">
        <v>236</v>
      </c>
      <c r="E116" s="6">
        <v>6</v>
      </c>
      <c r="F116" s="4">
        <v>6</v>
      </c>
      <c r="G116" s="24">
        <f t="shared" si="2"/>
        <v>0</v>
      </c>
      <c r="H116" s="28" t="s">
        <v>822</v>
      </c>
    </row>
    <row r="117" spans="1:8" hidden="1" x14ac:dyDescent="0.25">
      <c r="A117" s="4">
        <v>116</v>
      </c>
      <c r="B117" s="5" t="s">
        <v>237</v>
      </c>
      <c r="C117" s="5" t="s">
        <v>5</v>
      </c>
      <c r="D117" s="5" t="s">
        <v>238</v>
      </c>
      <c r="E117" s="6">
        <v>2</v>
      </c>
      <c r="F117" s="4">
        <v>2</v>
      </c>
      <c r="G117" s="24">
        <f t="shared" si="2"/>
        <v>0</v>
      </c>
      <c r="H117" s="28" t="s">
        <v>822</v>
      </c>
    </row>
    <row r="118" spans="1:8" hidden="1" x14ac:dyDescent="0.25">
      <c r="A118" s="4">
        <v>117</v>
      </c>
      <c r="B118" s="5" t="s">
        <v>239</v>
      </c>
      <c r="C118" s="5" t="s">
        <v>5</v>
      </c>
      <c r="D118" s="5" t="s">
        <v>240</v>
      </c>
      <c r="E118" s="6">
        <v>2</v>
      </c>
      <c r="F118" s="4">
        <v>2</v>
      </c>
      <c r="G118" s="24">
        <f t="shared" si="2"/>
        <v>0</v>
      </c>
      <c r="H118" s="28" t="s">
        <v>822</v>
      </c>
    </row>
    <row r="119" spans="1:8" hidden="1" x14ac:dyDescent="0.25">
      <c r="A119" s="4">
        <v>118</v>
      </c>
      <c r="B119" s="5" t="s">
        <v>241</v>
      </c>
      <c r="C119" s="5" t="s">
        <v>7</v>
      </c>
      <c r="D119" s="5" t="s">
        <v>242</v>
      </c>
      <c r="E119" s="6">
        <v>1</v>
      </c>
      <c r="F119" s="4">
        <v>1</v>
      </c>
      <c r="G119" s="24">
        <f t="shared" si="2"/>
        <v>0</v>
      </c>
      <c r="H119" s="28" t="s">
        <v>822</v>
      </c>
    </row>
    <row r="120" spans="1:8" hidden="1" x14ac:dyDescent="0.25">
      <c r="A120" s="4">
        <v>119</v>
      </c>
      <c r="B120" s="8" t="s">
        <v>243</v>
      </c>
      <c r="C120" s="8" t="s">
        <v>5</v>
      </c>
      <c r="D120" s="8" t="s">
        <v>244</v>
      </c>
      <c r="E120" s="22">
        <v>1</v>
      </c>
      <c r="F120" s="9">
        <v>0</v>
      </c>
      <c r="G120" s="25">
        <f t="shared" si="2"/>
        <v>-1</v>
      </c>
      <c r="H120" s="28" t="s">
        <v>823</v>
      </c>
    </row>
    <row r="121" spans="1:8" hidden="1" x14ac:dyDescent="0.25">
      <c r="A121" s="4">
        <v>120</v>
      </c>
      <c r="B121" s="5" t="s">
        <v>245</v>
      </c>
      <c r="C121" s="5" t="s">
        <v>5</v>
      </c>
      <c r="D121" s="5" t="s">
        <v>246</v>
      </c>
      <c r="E121" s="6">
        <v>5</v>
      </c>
      <c r="F121" s="4">
        <v>5</v>
      </c>
      <c r="G121" s="24">
        <f t="shared" si="2"/>
        <v>0</v>
      </c>
      <c r="H121" s="28" t="s">
        <v>822</v>
      </c>
    </row>
    <row r="122" spans="1:8" hidden="1" x14ac:dyDescent="0.25">
      <c r="A122" s="4">
        <v>121</v>
      </c>
      <c r="B122" s="5" t="s">
        <v>247</v>
      </c>
      <c r="C122" s="5" t="s">
        <v>5</v>
      </c>
      <c r="D122" s="5" t="s">
        <v>248</v>
      </c>
      <c r="E122" s="6">
        <v>4</v>
      </c>
      <c r="F122" s="4">
        <v>4</v>
      </c>
      <c r="G122" s="24">
        <f t="shared" si="2"/>
        <v>0</v>
      </c>
      <c r="H122" s="28" t="s">
        <v>822</v>
      </c>
    </row>
    <row r="123" spans="1:8" hidden="1" x14ac:dyDescent="0.25">
      <c r="A123" s="4">
        <v>122</v>
      </c>
      <c r="B123" s="5" t="s">
        <v>249</v>
      </c>
      <c r="C123" s="5" t="s">
        <v>5</v>
      </c>
      <c r="D123" s="5" t="s">
        <v>250</v>
      </c>
      <c r="E123" s="6">
        <v>7</v>
      </c>
      <c r="F123" s="4">
        <v>7</v>
      </c>
      <c r="G123" s="24">
        <f t="shared" si="2"/>
        <v>0</v>
      </c>
      <c r="H123" s="28" t="s">
        <v>822</v>
      </c>
    </row>
    <row r="124" spans="1:8" hidden="1" x14ac:dyDescent="0.25">
      <c r="A124" s="4">
        <v>123</v>
      </c>
      <c r="B124" s="5" t="s">
        <v>251</v>
      </c>
      <c r="C124" s="5" t="s">
        <v>5</v>
      </c>
      <c r="D124" s="5" t="s">
        <v>252</v>
      </c>
      <c r="E124" s="6">
        <v>20</v>
      </c>
      <c r="F124" s="4">
        <v>20</v>
      </c>
      <c r="G124" s="24">
        <f t="shared" si="2"/>
        <v>0</v>
      </c>
      <c r="H124" s="28" t="s">
        <v>822</v>
      </c>
    </row>
    <row r="125" spans="1:8" hidden="1" x14ac:dyDescent="0.25">
      <c r="A125" s="4">
        <v>124</v>
      </c>
      <c r="B125" s="8" t="s">
        <v>253</v>
      </c>
      <c r="C125" s="8" t="s">
        <v>5</v>
      </c>
      <c r="D125" s="8" t="s">
        <v>254</v>
      </c>
      <c r="E125" s="22">
        <v>8</v>
      </c>
      <c r="F125" s="9">
        <v>7</v>
      </c>
      <c r="G125" s="25">
        <f t="shared" si="2"/>
        <v>-1</v>
      </c>
      <c r="H125" s="28" t="s">
        <v>824</v>
      </c>
    </row>
    <row r="126" spans="1:8" hidden="1" x14ac:dyDescent="0.25">
      <c r="A126" s="4">
        <v>125</v>
      </c>
      <c r="B126" s="5" t="s">
        <v>255</v>
      </c>
      <c r="C126" s="5" t="s">
        <v>5</v>
      </c>
      <c r="D126" s="5" t="s">
        <v>256</v>
      </c>
      <c r="E126" s="6">
        <v>7</v>
      </c>
      <c r="F126" s="4">
        <v>7</v>
      </c>
      <c r="G126" s="24">
        <f t="shared" si="2"/>
        <v>0</v>
      </c>
      <c r="H126" s="28" t="s">
        <v>822</v>
      </c>
    </row>
    <row r="127" spans="1:8" hidden="1" x14ac:dyDescent="0.25">
      <c r="A127" s="4">
        <v>126</v>
      </c>
      <c r="B127" s="5" t="s">
        <v>257</v>
      </c>
      <c r="C127" s="5" t="s">
        <v>7</v>
      </c>
      <c r="D127" s="5" t="s">
        <v>258</v>
      </c>
      <c r="E127" s="6">
        <v>7</v>
      </c>
      <c r="F127" s="4">
        <v>7</v>
      </c>
      <c r="G127" s="24">
        <f t="shared" si="2"/>
        <v>0</v>
      </c>
      <c r="H127" s="28" t="s">
        <v>822</v>
      </c>
    </row>
    <row r="128" spans="1:8" hidden="1" x14ac:dyDescent="0.25">
      <c r="A128" s="4">
        <v>127</v>
      </c>
      <c r="B128" s="5" t="s">
        <v>259</v>
      </c>
      <c r="C128" s="5" t="s">
        <v>5</v>
      </c>
      <c r="D128" s="5" t="s">
        <v>260</v>
      </c>
      <c r="E128" s="6">
        <v>56</v>
      </c>
      <c r="F128" s="4">
        <v>56</v>
      </c>
      <c r="G128" s="24">
        <f t="shared" si="2"/>
        <v>0</v>
      </c>
      <c r="H128" s="28" t="s">
        <v>822</v>
      </c>
    </row>
    <row r="129" spans="1:8" hidden="1" x14ac:dyDescent="0.25">
      <c r="A129" s="4">
        <v>128</v>
      </c>
      <c r="B129" s="5" t="s">
        <v>261</v>
      </c>
      <c r="C129" s="5" t="s">
        <v>5</v>
      </c>
      <c r="D129" s="5" t="s">
        <v>262</v>
      </c>
      <c r="E129" s="6">
        <v>1</v>
      </c>
      <c r="F129" s="4">
        <v>1</v>
      </c>
      <c r="G129" s="24">
        <f t="shared" si="2"/>
        <v>0</v>
      </c>
      <c r="H129" s="28" t="s">
        <v>822</v>
      </c>
    </row>
    <row r="130" spans="1:8" hidden="1" x14ac:dyDescent="0.25">
      <c r="A130" s="4">
        <v>129</v>
      </c>
      <c r="B130" s="5" t="s">
        <v>263</v>
      </c>
      <c r="C130" s="5" t="s">
        <v>5</v>
      </c>
      <c r="D130" s="5" t="s">
        <v>264</v>
      </c>
      <c r="E130" s="6">
        <v>22</v>
      </c>
      <c r="F130" s="4">
        <f>5+17</f>
        <v>22</v>
      </c>
      <c r="G130" s="24">
        <f t="shared" ref="G130:G140" si="3">F130-E130</f>
        <v>0</v>
      </c>
      <c r="H130" s="28" t="s">
        <v>822</v>
      </c>
    </row>
    <row r="131" spans="1:8" hidden="1" x14ac:dyDescent="0.25">
      <c r="A131" s="4">
        <v>130</v>
      </c>
      <c r="B131" s="5" t="s">
        <v>265</v>
      </c>
      <c r="C131" s="5" t="s">
        <v>5</v>
      </c>
      <c r="D131" s="5" t="s">
        <v>266</v>
      </c>
      <c r="E131" s="6">
        <v>10</v>
      </c>
      <c r="F131" s="4">
        <v>10</v>
      </c>
      <c r="G131" s="24">
        <f t="shared" si="3"/>
        <v>0</v>
      </c>
      <c r="H131" s="28" t="s">
        <v>822</v>
      </c>
    </row>
    <row r="132" spans="1:8" hidden="1" x14ac:dyDescent="0.25">
      <c r="A132" s="4">
        <v>131</v>
      </c>
      <c r="B132" s="5" t="s">
        <v>267</v>
      </c>
      <c r="C132" s="5" t="s">
        <v>5</v>
      </c>
      <c r="D132" s="5" t="s">
        <v>268</v>
      </c>
      <c r="E132" s="6">
        <v>3</v>
      </c>
      <c r="F132" s="4">
        <v>3</v>
      </c>
      <c r="G132" s="24">
        <f t="shared" si="3"/>
        <v>0</v>
      </c>
      <c r="H132" s="28" t="s">
        <v>822</v>
      </c>
    </row>
    <row r="133" spans="1:8" hidden="1" x14ac:dyDescent="0.25">
      <c r="A133" s="4">
        <v>132</v>
      </c>
      <c r="B133" s="5" t="s">
        <v>269</v>
      </c>
      <c r="C133" s="5" t="s">
        <v>5</v>
      </c>
      <c r="D133" s="5" t="s">
        <v>270</v>
      </c>
      <c r="E133" s="6">
        <v>4</v>
      </c>
      <c r="F133" s="4">
        <v>4</v>
      </c>
      <c r="G133" s="24">
        <f t="shared" si="3"/>
        <v>0</v>
      </c>
      <c r="H133" s="28" t="s">
        <v>822</v>
      </c>
    </row>
    <row r="134" spans="1:8" hidden="1" x14ac:dyDescent="0.25">
      <c r="A134" s="4">
        <v>133</v>
      </c>
      <c r="B134" s="5" t="s">
        <v>271</v>
      </c>
      <c r="C134" s="5" t="s">
        <v>5</v>
      </c>
      <c r="D134" s="5" t="s">
        <v>272</v>
      </c>
      <c r="E134" s="6">
        <v>3</v>
      </c>
      <c r="F134" s="4">
        <v>3</v>
      </c>
      <c r="G134" s="24">
        <f t="shared" si="3"/>
        <v>0</v>
      </c>
      <c r="H134" s="28" t="s">
        <v>822</v>
      </c>
    </row>
    <row r="135" spans="1:8" hidden="1" x14ac:dyDescent="0.25">
      <c r="A135" s="4">
        <v>134</v>
      </c>
      <c r="B135" s="5" t="s">
        <v>273</v>
      </c>
      <c r="C135" s="5" t="s">
        <v>5</v>
      </c>
      <c r="D135" s="5" t="s">
        <v>274</v>
      </c>
      <c r="E135" s="6">
        <v>22</v>
      </c>
      <c r="F135" s="4">
        <v>22</v>
      </c>
      <c r="G135" s="24">
        <f t="shared" si="3"/>
        <v>0</v>
      </c>
      <c r="H135" s="28" t="s">
        <v>822</v>
      </c>
    </row>
    <row r="136" spans="1:8" hidden="1" x14ac:dyDescent="0.25">
      <c r="A136" s="4">
        <v>135</v>
      </c>
      <c r="B136" s="5" t="s">
        <v>275</v>
      </c>
      <c r="C136" s="5" t="s">
        <v>5</v>
      </c>
      <c r="D136" s="5" t="s">
        <v>276</v>
      </c>
      <c r="E136" s="6">
        <v>2</v>
      </c>
      <c r="F136" s="4">
        <v>2</v>
      </c>
      <c r="G136" s="24">
        <f t="shared" si="3"/>
        <v>0</v>
      </c>
      <c r="H136" s="28" t="s">
        <v>822</v>
      </c>
    </row>
    <row r="137" spans="1:8" hidden="1" x14ac:dyDescent="0.25">
      <c r="A137" s="4">
        <v>136</v>
      </c>
      <c r="B137" s="5" t="s">
        <v>277</v>
      </c>
      <c r="C137" s="5" t="s">
        <v>73</v>
      </c>
      <c r="D137" s="5" t="s">
        <v>278</v>
      </c>
      <c r="E137" s="6">
        <v>3</v>
      </c>
      <c r="F137" s="4">
        <v>3</v>
      </c>
      <c r="G137" s="24">
        <f t="shared" si="3"/>
        <v>0</v>
      </c>
      <c r="H137" s="28" t="s">
        <v>822</v>
      </c>
    </row>
    <row r="138" spans="1:8" hidden="1" x14ac:dyDescent="0.25">
      <c r="A138" s="4">
        <v>137</v>
      </c>
      <c r="B138" s="5" t="s">
        <v>279</v>
      </c>
      <c r="C138" s="5" t="s">
        <v>73</v>
      </c>
      <c r="D138" s="5" t="s">
        <v>280</v>
      </c>
      <c r="E138" s="6">
        <v>1</v>
      </c>
      <c r="F138" s="4">
        <v>1</v>
      </c>
      <c r="G138" s="24">
        <f t="shared" si="3"/>
        <v>0</v>
      </c>
      <c r="H138" s="28" t="s">
        <v>822</v>
      </c>
    </row>
    <row r="139" spans="1:8" hidden="1" x14ac:dyDescent="0.25">
      <c r="A139" s="4">
        <v>138</v>
      </c>
      <c r="B139" s="5" t="s">
        <v>281</v>
      </c>
      <c r="C139" s="5" t="s">
        <v>73</v>
      </c>
      <c r="D139" s="5" t="s">
        <v>282</v>
      </c>
      <c r="E139" s="6">
        <v>4</v>
      </c>
      <c r="F139" s="4">
        <v>4</v>
      </c>
      <c r="G139" s="24">
        <f t="shared" si="3"/>
        <v>0</v>
      </c>
      <c r="H139" s="28" t="s">
        <v>822</v>
      </c>
    </row>
    <row r="140" spans="1:8" hidden="1" x14ac:dyDescent="0.25">
      <c r="A140" s="4">
        <v>139</v>
      </c>
      <c r="B140" s="5" t="s">
        <v>283</v>
      </c>
      <c r="C140" s="5" t="s">
        <v>5</v>
      </c>
      <c r="D140" s="5" t="s">
        <v>284</v>
      </c>
      <c r="E140" s="6">
        <v>2</v>
      </c>
      <c r="F140" s="4">
        <v>2</v>
      </c>
      <c r="G140" s="24">
        <f t="shared" si="3"/>
        <v>0</v>
      </c>
      <c r="H140" s="28" t="s">
        <v>822</v>
      </c>
    </row>
    <row r="141" spans="1:8" hidden="1" x14ac:dyDescent="0.25">
      <c r="A141" s="4">
        <v>140</v>
      </c>
      <c r="B141" s="8" t="s">
        <v>285</v>
      </c>
      <c r="C141" s="8" t="s">
        <v>5</v>
      </c>
      <c r="D141" s="8" t="s">
        <v>286</v>
      </c>
      <c r="E141" s="22">
        <v>1</v>
      </c>
      <c r="F141" s="9">
        <v>0</v>
      </c>
      <c r="G141" s="25">
        <f t="shared" ref="G141:G193" si="4">F141-E141</f>
        <v>-1</v>
      </c>
      <c r="H141" s="28" t="s">
        <v>824</v>
      </c>
    </row>
    <row r="142" spans="1:8" hidden="1" x14ac:dyDescent="0.25">
      <c r="A142" s="4">
        <v>141</v>
      </c>
      <c r="B142" s="5" t="s">
        <v>287</v>
      </c>
      <c r="C142" s="5" t="s">
        <v>5</v>
      </c>
      <c r="D142" s="5" t="s">
        <v>288</v>
      </c>
      <c r="E142" s="6">
        <v>3</v>
      </c>
      <c r="F142" s="4">
        <v>3</v>
      </c>
      <c r="G142" s="24">
        <f t="shared" si="4"/>
        <v>0</v>
      </c>
      <c r="H142" s="28" t="s">
        <v>822</v>
      </c>
    </row>
    <row r="143" spans="1:8" hidden="1" x14ac:dyDescent="0.25">
      <c r="A143" s="4">
        <v>142</v>
      </c>
      <c r="B143" s="5" t="s">
        <v>289</v>
      </c>
      <c r="C143" s="5" t="s">
        <v>5</v>
      </c>
      <c r="D143" s="5" t="s">
        <v>290</v>
      </c>
      <c r="E143" s="6">
        <v>5</v>
      </c>
      <c r="F143" s="4">
        <v>5</v>
      </c>
      <c r="G143" s="24">
        <f t="shared" si="4"/>
        <v>0</v>
      </c>
      <c r="H143" s="28" t="s">
        <v>822</v>
      </c>
    </row>
    <row r="144" spans="1:8" hidden="1" x14ac:dyDescent="0.25">
      <c r="A144" s="4">
        <v>143</v>
      </c>
      <c r="B144" s="5" t="s">
        <v>291</v>
      </c>
      <c r="C144" s="5" t="s">
        <v>5</v>
      </c>
      <c r="D144" s="5" t="s">
        <v>292</v>
      </c>
      <c r="E144" s="6">
        <v>2</v>
      </c>
      <c r="F144" s="4">
        <v>2</v>
      </c>
      <c r="G144" s="24">
        <f t="shared" si="4"/>
        <v>0</v>
      </c>
      <c r="H144" s="28" t="s">
        <v>822</v>
      </c>
    </row>
    <row r="145" spans="1:8" hidden="1" x14ac:dyDescent="0.25">
      <c r="A145" s="4">
        <v>144</v>
      </c>
      <c r="B145" s="5" t="s">
        <v>293</v>
      </c>
      <c r="C145" s="5" t="s">
        <v>195</v>
      </c>
      <c r="D145" s="5" t="s">
        <v>294</v>
      </c>
      <c r="E145" s="6">
        <v>100</v>
      </c>
      <c r="F145" s="4">
        <v>100</v>
      </c>
      <c r="G145" s="24">
        <f t="shared" si="4"/>
        <v>0</v>
      </c>
      <c r="H145" s="28" t="s">
        <v>822</v>
      </c>
    </row>
    <row r="146" spans="1:8" hidden="1" x14ac:dyDescent="0.25">
      <c r="A146" s="4">
        <v>145</v>
      </c>
      <c r="B146" s="5" t="s">
        <v>295</v>
      </c>
      <c r="C146" s="5" t="s">
        <v>5</v>
      </c>
      <c r="D146" s="5" t="s">
        <v>296</v>
      </c>
      <c r="E146" s="6">
        <v>7</v>
      </c>
      <c r="F146" s="4">
        <v>7</v>
      </c>
      <c r="G146" s="24">
        <f t="shared" si="4"/>
        <v>0</v>
      </c>
      <c r="H146" s="28" t="s">
        <v>822</v>
      </c>
    </row>
    <row r="147" spans="1:8" hidden="1" x14ac:dyDescent="0.25">
      <c r="A147" s="4">
        <v>146</v>
      </c>
      <c r="B147" s="5" t="s">
        <v>297</v>
      </c>
      <c r="C147" s="5" t="s">
        <v>5</v>
      </c>
      <c r="D147" s="5" t="s">
        <v>298</v>
      </c>
      <c r="E147" s="6">
        <v>3</v>
      </c>
      <c r="F147" s="4">
        <v>3</v>
      </c>
      <c r="G147" s="24">
        <f t="shared" si="4"/>
        <v>0</v>
      </c>
      <c r="H147" s="28" t="s">
        <v>822</v>
      </c>
    </row>
    <row r="148" spans="1:8" hidden="1" x14ac:dyDescent="0.25">
      <c r="A148" s="4">
        <v>147</v>
      </c>
      <c r="B148" s="5" t="s">
        <v>299</v>
      </c>
      <c r="C148" s="5" t="s">
        <v>5</v>
      </c>
      <c r="D148" s="5" t="s">
        <v>300</v>
      </c>
      <c r="E148" s="6">
        <v>3</v>
      </c>
      <c r="F148" s="4">
        <v>3</v>
      </c>
      <c r="G148" s="24">
        <f t="shared" si="4"/>
        <v>0</v>
      </c>
      <c r="H148" s="28" t="s">
        <v>822</v>
      </c>
    </row>
    <row r="149" spans="1:8" hidden="1" x14ac:dyDescent="0.25">
      <c r="A149" s="4">
        <v>148</v>
      </c>
      <c r="B149" s="5" t="s">
        <v>301</v>
      </c>
      <c r="C149" s="5" t="s">
        <v>5</v>
      </c>
      <c r="D149" s="5" t="s">
        <v>302</v>
      </c>
      <c r="E149" s="6">
        <v>6</v>
      </c>
      <c r="F149" s="4">
        <v>6</v>
      </c>
      <c r="G149" s="24">
        <f t="shared" si="4"/>
        <v>0</v>
      </c>
      <c r="H149" s="28" t="s">
        <v>822</v>
      </c>
    </row>
    <row r="150" spans="1:8" hidden="1" x14ac:dyDescent="0.25">
      <c r="A150" s="4">
        <v>149</v>
      </c>
      <c r="B150" s="5" t="s">
        <v>303</v>
      </c>
      <c r="C150" s="5" t="s">
        <v>5</v>
      </c>
      <c r="D150" s="5" t="s">
        <v>304</v>
      </c>
      <c r="E150" s="6">
        <v>1</v>
      </c>
      <c r="F150" s="4">
        <v>1</v>
      </c>
      <c r="G150" s="24">
        <f t="shared" si="4"/>
        <v>0</v>
      </c>
      <c r="H150" s="28" t="s">
        <v>822</v>
      </c>
    </row>
    <row r="151" spans="1:8" hidden="1" x14ac:dyDescent="0.25">
      <c r="A151" s="4">
        <v>150</v>
      </c>
      <c r="B151" s="5" t="s">
        <v>305</v>
      </c>
      <c r="C151" s="5" t="s">
        <v>5</v>
      </c>
      <c r="D151" s="5" t="s">
        <v>306</v>
      </c>
      <c r="E151" s="6">
        <v>2</v>
      </c>
      <c r="F151" s="4">
        <v>2</v>
      </c>
      <c r="G151" s="24">
        <f t="shared" si="4"/>
        <v>0</v>
      </c>
      <c r="H151" s="28" t="s">
        <v>822</v>
      </c>
    </row>
    <row r="152" spans="1:8" hidden="1" x14ac:dyDescent="0.25">
      <c r="A152" s="4">
        <v>151</v>
      </c>
      <c r="B152" s="5" t="s">
        <v>307</v>
      </c>
      <c r="C152" s="5" t="s">
        <v>5</v>
      </c>
      <c r="D152" s="5" t="s">
        <v>308</v>
      </c>
      <c r="E152" s="6">
        <v>1</v>
      </c>
      <c r="F152" s="4">
        <v>1</v>
      </c>
      <c r="G152" s="24">
        <f t="shared" si="4"/>
        <v>0</v>
      </c>
      <c r="H152" s="28" t="s">
        <v>822</v>
      </c>
    </row>
    <row r="153" spans="1:8" hidden="1" x14ac:dyDescent="0.25">
      <c r="A153" s="4">
        <v>152</v>
      </c>
      <c r="B153" s="5" t="s">
        <v>309</v>
      </c>
      <c r="C153" s="5" t="s">
        <v>5</v>
      </c>
      <c r="D153" s="5" t="s">
        <v>310</v>
      </c>
      <c r="E153" s="6">
        <v>1</v>
      </c>
      <c r="F153" s="4">
        <v>1</v>
      </c>
      <c r="G153" s="24">
        <f t="shared" si="4"/>
        <v>0</v>
      </c>
      <c r="H153" s="28" t="s">
        <v>822</v>
      </c>
    </row>
    <row r="154" spans="1:8" hidden="1" x14ac:dyDescent="0.25">
      <c r="A154" s="4">
        <v>153</v>
      </c>
      <c r="B154" s="5" t="s">
        <v>311</v>
      </c>
      <c r="C154" s="5" t="s">
        <v>5</v>
      </c>
      <c r="D154" s="5" t="s">
        <v>312</v>
      </c>
      <c r="E154" s="6">
        <v>8</v>
      </c>
      <c r="F154" s="4">
        <v>8</v>
      </c>
      <c r="G154" s="24">
        <f t="shared" si="4"/>
        <v>0</v>
      </c>
      <c r="H154" s="28" t="s">
        <v>822</v>
      </c>
    </row>
    <row r="155" spans="1:8" hidden="1" x14ac:dyDescent="0.25">
      <c r="A155" s="4">
        <v>154</v>
      </c>
      <c r="B155" s="5" t="s">
        <v>313</v>
      </c>
      <c r="C155" s="5" t="s">
        <v>5</v>
      </c>
      <c r="D155" s="5" t="s">
        <v>314</v>
      </c>
      <c r="E155" s="6">
        <v>4</v>
      </c>
      <c r="F155" s="4">
        <v>4</v>
      </c>
      <c r="G155" s="24">
        <f t="shared" si="4"/>
        <v>0</v>
      </c>
      <c r="H155" s="28" t="s">
        <v>822</v>
      </c>
    </row>
    <row r="156" spans="1:8" hidden="1" x14ac:dyDescent="0.25">
      <c r="A156" s="4">
        <v>155</v>
      </c>
      <c r="B156" s="5" t="s">
        <v>315</v>
      </c>
      <c r="C156" s="5" t="s">
        <v>73</v>
      </c>
      <c r="D156" s="5" t="s">
        <v>316</v>
      </c>
      <c r="E156" s="6">
        <v>1</v>
      </c>
      <c r="F156" s="4">
        <v>1</v>
      </c>
      <c r="G156" s="24">
        <f t="shared" si="4"/>
        <v>0</v>
      </c>
      <c r="H156" s="28" t="s">
        <v>822</v>
      </c>
    </row>
    <row r="157" spans="1:8" hidden="1" x14ac:dyDescent="0.25">
      <c r="A157" s="4">
        <v>156</v>
      </c>
      <c r="B157" s="5" t="s">
        <v>317</v>
      </c>
      <c r="C157" s="5" t="s">
        <v>318</v>
      </c>
      <c r="D157" s="5" t="s">
        <v>319</v>
      </c>
      <c r="E157" s="6">
        <v>1</v>
      </c>
      <c r="F157" s="4">
        <v>1</v>
      </c>
      <c r="G157" s="24">
        <f t="shared" si="4"/>
        <v>0</v>
      </c>
      <c r="H157" s="28" t="s">
        <v>822</v>
      </c>
    </row>
    <row r="158" spans="1:8" hidden="1" x14ac:dyDescent="0.25">
      <c r="A158" s="4">
        <v>157</v>
      </c>
      <c r="B158" s="5" t="s">
        <v>320</v>
      </c>
      <c r="C158" s="5" t="s">
        <v>318</v>
      </c>
      <c r="D158" s="5" t="s">
        <v>321</v>
      </c>
      <c r="E158" s="6">
        <v>1</v>
      </c>
      <c r="F158" s="4">
        <v>1</v>
      </c>
      <c r="G158" s="24">
        <f t="shared" si="4"/>
        <v>0</v>
      </c>
      <c r="H158" s="28" t="s">
        <v>822</v>
      </c>
    </row>
    <row r="159" spans="1:8" hidden="1" x14ac:dyDescent="0.25">
      <c r="A159" s="4">
        <v>158</v>
      </c>
      <c r="B159" s="8">
        <v>2500005898</v>
      </c>
      <c r="C159" s="8" t="s">
        <v>5</v>
      </c>
      <c r="D159" s="8" t="s">
        <v>322</v>
      </c>
      <c r="E159" s="22">
        <v>53</v>
      </c>
      <c r="F159" s="9">
        <v>52</v>
      </c>
      <c r="G159" s="25">
        <f t="shared" si="4"/>
        <v>-1</v>
      </c>
      <c r="H159" s="28" t="s">
        <v>825</v>
      </c>
    </row>
    <row r="160" spans="1:8" hidden="1" x14ac:dyDescent="0.25">
      <c r="A160" s="4">
        <v>159</v>
      </c>
      <c r="B160" s="5" t="s">
        <v>323</v>
      </c>
      <c r="C160" s="5" t="s">
        <v>7</v>
      </c>
      <c r="D160" s="5" t="s">
        <v>324</v>
      </c>
      <c r="E160" s="6">
        <v>11</v>
      </c>
      <c r="F160" s="4">
        <v>11</v>
      </c>
      <c r="G160" s="24">
        <f t="shared" si="4"/>
        <v>0</v>
      </c>
      <c r="H160" s="28" t="s">
        <v>822</v>
      </c>
    </row>
    <row r="161" spans="1:8" x14ac:dyDescent="0.25">
      <c r="A161" s="4">
        <v>160</v>
      </c>
      <c r="B161" s="8">
        <v>2500005907</v>
      </c>
      <c r="C161" s="8" t="s">
        <v>7</v>
      </c>
      <c r="D161" s="8" t="s">
        <v>325</v>
      </c>
      <c r="E161" s="22">
        <v>10</v>
      </c>
      <c r="F161" s="9">
        <v>7</v>
      </c>
      <c r="G161" s="25">
        <f t="shared" si="4"/>
        <v>-3</v>
      </c>
      <c r="H161" s="28" t="s">
        <v>830</v>
      </c>
    </row>
    <row r="162" spans="1:8" hidden="1" x14ac:dyDescent="0.25">
      <c r="A162" s="4">
        <v>161</v>
      </c>
      <c r="B162" s="5" t="s">
        <v>326</v>
      </c>
      <c r="C162" s="5" t="s">
        <v>5</v>
      </c>
      <c r="D162" s="5" t="s">
        <v>327</v>
      </c>
      <c r="E162" s="6">
        <v>5</v>
      </c>
      <c r="F162" s="4">
        <v>5</v>
      </c>
      <c r="G162" s="24">
        <f t="shared" si="4"/>
        <v>0</v>
      </c>
      <c r="H162" s="28" t="s">
        <v>822</v>
      </c>
    </row>
    <row r="163" spans="1:8" x14ac:dyDescent="0.25">
      <c r="A163" s="4">
        <v>162</v>
      </c>
      <c r="B163" s="8">
        <v>2500005906</v>
      </c>
      <c r="C163" s="8" t="s">
        <v>7</v>
      </c>
      <c r="D163" s="8" t="s">
        <v>328</v>
      </c>
      <c r="E163" s="22">
        <v>6</v>
      </c>
      <c r="F163" s="9">
        <v>3</v>
      </c>
      <c r="G163" s="25">
        <f t="shared" si="4"/>
        <v>-3</v>
      </c>
      <c r="H163" s="28" t="s">
        <v>829</v>
      </c>
    </row>
    <row r="164" spans="1:8" hidden="1" x14ac:dyDescent="0.25">
      <c r="A164" s="4">
        <v>163</v>
      </c>
      <c r="B164" s="5" t="s">
        <v>329</v>
      </c>
      <c r="C164" s="5" t="s">
        <v>5</v>
      </c>
      <c r="D164" s="5" t="s">
        <v>330</v>
      </c>
      <c r="E164" s="6">
        <v>2</v>
      </c>
      <c r="F164" s="4">
        <v>2</v>
      </c>
      <c r="G164" s="24">
        <f t="shared" si="4"/>
        <v>0</v>
      </c>
      <c r="H164" s="28" t="s">
        <v>822</v>
      </c>
    </row>
    <row r="165" spans="1:8" hidden="1" x14ac:dyDescent="0.25">
      <c r="A165" s="4">
        <v>164</v>
      </c>
      <c r="B165" s="5" t="s">
        <v>331</v>
      </c>
      <c r="C165" s="5" t="s">
        <v>5</v>
      </c>
      <c r="D165" s="5" t="s">
        <v>332</v>
      </c>
      <c r="E165" s="6">
        <v>2</v>
      </c>
      <c r="F165" s="4">
        <v>2</v>
      </c>
      <c r="G165" s="24">
        <f t="shared" si="4"/>
        <v>0</v>
      </c>
      <c r="H165" s="28" t="s">
        <v>822</v>
      </c>
    </row>
    <row r="166" spans="1:8" hidden="1" x14ac:dyDescent="0.25">
      <c r="A166" s="4">
        <v>165</v>
      </c>
      <c r="B166" s="5" t="s">
        <v>333</v>
      </c>
      <c r="C166" s="5" t="s">
        <v>7</v>
      </c>
      <c r="D166" s="5" t="s">
        <v>334</v>
      </c>
      <c r="E166" s="6">
        <v>17</v>
      </c>
      <c r="F166" s="4">
        <v>17</v>
      </c>
      <c r="G166" s="24">
        <f t="shared" si="4"/>
        <v>0</v>
      </c>
      <c r="H166" s="28" t="s">
        <v>822</v>
      </c>
    </row>
    <row r="167" spans="1:8" hidden="1" x14ac:dyDescent="0.25">
      <c r="A167" s="4">
        <v>166</v>
      </c>
      <c r="B167" s="5" t="s">
        <v>335</v>
      </c>
      <c r="C167" s="5" t="s">
        <v>5</v>
      </c>
      <c r="D167" s="5" t="s">
        <v>336</v>
      </c>
      <c r="E167" s="6">
        <v>12</v>
      </c>
      <c r="F167" s="4">
        <v>12</v>
      </c>
      <c r="G167" s="24">
        <f t="shared" si="4"/>
        <v>0</v>
      </c>
      <c r="H167" s="28" t="s">
        <v>822</v>
      </c>
    </row>
    <row r="168" spans="1:8" hidden="1" x14ac:dyDescent="0.25">
      <c r="A168" s="4">
        <v>167</v>
      </c>
      <c r="B168" s="5" t="s">
        <v>337</v>
      </c>
      <c r="C168" s="5" t="s">
        <v>5</v>
      </c>
      <c r="D168" s="5" t="s">
        <v>338</v>
      </c>
      <c r="E168" s="6">
        <v>1</v>
      </c>
      <c r="F168" s="4">
        <v>1</v>
      </c>
      <c r="G168" s="24">
        <f t="shared" si="4"/>
        <v>0</v>
      </c>
      <c r="H168" s="28" t="s">
        <v>822</v>
      </c>
    </row>
    <row r="169" spans="1:8" hidden="1" x14ac:dyDescent="0.25">
      <c r="A169" s="4">
        <v>168</v>
      </c>
      <c r="B169" s="5" t="s">
        <v>339</v>
      </c>
      <c r="C169" s="5" t="s">
        <v>5</v>
      </c>
      <c r="D169" s="5" t="s">
        <v>340</v>
      </c>
      <c r="E169" s="6">
        <v>1</v>
      </c>
      <c r="F169" s="4">
        <v>1</v>
      </c>
      <c r="G169" s="24">
        <f t="shared" si="4"/>
        <v>0</v>
      </c>
      <c r="H169" s="28" t="s">
        <v>822</v>
      </c>
    </row>
    <row r="170" spans="1:8" hidden="1" x14ac:dyDescent="0.25">
      <c r="A170" s="4">
        <v>169</v>
      </c>
      <c r="B170" s="5" t="s">
        <v>341</v>
      </c>
      <c r="C170" s="5" t="s">
        <v>5</v>
      </c>
      <c r="D170" s="5" t="s">
        <v>342</v>
      </c>
      <c r="E170" s="6">
        <v>2</v>
      </c>
      <c r="F170" s="4">
        <v>2</v>
      </c>
      <c r="G170" s="24">
        <f t="shared" si="4"/>
        <v>0</v>
      </c>
      <c r="H170" s="28" t="s">
        <v>822</v>
      </c>
    </row>
    <row r="171" spans="1:8" hidden="1" x14ac:dyDescent="0.25">
      <c r="A171" s="4">
        <v>170</v>
      </c>
      <c r="B171" s="5" t="s">
        <v>343</v>
      </c>
      <c r="C171" s="5" t="s">
        <v>7</v>
      </c>
      <c r="D171" s="5" t="s">
        <v>344</v>
      </c>
      <c r="E171" s="6">
        <v>3</v>
      </c>
      <c r="F171" s="4">
        <v>3</v>
      </c>
      <c r="G171" s="24">
        <f t="shared" si="4"/>
        <v>0</v>
      </c>
      <c r="H171" s="28" t="s">
        <v>822</v>
      </c>
    </row>
    <row r="172" spans="1:8" hidden="1" x14ac:dyDescent="0.25">
      <c r="A172" s="4">
        <v>171</v>
      </c>
      <c r="B172" s="5" t="s">
        <v>345</v>
      </c>
      <c r="C172" s="5" t="s">
        <v>5</v>
      </c>
      <c r="D172" s="5" t="s">
        <v>346</v>
      </c>
      <c r="E172" s="6">
        <v>10</v>
      </c>
      <c r="F172" s="4">
        <v>10</v>
      </c>
      <c r="G172" s="24">
        <f t="shared" si="4"/>
        <v>0</v>
      </c>
      <c r="H172" s="28" t="s">
        <v>822</v>
      </c>
    </row>
    <row r="173" spans="1:8" hidden="1" x14ac:dyDescent="0.25">
      <c r="A173" s="4">
        <v>172</v>
      </c>
      <c r="B173" s="5" t="s">
        <v>347</v>
      </c>
      <c r="C173" s="5" t="s">
        <v>5</v>
      </c>
      <c r="D173" s="5" t="s">
        <v>348</v>
      </c>
      <c r="E173" s="6">
        <v>5</v>
      </c>
      <c r="F173" s="4">
        <v>5</v>
      </c>
      <c r="G173" s="24">
        <f t="shared" si="4"/>
        <v>0</v>
      </c>
      <c r="H173" s="28" t="s">
        <v>822</v>
      </c>
    </row>
    <row r="174" spans="1:8" hidden="1" x14ac:dyDescent="0.25">
      <c r="A174" s="4">
        <v>173</v>
      </c>
      <c r="B174" s="5" t="s">
        <v>349</v>
      </c>
      <c r="C174" s="5" t="s">
        <v>34</v>
      </c>
      <c r="D174" s="5" t="s">
        <v>350</v>
      </c>
      <c r="E174" s="6">
        <v>4</v>
      </c>
      <c r="F174" s="4">
        <v>4</v>
      </c>
      <c r="G174" s="24">
        <f t="shared" si="4"/>
        <v>0</v>
      </c>
      <c r="H174" s="28" t="s">
        <v>822</v>
      </c>
    </row>
    <row r="175" spans="1:8" hidden="1" x14ac:dyDescent="0.25">
      <c r="A175" s="4">
        <v>174</v>
      </c>
      <c r="B175" s="5" t="s">
        <v>351</v>
      </c>
      <c r="C175" s="5" t="s">
        <v>5</v>
      </c>
      <c r="D175" s="5" t="s">
        <v>352</v>
      </c>
      <c r="E175" s="6">
        <v>2</v>
      </c>
      <c r="F175" s="4">
        <v>2</v>
      </c>
      <c r="G175" s="24">
        <f t="shared" si="4"/>
        <v>0</v>
      </c>
      <c r="H175" s="28" t="s">
        <v>822</v>
      </c>
    </row>
    <row r="176" spans="1:8" hidden="1" x14ac:dyDescent="0.25">
      <c r="A176" s="4">
        <v>175</v>
      </c>
      <c r="B176" s="5" t="s">
        <v>353</v>
      </c>
      <c r="C176" s="5" t="s">
        <v>34</v>
      </c>
      <c r="D176" s="5" t="s">
        <v>354</v>
      </c>
      <c r="E176" s="6">
        <v>2</v>
      </c>
      <c r="F176" s="4">
        <v>2</v>
      </c>
      <c r="G176" s="24">
        <f t="shared" si="4"/>
        <v>0</v>
      </c>
      <c r="H176" s="28" t="s">
        <v>822</v>
      </c>
    </row>
    <row r="177" spans="1:8" hidden="1" x14ac:dyDescent="0.25">
      <c r="A177" s="4">
        <v>176</v>
      </c>
      <c r="B177" s="5" t="s">
        <v>355</v>
      </c>
      <c r="C177" s="5" t="s">
        <v>5</v>
      </c>
      <c r="D177" s="5" t="s">
        <v>356</v>
      </c>
      <c r="E177" s="6">
        <v>8</v>
      </c>
      <c r="F177" s="4">
        <v>8</v>
      </c>
      <c r="G177" s="24">
        <f t="shared" si="4"/>
        <v>0</v>
      </c>
      <c r="H177" s="28" t="s">
        <v>822</v>
      </c>
    </row>
    <row r="178" spans="1:8" hidden="1" x14ac:dyDescent="0.25">
      <c r="A178" s="4">
        <v>177</v>
      </c>
      <c r="B178" s="5" t="s">
        <v>357</v>
      </c>
      <c r="C178" s="5" t="s">
        <v>7</v>
      </c>
      <c r="D178" s="5" t="s">
        <v>358</v>
      </c>
      <c r="E178" s="6">
        <v>1</v>
      </c>
      <c r="F178" s="4">
        <v>1</v>
      </c>
      <c r="G178" s="24">
        <f t="shared" si="4"/>
        <v>0</v>
      </c>
      <c r="H178" s="28" t="s">
        <v>822</v>
      </c>
    </row>
    <row r="179" spans="1:8" hidden="1" x14ac:dyDescent="0.25">
      <c r="A179" s="4">
        <v>178</v>
      </c>
      <c r="B179" s="5" t="s">
        <v>359</v>
      </c>
      <c r="C179" s="5" t="s">
        <v>5</v>
      </c>
      <c r="D179" s="5" t="s">
        <v>360</v>
      </c>
      <c r="E179" s="6">
        <v>3</v>
      </c>
      <c r="F179" s="4">
        <v>3</v>
      </c>
      <c r="G179" s="24">
        <f t="shared" si="4"/>
        <v>0</v>
      </c>
      <c r="H179" s="28" t="s">
        <v>822</v>
      </c>
    </row>
    <row r="180" spans="1:8" hidden="1" x14ac:dyDescent="0.25">
      <c r="A180" s="4">
        <v>179</v>
      </c>
      <c r="B180" s="5" t="s">
        <v>361</v>
      </c>
      <c r="C180" s="5" t="s">
        <v>5</v>
      </c>
      <c r="D180" s="5" t="s">
        <v>362</v>
      </c>
      <c r="E180" s="6">
        <v>2</v>
      </c>
      <c r="F180" s="4">
        <v>2</v>
      </c>
      <c r="G180" s="24">
        <f t="shared" si="4"/>
        <v>0</v>
      </c>
      <c r="H180" s="28" t="s">
        <v>822</v>
      </c>
    </row>
    <row r="181" spans="1:8" hidden="1" x14ac:dyDescent="0.25">
      <c r="A181" s="4">
        <v>180</v>
      </c>
      <c r="B181" s="5" t="s">
        <v>363</v>
      </c>
      <c r="C181" s="5" t="s">
        <v>5</v>
      </c>
      <c r="D181" s="5" t="s">
        <v>364</v>
      </c>
      <c r="E181" s="6">
        <v>8</v>
      </c>
      <c r="F181" s="4">
        <v>8</v>
      </c>
      <c r="G181" s="24">
        <f t="shared" si="4"/>
        <v>0</v>
      </c>
      <c r="H181" s="28" t="s">
        <v>822</v>
      </c>
    </row>
    <row r="182" spans="1:8" hidden="1" x14ac:dyDescent="0.25">
      <c r="A182" s="4">
        <v>181</v>
      </c>
      <c r="B182" s="5" t="s">
        <v>365</v>
      </c>
      <c r="C182" s="5" t="s">
        <v>7</v>
      </c>
      <c r="D182" s="5" t="s">
        <v>366</v>
      </c>
      <c r="E182" s="6">
        <v>1</v>
      </c>
      <c r="F182" s="4">
        <v>1</v>
      </c>
      <c r="G182" s="24">
        <f t="shared" si="4"/>
        <v>0</v>
      </c>
      <c r="H182" s="28" t="s">
        <v>822</v>
      </c>
    </row>
    <row r="183" spans="1:8" hidden="1" x14ac:dyDescent="0.25">
      <c r="A183" s="4">
        <v>182</v>
      </c>
      <c r="B183" s="5" t="s">
        <v>367</v>
      </c>
      <c r="C183" s="5" t="s">
        <v>5</v>
      </c>
      <c r="D183" s="5" t="s">
        <v>368</v>
      </c>
      <c r="E183" s="6">
        <v>1</v>
      </c>
      <c r="F183" s="4">
        <v>1</v>
      </c>
      <c r="G183" s="24">
        <f t="shared" si="4"/>
        <v>0</v>
      </c>
      <c r="H183" s="28" t="s">
        <v>822</v>
      </c>
    </row>
    <row r="184" spans="1:8" hidden="1" x14ac:dyDescent="0.25">
      <c r="A184" s="4">
        <v>183</v>
      </c>
      <c r="B184" s="5" t="s">
        <v>369</v>
      </c>
      <c r="C184" s="5" t="s">
        <v>5</v>
      </c>
      <c r="D184" s="5" t="s">
        <v>370</v>
      </c>
      <c r="E184" s="6">
        <v>17</v>
      </c>
      <c r="F184" s="4">
        <v>17</v>
      </c>
      <c r="G184" s="24">
        <f t="shared" si="4"/>
        <v>0</v>
      </c>
      <c r="H184" s="28" t="s">
        <v>822</v>
      </c>
    </row>
    <row r="185" spans="1:8" hidden="1" x14ac:dyDescent="0.25">
      <c r="A185" s="4">
        <v>184</v>
      </c>
      <c r="B185" s="5" t="s">
        <v>371</v>
      </c>
      <c r="C185" s="5" t="s">
        <v>5</v>
      </c>
      <c r="D185" s="5" t="s">
        <v>372</v>
      </c>
      <c r="E185" s="6">
        <v>3</v>
      </c>
      <c r="F185" s="4">
        <v>3</v>
      </c>
      <c r="G185" s="24">
        <f t="shared" si="4"/>
        <v>0</v>
      </c>
      <c r="H185" s="28" t="s">
        <v>822</v>
      </c>
    </row>
    <row r="186" spans="1:8" hidden="1" x14ac:dyDescent="0.25">
      <c r="A186" s="4">
        <v>185</v>
      </c>
      <c r="B186" s="5" t="s">
        <v>373</v>
      </c>
      <c r="C186" s="5" t="s">
        <v>5</v>
      </c>
      <c r="D186" s="5" t="s">
        <v>374</v>
      </c>
      <c r="E186" s="6">
        <v>3</v>
      </c>
      <c r="F186" s="4">
        <v>3</v>
      </c>
      <c r="G186" s="24">
        <f t="shared" si="4"/>
        <v>0</v>
      </c>
      <c r="H186" s="28" t="s">
        <v>822</v>
      </c>
    </row>
    <row r="187" spans="1:8" hidden="1" x14ac:dyDescent="0.25">
      <c r="A187" s="4">
        <v>186</v>
      </c>
      <c r="B187" s="5" t="s">
        <v>375</v>
      </c>
      <c r="C187" s="5" t="s">
        <v>5</v>
      </c>
      <c r="D187" s="5" t="s">
        <v>376</v>
      </c>
      <c r="E187" s="6">
        <v>2</v>
      </c>
      <c r="F187" s="4">
        <v>2</v>
      </c>
      <c r="G187" s="24">
        <f t="shared" si="4"/>
        <v>0</v>
      </c>
      <c r="H187" s="28" t="s">
        <v>822</v>
      </c>
    </row>
    <row r="188" spans="1:8" hidden="1" x14ac:dyDescent="0.25">
      <c r="A188" s="4">
        <v>187</v>
      </c>
      <c r="B188" s="5" t="s">
        <v>377</v>
      </c>
      <c r="C188" s="5" t="s">
        <v>5</v>
      </c>
      <c r="D188" s="5" t="s">
        <v>378</v>
      </c>
      <c r="E188" s="6">
        <v>9</v>
      </c>
      <c r="F188" s="4">
        <v>9</v>
      </c>
      <c r="G188" s="24">
        <f t="shared" si="4"/>
        <v>0</v>
      </c>
      <c r="H188" s="28" t="s">
        <v>822</v>
      </c>
    </row>
    <row r="189" spans="1:8" hidden="1" x14ac:dyDescent="0.25">
      <c r="A189" s="4">
        <v>188</v>
      </c>
      <c r="B189" s="5" t="s">
        <v>379</v>
      </c>
      <c r="C189" s="5" t="s">
        <v>73</v>
      </c>
      <c r="D189" s="5" t="s">
        <v>380</v>
      </c>
      <c r="E189" s="6">
        <v>1</v>
      </c>
      <c r="F189" s="4">
        <v>1</v>
      </c>
      <c r="G189" s="24">
        <f t="shared" si="4"/>
        <v>0</v>
      </c>
      <c r="H189" s="28" t="s">
        <v>822</v>
      </c>
    </row>
    <row r="190" spans="1:8" hidden="1" x14ac:dyDescent="0.25">
      <c r="A190" s="4">
        <v>189</v>
      </c>
      <c r="B190" s="5" t="s">
        <v>381</v>
      </c>
      <c r="C190" s="5" t="s">
        <v>73</v>
      </c>
      <c r="D190" s="5" t="s">
        <v>382</v>
      </c>
      <c r="E190" s="6">
        <v>4</v>
      </c>
      <c r="F190" s="4">
        <v>4</v>
      </c>
      <c r="G190" s="24">
        <f t="shared" si="4"/>
        <v>0</v>
      </c>
      <c r="H190" s="28" t="s">
        <v>822</v>
      </c>
    </row>
    <row r="191" spans="1:8" hidden="1" x14ac:dyDescent="0.25">
      <c r="A191" s="4">
        <v>190</v>
      </c>
      <c r="B191" s="5">
        <v>2500008652</v>
      </c>
      <c r="C191" s="5" t="s">
        <v>5</v>
      </c>
      <c r="D191" s="5" t="s">
        <v>383</v>
      </c>
      <c r="E191" s="6">
        <v>2</v>
      </c>
      <c r="F191" s="4">
        <v>2</v>
      </c>
      <c r="G191" s="24">
        <f t="shared" si="4"/>
        <v>0</v>
      </c>
      <c r="H191" s="28" t="s">
        <v>822</v>
      </c>
    </row>
    <row r="192" spans="1:8" hidden="1" x14ac:dyDescent="0.25">
      <c r="A192" s="4">
        <v>191</v>
      </c>
      <c r="B192" s="5" t="s">
        <v>384</v>
      </c>
      <c r="C192" s="5" t="s">
        <v>5</v>
      </c>
      <c r="D192" s="5" t="s">
        <v>385</v>
      </c>
      <c r="E192" s="6">
        <v>2</v>
      </c>
      <c r="F192" s="4">
        <v>2</v>
      </c>
      <c r="G192" s="24">
        <f t="shared" si="4"/>
        <v>0</v>
      </c>
      <c r="H192" s="28" t="s">
        <v>822</v>
      </c>
    </row>
    <row r="193" spans="1:8" hidden="1" x14ac:dyDescent="0.25">
      <c r="A193" s="4">
        <v>192</v>
      </c>
      <c r="B193" s="5" t="s">
        <v>386</v>
      </c>
      <c r="C193" s="5" t="s">
        <v>193</v>
      </c>
      <c r="D193" s="5" t="s">
        <v>387</v>
      </c>
      <c r="E193" s="6">
        <v>2</v>
      </c>
      <c r="F193" s="4">
        <v>2</v>
      </c>
      <c r="G193" s="24">
        <f t="shared" si="4"/>
        <v>0</v>
      </c>
      <c r="H193" s="28" t="s">
        <v>822</v>
      </c>
    </row>
    <row r="194" spans="1:8" hidden="1" x14ac:dyDescent="0.25">
      <c r="A194" s="4">
        <v>193</v>
      </c>
      <c r="B194" s="5" t="s">
        <v>388</v>
      </c>
      <c r="C194" s="5" t="s">
        <v>73</v>
      </c>
      <c r="D194" s="5" t="s">
        <v>389</v>
      </c>
      <c r="E194" s="6">
        <v>2</v>
      </c>
      <c r="F194" s="4">
        <v>2</v>
      </c>
      <c r="G194" s="24">
        <f t="shared" ref="G194:G204" si="5">F194-E194</f>
        <v>0</v>
      </c>
      <c r="H194" s="28" t="s">
        <v>822</v>
      </c>
    </row>
    <row r="195" spans="1:8" hidden="1" x14ac:dyDescent="0.25">
      <c r="A195" s="4">
        <v>194</v>
      </c>
      <c r="B195" s="5" t="s">
        <v>390</v>
      </c>
      <c r="C195" s="5" t="s">
        <v>5</v>
      </c>
      <c r="D195" s="5" t="s">
        <v>391</v>
      </c>
      <c r="E195" s="6">
        <v>1</v>
      </c>
      <c r="F195" s="4">
        <v>1</v>
      </c>
      <c r="G195" s="24">
        <f t="shared" si="5"/>
        <v>0</v>
      </c>
      <c r="H195" s="28" t="s">
        <v>822</v>
      </c>
    </row>
    <row r="196" spans="1:8" hidden="1" x14ac:dyDescent="0.25">
      <c r="A196" s="4">
        <v>195</v>
      </c>
      <c r="B196" s="5" t="s">
        <v>392</v>
      </c>
      <c r="C196" s="5" t="s">
        <v>73</v>
      </c>
      <c r="D196" s="5" t="s">
        <v>393</v>
      </c>
      <c r="E196" s="6">
        <v>2</v>
      </c>
      <c r="F196" s="4">
        <v>2</v>
      </c>
      <c r="G196" s="24">
        <f t="shared" si="5"/>
        <v>0</v>
      </c>
      <c r="H196" s="28" t="s">
        <v>822</v>
      </c>
    </row>
    <row r="197" spans="1:8" hidden="1" x14ac:dyDescent="0.25">
      <c r="A197" s="4">
        <v>196</v>
      </c>
      <c r="B197" s="5" t="s">
        <v>394</v>
      </c>
      <c r="C197" s="5" t="s">
        <v>5</v>
      </c>
      <c r="D197" s="5" t="s">
        <v>395</v>
      </c>
      <c r="E197" s="6">
        <v>2</v>
      </c>
      <c r="F197" s="4">
        <v>2</v>
      </c>
      <c r="G197" s="24">
        <f t="shared" si="5"/>
        <v>0</v>
      </c>
      <c r="H197" s="28" t="s">
        <v>822</v>
      </c>
    </row>
    <row r="198" spans="1:8" hidden="1" x14ac:dyDescent="0.25">
      <c r="A198" s="4">
        <v>197</v>
      </c>
      <c r="B198" s="5" t="s">
        <v>396</v>
      </c>
      <c r="C198" s="5" t="s">
        <v>193</v>
      </c>
      <c r="D198" s="5" t="s">
        <v>397</v>
      </c>
      <c r="E198" s="6">
        <v>104</v>
      </c>
      <c r="F198" s="4">
        <v>104</v>
      </c>
      <c r="G198" s="24">
        <f t="shared" si="5"/>
        <v>0</v>
      </c>
      <c r="H198" s="28" t="s">
        <v>822</v>
      </c>
    </row>
    <row r="199" spans="1:8" hidden="1" x14ac:dyDescent="0.25">
      <c r="A199" s="4">
        <v>198</v>
      </c>
      <c r="B199" s="5" t="s">
        <v>398</v>
      </c>
      <c r="C199" s="5" t="s">
        <v>5</v>
      </c>
      <c r="D199" s="5" t="s">
        <v>399</v>
      </c>
      <c r="E199" s="6">
        <v>1</v>
      </c>
      <c r="F199" s="4">
        <v>1</v>
      </c>
      <c r="G199" s="24">
        <f t="shared" si="5"/>
        <v>0</v>
      </c>
      <c r="H199" s="28" t="s">
        <v>822</v>
      </c>
    </row>
    <row r="200" spans="1:8" hidden="1" x14ac:dyDescent="0.25">
      <c r="A200" s="4">
        <v>199</v>
      </c>
      <c r="B200" s="5" t="s">
        <v>400</v>
      </c>
      <c r="C200" s="5" t="s">
        <v>5</v>
      </c>
      <c r="D200" s="5" t="s">
        <v>401</v>
      </c>
      <c r="E200" s="6">
        <v>2</v>
      </c>
      <c r="F200" s="4">
        <v>2</v>
      </c>
      <c r="G200" s="24">
        <f t="shared" si="5"/>
        <v>0</v>
      </c>
      <c r="H200" s="28" t="s">
        <v>822</v>
      </c>
    </row>
    <row r="201" spans="1:8" hidden="1" x14ac:dyDescent="0.25">
      <c r="A201" s="4">
        <v>200</v>
      </c>
      <c r="B201" s="5" t="s">
        <v>402</v>
      </c>
      <c r="C201" s="5" t="s">
        <v>5</v>
      </c>
      <c r="D201" s="5" t="s">
        <v>403</v>
      </c>
      <c r="E201" s="6">
        <v>3</v>
      </c>
      <c r="F201" s="4">
        <v>3</v>
      </c>
      <c r="G201" s="24">
        <f t="shared" si="5"/>
        <v>0</v>
      </c>
      <c r="H201" s="28" t="s">
        <v>822</v>
      </c>
    </row>
    <row r="202" spans="1:8" hidden="1" x14ac:dyDescent="0.25">
      <c r="A202" s="4">
        <v>201</v>
      </c>
      <c r="B202" s="5" t="s">
        <v>404</v>
      </c>
      <c r="C202" s="5" t="s">
        <v>5</v>
      </c>
      <c r="D202" s="5" t="s">
        <v>405</v>
      </c>
      <c r="E202" s="6">
        <v>2</v>
      </c>
      <c r="F202" s="4">
        <v>2</v>
      </c>
      <c r="G202" s="24">
        <f t="shared" si="5"/>
        <v>0</v>
      </c>
      <c r="H202" s="28" t="s">
        <v>822</v>
      </c>
    </row>
    <row r="203" spans="1:8" hidden="1" x14ac:dyDescent="0.25">
      <c r="A203" s="4">
        <v>202</v>
      </c>
      <c r="B203" s="5" t="s">
        <v>406</v>
      </c>
      <c r="C203" s="5" t="s">
        <v>5</v>
      </c>
      <c r="D203" s="5" t="s">
        <v>407</v>
      </c>
      <c r="E203" s="6">
        <v>1</v>
      </c>
      <c r="F203" s="4">
        <v>1</v>
      </c>
      <c r="G203" s="24">
        <f t="shared" si="5"/>
        <v>0</v>
      </c>
      <c r="H203" s="28" t="s">
        <v>822</v>
      </c>
    </row>
    <row r="204" spans="1:8" hidden="1" x14ac:dyDescent="0.25">
      <c r="A204" s="4">
        <v>203</v>
      </c>
      <c r="B204" s="5" t="s">
        <v>408</v>
      </c>
      <c r="C204" s="5" t="s">
        <v>5</v>
      </c>
      <c r="D204" s="5" t="s">
        <v>409</v>
      </c>
      <c r="E204" s="6">
        <v>11</v>
      </c>
      <c r="F204" s="4">
        <v>11</v>
      </c>
      <c r="G204" s="24">
        <f t="shared" si="5"/>
        <v>0</v>
      </c>
      <c r="H204" s="28" t="s">
        <v>822</v>
      </c>
    </row>
    <row r="205" spans="1:8" hidden="1" x14ac:dyDescent="0.25">
      <c r="A205" s="4">
        <v>204</v>
      </c>
      <c r="B205" s="8">
        <v>2500005889</v>
      </c>
      <c r="C205" s="8" t="s">
        <v>7</v>
      </c>
      <c r="D205" s="8" t="s">
        <v>410</v>
      </c>
      <c r="E205" s="22">
        <v>2</v>
      </c>
      <c r="F205" s="9">
        <v>1</v>
      </c>
      <c r="G205" s="25">
        <f t="shared" ref="G205:G257" si="6">F205-E205</f>
        <v>-1</v>
      </c>
      <c r="H205" s="28" t="s">
        <v>823</v>
      </c>
    </row>
    <row r="206" spans="1:8" hidden="1" x14ac:dyDescent="0.25">
      <c r="A206" s="4">
        <v>205</v>
      </c>
      <c r="B206" s="5" t="s">
        <v>411</v>
      </c>
      <c r="C206" s="5" t="s">
        <v>5</v>
      </c>
      <c r="D206" s="5" t="s">
        <v>412</v>
      </c>
      <c r="E206" s="6">
        <v>4</v>
      </c>
      <c r="F206" s="4">
        <v>4</v>
      </c>
      <c r="G206" s="24">
        <f t="shared" si="6"/>
        <v>0</v>
      </c>
      <c r="H206" s="28" t="s">
        <v>822</v>
      </c>
    </row>
    <row r="207" spans="1:8" x14ac:dyDescent="0.25">
      <c r="A207" s="4">
        <v>206</v>
      </c>
      <c r="B207" s="8">
        <v>2500006879</v>
      </c>
      <c r="C207" s="8" t="s">
        <v>5</v>
      </c>
      <c r="D207" s="8" t="s">
        <v>413</v>
      </c>
      <c r="E207" s="22">
        <v>34</v>
      </c>
      <c r="F207" s="9">
        <v>32</v>
      </c>
      <c r="G207" s="25">
        <f t="shared" si="6"/>
        <v>-2</v>
      </c>
      <c r="H207" s="28" t="s">
        <v>829</v>
      </c>
    </row>
    <row r="208" spans="1:8" hidden="1" x14ac:dyDescent="0.25">
      <c r="A208" s="4">
        <v>207</v>
      </c>
      <c r="B208" s="5" t="s">
        <v>414</v>
      </c>
      <c r="C208" s="5" t="s">
        <v>7</v>
      </c>
      <c r="D208" s="5" t="s">
        <v>415</v>
      </c>
      <c r="E208" s="6">
        <v>7</v>
      </c>
      <c r="F208" s="4">
        <v>7</v>
      </c>
      <c r="G208" s="24">
        <f t="shared" si="6"/>
        <v>0</v>
      </c>
      <c r="H208" s="28" t="s">
        <v>822</v>
      </c>
    </row>
    <row r="209" spans="1:8" hidden="1" x14ac:dyDescent="0.25">
      <c r="A209" s="4">
        <v>208</v>
      </c>
      <c r="B209" s="5" t="s">
        <v>416</v>
      </c>
      <c r="C209" s="5" t="s">
        <v>7</v>
      </c>
      <c r="D209" s="5" t="s">
        <v>417</v>
      </c>
      <c r="E209" s="6">
        <v>1</v>
      </c>
      <c r="F209" s="4">
        <v>1</v>
      </c>
      <c r="G209" s="24">
        <f t="shared" si="6"/>
        <v>0</v>
      </c>
      <c r="H209" s="28" t="s">
        <v>822</v>
      </c>
    </row>
    <row r="210" spans="1:8" hidden="1" x14ac:dyDescent="0.25">
      <c r="A210" s="4">
        <v>209</v>
      </c>
      <c r="B210" s="5" t="s">
        <v>418</v>
      </c>
      <c r="C210" s="5" t="s">
        <v>5</v>
      </c>
      <c r="D210" s="5" t="s">
        <v>419</v>
      </c>
      <c r="E210" s="6">
        <v>3</v>
      </c>
      <c r="F210" s="4">
        <v>3</v>
      </c>
      <c r="G210" s="24">
        <f t="shared" si="6"/>
        <v>0</v>
      </c>
      <c r="H210" s="28" t="s">
        <v>822</v>
      </c>
    </row>
    <row r="211" spans="1:8" hidden="1" x14ac:dyDescent="0.25">
      <c r="A211" s="4">
        <v>210</v>
      </c>
      <c r="B211" s="5" t="s">
        <v>420</v>
      </c>
      <c r="C211" s="5" t="s">
        <v>5</v>
      </c>
      <c r="D211" s="5" t="s">
        <v>421</v>
      </c>
      <c r="E211" s="6">
        <v>1</v>
      </c>
      <c r="F211" s="4">
        <v>1</v>
      </c>
      <c r="G211" s="24">
        <f t="shared" si="6"/>
        <v>0</v>
      </c>
      <c r="H211" s="28" t="s">
        <v>822</v>
      </c>
    </row>
    <row r="212" spans="1:8" hidden="1" x14ac:dyDescent="0.25">
      <c r="A212" s="4">
        <v>211</v>
      </c>
      <c r="B212" s="5" t="s">
        <v>422</v>
      </c>
      <c r="C212" s="5" t="s">
        <v>5</v>
      </c>
      <c r="D212" s="5" t="s">
        <v>423</v>
      </c>
      <c r="E212" s="6">
        <v>2</v>
      </c>
      <c r="F212" s="4">
        <v>2</v>
      </c>
      <c r="G212" s="24">
        <f t="shared" si="6"/>
        <v>0</v>
      </c>
      <c r="H212" s="28" t="s">
        <v>822</v>
      </c>
    </row>
    <row r="213" spans="1:8" hidden="1" x14ac:dyDescent="0.25">
      <c r="A213" s="4">
        <v>212</v>
      </c>
      <c r="B213" s="8" t="s">
        <v>424</v>
      </c>
      <c r="C213" s="8" t="s">
        <v>7</v>
      </c>
      <c r="D213" s="8" t="s">
        <v>425</v>
      </c>
      <c r="E213" s="22">
        <v>4</v>
      </c>
      <c r="F213" s="9">
        <v>3</v>
      </c>
      <c r="G213" s="25">
        <f t="shared" si="6"/>
        <v>-1</v>
      </c>
      <c r="H213" s="28" t="s">
        <v>823</v>
      </c>
    </row>
    <row r="214" spans="1:8" hidden="1" x14ac:dyDescent="0.25">
      <c r="A214" s="4">
        <v>213</v>
      </c>
      <c r="B214" s="5" t="s">
        <v>426</v>
      </c>
      <c r="C214" s="5" t="s">
        <v>5</v>
      </c>
      <c r="D214" s="5" t="s">
        <v>427</v>
      </c>
      <c r="E214" s="6">
        <v>4</v>
      </c>
      <c r="F214" s="4">
        <v>4</v>
      </c>
      <c r="G214" s="24">
        <f t="shared" si="6"/>
        <v>0</v>
      </c>
      <c r="H214" s="28" t="s">
        <v>822</v>
      </c>
    </row>
    <row r="215" spans="1:8" hidden="1" x14ac:dyDescent="0.25">
      <c r="A215" s="4">
        <v>214</v>
      </c>
      <c r="B215" s="5" t="s">
        <v>428</v>
      </c>
      <c r="C215" s="5" t="s">
        <v>5</v>
      </c>
      <c r="D215" s="5" t="s">
        <v>429</v>
      </c>
      <c r="E215" s="6">
        <v>1</v>
      </c>
      <c r="F215" s="4">
        <v>1</v>
      </c>
      <c r="G215" s="24">
        <f t="shared" si="6"/>
        <v>0</v>
      </c>
      <c r="H215" s="28" t="s">
        <v>822</v>
      </c>
    </row>
    <row r="216" spans="1:8" hidden="1" x14ac:dyDescent="0.25">
      <c r="A216" s="4">
        <v>215</v>
      </c>
      <c r="B216" s="5" t="s">
        <v>430</v>
      </c>
      <c r="C216" s="5" t="s">
        <v>7</v>
      </c>
      <c r="D216" s="5" t="s">
        <v>431</v>
      </c>
      <c r="E216" s="6">
        <v>4</v>
      </c>
      <c r="F216" s="4">
        <v>4</v>
      </c>
      <c r="G216" s="24">
        <f t="shared" si="6"/>
        <v>0</v>
      </c>
      <c r="H216" s="28" t="s">
        <v>822</v>
      </c>
    </row>
    <row r="217" spans="1:8" hidden="1" x14ac:dyDescent="0.25">
      <c r="A217" s="4">
        <v>216</v>
      </c>
      <c r="B217" s="5" t="s">
        <v>432</v>
      </c>
      <c r="C217" s="5" t="s">
        <v>5</v>
      </c>
      <c r="D217" s="5" t="s">
        <v>433</v>
      </c>
      <c r="E217" s="6">
        <v>57</v>
      </c>
      <c r="F217" s="4">
        <v>57</v>
      </c>
      <c r="G217" s="24">
        <f t="shared" si="6"/>
        <v>0</v>
      </c>
      <c r="H217" s="28" t="s">
        <v>822</v>
      </c>
    </row>
    <row r="218" spans="1:8" hidden="1" x14ac:dyDescent="0.25">
      <c r="A218" s="4">
        <v>217</v>
      </c>
      <c r="B218" s="5" t="s">
        <v>434</v>
      </c>
      <c r="C218" s="5" t="s">
        <v>5</v>
      </c>
      <c r="D218" s="5" t="s">
        <v>435</v>
      </c>
      <c r="E218" s="6">
        <v>3</v>
      </c>
      <c r="F218" s="4">
        <v>3</v>
      </c>
      <c r="G218" s="24">
        <f t="shared" si="6"/>
        <v>0</v>
      </c>
      <c r="H218" s="28" t="s">
        <v>822</v>
      </c>
    </row>
    <row r="219" spans="1:8" hidden="1" x14ac:dyDescent="0.25">
      <c r="A219" s="4">
        <v>218</v>
      </c>
      <c r="B219" s="5" t="s">
        <v>436</v>
      </c>
      <c r="C219" s="5" t="s">
        <v>34</v>
      </c>
      <c r="D219" s="5" t="s">
        <v>437</v>
      </c>
      <c r="E219" s="6">
        <v>2</v>
      </c>
      <c r="F219" s="4">
        <v>2</v>
      </c>
      <c r="G219" s="24">
        <f t="shared" si="6"/>
        <v>0</v>
      </c>
      <c r="H219" s="28" t="s">
        <v>822</v>
      </c>
    </row>
    <row r="220" spans="1:8" hidden="1" x14ac:dyDescent="0.25">
      <c r="A220" s="4">
        <v>219</v>
      </c>
      <c r="B220" s="5" t="s">
        <v>438</v>
      </c>
      <c r="C220" s="5" t="s">
        <v>5</v>
      </c>
      <c r="D220" s="5" t="s">
        <v>439</v>
      </c>
      <c r="E220" s="6">
        <v>4</v>
      </c>
      <c r="F220" s="4">
        <v>4</v>
      </c>
      <c r="G220" s="24">
        <f t="shared" si="6"/>
        <v>0</v>
      </c>
      <c r="H220" s="28" t="s">
        <v>822</v>
      </c>
    </row>
    <row r="221" spans="1:8" hidden="1" x14ac:dyDescent="0.25">
      <c r="A221" s="4">
        <v>220</v>
      </c>
      <c r="B221" s="5" t="s">
        <v>440</v>
      </c>
      <c r="C221" s="5" t="s">
        <v>5</v>
      </c>
      <c r="D221" s="5" t="s">
        <v>441</v>
      </c>
      <c r="E221" s="6">
        <v>5</v>
      </c>
      <c r="F221" s="4">
        <v>5</v>
      </c>
      <c r="G221" s="24">
        <f t="shared" si="6"/>
        <v>0</v>
      </c>
      <c r="H221" s="28" t="s">
        <v>822</v>
      </c>
    </row>
    <row r="222" spans="1:8" hidden="1" x14ac:dyDescent="0.25">
      <c r="A222" s="4">
        <v>221</v>
      </c>
      <c r="B222" s="5" t="s">
        <v>442</v>
      </c>
      <c r="C222" s="5" t="s">
        <v>5</v>
      </c>
      <c r="D222" s="5" t="s">
        <v>443</v>
      </c>
      <c r="E222" s="6">
        <v>4</v>
      </c>
      <c r="F222" s="4">
        <v>4</v>
      </c>
      <c r="G222" s="24">
        <f t="shared" si="6"/>
        <v>0</v>
      </c>
      <c r="H222" s="28" t="s">
        <v>822</v>
      </c>
    </row>
    <row r="223" spans="1:8" hidden="1" x14ac:dyDescent="0.25">
      <c r="A223" s="4">
        <v>222</v>
      </c>
      <c r="B223" s="5" t="s">
        <v>444</v>
      </c>
      <c r="C223" s="5" t="s">
        <v>7</v>
      </c>
      <c r="D223" s="5" t="s">
        <v>445</v>
      </c>
      <c r="E223" s="6">
        <v>2</v>
      </c>
      <c r="F223" s="4">
        <v>2</v>
      </c>
      <c r="G223" s="24">
        <f t="shared" si="6"/>
        <v>0</v>
      </c>
      <c r="H223" s="28" t="s">
        <v>822</v>
      </c>
    </row>
    <row r="224" spans="1:8" hidden="1" x14ac:dyDescent="0.25">
      <c r="A224" s="4">
        <v>223</v>
      </c>
      <c r="B224" s="5" t="s">
        <v>446</v>
      </c>
      <c r="C224" s="5" t="s">
        <v>34</v>
      </c>
      <c r="D224" s="5" t="s">
        <v>447</v>
      </c>
      <c r="E224" s="6">
        <v>2</v>
      </c>
      <c r="F224" s="4">
        <v>2</v>
      </c>
      <c r="G224" s="24">
        <f t="shared" si="6"/>
        <v>0</v>
      </c>
      <c r="H224" s="28" t="s">
        <v>822</v>
      </c>
    </row>
    <row r="225" spans="1:8" hidden="1" x14ac:dyDescent="0.25">
      <c r="A225" s="4">
        <v>224</v>
      </c>
      <c r="B225" s="5" t="s">
        <v>448</v>
      </c>
      <c r="C225" s="5" t="s">
        <v>34</v>
      </c>
      <c r="D225" s="5" t="s">
        <v>449</v>
      </c>
      <c r="E225" s="6">
        <v>2</v>
      </c>
      <c r="F225" s="4">
        <v>2</v>
      </c>
      <c r="G225" s="24">
        <f t="shared" si="6"/>
        <v>0</v>
      </c>
      <c r="H225" s="28" t="s">
        <v>822</v>
      </c>
    </row>
    <row r="226" spans="1:8" hidden="1" x14ac:dyDescent="0.25">
      <c r="A226" s="4">
        <v>225</v>
      </c>
      <c r="B226" s="5" t="s">
        <v>450</v>
      </c>
      <c r="C226" s="5" t="s">
        <v>5</v>
      </c>
      <c r="D226" s="5" t="s">
        <v>451</v>
      </c>
      <c r="E226" s="6">
        <v>2</v>
      </c>
      <c r="F226" s="4">
        <v>2</v>
      </c>
      <c r="G226" s="24">
        <f t="shared" si="6"/>
        <v>0</v>
      </c>
      <c r="H226" s="28" t="s">
        <v>822</v>
      </c>
    </row>
    <row r="227" spans="1:8" hidden="1" x14ac:dyDescent="0.25">
      <c r="A227" s="4">
        <v>226</v>
      </c>
      <c r="B227" s="8">
        <v>2500008311</v>
      </c>
      <c r="C227" s="8" t="s">
        <v>7</v>
      </c>
      <c r="D227" s="8" t="s">
        <v>452</v>
      </c>
      <c r="E227" s="22">
        <v>1</v>
      </c>
      <c r="F227" s="9">
        <v>0</v>
      </c>
      <c r="G227" s="25">
        <f t="shared" si="6"/>
        <v>-1</v>
      </c>
      <c r="H227" s="28" t="s">
        <v>821</v>
      </c>
    </row>
    <row r="228" spans="1:8" hidden="1" x14ac:dyDescent="0.25">
      <c r="A228" s="4">
        <v>227</v>
      </c>
      <c r="B228" s="5" t="s">
        <v>453</v>
      </c>
      <c r="C228" s="5" t="s">
        <v>7</v>
      </c>
      <c r="D228" s="5" t="s">
        <v>454</v>
      </c>
      <c r="E228" s="6">
        <v>2</v>
      </c>
      <c r="F228" s="4">
        <v>2</v>
      </c>
      <c r="G228" s="24">
        <f t="shared" si="6"/>
        <v>0</v>
      </c>
      <c r="H228" s="28" t="s">
        <v>822</v>
      </c>
    </row>
    <row r="229" spans="1:8" hidden="1" x14ac:dyDescent="0.25">
      <c r="A229" s="4">
        <v>228</v>
      </c>
      <c r="B229" s="5" t="s">
        <v>455</v>
      </c>
      <c r="C229" s="5" t="s">
        <v>5</v>
      </c>
      <c r="D229" s="5" t="s">
        <v>456</v>
      </c>
      <c r="E229" s="6">
        <v>2</v>
      </c>
      <c r="F229" s="4">
        <v>2</v>
      </c>
      <c r="G229" s="24">
        <f t="shared" si="6"/>
        <v>0</v>
      </c>
      <c r="H229" s="28" t="s">
        <v>822</v>
      </c>
    </row>
    <row r="230" spans="1:8" hidden="1" x14ac:dyDescent="0.25">
      <c r="A230" s="4">
        <v>229</v>
      </c>
      <c r="B230" s="8" t="s">
        <v>457</v>
      </c>
      <c r="C230" s="8" t="s">
        <v>5</v>
      </c>
      <c r="D230" s="8" t="s">
        <v>458</v>
      </c>
      <c r="E230" s="22">
        <v>2</v>
      </c>
      <c r="F230" s="9">
        <v>1</v>
      </c>
      <c r="G230" s="25">
        <f t="shared" si="6"/>
        <v>-1</v>
      </c>
      <c r="H230" s="28" t="s">
        <v>823</v>
      </c>
    </row>
    <row r="231" spans="1:8" hidden="1" x14ac:dyDescent="0.25">
      <c r="A231" s="4">
        <v>230</v>
      </c>
      <c r="B231" s="5" t="s">
        <v>459</v>
      </c>
      <c r="C231" s="5" t="s">
        <v>5</v>
      </c>
      <c r="D231" s="5" t="s">
        <v>460</v>
      </c>
      <c r="E231" s="6">
        <v>3</v>
      </c>
      <c r="F231" s="4">
        <v>3</v>
      </c>
      <c r="G231" s="24">
        <f t="shared" si="6"/>
        <v>0</v>
      </c>
      <c r="H231" s="28" t="s">
        <v>822</v>
      </c>
    </row>
    <row r="232" spans="1:8" hidden="1" x14ac:dyDescent="0.25">
      <c r="A232" s="4">
        <v>231</v>
      </c>
      <c r="B232" s="5" t="s">
        <v>461</v>
      </c>
      <c r="C232" s="5" t="s">
        <v>5</v>
      </c>
      <c r="D232" s="5" t="s">
        <v>462</v>
      </c>
      <c r="E232" s="6">
        <v>3</v>
      </c>
      <c r="F232" s="4">
        <v>3</v>
      </c>
      <c r="G232" s="24">
        <f t="shared" si="6"/>
        <v>0</v>
      </c>
      <c r="H232" s="28" t="s">
        <v>822</v>
      </c>
    </row>
    <row r="233" spans="1:8" hidden="1" x14ac:dyDescent="0.25">
      <c r="A233" s="4">
        <v>232</v>
      </c>
      <c r="B233" s="8" t="s">
        <v>463</v>
      </c>
      <c r="C233" s="8" t="s">
        <v>5</v>
      </c>
      <c r="D233" s="8" t="s">
        <v>464</v>
      </c>
      <c r="E233" s="22">
        <v>20</v>
      </c>
      <c r="F233" s="9">
        <v>12</v>
      </c>
      <c r="G233" s="25">
        <f t="shared" si="6"/>
        <v>-8</v>
      </c>
      <c r="H233" s="28" t="s">
        <v>823</v>
      </c>
    </row>
    <row r="234" spans="1:8" hidden="1" x14ac:dyDescent="0.25">
      <c r="A234" s="4">
        <v>233</v>
      </c>
      <c r="B234" s="5" t="s">
        <v>465</v>
      </c>
      <c r="C234" s="5" t="s">
        <v>5</v>
      </c>
      <c r="D234" s="5" t="s">
        <v>466</v>
      </c>
      <c r="E234" s="6">
        <v>2</v>
      </c>
      <c r="F234" s="4">
        <v>2</v>
      </c>
      <c r="G234" s="24">
        <f t="shared" si="6"/>
        <v>0</v>
      </c>
      <c r="H234" s="28" t="s">
        <v>822</v>
      </c>
    </row>
    <row r="235" spans="1:8" hidden="1" x14ac:dyDescent="0.25">
      <c r="A235" s="4">
        <v>234</v>
      </c>
      <c r="B235" s="5" t="s">
        <v>467</v>
      </c>
      <c r="C235" s="5" t="s">
        <v>5</v>
      </c>
      <c r="D235" s="5" t="s">
        <v>468</v>
      </c>
      <c r="E235" s="6">
        <v>8</v>
      </c>
      <c r="F235" s="4">
        <v>8</v>
      </c>
      <c r="G235" s="24">
        <f t="shared" si="6"/>
        <v>0</v>
      </c>
      <c r="H235" s="28" t="s">
        <v>822</v>
      </c>
    </row>
    <row r="236" spans="1:8" hidden="1" x14ac:dyDescent="0.25">
      <c r="A236" s="4">
        <v>235</v>
      </c>
      <c r="B236" s="5" t="s">
        <v>469</v>
      </c>
      <c r="C236" s="5" t="s">
        <v>5</v>
      </c>
      <c r="D236" s="5" t="s">
        <v>470</v>
      </c>
      <c r="E236" s="6">
        <v>5</v>
      </c>
      <c r="F236" s="4">
        <v>5</v>
      </c>
      <c r="G236" s="24">
        <f t="shared" si="6"/>
        <v>0</v>
      </c>
      <c r="H236" s="28" t="s">
        <v>822</v>
      </c>
    </row>
    <row r="237" spans="1:8" hidden="1" x14ac:dyDescent="0.25">
      <c r="A237" s="4">
        <v>236</v>
      </c>
      <c r="B237" s="5" t="s">
        <v>471</v>
      </c>
      <c r="C237" s="5" t="s">
        <v>5</v>
      </c>
      <c r="D237" s="5" t="s">
        <v>472</v>
      </c>
      <c r="E237" s="6">
        <v>2</v>
      </c>
      <c r="F237" s="4">
        <v>2</v>
      </c>
      <c r="G237" s="24">
        <f t="shared" si="6"/>
        <v>0</v>
      </c>
      <c r="H237" s="28" t="s">
        <v>822</v>
      </c>
    </row>
    <row r="238" spans="1:8" hidden="1" x14ac:dyDescent="0.25">
      <c r="A238" s="4">
        <v>237</v>
      </c>
      <c r="B238" s="5" t="s">
        <v>473</v>
      </c>
      <c r="C238" s="5" t="s">
        <v>5</v>
      </c>
      <c r="D238" s="5" t="s">
        <v>474</v>
      </c>
      <c r="E238" s="6">
        <v>3</v>
      </c>
      <c r="F238" s="4">
        <v>3</v>
      </c>
      <c r="G238" s="24">
        <f t="shared" si="6"/>
        <v>0</v>
      </c>
      <c r="H238" s="28" t="s">
        <v>822</v>
      </c>
    </row>
    <row r="239" spans="1:8" hidden="1" x14ac:dyDescent="0.25">
      <c r="A239" s="4">
        <v>238</v>
      </c>
      <c r="B239" s="5" t="s">
        <v>475</v>
      </c>
      <c r="C239" s="5" t="s">
        <v>5</v>
      </c>
      <c r="D239" s="5" t="s">
        <v>476</v>
      </c>
      <c r="E239" s="6">
        <v>2</v>
      </c>
      <c r="F239" s="4">
        <v>2</v>
      </c>
      <c r="G239" s="24">
        <f t="shared" si="6"/>
        <v>0</v>
      </c>
      <c r="H239" s="28" t="s">
        <v>822</v>
      </c>
    </row>
    <row r="240" spans="1:8" hidden="1" x14ac:dyDescent="0.25">
      <c r="A240" s="4">
        <v>239</v>
      </c>
      <c r="B240" s="5" t="s">
        <v>477</v>
      </c>
      <c r="C240" s="5" t="s">
        <v>5</v>
      </c>
      <c r="D240" s="5" t="s">
        <v>478</v>
      </c>
      <c r="E240" s="6">
        <v>1</v>
      </c>
      <c r="F240" s="4">
        <v>1</v>
      </c>
      <c r="G240" s="24">
        <f t="shared" si="6"/>
        <v>0</v>
      </c>
      <c r="H240" s="28" t="s">
        <v>822</v>
      </c>
    </row>
    <row r="241" spans="1:8" hidden="1" x14ac:dyDescent="0.25">
      <c r="A241" s="4">
        <v>240</v>
      </c>
      <c r="B241" s="5" t="s">
        <v>479</v>
      </c>
      <c r="C241" s="5" t="s">
        <v>5</v>
      </c>
      <c r="D241" s="5" t="s">
        <v>480</v>
      </c>
      <c r="E241" s="6">
        <v>2</v>
      </c>
      <c r="F241" s="4">
        <v>2</v>
      </c>
      <c r="G241" s="24">
        <f t="shared" si="6"/>
        <v>0</v>
      </c>
      <c r="H241" s="28" t="s">
        <v>822</v>
      </c>
    </row>
    <row r="242" spans="1:8" hidden="1" x14ac:dyDescent="0.25">
      <c r="A242" s="4">
        <v>241</v>
      </c>
      <c r="B242" s="5" t="s">
        <v>481</v>
      </c>
      <c r="C242" s="5" t="s">
        <v>193</v>
      </c>
      <c r="D242" s="5" t="s">
        <v>482</v>
      </c>
      <c r="E242" s="6">
        <v>900</v>
      </c>
      <c r="F242" s="4">
        <v>900</v>
      </c>
      <c r="G242" s="24">
        <f t="shared" si="6"/>
        <v>0</v>
      </c>
      <c r="H242" s="28" t="s">
        <v>822</v>
      </c>
    </row>
    <row r="243" spans="1:8" hidden="1" x14ac:dyDescent="0.25">
      <c r="A243" s="4">
        <v>242</v>
      </c>
      <c r="B243" s="5" t="s">
        <v>483</v>
      </c>
      <c r="C243" s="5" t="s">
        <v>5</v>
      </c>
      <c r="D243" s="5" t="s">
        <v>484</v>
      </c>
      <c r="E243" s="6">
        <v>3</v>
      </c>
      <c r="F243" s="4">
        <v>3</v>
      </c>
      <c r="G243" s="24">
        <f t="shared" si="6"/>
        <v>0</v>
      </c>
      <c r="H243" s="28" t="s">
        <v>822</v>
      </c>
    </row>
    <row r="244" spans="1:8" hidden="1" x14ac:dyDescent="0.25">
      <c r="A244" s="4">
        <v>243</v>
      </c>
      <c r="B244" s="5" t="s">
        <v>485</v>
      </c>
      <c r="C244" s="5" t="s">
        <v>5</v>
      </c>
      <c r="D244" s="5" t="s">
        <v>486</v>
      </c>
      <c r="E244" s="6">
        <v>1</v>
      </c>
      <c r="F244" s="4">
        <v>1</v>
      </c>
      <c r="G244" s="24">
        <f t="shared" si="6"/>
        <v>0</v>
      </c>
      <c r="H244" s="28" t="s">
        <v>822</v>
      </c>
    </row>
    <row r="245" spans="1:8" hidden="1" x14ac:dyDescent="0.25">
      <c r="A245" s="4">
        <v>244</v>
      </c>
      <c r="B245" s="5" t="s">
        <v>487</v>
      </c>
      <c r="C245" s="5" t="s">
        <v>73</v>
      </c>
      <c r="D245" s="5" t="s">
        <v>488</v>
      </c>
      <c r="E245" s="6">
        <v>2</v>
      </c>
      <c r="F245" s="4">
        <v>2</v>
      </c>
      <c r="G245" s="24">
        <f t="shared" si="6"/>
        <v>0</v>
      </c>
      <c r="H245" s="28" t="s">
        <v>822</v>
      </c>
    </row>
    <row r="246" spans="1:8" hidden="1" x14ac:dyDescent="0.25">
      <c r="A246" s="4">
        <v>245</v>
      </c>
      <c r="B246" s="5" t="s">
        <v>489</v>
      </c>
      <c r="C246" s="5" t="s">
        <v>195</v>
      </c>
      <c r="D246" s="5" t="s">
        <v>490</v>
      </c>
      <c r="E246" s="6">
        <v>50</v>
      </c>
      <c r="F246" s="4">
        <v>50</v>
      </c>
      <c r="G246" s="24">
        <f t="shared" si="6"/>
        <v>0</v>
      </c>
      <c r="H246" s="28" t="s">
        <v>822</v>
      </c>
    </row>
    <row r="247" spans="1:8" hidden="1" x14ac:dyDescent="0.25">
      <c r="A247" s="4">
        <v>246</v>
      </c>
      <c r="B247" s="5" t="s">
        <v>491</v>
      </c>
      <c r="C247" s="5" t="s">
        <v>5</v>
      </c>
      <c r="D247" s="5" t="s">
        <v>492</v>
      </c>
      <c r="E247" s="6">
        <v>1</v>
      </c>
      <c r="F247" s="4">
        <v>1</v>
      </c>
      <c r="G247" s="24">
        <f t="shared" si="6"/>
        <v>0</v>
      </c>
      <c r="H247" s="28" t="s">
        <v>822</v>
      </c>
    </row>
    <row r="248" spans="1:8" hidden="1" x14ac:dyDescent="0.25">
      <c r="A248" s="4">
        <v>247</v>
      </c>
      <c r="B248" s="5" t="s">
        <v>493</v>
      </c>
      <c r="C248" s="5" t="s">
        <v>5</v>
      </c>
      <c r="D248" s="5" t="s">
        <v>494</v>
      </c>
      <c r="E248" s="6">
        <v>4</v>
      </c>
      <c r="F248" s="4">
        <v>4</v>
      </c>
      <c r="G248" s="24">
        <f t="shared" si="6"/>
        <v>0</v>
      </c>
      <c r="H248" s="28" t="s">
        <v>822</v>
      </c>
    </row>
    <row r="249" spans="1:8" hidden="1" x14ac:dyDescent="0.25">
      <c r="A249" s="4">
        <v>248</v>
      </c>
      <c r="B249" s="5" t="s">
        <v>495</v>
      </c>
      <c r="C249" s="5" t="s">
        <v>193</v>
      </c>
      <c r="D249" s="5" t="s">
        <v>496</v>
      </c>
      <c r="E249" s="6">
        <v>50</v>
      </c>
      <c r="F249" s="4">
        <v>50</v>
      </c>
      <c r="G249" s="24">
        <f t="shared" si="6"/>
        <v>0</v>
      </c>
      <c r="H249" s="28" t="s">
        <v>822</v>
      </c>
    </row>
    <row r="250" spans="1:8" hidden="1" x14ac:dyDescent="0.25">
      <c r="A250" s="4">
        <v>249</v>
      </c>
      <c r="B250" s="5" t="s">
        <v>497</v>
      </c>
      <c r="C250" s="5" t="s">
        <v>193</v>
      </c>
      <c r="D250" s="5" t="s">
        <v>498</v>
      </c>
      <c r="E250" s="6">
        <v>20</v>
      </c>
      <c r="F250" s="4">
        <v>20</v>
      </c>
      <c r="G250" s="24">
        <f t="shared" si="6"/>
        <v>0</v>
      </c>
      <c r="H250" s="28" t="s">
        <v>822</v>
      </c>
    </row>
    <row r="251" spans="1:8" hidden="1" x14ac:dyDescent="0.25">
      <c r="A251" s="4">
        <v>250</v>
      </c>
      <c r="B251" s="5" t="s">
        <v>499</v>
      </c>
      <c r="C251" s="5" t="s">
        <v>5</v>
      </c>
      <c r="D251" s="5" t="s">
        <v>500</v>
      </c>
      <c r="E251" s="6">
        <v>1</v>
      </c>
      <c r="F251" s="4">
        <v>1</v>
      </c>
      <c r="G251" s="24">
        <f t="shared" si="6"/>
        <v>0</v>
      </c>
      <c r="H251" s="28" t="s">
        <v>822</v>
      </c>
    </row>
    <row r="252" spans="1:8" hidden="1" x14ac:dyDescent="0.25">
      <c r="A252" s="4">
        <v>251</v>
      </c>
      <c r="B252" s="5" t="s">
        <v>501</v>
      </c>
      <c r="C252" s="5" t="s">
        <v>5</v>
      </c>
      <c r="D252" s="5" t="s">
        <v>502</v>
      </c>
      <c r="E252" s="6">
        <v>7</v>
      </c>
      <c r="F252" s="4">
        <v>7</v>
      </c>
      <c r="G252" s="24">
        <f t="shared" si="6"/>
        <v>0</v>
      </c>
      <c r="H252" s="28" t="s">
        <v>822</v>
      </c>
    </row>
    <row r="253" spans="1:8" hidden="1" x14ac:dyDescent="0.25">
      <c r="A253" s="4">
        <v>252</v>
      </c>
      <c r="B253" s="5" t="s">
        <v>503</v>
      </c>
      <c r="C253" s="5" t="s">
        <v>5</v>
      </c>
      <c r="D253" s="5" t="s">
        <v>504</v>
      </c>
      <c r="E253" s="6">
        <v>2</v>
      </c>
      <c r="F253" s="4">
        <v>2</v>
      </c>
      <c r="G253" s="24">
        <f t="shared" si="6"/>
        <v>0</v>
      </c>
      <c r="H253" s="28" t="s">
        <v>822</v>
      </c>
    </row>
    <row r="254" spans="1:8" hidden="1" x14ac:dyDescent="0.25">
      <c r="A254" s="4">
        <v>253</v>
      </c>
      <c r="B254" s="5" t="s">
        <v>505</v>
      </c>
      <c r="C254" s="5" t="s">
        <v>5</v>
      </c>
      <c r="D254" s="5" t="s">
        <v>506</v>
      </c>
      <c r="E254" s="6">
        <v>5</v>
      </c>
      <c r="F254" s="4">
        <v>5</v>
      </c>
      <c r="G254" s="24">
        <f t="shared" si="6"/>
        <v>0</v>
      </c>
      <c r="H254" s="28" t="s">
        <v>822</v>
      </c>
    </row>
    <row r="255" spans="1:8" hidden="1" x14ac:dyDescent="0.25">
      <c r="A255" s="4">
        <v>254</v>
      </c>
      <c r="B255" s="5" t="s">
        <v>507</v>
      </c>
      <c r="C255" s="5" t="s">
        <v>5</v>
      </c>
      <c r="D255" s="5" t="s">
        <v>508</v>
      </c>
      <c r="E255" s="6">
        <v>1</v>
      </c>
      <c r="F255" s="4">
        <v>1</v>
      </c>
      <c r="G255" s="24">
        <f t="shared" si="6"/>
        <v>0</v>
      </c>
      <c r="H255" s="28" t="s">
        <v>822</v>
      </c>
    </row>
    <row r="256" spans="1:8" hidden="1" x14ac:dyDescent="0.25">
      <c r="A256" s="4">
        <v>255</v>
      </c>
      <c r="B256" s="5" t="s">
        <v>509</v>
      </c>
      <c r="C256" s="5" t="s">
        <v>5</v>
      </c>
      <c r="D256" s="5" t="s">
        <v>510</v>
      </c>
      <c r="E256" s="6">
        <v>1</v>
      </c>
      <c r="F256" s="4">
        <v>1</v>
      </c>
      <c r="G256" s="24">
        <f t="shared" si="6"/>
        <v>0</v>
      </c>
      <c r="H256" s="28" t="s">
        <v>822</v>
      </c>
    </row>
    <row r="257" spans="1:8" hidden="1" x14ac:dyDescent="0.25">
      <c r="A257" s="4">
        <v>256</v>
      </c>
      <c r="B257" s="5" t="s">
        <v>511</v>
      </c>
      <c r="C257" s="5" t="s">
        <v>5</v>
      </c>
      <c r="D257" s="5" t="s">
        <v>512</v>
      </c>
      <c r="E257" s="6">
        <v>1</v>
      </c>
      <c r="F257" s="4">
        <v>1</v>
      </c>
      <c r="G257" s="24">
        <f t="shared" si="6"/>
        <v>0</v>
      </c>
      <c r="H257" s="28" t="s">
        <v>822</v>
      </c>
    </row>
    <row r="258" spans="1:8" hidden="1" x14ac:dyDescent="0.25">
      <c r="A258" s="4">
        <v>257</v>
      </c>
      <c r="B258" s="5" t="s">
        <v>513</v>
      </c>
      <c r="C258" s="5" t="s">
        <v>5</v>
      </c>
      <c r="D258" s="5" t="s">
        <v>514</v>
      </c>
      <c r="E258" s="6">
        <v>5</v>
      </c>
      <c r="F258" s="4">
        <v>5</v>
      </c>
      <c r="G258" s="24">
        <f t="shared" ref="G258:G259" si="7">F258-E258</f>
        <v>0</v>
      </c>
      <c r="H258" s="28" t="s">
        <v>822</v>
      </c>
    </row>
    <row r="259" spans="1:8" hidden="1" x14ac:dyDescent="0.25">
      <c r="A259" s="4">
        <v>258</v>
      </c>
      <c r="B259" s="5" t="s">
        <v>515</v>
      </c>
      <c r="C259" s="5" t="s">
        <v>516</v>
      </c>
      <c r="D259" s="5" t="s">
        <v>517</v>
      </c>
      <c r="E259" s="6">
        <v>13</v>
      </c>
      <c r="F259" s="4">
        <v>13</v>
      </c>
      <c r="G259" s="24">
        <f t="shared" si="7"/>
        <v>0</v>
      </c>
      <c r="H259" s="28" t="s">
        <v>822</v>
      </c>
    </row>
    <row r="260" spans="1:8" hidden="1" x14ac:dyDescent="0.25">
      <c r="A260" s="4">
        <v>259</v>
      </c>
      <c r="B260" s="8">
        <v>2500005728</v>
      </c>
      <c r="C260" s="8" t="s">
        <v>516</v>
      </c>
      <c r="D260" s="8" t="s">
        <v>518</v>
      </c>
      <c r="E260" s="22">
        <v>113</v>
      </c>
      <c r="F260" s="9">
        <v>103</v>
      </c>
      <c r="G260" s="25">
        <f t="shared" ref="G260:G321" si="8">F260-E260</f>
        <v>-10</v>
      </c>
      <c r="H260" s="28" t="s">
        <v>824</v>
      </c>
    </row>
    <row r="261" spans="1:8" hidden="1" x14ac:dyDescent="0.25">
      <c r="A261" s="4">
        <v>260</v>
      </c>
      <c r="B261" s="5" t="s">
        <v>519</v>
      </c>
      <c r="C261" s="5" t="s">
        <v>5</v>
      </c>
      <c r="D261" s="5" t="s">
        <v>520</v>
      </c>
      <c r="E261" s="6">
        <v>18</v>
      </c>
      <c r="F261" s="4">
        <v>18</v>
      </c>
      <c r="G261" s="24">
        <f t="shared" si="8"/>
        <v>0</v>
      </c>
      <c r="H261" s="28" t="s">
        <v>822</v>
      </c>
    </row>
    <row r="262" spans="1:8" hidden="1" x14ac:dyDescent="0.25">
      <c r="A262" s="4">
        <v>261</v>
      </c>
      <c r="B262" s="5" t="s">
        <v>521</v>
      </c>
      <c r="C262" s="5" t="s">
        <v>7</v>
      </c>
      <c r="D262" s="5" t="s">
        <v>522</v>
      </c>
      <c r="E262" s="6">
        <v>25</v>
      </c>
      <c r="F262" s="4">
        <v>25</v>
      </c>
      <c r="G262" s="24">
        <f t="shared" si="8"/>
        <v>0</v>
      </c>
      <c r="H262" s="28" t="s">
        <v>822</v>
      </c>
    </row>
    <row r="263" spans="1:8" hidden="1" x14ac:dyDescent="0.25">
      <c r="A263" s="4">
        <v>262</v>
      </c>
      <c r="B263" s="5" t="s">
        <v>523</v>
      </c>
      <c r="C263" s="5" t="s">
        <v>5</v>
      </c>
      <c r="D263" s="5" t="s">
        <v>524</v>
      </c>
      <c r="E263" s="6">
        <v>11</v>
      </c>
      <c r="F263" s="4">
        <v>11</v>
      </c>
      <c r="G263" s="24">
        <f t="shared" si="8"/>
        <v>0</v>
      </c>
      <c r="H263" s="28" t="s">
        <v>822</v>
      </c>
    </row>
    <row r="264" spans="1:8" hidden="1" x14ac:dyDescent="0.25">
      <c r="A264" s="4">
        <v>263</v>
      </c>
      <c r="B264" s="5" t="s">
        <v>525</v>
      </c>
      <c r="C264" s="5" t="s">
        <v>5</v>
      </c>
      <c r="D264" s="5" t="s">
        <v>526</v>
      </c>
      <c r="E264" s="6">
        <v>3</v>
      </c>
      <c r="F264" s="4">
        <v>3</v>
      </c>
      <c r="G264" s="24">
        <f t="shared" si="8"/>
        <v>0</v>
      </c>
      <c r="H264" s="28" t="s">
        <v>822</v>
      </c>
    </row>
    <row r="265" spans="1:8" hidden="1" x14ac:dyDescent="0.25">
      <c r="A265" s="4">
        <v>264</v>
      </c>
      <c r="B265" s="5" t="s">
        <v>527</v>
      </c>
      <c r="C265" s="5" t="s">
        <v>5</v>
      </c>
      <c r="D265" s="5" t="s">
        <v>528</v>
      </c>
      <c r="E265" s="6">
        <v>2</v>
      </c>
      <c r="F265" s="4">
        <v>2</v>
      </c>
      <c r="G265" s="24">
        <f t="shared" si="8"/>
        <v>0</v>
      </c>
      <c r="H265" s="28" t="s">
        <v>822</v>
      </c>
    </row>
    <row r="266" spans="1:8" hidden="1" x14ac:dyDescent="0.25">
      <c r="A266" s="4">
        <v>265</v>
      </c>
      <c r="B266" s="5" t="s">
        <v>529</v>
      </c>
      <c r="C266" s="5" t="s">
        <v>5</v>
      </c>
      <c r="D266" s="5" t="s">
        <v>530</v>
      </c>
      <c r="E266" s="6">
        <v>1</v>
      </c>
      <c r="F266" s="4">
        <v>1</v>
      </c>
      <c r="G266" s="24">
        <f t="shared" si="8"/>
        <v>0</v>
      </c>
      <c r="H266" s="28" t="s">
        <v>822</v>
      </c>
    </row>
    <row r="267" spans="1:8" hidden="1" x14ac:dyDescent="0.25">
      <c r="A267" s="4">
        <v>266</v>
      </c>
      <c r="B267" s="5" t="s">
        <v>531</v>
      </c>
      <c r="C267" s="5" t="s">
        <v>5</v>
      </c>
      <c r="D267" s="5" t="s">
        <v>532</v>
      </c>
      <c r="E267" s="6">
        <v>3</v>
      </c>
      <c r="F267" s="4">
        <v>3</v>
      </c>
      <c r="G267" s="24">
        <f t="shared" si="8"/>
        <v>0</v>
      </c>
      <c r="H267" s="28" t="s">
        <v>822</v>
      </c>
    </row>
    <row r="268" spans="1:8" hidden="1" x14ac:dyDescent="0.25">
      <c r="A268" s="21">
        <v>267</v>
      </c>
      <c r="B268" s="30">
        <v>2500008069</v>
      </c>
      <c r="C268" s="30" t="s">
        <v>7</v>
      </c>
      <c r="D268" s="30" t="s">
        <v>533</v>
      </c>
      <c r="E268" s="20">
        <v>6</v>
      </c>
      <c r="F268" s="21">
        <v>6</v>
      </c>
      <c r="G268" s="24">
        <f t="shared" si="8"/>
        <v>0</v>
      </c>
      <c r="H268" s="28" t="s">
        <v>822</v>
      </c>
    </row>
    <row r="269" spans="1:8" hidden="1" x14ac:dyDescent="0.25">
      <c r="A269" s="4">
        <v>268</v>
      </c>
      <c r="B269" s="5" t="s">
        <v>534</v>
      </c>
      <c r="C269" s="5" t="s">
        <v>7</v>
      </c>
      <c r="D269" s="5" t="s">
        <v>535</v>
      </c>
      <c r="E269" s="6">
        <v>5</v>
      </c>
      <c r="F269" s="4">
        <v>5</v>
      </c>
      <c r="G269" s="24">
        <f t="shared" si="8"/>
        <v>0</v>
      </c>
      <c r="H269" s="28" t="s">
        <v>822</v>
      </c>
    </row>
    <row r="270" spans="1:8" hidden="1" x14ac:dyDescent="0.25">
      <c r="A270" s="4">
        <v>269</v>
      </c>
      <c r="B270" s="8" t="s">
        <v>536</v>
      </c>
      <c r="C270" s="8" t="s">
        <v>7</v>
      </c>
      <c r="D270" s="8" t="s">
        <v>537</v>
      </c>
      <c r="E270" s="22">
        <v>4</v>
      </c>
      <c r="F270" s="9">
        <v>3</v>
      </c>
      <c r="G270" s="25">
        <f t="shared" si="8"/>
        <v>-1</v>
      </c>
      <c r="H270" s="28" t="s">
        <v>798</v>
      </c>
    </row>
    <row r="271" spans="1:8" hidden="1" x14ac:dyDescent="0.25">
      <c r="A271" s="4">
        <v>270</v>
      </c>
      <c r="B271" s="8">
        <v>2500008140</v>
      </c>
      <c r="C271" s="8" t="s">
        <v>5</v>
      </c>
      <c r="D271" s="8" t="s">
        <v>538</v>
      </c>
      <c r="E271" s="22">
        <v>6</v>
      </c>
      <c r="F271" s="9">
        <v>6</v>
      </c>
      <c r="G271" s="29">
        <f t="shared" si="8"/>
        <v>0</v>
      </c>
      <c r="H271" s="28" t="s">
        <v>822</v>
      </c>
    </row>
    <row r="272" spans="1:8" hidden="1" x14ac:dyDescent="0.25">
      <c r="A272" s="4">
        <v>271</v>
      </c>
      <c r="B272" s="5" t="s">
        <v>539</v>
      </c>
      <c r="C272" s="5" t="s">
        <v>5</v>
      </c>
      <c r="D272" s="5" t="s">
        <v>540</v>
      </c>
      <c r="E272" s="6">
        <v>4</v>
      </c>
      <c r="F272" s="4">
        <v>4</v>
      </c>
      <c r="G272" s="24">
        <f t="shared" si="8"/>
        <v>0</v>
      </c>
      <c r="H272" s="28" t="s">
        <v>822</v>
      </c>
    </row>
    <row r="273" spans="1:8" hidden="1" x14ac:dyDescent="0.25">
      <c r="A273" s="4">
        <v>272</v>
      </c>
      <c r="B273" s="5" t="s">
        <v>541</v>
      </c>
      <c r="C273" s="5" t="s">
        <v>7</v>
      </c>
      <c r="D273" s="5" t="s">
        <v>542</v>
      </c>
      <c r="E273" s="6">
        <v>2</v>
      </c>
      <c r="F273" s="4">
        <v>2</v>
      </c>
      <c r="G273" s="24">
        <f t="shared" si="8"/>
        <v>0</v>
      </c>
      <c r="H273" s="28" t="s">
        <v>822</v>
      </c>
    </row>
    <row r="274" spans="1:8" hidden="1" x14ac:dyDescent="0.25">
      <c r="A274" s="4">
        <v>273</v>
      </c>
      <c r="B274" s="5" t="s">
        <v>543</v>
      </c>
      <c r="C274" s="5" t="s">
        <v>7</v>
      </c>
      <c r="D274" s="5" t="s">
        <v>544</v>
      </c>
      <c r="E274" s="6">
        <v>6</v>
      </c>
      <c r="F274" s="4">
        <v>6</v>
      </c>
      <c r="G274" s="24">
        <f t="shared" si="8"/>
        <v>0</v>
      </c>
      <c r="H274" s="28" t="s">
        <v>822</v>
      </c>
    </row>
    <row r="275" spans="1:8" hidden="1" x14ac:dyDescent="0.25">
      <c r="A275" s="4">
        <v>274</v>
      </c>
      <c r="B275" s="5" t="s">
        <v>545</v>
      </c>
      <c r="C275" s="5" t="s">
        <v>5</v>
      </c>
      <c r="D275" s="5" t="s">
        <v>546</v>
      </c>
      <c r="E275" s="6">
        <v>7</v>
      </c>
      <c r="F275" s="4">
        <v>7</v>
      </c>
      <c r="G275" s="24">
        <f t="shared" si="8"/>
        <v>0</v>
      </c>
      <c r="H275" s="28" t="s">
        <v>822</v>
      </c>
    </row>
    <row r="276" spans="1:8" hidden="1" x14ac:dyDescent="0.25">
      <c r="A276" s="4">
        <v>275</v>
      </c>
      <c r="B276" s="5" t="s">
        <v>547</v>
      </c>
      <c r="C276" s="5" t="s">
        <v>5</v>
      </c>
      <c r="D276" s="5" t="s">
        <v>548</v>
      </c>
      <c r="E276" s="6">
        <v>6</v>
      </c>
      <c r="F276" s="4">
        <v>6</v>
      </c>
      <c r="G276" s="24">
        <f t="shared" si="8"/>
        <v>0</v>
      </c>
      <c r="H276" s="28" t="s">
        <v>822</v>
      </c>
    </row>
    <row r="277" spans="1:8" hidden="1" x14ac:dyDescent="0.25">
      <c r="A277" s="4">
        <v>276</v>
      </c>
      <c r="B277" s="5" t="s">
        <v>549</v>
      </c>
      <c r="C277" s="5" t="s">
        <v>5</v>
      </c>
      <c r="D277" s="5" t="s">
        <v>550</v>
      </c>
      <c r="E277" s="6">
        <v>6</v>
      </c>
      <c r="F277" s="4">
        <v>6</v>
      </c>
      <c r="G277" s="24">
        <f t="shared" si="8"/>
        <v>0</v>
      </c>
      <c r="H277" s="28" t="s">
        <v>822</v>
      </c>
    </row>
    <row r="278" spans="1:8" hidden="1" x14ac:dyDescent="0.25">
      <c r="A278" s="4">
        <v>277</v>
      </c>
      <c r="B278" s="5" t="s">
        <v>551</v>
      </c>
      <c r="C278" s="5" t="s">
        <v>5</v>
      </c>
      <c r="D278" s="5" t="s">
        <v>552</v>
      </c>
      <c r="E278" s="6">
        <v>0</v>
      </c>
      <c r="F278" s="4">
        <v>0</v>
      </c>
      <c r="G278" s="24">
        <f t="shared" si="8"/>
        <v>0</v>
      </c>
      <c r="H278" s="28" t="s">
        <v>822</v>
      </c>
    </row>
    <row r="279" spans="1:8" hidden="1" x14ac:dyDescent="0.25">
      <c r="A279" s="4">
        <v>278</v>
      </c>
      <c r="B279" s="5" t="s">
        <v>553</v>
      </c>
      <c r="C279" s="5" t="s">
        <v>5</v>
      </c>
      <c r="D279" s="5" t="s">
        <v>554</v>
      </c>
      <c r="E279" s="6">
        <v>1</v>
      </c>
      <c r="F279" s="4">
        <v>1</v>
      </c>
      <c r="G279" s="24">
        <f t="shared" si="8"/>
        <v>0</v>
      </c>
      <c r="H279" s="28" t="s">
        <v>822</v>
      </c>
    </row>
    <row r="280" spans="1:8" hidden="1" x14ac:dyDescent="0.25">
      <c r="A280" s="4">
        <v>279</v>
      </c>
      <c r="B280" s="5" t="s">
        <v>555</v>
      </c>
      <c r="C280" s="5" t="s">
        <v>7</v>
      </c>
      <c r="D280" s="5" t="s">
        <v>556</v>
      </c>
      <c r="E280" s="6">
        <v>6</v>
      </c>
      <c r="F280" s="4">
        <v>6</v>
      </c>
      <c r="G280" s="24">
        <f t="shared" si="8"/>
        <v>0</v>
      </c>
      <c r="H280" s="28" t="s">
        <v>822</v>
      </c>
    </row>
    <row r="281" spans="1:8" hidden="1" x14ac:dyDescent="0.25">
      <c r="A281" s="4">
        <v>280</v>
      </c>
      <c r="B281" s="5" t="s">
        <v>557</v>
      </c>
      <c r="C281" s="5" t="s">
        <v>5</v>
      </c>
      <c r="D281" s="5" t="s">
        <v>558</v>
      </c>
      <c r="E281" s="6">
        <v>3</v>
      </c>
      <c r="F281" s="4">
        <v>3</v>
      </c>
      <c r="G281" s="24">
        <f t="shared" si="8"/>
        <v>0</v>
      </c>
      <c r="H281" s="28" t="s">
        <v>822</v>
      </c>
    </row>
    <row r="282" spans="1:8" hidden="1" x14ac:dyDescent="0.25">
      <c r="A282" s="4">
        <v>281</v>
      </c>
      <c r="B282" s="5" t="s">
        <v>559</v>
      </c>
      <c r="C282" s="5" t="s">
        <v>7</v>
      </c>
      <c r="D282" s="5" t="s">
        <v>560</v>
      </c>
      <c r="E282" s="6">
        <v>2</v>
      </c>
      <c r="F282" s="4">
        <v>2</v>
      </c>
      <c r="G282" s="24">
        <f t="shared" si="8"/>
        <v>0</v>
      </c>
      <c r="H282" s="28" t="s">
        <v>822</v>
      </c>
    </row>
    <row r="283" spans="1:8" hidden="1" x14ac:dyDescent="0.25">
      <c r="A283" s="4">
        <v>282</v>
      </c>
      <c r="B283" s="5" t="s">
        <v>561</v>
      </c>
      <c r="C283" s="5" t="s">
        <v>5</v>
      </c>
      <c r="D283" s="5" t="s">
        <v>562</v>
      </c>
      <c r="E283" s="6">
        <v>6</v>
      </c>
      <c r="F283" s="4">
        <v>6</v>
      </c>
      <c r="G283" s="24">
        <f t="shared" si="8"/>
        <v>0</v>
      </c>
      <c r="H283" s="28" t="s">
        <v>822</v>
      </c>
    </row>
    <row r="284" spans="1:8" hidden="1" x14ac:dyDescent="0.25">
      <c r="A284" s="4">
        <v>283</v>
      </c>
      <c r="B284" s="5" t="s">
        <v>563</v>
      </c>
      <c r="C284" s="5" t="s">
        <v>5</v>
      </c>
      <c r="D284" s="5" t="s">
        <v>564</v>
      </c>
      <c r="E284" s="6">
        <v>3</v>
      </c>
      <c r="F284" s="4">
        <v>3</v>
      </c>
      <c r="G284" s="24">
        <f t="shared" si="8"/>
        <v>0</v>
      </c>
      <c r="H284" s="28" t="s">
        <v>822</v>
      </c>
    </row>
    <row r="285" spans="1:8" hidden="1" x14ac:dyDescent="0.25">
      <c r="A285" s="4">
        <v>284</v>
      </c>
      <c r="B285" s="5" t="s">
        <v>565</v>
      </c>
      <c r="C285" s="5" t="s">
        <v>7</v>
      </c>
      <c r="D285" s="5" t="s">
        <v>566</v>
      </c>
      <c r="E285" s="6">
        <v>2</v>
      </c>
      <c r="F285" s="4">
        <v>2</v>
      </c>
      <c r="G285" s="24">
        <f t="shared" si="8"/>
        <v>0</v>
      </c>
      <c r="H285" s="28" t="s">
        <v>822</v>
      </c>
    </row>
    <row r="286" spans="1:8" hidden="1" x14ac:dyDescent="0.25">
      <c r="A286" s="4">
        <v>285</v>
      </c>
      <c r="B286" s="5" t="s">
        <v>567</v>
      </c>
      <c r="C286" s="5" t="s">
        <v>5</v>
      </c>
      <c r="D286" s="5" t="s">
        <v>568</v>
      </c>
      <c r="E286" s="6">
        <v>2</v>
      </c>
      <c r="F286" s="4">
        <v>2</v>
      </c>
      <c r="G286" s="24">
        <f t="shared" si="8"/>
        <v>0</v>
      </c>
      <c r="H286" s="28" t="s">
        <v>822</v>
      </c>
    </row>
    <row r="287" spans="1:8" hidden="1" x14ac:dyDescent="0.25">
      <c r="A287" s="4">
        <v>286</v>
      </c>
      <c r="B287" s="5" t="s">
        <v>569</v>
      </c>
      <c r="C287" s="5" t="s">
        <v>5</v>
      </c>
      <c r="D287" s="5" t="s">
        <v>570</v>
      </c>
      <c r="E287" s="6">
        <v>8</v>
      </c>
      <c r="F287" s="4">
        <v>8</v>
      </c>
      <c r="G287" s="24">
        <f t="shared" si="8"/>
        <v>0</v>
      </c>
      <c r="H287" s="28" t="s">
        <v>822</v>
      </c>
    </row>
    <row r="288" spans="1:8" hidden="1" x14ac:dyDescent="0.25">
      <c r="A288" s="4">
        <v>287</v>
      </c>
      <c r="B288" s="5" t="s">
        <v>571</v>
      </c>
      <c r="C288" s="5" t="s">
        <v>5</v>
      </c>
      <c r="D288" s="5" t="s">
        <v>572</v>
      </c>
      <c r="E288" s="6">
        <v>1</v>
      </c>
      <c r="F288" s="4">
        <v>1</v>
      </c>
      <c r="G288" s="24">
        <f t="shared" si="8"/>
        <v>0</v>
      </c>
      <c r="H288" s="28" t="s">
        <v>822</v>
      </c>
    </row>
    <row r="289" spans="1:8" hidden="1" x14ac:dyDescent="0.25">
      <c r="A289" s="4">
        <v>288</v>
      </c>
      <c r="B289" s="5" t="s">
        <v>573</v>
      </c>
      <c r="C289" s="5" t="s">
        <v>5</v>
      </c>
      <c r="D289" s="5" t="s">
        <v>574</v>
      </c>
      <c r="E289" s="6">
        <v>1</v>
      </c>
      <c r="F289" s="4">
        <v>1</v>
      </c>
      <c r="G289" s="24">
        <f t="shared" si="8"/>
        <v>0</v>
      </c>
      <c r="H289" s="28" t="s">
        <v>822</v>
      </c>
    </row>
    <row r="290" spans="1:8" hidden="1" x14ac:dyDescent="0.25">
      <c r="A290" s="4">
        <v>289</v>
      </c>
      <c r="B290" s="5" t="s">
        <v>575</v>
      </c>
      <c r="C290" s="5" t="s">
        <v>5</v>
      </c>
      <c r="D290" s="5" t="s">
        <v>576</v>
      </c>
      <c r="E290" s="6">
        <v>2</v>
      </c>
      <c r="F290" s="4">
        <v>2</v>
      </c>
      <c r="G290" s="24">
        <f t="shared" si="8"/>
        <v>0</v>
      </c>
      <c r="H290" s="28" t="s">
        <v>822</v>
      </c>
    </row>
    <row r="291" spans="1:8" hidden="1" x14ac:dyDescent="0.25">
      <c r="A291" s="4">
        <v>290</v>
      </c>
      <c r="B291" s="5" t="s">
        <v>577</v>
      </c>
      <c r="C291" s="5" t="s">
        <v>5</v>
      </c>
      <c r="D291" s="5" t="s">
        <v>578</v>
      </c>
      <c r="E291" s="6">
        <v>6</v>
      </c>
      <c r="F291" s="4">
        <v>6</v>
      </c>
      <c r="G291" s="24">
        <f t="shared" si="8"/>
        <v>0</v>
      </c>
      <c r="H291" s="28" t="s">
        <v>822</v>
      </c>
    </row>
    <row r="292" spans="1:8" hidden="1" x14ac:dyDescent="0.25">
      <c r="A292" s="4">
        <v>291</v>
      </c>
      <c r="B292" s="5" t="s">
        <v>579</v>
      </c>
      <c r="C292" s="5" t="s">
        <v>5</v>
      </c>
      <c r="D292" s="5" t="s">
        <v>580</v>
      </c>
      <c r="E292" s="6">
        <v>6</v>
      </c>
      <c r="F292" s="4">
        <v>6</v>
      </c>
      <c r="G292" s="24">
        <f t="shared" si="8"/>
        <v>0</v>
      </c>
      <c r="H292" s="28" t="s">
        <v>822</v>
      </c>
    </row>
    <row r="293" spans="1:8" hidden="1" x14ac:dyDescent="0.25">
      <c r="A293" s="4">
        <v>292</v>
      </c>
      <c r="B293" s="5" t="s">
        <v>581</v>
      </c>
      <c r="C293" s="5" t="s">
        <v>5</v>
      </c>
      <c r="D293" s="5" t="s">
        <v>582</v>
      </c>
      <c r="E293" s="6">
        <v>7</v>
      </c>
      <c r="F293" s="4">
        <v>7</v>
      </c>
      <c r="G293" s="24">
        <f t="shared" si="8"/>
        <v>0</v>
      </c>
      <c r="H293" s="28" t="s">
        <v>822</v>
      </c>
    </row>
    <row r="294" spans="1:8" hidden="1" x14ac:dyDescent="0.25">
      <c r="A294" s="4">
        <v>293</v>
      </c>
      <c r="B294" s="5" t="s">
        <v>583</v>
      </c>
      <c r="C294" s="5" t="s">
        <v>5</v>
      </c>
      <c r="D294" s="5" t="s">
        <v>584</v>
      </c>
      <c r="E294" s="6">
        <v>8</v>
      </c>
      <c r="F294" s="4">
        <v>8</v>
      </c>
      <c r="G294" s="24">
        <f t="shared" si="8"/>
        <v>0</v>
      </c>
      <c r="H294" s="28" t="s">
        <v>822</v>
      </c>
    </row>
    <row r="295" spans="1:8" hidden="1" x14ac:dyDescent="0.25">
      <c r="A295" s="4">
        <v>294</v>
      </c>
      <c r="B295" s="5" t="s">
        <v>585</v>
      </c>
      <c r="C295" s="5" t="s">
        <v>5</v>
      </c>
      <c r="D295" s="5" t="s">
        <v>586</v>
      </c>
      <c r="E295" s="6">
        <v>4</v>
      </c>
      <c r="F295" s="4">
        <v>4</v>
      </c>
      <c r="G295" s="24">
        <f t="shared" si="8"/>
        <v>0</v>
      </c>
      <c r="H295" s="28" t="s">
        <v>822</v>
      </c>
    </row>
    <row r="296" spans="1:8" hidden="1" x14ac:dyDescent="0.25">
      <c r="A296" s="4">
        <v>295</v>
      </c>
      <c r="B296" s="5" t="s">
        <v>587</v>
      </c>
      <c r="C296" s="5" t="s">
        <v>73</v>
      </c>
      <c r="D296" s="5" t="s">
        <v>588</v>
      </c>
      <c r="E296" s="6">
        <v>4</v>
      </c>
      <c r="F296" s="4">
        <v>4</v>
      </c>
      <c r="G296" s="24">
        <f t="shared" si="8"/>
        <v>0</v>
      </c>
      <c r="H296" s="28" t="s">
        <v>822</v>
      </c>
    </row>
    <row r="297" spans="1:8" hidden="1" x14ac:dyDescent="0.25">
      <c r="A297" s="4">
        <v>296</v>
      </c>
      <c r="B297" s="5" t="s">
        <v>589</v>
      </c>
      <c r="C297" s="5" t="s">
        <v>73</v>
      </c>
      <c r="D297" s="5" t="s">
        <v>590</v>
      </c>
      <c r="E297" s="6">
        <v>1</v>
      </c>
      <c r="F297" s="4">
        <v>1</v>
      </c>
      <c r="G297" s="24">
        <f t="shared" si="8"/>
        <v>0</v>
      </c>
      <c r="H297" s="28" t="s">
        <v>822</v>
      </c>
    </row>
    <row r="298" spans="1:8" hidden="1" x14ac:dyDescent="0.25">
      <c r="A298" s="4">
        <v>297</v>
      </c>
      <c r="B298" s="5" t="s">
        <v>591</v>
      </c>
      <c r="C298" s="5" t="s">
        <v>73</v>
      </c>
      <c r="D298" s="5" t="s">
        <v>592</v>
      </c>
      <c r="E298" s="6">
        <v>4</v>
      </c>
      <c r="F298" s="4">
        <v>4</v>
      </c>
      <c r="G298" s="24">
        <f t="shared" si="8"/>
        <v>0</v>
      </c>
      <c r="H298" s="28" t="s">
        <v>822</v>
      </c>
    </row>
    <row r="299" spans="1:8" hidden="1" x14ac:dyDescent="0.25">
      <c r="A299" s="4">
        <v>298</v>
      </c>
      <c r="B299" s="5" t="s">
        <v>593</v>
      </c>
      <c r="C299" s="5" t="s">
        <v>73</v>
      </c>
      <c r="D299" s="5" t="s">
        <v>594</v>
      </c>
      <c r="E299" s="6">
        <v>3</v>
      </c>
      <c r="F299" s="4">
        <v>3</v>
      </c>
      <c r="G299" s="24">
        <f t="shared" si="8"/>
        <v>0</v>
      </c>
      <c r="H299" s="28" t="s">
        <v>822</v>
      </c>
    </row>
    <row r="300" spans="1:8" hidden="1" x14ac:dyDescent="0.25">
      <c r="A300" s="4">
        <v>299</v>
      </c>
      <c r="B300" s="5" t="s">
        <v>595</v>
      </c>
      <c r="C300" s="5" t="s">
        <v>5</v>
      </c>
      <c r="D300" s="5" t="s">
        <v>596</v>
      </c>
      <c r="E300" s="6">
        <v>2</v>
      </c>
      <c r="F300" s="4">
        <v>2</v>
      </c>
      <c r="G300" s="24">
        <f t="shared" si="8"/>
        <v>0</v>
      </c>
      <c r="H300" s="28" t="s">
        <v>822</v>
      </c>
    </row>
    <row r="301" spans="1:8" hidden="1" x14ac:dyDescent="0.25">
      <c r="A301" s="4">
        <v>300</v>
      </c>
      <c r="B301" s="5" t="s">
        <v>597</v>
      </c>
      <c r="C301" s="5" t="s">
        <v>5</v>
      </c>
      <c r="D301" s="5" t="s">
        <v>598</v>
      </c>
      <c r="E301" s="6">
        <v>2</v>
      </c>
      <c r="F301" s="4">
        <v>2</v>
      </c>
      <c r="G301" s="24">
        <f t="shared" si="8"/>
        <v>0</v>
      </c>
      <c r="H301" s="28" t="s">
        <v>822</v>
      </c>
    </row>
    <row r="302" spans="1:8" hidden="1" x14ac:dyDescent="0.25">
      <c r="A302" s="4">
        <v>301</v>
      </c>
      <c r="B302" s="5" t="s">
        <v>599</v>
      </c>
      <c r="C302" s="5" t="s">
        <v>5</v>
      </c>
      <c r="D302" s="5" t="s">
        <v>600</v>
      </c>
      <c r="E302" s="6">
        <v>5</v>
      </c>
      <c r="F302" s="4">
        <v>5</v>
      </c>
      <c r="G302" s="24">
        <f t="shared" si="8"/>
        <v>0</v>
      </c>
      <c r="H302" s="28" t="s">
        <v>822</v>
      </c>
    </row>
    <row r="303" spans="1:8" hidden="1" x14ac:dyDescent="0.25">
      <c r="A303" s="4">
        <v>302</v>
      </c>
      <c r="B303" s="8" t="s">
        <v>601</v>
      </c>
      <c r="C303" s="8" t="s">
        <v>5</v>
      </c>
      <c r="D303" s="8" t="s">
        <v>602</v>
      </c>
      <c r="E303" s="22">
        <v>3</v>
      </c>
      <c r="F303" s="9">
        <v>2</v>
      </c>
      <c r="G303" s="25">
        <f t="shared" si="8"/>
        <v>-1</v>
      </c>
      <c r="H303" s="28" t="s">
        <v>824</v>
      </c>
    </row>
    <row r="304" spans="1:8" hidden="1" x14ac:dyDescent="0.25">
      <c r="A304" s="4">
        <v>303</v>
      </c>
      <c r="B304" s="5" t="s">
        <v>603</v>
      </c>
      <c r="C304" s="5" t="s">
        <v>73</v>
      </c>
      <c r="D304" s="5" t="s">
        <v>604</v>
      </c>
      <c r="E304" s="6">
        <v>2</v>
      </c>
      <c r="F304" s="4">
        <v>2</v>
      </c>
      <c r="G304" s="24">
        <f t="shared" si="8"/>
        <v>0</v>
      </c>
      <c r="H304" s="28" t="s">
        <v>822</v>
      </c>
    </row>
    <row r="305" spans="1:8" hidden="1" x14ac:dyDescent="0.25">
      <c r="A305" s="4">
        <v>304</v>
      </c>
      <c r="B305" s="5" t="s">
        <v>605</v>
      </c>
      <c r="C305" s="5" t="s">
        <v>5</v>
      </c>
      <c r="D305" s="5" t="s">
        <v>606</v>
      </c>
      <c r="E305" s="6">
        <v>3</v>
      </c>
      <c r="F305" s="4">
        <v>3</v>
      </c>
      <c r="G305" s="24">
        <f t="shared" si="8"/>
        <v>0</v>
      </c>
      <c r="H305" s="28" t="s">
        <v>822</v>
      </c>
    </row>
    <row r="306" spans="1:8" hidden="1" x14ac:dyDescent="0.25">
      <c r="A306" s="4">
        <v>305</v>
      </c>
      <c r="B306" s="5" t="s">
        <v>607</v>
      </c>
      <c r="C306" s="5" t="s">
        <v>5</v>
      </c>
      <c r="D306" s="5" t="s">
        <v>608</v>
      </c>
      <c r="E306" s="6">
        <v>6</v>
      </c>
      <c r="F306" s="4">
        <v>6</v>
      </c>
      <c r="G306" s="24">
        <f t="shared" si="8"/>
        <v>0</v>
      </c>
      <c r="H306" s="28" t="s">
        <v>822</v>
      </c>
    </row>
    <row r="307" spans="1:8" hidden="1" x14ac:dyDescent="0.25">
      <c r="A307" s="4">
        <v>306</v>
      </c>
      <c r="B307" s="5" t="s">
        <v>609</v>
      </c>
      <c r="C307" s="5" t="s">
        <v>5</v>
      </c>
      <c r="D307" s="5" t="s">
        <v>610</v>
      </c>
      <c r="E307" s="6">
        <v>1</v>
      </c>
      <c r="F307" s="4">
        <v>1</v>
      </c>
      <c r="G307" s="24">
        <f t="shared" si="8"/>
        <v>0</v>
      </c>
      <c r="H307" s="28" t="s">
        <v>822</v>
      </c>
    </row>
    <row r="308" spans="1:8" hidden="1" x14ac:dyDescent="0.25">
      <c r="A308" s="4">
        <v>307</v>
      </c>
      <c r="B308" s="5" t="s">
        <v>611</v>
      </c>
      <c r="C308" s="5" t="s">
        <v>5</v>
      </c>
      <c r="D308" s="5" t="s">
        <v>612</v>
      </c>
      <c r="E308" s="6">
        <v>2</v>
      </c>
      <c r="F308" s="4">
        <v>2</v>
      </c>
      <c r="G308" s="24">
        <f t="shared" si="8"/>
        <v>0</v>
      </c>
      <c r="H308" s="28" t="s">
        <v>822</v>
      </c>
    </row>
    <row r="309" spans="1:8" hidden="1" x14ac:dyDescent="0.25">
      <c r="A309" s="4">
        <v>308</v>
      </c>
      <c r="B309" s="5" t="s">
        <v>613</v>
      </c>
      <c r="C309" s="5" t="s">
        <v>614</v>
      </c>
      <c r="D309" s="5" t="s">
        <v>615</v>
      </c>
      <c r="E309" s="6">
        <v>0</v>
      </c>
      <c r="F309" s="4">
        <v>0</v>
      </c>
      <c r="G309" s="24">
        <f t="shared" si="8"/>
        <v>0</v>
      </c>
      <c r="H309" s="28" t="s">
        <v>822</v>
      </c>
    </row>
    <row r="310" spans="1:8" hidden="1" x14ac:dyDescent="0.25">
      <c r="A310" s="4">
        <v>309</v>
      </c>
      <c r="B310" s="5" t="s">
        <v>616</v>
      </c>
      <c r="C310" s="5" t="s">
        <v>5</v>
      </c>
      <c r="D310" s="5" t="s">
        <v>617</v>
      </c>
      <c r="E310" s="6">
        <v>1</v>
      </c>
      <c r="F310" s="4">
        <v>1</v>
      </c>
      <c r="G310" s="24">
        <f t="shared" si="8"/>
        <v>0</v>
      </c>
      <c r="H310" s="28" t="s">
        <v>822</v>
      </c>
    </row>
    <row r="311" spans="1:8" hidden="1" x14ac:dyDescent="0.25">
      <c r="A311" s="4">
        <v>310</v>
      </c>
      <c r="B311" s="5" t="s">
        <v>618</v>
      </c>
      <c r="C311" s="5" t="s">
        <v>5</v>
      </c>
      <c r="D311" s="5" t="s">
        <v>619</v>
      </c>
      <c r="E311" s="6">
        <v>2</v>
      </c>
      <c r="F311" s="4">
        <v>2</v>
      </c>
      <c r="G311" s="24">
        <f t="shared" si="8"/>
        <v>0</v>
      </c>
      <c r="H311" s="28" t="s">
        <v>822</v>
      </c>
    </row>
    <row r="312" spans="1:8" hidden="1" x14ac:dyDescent="0.25">
      <c r="A312" s="4">
        <v>311</v>
      </c>
      <c r="B312" s="5" t="s">
        <v>620</v>
      </c>
      <c r="C312" s="5" t="s">
        <v>5</v>
      </c>
      <c r="D312" s="5" t="s">
        <v>621</v>
      </c>
      <c r="E312" s="6">
        <v>2</v>
      </c>
      <c r="F312" s="4">
        <v>2</v>
      </c>
      <c r="G312" s="24">
        <f t="shared" si="8"/>
        <v>0</v>
      </c>
      <c r="H312" s="28" t="s">
        <v>822</v>
      </c>
    </row>
    <row r="313" spans="1:8" hidden="1" x14ac:dyDescent="0.25">
      <c r="A313" s="4">
        <v>312</v>
      </c>
      <c r="B313" s="5" t="s">
        <v>622</v>
      </c>
      <c r="C313" s="5" t="s">
        <v>5</v>
      </c>
      <c r="D313" s="5" t="s">
        <v>623</v>
      </c>
      <c r="E313" s="6">
        <v>2</v>
      </c>
      <c r="F313" s="4">
        <v>2</v>
      </c>
      <c r="G313" s="24">
        <f t="shared" si="8"/>
        <v>0</v>
      </c>
      <c r="H313" s="28" t="s">
        <v>822</v>
      </c>
    </row>
    <row r="314" spans="1:8" hidden="1" x14ac:dyDescent="0.25">
      <c r="A314" s="4">
        <v>313</v>
      </c>
      <c r="B314" s="5" t="s">
        <v>624</v>
      </c>
      <c r="C314" s="5" t="s">
        <v>7</v>
      </c>
      <c r="D314" s="5" t="s">
        <v>625</v>
      </c>
      <c r="E314" s="6">
        <v>13</v>
      </c>
      <c r="F314" s="4">
        <v>13</v>
      </c>
      <c r="G314" s="24">
        <f t="shared" si="8"/>
        <v>0</v>
      </c>
      <c r="H314" s="28" t="s">
        <v>822</v>
      </c>
    </row>
    <row r="315" spans="1:8" hidden="1" x14ac:dyDescent="0.25">
      <c r="A315" s="4">
        <v>314</v>
      </c>
      <c r="B315" s="5" t="s">
        <v>626</v>
      </c>
      <c r="C315" s="5" t="s">
        <v>7</v>
      </c>
      <c r="D315" s="5" t="s">
        <v>627</v>
      </c>
      <c r="E315" s="6">
        <v>4</v>
      </c>
      <c r="F315" s="4">
        <v>4</v>
      </c>
      <c r="G315" s="24">
        <f t="shared" si="8"/>
        <v>0</v>
      </c>
      <c r="H315" s="28" t="s">
        <v>822</v>
      </c>
    </row>
    <row r="316" spans="1:8" hidden="1" x14ac:dyDescent="0.25">
      <c r="A316" s="4">
        <v>315</v>
      </c>
      <c r="B316" s="5" t="s">
        <v>628</v>
      </c>
      <c r="C316" s="5" t="s">
        <v>5</v>
      </c>
      <c r="D316" s="5" t="s">
        <v>629</v>
      </c>
      <c r="E316" s="6">
        <v>8</v>
      </c>
      <c r="F316" s="4">
        <v>8</v>
      </c>
      <c r="G316" s="24">
        <f t="shared" si="8"/>
        <v>0</v>
      </c>
      <c r="H316" s="28" t="s">
        <v>822</v>
      </c>
    </row>
    <row r="317" spans="1:8" x14ac:dyDescent="0.25">
      <c r="A317" s="4">
        <v>316</v>
      </c>
      <c r="B317" s="8">
        <v>2500005579</v>
      </c>
      <c r="C317" s="8" t="s">
        <v>5</v>
      </c>
      <c r="D317" s="8" t="s">
        <v>630</v>
      </c>
      <c r="E317" s="22">
        <v>8</v>
      </c>
      <c r="F317" s="9">
        <v>7</v>
      </c>
      <c r="G317" s="25">
        <f t="shared" si="8"/>
        <v>-1</v>
      </c>
      <c r="H317" s="28" t="s">
        <v>830</v>
      </c>
    </row>
    <row r="318" spans="1:8" hidden="1" x14ac:dyDescent="0.25">
      <c r="A318" s="4">
        <v>317</v>
      </c>
      <c r="B318" s="5" t="s">
        <v>631</v>
      </c>
      <c r="C318" s="5" t="s">
        <v>5</v>
      </c>
      <c r="D318" s="5" t="s">
        <v>632</v>
      </c>
      <c r="E318" s="6">
        <v>8</v>
      </c>
      <c r="F318" s="4">
        <v>8</v>
      </c>
      <c r="G318" s="24">
        <f t="shared" si="8"/>
        <v>0</v>
      </c>
      <c r="H318" s="28" t="s">
        <v>822</v>
      </c>
    </row>
    <row r="319" spans="1:8" hidden="1" x14ac:dyDescent="0.25">
      <c r="A319" s="4">
        <v>318</v>
      </c>
      <c r="B319" s="5" t="s">
        <v>633</v>
      </c>
      <c r="C319" s="5" t="s">
        <v>5</v>
      </c>
      <c r="D319" s="5" t="s">
        <v>634</v>
      </c>
      <c r="E319" s="6">
        <v>4</v>
      </c>
      <c r="F319" s="4">
        <v>4</v>
      </c>
      <c r="G319" s="24">
        <f t="shared" si="8"/>
        <v>0</v>
      </c>
      <c r="H319" s="28" t="s">
        <v>822</v>
      </c>
    </row>
    <row r="320" spans="1:8" hidden="1" x14ac:dyDescent="0.25">
      <c r="A320" s="4">
        <v>319</v>
      </c>
      <c r="B320" s="5" t="s">
        <v>635</v>
      </c>
      <c r="C320" s="5" t="s">
        <v>5</v>
      </c>
      <c r="D320" s="5" t="s">
        <v>636</v>
      </c>
      <c r="E320" s="6">
        <v>1</v>
      </c>
      <c r="F320" s="4">
        <v>1</v>
      </c>
      <c r="G320" s="24">
        <f t="shared" si="8"/>
        <v>0</v>
      </c>
      <c r="H320" s="28" t="s">
        <v>822</v>
      </c>
    </row>
    <row r="321" spans="1:8" hidden="1" x14ac:dyDescent="0.25">
      <c r="A321" s="4">
        <v>320</v>
      </c>
      <c r="B321" s="5" t="s">
        <v>637</v>
      </c>
      <c r="C321" s="5" t="s">
        <v>5</v>
      </c>
      <c r="D321" s="5" t="s">
        <v>638</v>
      </c>
      <c r="E321" s="6">
        <v>2</v>
      </c>
      <c r="F321" s="4">
        <v>2</v>
      </c>
      <c r="G321" s="24">
        <f t="shared" si="8"/>
        <v>0</v>
      </c>
      <c r="H321" s="28" t="s">
        <v>822</v>
      </c>
    </row>
    <row r="322" spans="1:8" hidden="1" x14ac:dyDescent="0.25">
      <c r="A322" s="4">
        <v>321</v>
      </c>
      <c r="B322" s="5" t="s">
        <v>639</v>
      </c>
      <c r="C322" s="5" t="s">
        <v>7</v>
      </c>
      <c r="D322" s="5" t="s">
        <v>640</v>
      </c>
      <c r="E322" s="6">
        <v>7</v>
      </c>
      <c r="F322" s="4">
        <v>7</v>
      </c>
      <c r="G322" s="24">
        <f t="shared" ref="G322:G331" si="9">F322-E322</f>
        <v>0</v>
      </c>
      <c r="H322" s="28" t="s">
        <v>822</v>
      </c>
    </row>
    <row r="323" spans="1:8" hidden="1" x14ac:dyDescent="0.25">
      <c r="A323" s="4">
        <v>322</v>
      </c>
      <c r="B323" s="5" t="s">
        <v>641</v>
      </c>
      <c r="C323" s="5" t="s">
        <v>5</v>
      </c>
      <c r="D323" s="5" t="s">
        <v>642</v>
      </c>
      <c r="E323" s="6">
        <v>1</v>
      </c>
      <c r="F323" s="4">
        <v>1</v>
      </c>
      <c r="G323" s="24">
        <f t="shared" si="9"/>
        <v>0</v>
      </c>
      <c r="H323" s="28" t="s">
        <v>822</v>
      </c>
    </row>
    <row r="324" spans="1:8" hidden="1" x14ac:dyDescent="0.25">
      <c r="A324" s="4">
        <v>323</v>
      </c>
      <c r="B324" s="5" t="s">
        <v>643</v>
      </c>
      <c r="C324" s="5" t="s">
        <v>5</v>
      </c>
      <c r="D324" s="5" t="s">
        <v>644</v>
      </c>
      <c r="E324" s="6">
        <v>9</v>
      </c>
      <c r="F324" s="4">
        <v>9</v>
      </c>
      <c r="G324" s="24">
        <f t="shared" si="9"/>
        <v>0</v>
      </c>
      <c r="H324" s="28" t="s">
        <v>822</v>
      </c>
    </row>
    <row r="325" spans="1:8" hidden="1" x14ac:dyDescent="0.25">
      <c r="A325" s="4">
        <v>324</v>
      </c>
      <c r="B325" s="5" t="s">
        <v>645</v>
      </c>
      <c r="C325" s="5" t="s">
        <v>5</v>
      </c>
      <c r="D325" s="5" t="s">
        <v>646</v>
      </c>
      <c r="E325" s="6">
        <v>2</v>
      </c>
      <c r="F325" s="4">
        <v>2</v>
      </c>
      <c r="G325" s="24">
        <f t="shared" si="9"/>
        <v>0</v>
      </c>
      <c r="H325" s="28" t="s">
        <v>822</v>
      </c>
    </row>
    <row r="326" spans="1:8" hidden="1" x14ac:dyDescent="0.25">
      <c r="A326" s="4">
        <v>325</v>
      </c>
      <c r="B326" s="5" t="s">
        <v>647</v>
      </c>
      <c r="C326" s="5" t="s">
        <v>5</v>
      </c>
      <c r="D326" s="5" t="s">
        <v>648</v>
      </c>
      <c r="E326" s="6">
        <v>7</v>
      </c>
      <c r="F326" s="4">
        <v>7</v>
      </c>
      <c r="G326" s="24">
        <f t="shared" si="9"/>
        <v>0</v>
      </c>
      <c r="H326" s="28" t="s">
        <v>822</v>
      </c>
    </row>
    <row r="327" spans="1:8" hidden="1" x14ac:dyDescent="0.25">
      <c r="A327" s="4">
        <v>326</v>
      </c>
      <c r="B327" s="5" t="s">
        <v>649</v>
      </c>
      <c r="C327" s="5" t="s">
        <v>5</v>
      </c>
      <c r="D327" s="5" t="s">
        <v>650</v>
      </c>
      <c r="E327" s="6">
        <v>4</v>
      </c>
      <c r="F327" s="4">
        <v>4</v>
      </c>
      <c r="G327" s="24">
        <f t="shared" si="9"/>
        <v>0</v>
      </c>
      <c r="H327" s="28" t="s">
        <v>822</v>
      </c>
    </row>
    <row r="328" spans="1:8" hidden="1" x14ac:dyDescent="0.25">
      <c r="A328" s="4">
        <v>327</v>
      </c>
      <c r="B328" s="5" t="s">
        <v>651</v>
      </c>
      <c r="C328" s="5" t="s">
        <v>5</v>
      </c>
      <c r="D328" s="8" t="s">
        <v>652</v>
      </c>
      <c r="E328" s="6">
        <v>1</v>
      </c>
      <c r="F328" s="4">
        <v>1</v>
      </c>
      <c r="G328" s="24">
        <f t="shared" si="9"/>
        <v>0</v>
      </c>
      <c r="H328" s="28" t="s">
        <v>822</v>
      </c>
    </row>
    <row r="329" spans="1:8" hidden="1" x14ac:dyDescent="0.25">
      <c r="A329" s="4">
        <v>328</v>
      </c>
      <c r="B329" s="5" t="s">
        <v>653</v>
      </c>
      <c r="C329" s="5" t="s">
        <v>7</v>
      </c>
      <c r="D329" s="5" t="s">
        <v>654</v>
      </c>
      <c r="E329" s="6">
        <v>5</v>
      </c>
      <c r="F329" s="4">
        <v>5</v>
      </c>
      <c r="G329" s="24">
        <f t="shared" si="9"/>
        <v>0</v>
      </c>
      <c r="H329" s="28" t="s">
        <v>822</v>
      </c>
    </row>
    <row r="330" spans="1:8" hidden="1" x14ac:dyDescent="0.25">
      <c r="A330" s="4">
        <v>329</v>
      </c>
      <c r="B330" s="5" t="s">
        <v>655</v>
      </c>
      <c r="C330" s="5" t="s">
        <v>7</v>
      </c>
      <c r="D330" s="5" t="s">
        <v>656</v>
      </c>
      <c r="E330" s="6">
        <v>4</v>
      </c>
      <c r="F330" s="4">
        <v>4</v>
      </c>
      <c r="G330" s="24">
        <f t="shared" si="9"/>
        <v>0</v>
      </c>
      <c r="H330" s="28" t="s">
        <v>822</v>
      </c>
    </row>
    <row r="331" spans="1:8" hidden="1" x14ac:dyDescent="0.25">
      <c r="A331" s="4">
        <v>330</v>
      </c>
      <c r="B331" s="5" t="s">
        <v>657</v>
      </c>
      <c r="C331" s="5" t="s">
        <v>5</v>
      </c>
      <c r="D331" s="5" t="s">
        <v>658</v>
      </c>
      <c r="E331" s="6">
        <v>2</v>
      </c>
      <c r="F331" s="4">
        <v>2</v>
      </c>
      <c r="G331" s="24">
        <f t="shared" si="9"/>
        <v>0</v>
      </c>
      <c r="H331" s="28" t="s">
        <v>822</v>
      </c>
    </row>
    <row r="332" spans="1:8" hidden="1" x14ac:dyDescent="0.25">
      <c r="A332" s="4">
        <v>331</v>
      </c>
      <c r="B332" s="8" t="s">
        <v>659</v>
      </c>
      <c r="C332" s="8" t="s">
        <v>5</v>
      </c>
      <c r="D332" s="8" t="s">
        <v>660</v>
      </c>
      <c r="E332" s="22">
        <v>1</v>
      </c>
      <c r="F332" s="9">
        <v>0</v>
      </c>
      <c r="G332" s="25">
        <f t="shared" ref="G332:G385" si="10">F332-E332</f>
        <v>-1</v>
      </c>
      <c r="H332" s="28" t="s">
        <v>823</v>
      </c>
    </row>
    <row r="333" spans="1:8" hidden="1" x14ac:dyDescent="0.25">
      <c r="A333" s="4">
        <v>332</v>
      </c>
      <c r="B333" s="8" t="s">
        <v>661</v>
      </c>
      <c r="C333" s="8" t="s">
        <v>5</v>
      </c>
      <c r="D333" s="8" t="s">
        <v>662</v>
      </c>
      <c r="E333" s="22">
        <v>4</v>
      </c>
      <c r="F333" s="9">
        <v>3</v>
      </c>
      <c r="G333" s="25">
        <f t="shared" si="10"/>
        <v>-1</v>
      </c>
      <c r="H333" s="28" t="s">
        <v>824</v>
      </c>
    </row>
    <row r="334" spans="1:8" hidden="1" x14ac:dyDescent="0.25">
      <c r="A334" s="4">
        <v>333</v>
      </c>
      <c r="B334" s="5" t="s">
        <v>663</v>
      </c>
      <c r="C334" s="5" t="s">
        <v>5</v>
      </c>
      <c r="D334" s="5" t="s">
        <v>664</v>
      </c>
      <c r="E334" s="6">
        <v>3</v>
      </c>
      <c r="F334" s="4">
        <v>3</v>
      </c>
      <c r="G334" s="24">
        <f t="shared" si="10"/>
        <v>0</v>
      </c>
      <c r="H334" s="28" t="s">
        <v>822</v>
      </c>
    </row>
    <row r="335" spans="1:8" hidden="1" x14ac:dyDescent="0.25">
      <c r="A335" s="4">
        <v>334</v>
      </c>
      <c r="B335" s="5" t="s">
        <v>665</v>
      </c>
      <c r="C335" s="5" t="s">
        <v>5</v>
      </c>
      <c r="D335" s="5" t="s">
        <v>666</v>
      </c>
      <c r="E335" s="6">
        <v>1</v>
      </c>
      <c r="F335" s="4">
        <v>1</v>
      </c>
      <c r="G335" s="24">
        <f t="shared" si="10"/>
        <v>0</v>
      </c>
      <c r="H335" s="28" t="s">
        <v>822</v>
      </c>
    </row>
    <row r="336" spans="1:8" hidden="1" x14ac:dyDescent="0.25">
      <c r="A336" s="4">
        <v>335</v>
      </c>
      <c r="B336" s="5" t="s">
        <v>667</v>
      </c>
      <c r="C336" s="5" t="s">
        <v>5</v>
      </c>
      <c r="D336" s="5" t="s">
        <v>668</v>
      </c>
      <c r="E336" s="6">
        <v>6</v>
      </c>
      <c r="F336" s="4">
        <v>6</v>
      </c>
      <c r="G336" s="24">
        <f t="shared" si="10"/>
        <v>0</v>
      </c>
      <c r="H336" s="28" t="s">
        <v>822</v>
      </c>
    </row>
    <row r="337" spans="1:8" hidden="1" x14ac:dyDescent="0.25">
      <c r="A337" s="4">
        <v>336</v>
      </c>
      <c r="B337" s="5" t="s">
        <v>669</v>
      </c>
      <c r="C337" s="5" t="s">
        <v>5</v>
      </c>
      <c r="D337" s="5" t="s">
        <v>670</v>
      </c>
      <c r="E337" s="6">
        <v>4</v>
      </c>
      <c r="F337" s="4">
        <v>4</v>
      </c>
      <c r="G337" s="24">
        <f t="shared" si="10"/>
        <v>0</v>
      </c>
      <c r="H337" s="28" t="s">
        <v>822</v>
      </c>
    </row>
    <row r="338" spans="1:8" hidden="1" x14ac:dyDescent="0.25">
      <c r="A338" s="4">
        <v>337</v>
      </c>
      <c r="B338" s="5" t="s">
        <v>671</v>
      </c>
      <c r="C338" s="5" t="s">
        <v>73</v>
      </c>
      <c r="D338" s="5" t="s">
        <v>672</v>
      </c>
      <c r="E338" s="6">
        <v>8</v>
      </c>
      <c r="F338" s="4">
        <v>8</v>
      </c>
      <c r="G338" s="24">
        <f t="shared" si="10"/>
        <v>0</v>
      </c>
      <c r="H338" s="28" t="s">
        <v>822</v>
      </c>
    </row>
    <row r="339" spans="1:8" hidden="1" x14ac:dyDescent="0.25">
      <c r="A339" s="4">
        <v>338</v>
      </c>
      <c r="B339" s="5" t="s">
        <v>673</v>
      </c>
      <c r="C339" s="5" t="s">
        <v>5</v>
      </c>
      <c r="D339" s="5" t="s">
        <v>674</v>
      </c>
      <c r="E339" s="6">
        <v>1</v>
      </c>
      <c r="F339" s="4">
        <v>1</v>
      </c>
      <c r="G339" s="24">
        <f t="shared" si="10"/>
        <v>0</v>
      </c>
      <c r="H339" s="28" t="s">
        <v>822</v>
      </c>
    </row>
    <row r="340" spans="1:8" hidden="1" x14ac:dyDescent="0.25">
      <c r="A340" s="4">
        <v>339</v>
      </c>
      <c r="B340" s="8" t="s">
        <v>675</v>
      </c>
      <c r="C340" s="8" t="s">
        <v>5</v>
      </c>
      <c r="D340" s="8" t="s">
        <v>676</v>
      </c>
      <c r="E340" s="22">
        <v>1</v>
      </c>
      <c r="F340" s="9"/>
      <c r="G340" s="25">
        <f t="shared" si="10"/>
        <v>-1</v>
      </c>
      <c r="H340" s="28" t="s">
        <v>824</v>
      </c>
    </row>
    <row r="341" spans="1:8" hidden="1" x14ac:dyDescent="0.25">
      <c r="A341" s="4">
        <v>340</v>
      </c>
      <c r="B341" s="5" t="s">
        <v>677</v>
      </c>
      <c r="C341" s="5" t="s">
        <v>5</v>
      </c>
      <c r="D341" s="5" t="s">
        <v>678</v>
      </c>
      <c r="E341" s="6">
        <v>9</v>
      </c>
      <c r="F341" s="4">
        <v>9</v>
      </c>
      <c r="G341" s="24">
        <f t="shared" si="10"/>
        <v>0</v>
      </c>
      <c r="H341" s="28" t="s">
        <v>822</v>
      </c>
    </row>
    <row r="342" spans="1:8" hidden="1" x14ac:dyDescent="0.25">
      <c r="A342" s="4">
        <v>341</v>
      </c>
      <c r="B342" s="5" t="s">
        <v>679</v>
      </c>
      <c r="C342" s="5" t="s">
        <v>5</v>
      </c>
      <c r="D342" s="5" t="s">
        <v>680</v>
      </c>
      <c r="E342" s="6">
        <v>4</v>
      </c>
      <c r="F342" s="4">
        <v>4</v>
      </c>
      <c r="G342" s="24">
        <f t="shared" si="10"/>
        <v>0</v>
      </c>
      <c r="H342" s="28" t="s">
        <v>822</v>
      </c>
    </row>
    <row r="343" spans="1:8" hidden="1" x14ac:dyDescent="0.25">
      <c r="A343" s="4">
        <v>342</v>
      </c>
      <c r="B343" s="5" t="s">
        <v>681</v>
      </c>
      <c r="C343" s="5" t="s">
        <v>5</v>
      </c>
      <c r="D343" s="5" t="s">
        <v>682</v>
      </c>
      <c r="E343" s="6">
        <v>4</v>
      </c>
      <c r="F343" s="4">
        <v>4</v>
      </c>
      <c r="G343" s="24">
        <f t="shared" si="10"/>
        <v>0</v>
      </c>
      <c r="H343" s="28" t="s">
        <v>822</v>
      </c>
    </row>
    <row r="344" spans="1:8" hidden="1" x14ac:dyDescent="0.25">
      <c r="A344" s="4">
        <v>343</v>
      </c>
      <c r="B344" s="5" t="s">
        <v>683</v>
      </c>
      <c r="C344" s="5" t="s">
        <v>5</v>
      </c>
      <c r="D344" s="5" t="s">
        <v>684</v>
      </c>
      <c r="E344" s="6">
        <v>4</v>
      </c>
      <c r="F344" s="4">
        <v>4</v>
      </c>
      <c r="G344" s="24">
        <f t="shared" si="10"/>
        <v>0</v>
      </c>
      <c r="H344" s="28" t="s">
        <v>822</v>
      </c>
    </row>
    <row r="345" spans="1:8" hidden="1" x14ac:dyDescent="0.25">
      <c r="A345" s="4">
        <v>344</v>
      </c>
      <c r="B345" s="5" t="s">
        <v>685</v>
      </c>
      <c r="C345" s="5" t="s">
        <v>5</v>
      </c>
      <c r="D345" s="5" t="s">
        <v>80</v>
      </c>
      <c r="E345" s="6">
        <v>2</v>
      </c>
      <c r="F345" s="4">
        <v>2</v>
      </c>
      <c r="G345" s="24">
        <f t="shared" si="10"/>
        <v>0</v>
      </c>
      <c r="H345" s="28" t="s">
        <v>822</v>
      </c>
    </row>
    <row r="346" spans="1:8" hidden="1" x14ac:dyDescent="0.25">
      <c r="A346" s="4">
        <v>345</v>
      </c>
      <c r="B346" s="5" t="s">
        <v>686</v>
      </c>
      <c r="C346" s="5" t="s">
        <v>5</v>
      </c>
      <c r="D346" s="5" t="s">
        <v>687</v>
      </c>
      <c r="E346" s="6">
        <v>4</v>
      </c>
      <c r="F346" s="4">
        <v>4</v>
      </c>
      <c r="G346" s="24">
        <f t="shared" si="10"/>
        <v>0</v>
      </c>
      <c r="H346" s="28" t="s">
        <v>822</v>
      </c>
    </row>
    <row r="347" spans="1:8" hidden="1" x14ac:dyDescent="0.25">
      <c r="A347" s="4">
        <v>346</v>
      </c>
      <c r="B347" s="5" t="s">
        <v>688</v>
      </c>
      <c r="C347" s="5" t="s">
        <v>5</v>
      </c>
      <c r="D347" s="5" t="s">
        <v>689</v>
      </c>
      <c r="E347" s="6">
        <v>1</v>
      </c>
      <c r="F347" s="4">
        <v>1</v>
      </c>
      <c r="G347" s="24">
        <f t="shared" si="10"/>
        <v>0</v>
      </c>
      <c r="H347" s="28" t="s">
        <v>822</v>
      </c>
    </row>
    <row r="348" spans="1:8" hidden="1" x14ac:dyDescent="0.25">
      <c r="A348" s="4">
        <v>347</v>
      </c>
      <c r="B348" s="5" t="s">
        <v>690</v>
      </c>
      <c r="C348" s="5" t="s">
        <v>5</v>
      </c>
      <c r="D348" s="5" t="s">
        <v>691</v>
      </c>
      <c r="E348" s="6">
        <v>1</v>
      </c>
      <c r="F348" s="4">
        <v>1</v>
      </c>
      <c r="G348" s="24">
        <f t="shared" si="10"/>
        <v>0</v>
      </c>
      <c r="H348" s="28" t="s">
        <v>822</v>
      </c>
    </row>
    <row r="349" spans="1:8" hidden="1" x14ac:dyDescent="0.25">
      <c r="A349" s="4">
        <v>348</v>
      </c>
      <c r="B349" s="5" t="s">
        <v>692</v>
      </c>
      <c r="C349" s="5" t="s">
        <v>193</v>
      </c>
      <c r="D349" s="5" t="s">
        <v>693</v>
      </c>
      <c r="E349" s="6">
        <v>110</v>
      </c>
      <c r="F349" s="4">
        <v>110</v>
      </c>
      <c r="G349" s="24">
        <f t="shared" si="10"/>
        <v>0</v>
      </c>
      <c r="H349" s="28" t="s">
        <v>822</v>
      </c>
    </row>
    <row r="350" spans="1:8" hidden="1" x14ac:dyDescent="0.25">
      <c r="A350" s="4">
        <v>349</v>
      </c>
      <c r="B350" s="5" t="s">
        <v>694</v>
      </c>
      <c r="C350" s="5" t="s">
        <v>193</v>
      </c>
      <c r="D350" s="5" t="s">
        <v>695</v>
      </c>
      <c r="E350" s="6">
        <v>2</v>
      </c>
      <c r="F350" s="4">
        <v>2</v>
      </c>
      <c r="G350" s="24">
        <f t="shared" si="10"/>
        <v>0</v>
      </c>
      <c r="H350" s="28" t="s">
        <v>822</v>
      </c>
    </row>
    <row r="351" spans="1:8" hidden="1" x14ac:dyDescent="0.25">
      <c r="A351" s="4">
        <v>350</v>
      </c>
      <c r="B351" s="5" t="s">
        <v>696</v>
      </c>
      <c r="C351" s="5" t="s">
        <v>5</v>
      </c>
      <c r="D351" s="5" t="s">
        <v>697</v>
      </c>
      <c r="E351" s="6">
        <v>2</v>
      </c>
      <c r="F351" s="4">
        <v>2</v>
      </c>
      <c r="G351" s="24">
        <f t="shared" si="10"/>
        <v>0</v>
      </c>
      <c r="H351" s="28" t="s">
        <v>822</v>
      </c>
    </row>
    <row r="352" spans="1:8" hidden="1" x14ac:dyDescent="0.25">
      <c r="A352" s="4">
        <v>351</v>
      </c>
      <c r="B352" s="5" t="s">
        <v>698</v>
      </c>
      <c r="C352" s="5" t="s">
        <v>5</v>
      </c>
      <c r="D352" s="5" t="s">
        <v>699</v>
      </c>
      <c r="E352" s="6">
        <v>1</v>
      </c>
      <c r="F352" s="4">
        <v>1</v>
      </c>
      <c r="G352" s="24">
        <f t="shared" si="10"/>
        <v>0</v>
      </c>
      <c r="H352" s="28" t="s">
        <v>822</v>
      </c>
    </row>
    <row r="353" spans="1:8" hidden="1" x14ac:dyDescent="0.25">
      <c r="A353" s="4">
        <v>352</v>
      </c>
      <c r="B353" s="5" t="s">
        <v>700</v>
      </c>
      <c r="C353" s="5" t="s">
        <v>5</v>
      </c>
      <c r="D353" s="5" t="s">
        <v>701</v>
      </c>
      <c r="E353" s="6">
        <v>20</v>
      </c>
      <c r="F353" s="4">
        <v>20</v>
      </c>
      <c r="G353" s="24">
        <f t="shared" si="10"/>
        <v>0</v>
      </c>
      <c r="H353" s="28" t="s">
        <v>822</v>
      </c>
    </row>
    <row r="354" spans="1:8" hidden="1" x14ac:dyDescent="0.25">
      <c r="A354" s="4">
        <v>353</v>
      </c>
      <c r="B354" s="5" t="s">
        <v>702</v>
      </c>
      <c r="C354" s="5" t="s">
        <v>5</v>
      </c>
      <c r="D354" s="5" t="s">
        <v>703</v>
      </c>
      <c r="E354" s="6">
        <v>2</v>
      </c>
      <c r="F354" s="4">
        <v>2</v>
      </c>
      <c r="G354" s="24">
        <f t="shared" si="10"/>
        <v>0</v>
      </c>
      <c r="H354" s="28" t="s">
        <v>822</v>
      </c>
    </row>
    <row r="355" spans="1:8" hidden="1" x14ac:dyDescent="0.25">
      <c r="A355" s="4">
        <v>354</v>
      </c>
      <c r="B355" s="5" t="s">
        <v>704</v>
      </c>
      <c r="C355" s="5" t="s">
        <v>5</v>
      </c>
      <c r="D355" s="5" t="s">
        <v>705</v>
      </c>
      <c r="E355" s="6">
        <v>3</v>
      </c>
      <c r="F355" s="4">
        <v>3</v>
      </c>
      <c r="G355" s="24">
        <f t="shared" si="10"/>
        <v>0</v>
      </c>
      <c r="H355" s="28" t="s">
        <v>822</v>
      </c>
    </row>
    <row r="356" spans="1:8" hidden="1" x14ac:dyDescent="0.25">
      <c r="A356" s="4">
        <v>355</v>
      </c>
      <c r="B356" s="5" t="s">
        <v>706</v>
      </c>
      <c r="C356" s="5" t="s">
        <v>5</v>
      </c>
      <c r="D356" s="5" t="s">
        <v>707</v>
      </c>
      <c r="E356" s="6">
        <v>2</v>
      </c>
      <c r="F356" s="4">
        <v>2</v>
      </c>
      <c r="G356" s="24">
        <f t="shared" si="10"/>
        <v>0</v>
      </c>
      <c r="H356" s="28" t="s">
        <v>822</v>
      </c>
    </row>
    <row r="357" spans="1:8" x14ac:dyDescent="0.25">
      <c r="A357" s="4">
        <v>356</v>
      </c>
      <c r="B357" s="8">
        <v>2500002205</v>
      </c>
      <c r="C357" s="8" t="s">
        <v>5</v>
      </c>
      <c r="D357" s="8" t="s">
        <v>708</v>
      </c>
      <c r="E357" s="22">
        <v>2</v>
      </c>
      <c r="F357" s="9">
        <v>1</v>
      </c>
      <c r="G357" s="25">
        <f t="shared" si="10"/>
        <v>-1</v>
      </c>
      <c r="H357" s="28" t="s">
        <v>830</v>
      </c>
    </row>
    <row r="358" spans="1:8" hidden="1" x14ac:dyDescent="0.25">
      <c r="A358" s="4">
        <v>357</v>
      </c>
      <c r="B358" s="5" t="s">
        <v>709</v>
      </c>
      <c r="C358" s="5" t="s">
        <v>7</v>
      </c>
      <c r="D358" s="5" t="s">
        <v>710</v>
      </c>
      <c r="E358" s="6">
        <v>4</v>
      </c>
      <c r="F358" s="4">
        <v>4</v>
      </c>
      <c r="G358" s="24">
        <f t="shared" si="10"/>
        <v>0</v>
      </c>
      <c r="H358" s="28" t="s">
        <v>822</v>
      </c>
    </row>
    <row r="359" spans="1:8" hidden="1" x14ac:dyDescent="0.25">
      <c r="A359" s="4">
        <v>358</v>
      </c>
      <c r="B359" s="5" t="s">
        <v>711</v>
      </c>
      <c r="C359" s="5" t="s">
        <v>7</v>
      </c>
      <c r="D359" s="5" t="s">
        <v>712</v>
      </c>
      <c r="E359" s="6">
        <v>4</v>
      </c>
      <c r="F359" s="4">
        <v>4</v>
      </c>
      <c r="G359" s="24">
        <f t="shared" si="10"/>
        <v>0</v>
      </c>
      <c r="H359" s="28" t="s">
        <v>822</v>
      </c>
    </row>
    <row r="360" spans="1:8" hidden="1" x14ac:dyDescent="0.25">
      <c r="A360" s="4">
        <v>359</v>
      </c>
      <c r="B360" s="5" t="s">
        <v>713</v>
      </c>
      <c r="C360" s="5" t="s">
        <v>7</v>
      </c>
      <c r="D360" s="5" t="s">
        <v>714</v>
      </c>
      <c r="E360" s="6">
        <v>5</v>
      </c>
      <c r="F360" s="4">
        <v>5</v>
      </c>
      <c r="G360" s="24">
        <f t="shared" si="10"/>
        <v>0</v>
      </c>
      <c r="H360" s="28" t="s">
        <v>822</v>
      </c>
    </row>
    <row r="361" spans="1:8" hidden="1" x14ac:dyDescent="0.25">
      <c r="A361" s="4">
        <v>360</v>
      </c>
      <c r="B361" s="5" t="s">
        <v>715</v>
      </c>
      <c r="C361" s="5" t="s">
        <v>5</v>
      </c>
      <c r="D361" s="5" t="s">
        <v>716</v>
      </c>
      <c r="E361" s="6">
        <v>2</v>
      </c>
      <c r="F361" s="4">
        <v>2</v>
      </c>
      <c r="G361" s="24">
        <f t="shared" si="10"/>
        <v>0</v>
      </c>
      <c r="H361" s="28" t="s">
        <v>822</v>
      </c>
    </row>
    <row r="362" spans="1:8" hidden="1" x14ac:dyDescent="0.25">
      <c r="A362" s="4">
        <v>361</v>
      </c>
      <c r="B362" s="5" t="s">
        <v>717</v>
      </c>
      <c r="C362" s="5" t="s">
        <v>7</v>
      </c>
      <c r="D362" s="5" t="s">
        <v>718</v>
      </c>
      <c r="E362" s="6">
        <v>4</v>
      </c>
      <c r="F362" s="4">
        <v>4</v>
      </c>
      <c r="G362" s="24">
        <f t="shared" si="10"/>
        <v>0</v>
      </c>
      <c r="H362" s="28" t="s">
        <v>822</v>
      </c>
    </row>
    <row r="363" spans="1:8" hidden="1" x14ac:dyDescent="0.25">
      <c r="A363" s="4">
        <v>362</v>
      </c>
      <c r="B363" s="5" t="s">
        <v>719</v>
      </c>
      <c r="C363" s="5" t="s">
        <v>5</v>
      </c>
      <c r="D363" s="5" t="s">
        <v>720</v>
      </c>
      <c r="E363" s="6">
        <v>2</v>
      </c>
      <c r="F363" s="4">
        <v>2</v>
      </c>
      <c r="G363" s="24">
        <f t="shared" si="10"/>
        <v>0</v>
      </c>
      <c r="H363" s="28" t="s">
        <v>822</v>
      </c>
    </row>
    <row r="364" spans="1:8" hidden="1" x14ac:dyDescent="0.25">
      <c r="A364" s="4">
        <v>363</v>
      </c>
      <c r="B364" s="5" t="s">
        <v>721</v>
      </c>
      <c r="C364" s="5" t="s">
        <v>5</v>
      </c>
      <c r="D364" s="5" t="s">
        <v>722</v>
      </c>
      <c r="E364" s="6">
        <v>3</v>
      </c>
      <c r="F364" s="4">
        <v>3</v>
      </c>
      <c r="G364" s="24">
        <f t="shared" si="10"/>
        <v>0</v>
      </c>
      <c r="H364" s="28" t="s">
        <v>822</v>
      </c>
    </row>
    <row r="365" spans="1:8" hidden="1" x14ac:dyDescent="0.25">
      <c r="A365" s="4">
        <v>364</v>
      </c>
      <c r="B365" s="5" t="s">
        <v>723</v>
      </c>
      <c r="C365" s="5" t="s">
        <v>5</v>
      </c>
      <c r="D365" s="5" t="s">
        <v>724</v>
      </c>
      <c r="E365" s="6">
        <v>2</v>
      </c>
      <c r="F365" s="4">
        <v>2</v>
      </c>
      <c r="G365" s="24">
        <f t="shared" si="10"/>
        <v>0</v>
      </c>
      <c r="H365" s="28" t="s">
        <v>822</v>
      </c>
    </row>
    <row r="366" spans="1:8" hidden="1" x14ac:dyDescent="0.25">
      <c r="A366" s="4">
        <v>365</v>
      </c>
      <c r="B366" s="5" t="s">
        <v>725</v>
      </c>
      <c r="C366" s="5" t="s">
        <v>5</v>
      </c>
      <c r="D366" s="5" t="s">
        <v>726</v>
      </c>
      <c r="E366" s="6">
        <v>6</v>
      </c>
      <c r="F366" s="4">
        <v>6</v>
      </c>
      <c r="G366" s="24">
        <f t="shared" si="10"/>
        <v>0</v>
      </c>
      <c r="H366" s="28" t="s">
        <v>822</v>
      </c>
    </row>
    <row r="367" spans="1:8" hidden="1" x14ac:dyDescent="0.25">
      <c r="A367" s="4">
        <v>366</v>
      </c>
      <c r="B367" s="5" t="s">
        <v>727</v>
      </c>
      <c r="C367" s="5" t="s">
        <v>5</v>
      </c>
      <c r="D367" s="5" t="s">
        <v>728</v>
      </c>
      <c r="E367" s="6">
        <v>6</v>
      </c>
      <c r="F367" s="4">
        <v>6</v>
      </c>
      <c r="G367" s="24">
        <f t="shared" si="10"/>
        <v>0</v>
      </c>
      <c r="H367" s="28" t="s">
        <v>822</v>
      </c>
    </row>
    <row r="368" spans="1:8" hidden="1" x14ac:dyDescent="0.25">
      <c r="A368" s="4">
        <v>367</v>
      </c>
      <c r="B368" s="5" t="s">
        <v>729</v>
      </c>
      <c r="C368" s="5" t="s">
        <v>5</v>
      </c>
      <c r="D368" s="5" t="s">
        <v>730</v>
      </c>
      <c r="E368" s="6">
        <v>4</v>
      </c>
      <c r="F368" s="4">
        <v>4</v>
      </c>
      <c r="G368" s="24">
        <f t="shared" si="10"/>
        <v>0</v>
      </c>
      <c r="H368" s="28" t="s">
        <v>822</v>
      </c>
    </row>
    <row r="369" spans="1:8" hidden="1" x14ac:dyDescent="0.25">
      <c r="A369" s="4">
        <v>368</v>
      </c>
      <c r="B369" s="5" t="s">
        <v>731</v>
      </c>
      <c r="C369" s="5" t="s">
        <v>34</v>
      </c>
      <c r="D369" s="5" t="s">
        <v>732</v>
      </c>
      <c r="E369" s="6">
        <v>2</v>
      </c>
      <c r="F369" s="4">
        <v>2</v>
      </c>
      <c r="G369" s="24">
        <f t="shared" si="10"/>
        <v>0</v>
      </c>
      <c r="H369" s="28" t="s">
        <v>822</v>
      </c>
    </row>
    <row r="370" spans="1:8" hidden="1" x14ac:dyDescent="0.25">
      <c r="A370" s="4">
        <v>369</v>
      </c>
      <c r="B370" s="5" t="s">
        <v>733</v>
      </c>
      <c r="C370" s="5" t="s">
        <v>5</v>
      </c>
      <c r="D370" s="5" t="s">
        <v>734</v>
      </c>
      <c r="E370" s="6">
        <v>4</v>
      </c>
      <c r="F370" s="4">
        <v>4</v>
      </c>
      <c r="G370" s="24">
        <f t="shared" si="10"/>
        <v>0</v>
      </c>
      <c r="H370" s="28" t="s">
        <v>822</v>
      </c>
    </row>
    <row r="371" spans="1:8" hidden="1" x14ac:dyDescent="0.25">
      <c r="A371" s="4">
        <v>370</v>
      </c>
      <c r="B371" s="5" t="s">
        <v>735</v>
      </c>
      <c r="C371" s="5" t="s">
        <v>7</v>
      </c>
      <c r="D371" s="5" t="s">
        <v>736</v>
      </c>
      <c r="E371" s="6">
        <v>1</v>
      </c>
      <c r="F371" s="4">
        <v>1</v>
      </c>
      <c r="G371" s="24">
        <f t="shared" si="10"/>
        <v>0</v>
      </c>
      <c r="H371" s="28" t="s">
        <v>822</v>
      </c>
    </row>
    <row r="372" spans="1:8" hidden="1" x14ac:dyDescent="0.25">
      <c r="A372" s="4">
        <v>371</v>
      </c>
      <c r="B372" s="5" t="s">
        <v>737</v>
      </c>
      <c r="C372" s="5" t="s">
        <v>7</v>
      </c>
      <c r="D372" s="5" t="s">
        <v>738</v>
      </c>
      <c r="E372" s="6">
        <v>2</v>
      </c>
      <c r="F372" s="4">
        <v>2</v>
      </c>
      <c r="G372" s="24">
        <f t="shared" si="10"/>
        <v>0</v>
      </c>
      <c r="H372" s="28" t="s">
        <v>822</v>
      </c>
    </row>
    <row r="373" spans="1:8" hidden="1" x14ac:dyDescent="0.25">
      <c r="A373" s="4">
        <v>372</v>
      </c>
      <c r="B373" s="5" t="s">
        <v>739</v>
      </c>
      <c r="C373" s="5" t="s">
        <v>7</v>
      </c>
      <c r="D373" s="5" t="s">
        <v>740</v>
      </c>
      <c r="E373" s="6">
        <v>2</v>
      </c>
      <c r="F373" s="4">
        <v>2</v>
      </c>
      <c r="G373" s="24">
        <f t="shared" si="10"/>
        <v>0</v>
      </c>
      <c r="H373" s="28" t="s">
        <v>822</v>
      </c>
    </row>
    <row r="374" spans="1:8" hidden="1" x14ac:dyDescent="0.25">
      <c r="A374" s="4">
        <v>373</v>
      </c>
      <c r="B374" s="5" t="s">
        <v>741</v>
      </c>
      <c r="C374" s="5" t="s">
        <v>5</v>
      </c>
      <c r="D374" s="5" t="s">
        <v>742</v>
      </c>
      <c r="E374" s="6">
        <v>1</v>
      </c>
      <c r="F374" s="4">
        <v>1</v>
      </c>
      <c r="G374" s="24">
        <f t="shared" si="10"/>
        <v>0</v>
      </c>
      <c r="H374" s="28" t="s">
        <v>822</v>
      </c>
    </row>
    <row r="375" spans="1:8" hidden="1" x14ac:dyDescent="0.25">
      <c r="A375" s="4">
        <v>374</v>
      </c>
      <c r="B375" s="5" t="s">
        <v>743</v>
      </c>
      <c r="C375" s="5" t="s">
        <v>5</v>
      </c>
      <c r="D375" s="5" t="s">
        <v>744</v>
      </c>
      <c r="E375" s="6">
        <v>15</v>
      </c>
      <c r="F375" s="4">
        <v>15</v>
      </c>
      <c r="G375" s="24">
        <f t="shared" si="10"/>
        <v>0</v>
      </c>
      <c r="H375" s="28" t="s">
        <v>822</v>
      </c>
    </row>
    <row r="376" spans="1:8" hidden="1" x14ac:dyDescent="0.25">
      <c r="A376" s="4">
        <v>375</v>
      </c>
      <c r="B376" s="5" t="s">
        <v>745</v>
      </c>
      <c r="C376" s="5" t="s">
        <v>5</v>
      </c>
      <c r="D376" s="5" t="s">
        <v>746</v>
      </c>
      <c r="E376" s="6">
        <v>2</v>
      </c>
      <c r="F376" s="4">
        <v>2</v>
      </c>
      <c r="G376" s="24">
        <f t="shared" si="10"/>
        <v>0</v>
      </c>
      <c r="H376" s="28" t="s">
        <v>822</v>
      </c>
    </row>
    <row r="377" spans="1:8" hidden="1" x14ac:dyDescent="0.25">
      <c r="A377" s="4">
        <v>376</v>
      </c>
      <c r="B377" s="5" t="s">
        <v>747</v>
      </c>
      <c r="C377" s="5" t="s">
        <v>5</v>
      </c>
      <c r="D377" s="5" t="s">
        <v>748</v>
      </c>
      <c r="E377" s="6">
        <v>1</v>
      </c>
      <c r="F377" s="4">
        <v>1</v>
      </c>
      <c r="G377" s="24">
        <f t="shared" si="10"/>
        <v>0</v>
      </c>
      <c r="H377" s="28" t="s">
        <v>822</v>
      </c>
    </row>
    <row r="378" spans="1:8" hidden="1" x14ac:dyDescent="0.25">
      <c r="A378" s="4">
        <v>377</v>
      </c>
      <c r="B378" s="5" t="s">
        <v>749</v>
      </c>
      <c r="C378" s="5" t="s">
        <v>5</v>
      </c>
      <c r="D378" s="5" t="s">
        <v>750</v>
      </c>
      <c r="E378" s="6">
        <v>1</v>
      </c>
      <c r="F378" s="4">
        <v>1</v>
      </c>
      <c r="G378" s="24">
        <f t="shared" si="10"/>
        <v>0</v>
      </c>
      <c r="H378" s="28" t="s">
        <v>822</v>
      </c>
    </row>
    <row r="379" spans="1:8" hidden="1" x14ac:dyDescent="0.25">
      <c r="A379" s="4">
        <v>378</v>
      </c>
      <c r="B379" s="5">
        <v>2500008439</v>
      </c>
      <c r="C379" s="5" t="s">
        <v>5</v>
      </c>
      <c r="D379" s="5" t="s">
        <v>751</v>
      </c>
      <c r="E379" s="6">
        <v>2</v>
      </c>
      <c r="F379" s="4">
        <v>2</v>
      </c>
      <c r="G379" s="24">
        <f t="shared" si="10"/>
        <v>0</v>
      </c>
      <c r="H379" s="28" t="s">
        <v>819</v>
      </c>
    </row>
    <row r="380" spans="1:8" hidden="1" x14ac:dyDescent="0.25">
      <c r="A380" s="4">
        <v>379</v>
      </c>
      <c r="B380" s="5" t="s">
        <v>752</v>
      </c>
      <c r="C380" s="5" t="s">
        <v>5</v>
      </c>
      <c r="D380" s="5" t="s">
        <v>753</v>
      </c>
      <c r="E380" s="6">
        <v>5</v>
      </c>
      <c r="F380" s="4">
        <v>5</v>
      </c>
      <c r="G380" s="24">
        <f t="shared" si="10"/>
        <v>0</v>
      </c>
      <c r="H380" s="28" t="s">
        <v>822</v>
      </c>
    </row>
    <row r="381" spans="1:8" hidden="1" x14ac:dyDescent="0.25">
      <c r="A381" s="4">
        <v>380</v>
      </c>
      <c r="B381" s="5" t="s">
        <v>754</v>
      </c>
      <c r="C381" s="5" t="s">
        <v>5</v>
      </c>
      <c r="D381" s="5" t="s">
        <v>755</v>
      </c>
      <c r="E381" s="6">
        <v>2</v>
      </c>
      <c r="F381" s="4">
        <v>2</v>
      </c>
      <c r="G381" s="24">
        <f t="shared" si="10"/>
        <v>0</v>
      </c>
      <c r="H381" s="28" t="s">
        <v>822</v>
      </c>
    </row>
    <row r="382" spans="1:8" hidden="1" x14ac:dyDescent="0.25">
      <c r="A382" s="4">
        <v>381</v>
      </c>
      <c r="B382" s="5" t="s">
        <v>756</v>
      </c>
      <c r="C382" s="5" t="s">
        <v>5</v>
      </c>
      <c r="D382" s="5" t="s">
        <v>757</v>
      </c>
      <c r="E382" s="6">
        <v>2</v>
      </c>
      <c r="F382" s="4">
        <v>2</v>
      </c>
      <c r="G382" s="24">
        <f t="shared" si="10"/>
        <v>0</v>
      </c>
      <c r="H382" s="28" t="s">
        <v>822</v>
      </c>
    </row>
    <row r="383" spans="1:8" hidden="1" x14ac:dyDescent="0.25">
      <c r="A383" s="4">
        <v>382</v>
      </c>
      <c r="B383" s="5" t="s">
        <v>758</v>
      </c>
      <c r="C383" s="5" t="s">
        <v>5</v>
      </c>
      <c r="D383" s="5" t="s">
        <v>759</v>
      </c>
      <c r="E383" s="6">
        <v>2</v>
      </c>
      <c r="F383" s="4">
        <v>2</v>
      </c>
      <c r="G383" s="24">
        <f t="shared" si="10"/>
        <v>0</v>
      </c>
      <c r="H383" s="28" t="s">
        <v>822</v>
      </c>
    </row>
    <row r="384" spans="1:8" hidden="1" x14ac:dyDescent="0.25">
      <c r="A384" s="4">
        <v>383</v>
      </c>
      <c r="B384" s="5" t="s">
        <v>760</v>
      </c>
      <c r="C384" s="5" t="s">
        <v>5</v>
      </c>
      <c r="D384" s="5" t="s">
        <v>761</v>
      </c>
      <c r="E384" s="6">
        <v>1</v>
      </c>
      <c r="F384" s="4">
        <v>1</v>
      </c>
      <c r="G384" s="24">
        <f t="shared" si="10"/>
        <v>0</v>
      </c>
      <c r="H384" s="28" t="s">
        <v>822</v>
      </c>
    </row>
    <row r="385" spans="1:8" hidden="1" x14ac:dyDescent="0.25">
      <c r="A385" s="4">
        <v>384</v>
      </c>
      <c r="B385" s="5" t="s">
        <v>762</v>
      </c>
      <c r="C385" s="5" t="s">
        <v>193</v>
      </c>
      <c r="D385" s="5" t="s">
        <v>763</v>
      </c>
      <c r="E385" s="6">
        <v>3</v>
      </c>
      <c r="F385" s="4">
        <v>3</v>
      </c>
      <c r="G385" s="24">
        <f t="shared" si="10"/>
        <v>0</v>
      </c>
      <c r="H385" s="28" t="s">
        <v>822</v>
      </c>
    </row>
    <row r="386" spans="1:8" hidden="1" x14ac:dyDescent="0.25">
      <c r="A386" s="4">
        <v>385</v>
      </c>
      <c r="B386" s="5" t="s">
        <v>764</v>
      </c>
      <c r="C386" s="5" t="s">
        <v>195</v>
      </c>
      <c r="D386" s="5" t="s">
        <v>765</v>
      </c>
      <c r="E386" s="6">
        <v>200</v>
      </c>
      <c r="F386" s="4">
        <v>200</v>
      </c>
      <c r="G386" s="24">
        <f t="shared" ref="G386:G390" si="11">F386-E386</f>
        <v>0</v>
      </c>
      <c r="H386" s="28" t="s">
        <v>822</v>
      </c>
    </row>
    <row r="387" spans="1:8" hidden="1" x14ac:dyDescent="0.25">
      <c r="A387" s="4">
        <v>386</v>
      </c>
      <c r="B387" s="5" t="s">
        <v>766</v>
      </c>
      <c r="C387" s="5" t="s">
        <v>5</v>
      </c>
      <c r="D387" s="5" t="s">
        <v>767</v>
      </c>
      <c r="E387" s="6">
        <v>16</v>
      </c>
      <c r="F387" s="4">
        <v>16</v>
      </c>
      <c r="G387" s="24">
        <f t="shared" si="11"/>
        <v>0</v>
      </c>
      <c r="H387" s="28" t="s">
        <v>822</v>
      </c>
    </row>
    <row r="388" spans="1:8" hidden="1" x14ac:dyDescent="0.25">
      <c r="A388" s="4">
        <v>387</v>
      </c>
      <c r="B388" s="5" t="s">
        <v>768</v>
      </c>
      <c r="C388" s="5" t="s">
        <v>5</v>
      </c>
      <c r="D388" s="5" t="s">
        <v>769</v>
      </c>
      <c r="E388" s="6">
        <v>1</v>
      </c>
      <c r="F388" s="4">
        <v>1</v>
      </c>
      <c r="G388" s="24">
        <f t="shared" si="11"/>
        <v>0</v>
      </c>
      <c r="H388" s="28" t="s">
        <v>822</v>
      </c>
    </row>
    <row r="389" spans="1:8" hidden="1" x14ac:dyDescent="0.25">
      <c r="A389" s="4">
        <v>388</v>
      </c>
      <c r="B389" s="5" t="s">
        <v>770</v>
      </c>
      <c r="C389" s="5" t="s">
        <v>5</v>
      </c>
      <c r="D389" s="5" t="s">
        <v>771</v>
      </c>
      <c r="E389" s="6">
        <v>1</v>
      </c>
      <c r="F389" s="4">
        <v>1</v>
      </c>
      <c r="G389" s="24">
        <f t="shared" si="11"/>
        <v>0</v>
      </c>
      <c r="H389" s="28" t="s">
        <v>822</v>
      </c>
    </row>
    <row r="390" spans="1:8" hidden="1" x14ac:dyDescent="0.25">
      <c r="A390" s="4">
        <v>389</v>
      </c>
      <c r="B390" s="5" t="s">
        <v>772</v>
      </c>
      <c r="C390" s="5" t="s">
        <v>5</v>
      </c>
      <c r="D390" s="5" t="s">
        <v>773</v>
      </c>
      <c r="E390" s="6">
        <v>4</v>
      </c>
      <c r="F390" s="4">
        <v>4</v>
      </c>
      <c r="G390" s="24">
        <f t="shared" si="11"/>
        <v>0</v>
      </c>
      <c r="H390" s="28" t="s">
        <v>822</v>
      </c>
    </row>
    <row r="391" spans="1:8" hidden="1" x14ac:dyDescent="0.25">
      <c r="A391" s="4">
        <v>390</v>
      </c>
      <c r="B391" s="8">
        <v>2500008946</v>
      </c>
      <c r="C391" s="8" t="s">
        <v>193</v>
      </c>
      <c r="D391" s="8" t="s">
        <v>774</v>
      </c>
      <c r="E391" s="22">
        <v>20</v>
      </c>
      <c r="F391" s="9">
        <v>10</v>
      </c>
      <c r="G391" s="25">
        <f>E391-F391</f>
        <v>10</v>
      </c>
      <c r="H391" s="28" t="s">
        <v>820</v>
      </c>
    </row>
    <row r="392" spans="1:8" hidden="1" x14ac:dyDescent="0.25">
      <c r="A392" s="4">
        <v>391</v>
      </c>
      <c r="B392" s="5" t="s">
        <v>775</v>
      </c>
      <c r="C392" s="5" t="s">
        <v>5</v>
      </c>
      <c r="D392" s="5" t="s">
        <v>776</v>
      </c>
      <c r="E392" s="6">
        <v>6</v>
      </c>
      <c r="F392" s="4">
        <v>6</v>
      </c>
      <c r="G392" s="24">
        <f t="shared" ref="G392:G400" si="12">F392-E392</f>
        <v>0</v>
      </c>
      <c r="H392" s="28" t="s">
        <v>822</v>
      </c>
    </row>
    <row r="393" spans="1:8" hidden="1" x14ac:dyDescent="0.25">
      <c r="A393" s="4">
        <v>392</v>
      </c>
      <c r="B393" s="5" t="s">
        <v>777</v>
      </c>
      <c r="C393" s="5" t="s">
        <v>778</v>
      </c>
      <c r="D393" s="5" t="s">
        <v>779</v>
      </c>
      <c r="E393" s="6">
        <v>0</v>
      </c>
      <c r="F393" s="4">
        <v>0</v>
      </c>
      <c r="G393" s="24">
        <f t="shared" si="12"/>
        <v>0</v>
      </c>
      <c r="H393" s="28" t="s">
        <v>822</v>
      </c>
    </row>
    <row r="394" spans="1:8" hidden="1" x14ac:dyDescent="0.25">
      <c r="A394" s="4">
        <v>393</v>
      </c>
      <c r="B394" s="5" t="s">
        <v>780</v>
      </c>
      <c r="C394" s="5" t="s">
        <v>5</v>
      </c>
      <c r="D394" s="5" t="s">
        <v>781</v>
      </c>
      <c r="E394" s="6">
        <v>1</v>
      </c>
      <c r="F394" s="4">
        <v>1</v>
      </c>
      <c r="G394" s="24">
        <f t="shared" si="12"/>
        <v>0</v>
      </c>
      <c r="H394" s="28" t="s">
        <v>822</v>
      </c>
    </row>
    <row r="395" spans="1:8" hidden="1" x14ac:dyDescent="0.25">
      <c r="A395" s="4">
        <v>394</v>
      </c>
      <c r="B395" s="5" t="s">
        <v>782</v>
      </c>
      <c r="C395" s="5" t="s">
        <v>5</v>
      </c>
      <c r="D395" s="5" t="s">
        <v>783</v>
      </c>
      <c r="E395" s="6">
        <v>4</v>
      </c>
      <c r="F395" s="4">
        <v>4</v>
      </c>
      <c r="G395" s="24">
        <f t="shared" si="12"/>
        <v>0</v>
      </c>
      <c r="H395" s="28" t="s">
        <v>822</v>
      </c>
    </row>
    <row r="396" spans="1:8" hidden="1" x14ac:dyDescent="0.25">
      <c r="A396" s="4">
        <v>395</v>
      </c>
      <c r="B396" s="5" t="s">
        <v>784</v>
      </c>
      <c r="C396" s="5" t="s">
        <v>614</v>
      </c>
      <c r="D396" s="5" t="s">
        <v>785</v>
      </c>
      <c r="E396" s="6">
        <v>3</v>
      </c>
      <c r="F396" s="4">
        <v>3</v>
      </c>
      <c r="G396" s="24">
        <f t="shared" si="12"/>
        <v>0</v>
      </c>
      <c r="H396" s="28" t="s">
        <v>822</v>
      </c>
    </row>
    <row r="397" spans="1:8" hidden="1" x14ac:dyDescent="0.25">
      <c r="A397" s="4">
        <v>396</v>
      </c>
      <c r="B397" s="5" t="s">
        <v>786</v>
      </c>
      <c r="C397" s="5" t="s">
        <v>5</v>
      </c>
      <c r="D397" s="5" t="s">
        <v>787</v>
      </c>
      <c r="E397" s="6">
        <v>2</v>
      </c>
      <c r="F397" s="4">
        <v>2</v>
      </c>
      <c r="G397" s="24">
        <f t="shared" si="12"/>
        <v>0</v>
      </c>
      <c r="H397" s="28" t="s">
        <v>822</v>
      </c>
    </row>
    <row r="398" spans="1:8" hidden="1" x14ac:dyDescent="0.25">
      <c r="A398" s="4">
        <v>397</v>
      </c>
      <c r="B398" s="5" t="s">
        <v>788</v>
      </c>
      <c r="C398" s="5" t="s">
        <v>5</v>
      </c>
      <c r="D398" s="5" t="s">
        <v>789</v>
      </c>
      <c r="E398" s="6">
        <v>1</v>
      </c>
      <c r="F398" s="4">
        <v>1</v>
      </c>
      <c r="G398" s="24">
        <f t="shared" si="12"/>
        <v>0</v>
      </c>
      <c r="H398" s="28" t="s">
        <v>822</v>
      </c>
    </row>
    <row r="399" spans="1:8" hidden="1" x14ac:dyDescent="0.25">
      <c r="A399" s="4">
        <v>398</v>
      </c>
      <c r="B399" s="5" t="s">
        <v>790</v>
      </c>
      <c r="C399" s="5" t="s">
        <v>5</v>
      </c>
      <c r="D399" s="5" t="s">
        <v>791</v>
      </c>
      <c r="E399" s="6">
        <v>10</v>
      </c>
      <c r="F399" s="4">
        <v>10</v>
      </c>
      <c r="G399" s="24">
        <f t="shared" si="12"/>
        <v>0</v>
      </c>
      <c r="H399" s="28" t="s">
        <v>822</v>
      </c>
    </row>
    <row r="400" spans="1:8" hidden="1" x14ac:dyDescent="0.25">
      <c r="A400" s="4">
        <v>399</v>
      </c>
      <c r="B400" s="5" t="s">
        <v>792</v>
      </c>
      <c r="C400" s="5" t="s">
        <v>5</v>
      </c>
      <c r="D400" s="5" t="s">
        <v>793</v>
      </c>
      <c r="E400" s="6">
        <v>2</v>
      </c>
      <c r="F400" s="4">
        <v>2</v>
      </c>
      <c r="G400" s="24">
        <f t="shared" si="12"/>
        <v>0</v>
      </c>
      <c r="H400" s="28" t="s">
        <v>822</v>
      </c>
    </row>
    <row r="401" spans="1:5" hidden="1" x14ac:dyDescent="0.25">
      <c r="A401">
        <v>400</v>
      </c>
      <c r="B401" s="2"/>
      <c r="C401" s="2"/>
      <c r="D401" s="2"/>
      <c r="E401" s="3">
        <v>3768</v>
      </c>
    </row>
  </sheetData>
  <autoFilter ref="A1:H401" xr:uid="{00000000-0001-0000-0000-000000000000}">
    <filterColumn colId="7">
      <filters>
        <filter val="Qty 1 is missing"/>
        <filter val="Qty 1 is missing   ESHA"/>
        <filter val="Qty 1 is missing ESHA"/>
        <filter val="Qty 1 is missing ESHA -"/>
        <filter val="Qty 2 is missing"/>
        <filter val="Qty 2 is missing - ESHA"/>
        <filter val="Qty 2 is missing ESHA"/>
      </filters>
    </filterColumn>
  </autoFilter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8F40-DE62-475E-8B76-CD13CACC36BA}">
  <dimension ref="A1:H7"/>
  <sheetViews>
    <sheetView workbookViewId="0">
      <selection activeCell="B5" sqref="B5"/>
    </sheetView>
  </sheetViews>
  <sheetFormatPr defaultRowHeight="15" x14ac:dyDescent="0.25"/>
  <cols>
    <col min="1" max="1" width="5.28515625" customWidth="1"/>
    <col min="2" max="2" width="12.42578125" bestFit="1" customWidth="1"/>
    <col min="3" max="3" width="65.7109375" customWidth="1"/>
    <col min="4" max="4" width="7.28515625" style="15" customWidth="1"/>
    <col min="5" max="5" width="14.7109375" style="15" customWidth="1"/>
    <col min="6" max="6" width="12.7109375" customWidth="1"/>
    <col min="7" max="7" width="15.42578125" style="15" customWidth="1"/>
    <col min="8" max="8" width="28.85546875" customWidth="1"/>
  </cols>
  <sheetData>
    <row r="1" spans="1:8" ht="30" x14ac:dyDescent="0.25">
      <c r="A1" s="12" t="s">
        <v>806</v>
      </c>
      <c r="B1" s="12" t="s">
        <v>801</v>
      </c>
      <c r="C1" s="12" t="s">
        <v>799</v>
      </c>
      <c r="D1" s="12" t="s">
        <v>802</v>
      </c>
      <c r="E1" s="12" t="s">
        <v>803</v>
      </c>
      <c r="F1" s="12" t="s">
        <v>804</v>
      </c>
      <c r="G1" s="12" t="s">
        <v>805</v>
      </c>
      <c r="H1" s="12" t="s">
        <v>808</v>
      </c>
    </row>
    <row r="2" spans="1:8" x14ac:dyDescent="0.25">
      <c r="A2" s="11">
        <v>1</v>
      </c>
      <c r="B2" s="10">
        <v>2500008078</v>
      </c>
      <c r="C2" s="7" t="s">
        <v>121</v>
      </c>
      <c r="D2" s="14">
        <v>1</v>
      </c>
      <c r="E2" s="17">
        <v>45974</v>
      </c>
      <c r="F2" s="13" t="s">
        <v>809</v>
      </c>
      <c r="G2" s="16" t="s">
        <v>807</v>
      </c>
      <c r="H2" s="18" t="s">
        <v>810</v>
      </c>
    </row>
    <row r="3" spans="1:8" x14ac:dyDescent="0.25">
      <c r="A3" s="11">
        <f>A2+1</f>
        <v>2</v>
      </c>
      <c r="B3" s="10">
        <v>2500001778</v>
      </c>
      <c r="C3" s="7" t="s">
        <v>230</v>
      </c>
      <c r="D3" s="14">
        <v>1</v>
      </c>
      <c r="E3" s="17">
        <v>45956</v>
      </c>
      <c r="F3" s="13" t="s">
        <v>812</v>
      </c>
      <c r="G3" s="16" t="s">
        <v>811</v>
      </c>
      <c r="H3" s="18" t="s">
        <v>813</v>
      </c>
    </row>
    <row r="4" spans="1:8" x14ac:dyDescent="0.25">
      <c r="A4" s="11">
        <f t="shared" ref="A4:A7" si="0">A3+1</f>
        <v>3</v>
      </c>
      <c r="B4" s="10">
        <v>2500005889</v>
      </c>
      <c r="C4" s="7" t="s">
        <v>410</v>
      </c>
      <c r="D4" s="14">
        <v>1</v>
      </c>
      <c r="E4" s="17">
        <v>45939</v>
      </c>
      <c r="F4" s="13" t="s">
        <v>815</v>
      </c>
      <c r="G4" s="16" t="s">
        <v>807</v>
      </c>
      <c r="H4" s="18" t="s">
        <v>816</v>
      </c>
    </row>
    <row r="5" spans="1:8" x14ac:dyDescent="0.25">
      <c r="A5" s="11">
        <f t="shared" si="0"/>
        <v>4</v>
      </c>
      <c r="B5" s="10">
        <v>2500008395</v>
      </c>
      <c r="C5" s="7" t="s">
        <v>458</v>
      </c>
      <c r="D5" s="14">
        <v>1</v>
      </c>
      <c r="E5" s="17">
        <v>45988</v>
      </c>
      <c r="F5" s="13" t="s">
        <v>817</v>
      </c>
      <c r="G5" s="16" t="s">
        <v>814</v>
      </c>
      <c r="H5" s="19" t="s">
        <v>818</v>
      </c>
    </row>
    <row r="6" spans="1:8" x14ac:dyDescent="0.25">
      <c r="A6" s="11">
        <f t="shared" si="0"/>
        <v>5</v>
      </c>
      <c r="B6" s="10">
        <v>2500008453</v>
      </c>
      <c r="C6" s="7" t="s">
        <v>464</v>
      </c>
      <c r="D6" s="14">
        <v>8</v>
      </c>
      <c r="E6" s="17">
        <v>45988</v>
      </c>
      <c r="F6" s="13" t="s">
        <v>817</v>
      </c>
      <c r="G6" s="16" t="s">
        <v>814</v>
      </c>
      <c r="H6" s="19" t="s">
        <v>818</v>
      </c>
    </row>
    <row r="7" spans="1:8" x14ac:dyDescent="0.25">
      <c r="A7" s="11">
        <f t="shared" si="0"/>
        <v>6</v>
      </c>
      <c r="B7" s="10">
        <v>2500005728</v>
      </c>
      <c r="C7" s="7" t="s">
        <v>518</v>
      </c>
      <c r="D7" s="14">
        <v>1</v>
      </c>
      <c r="E7" s="17">
        <v>45939</v>
      </c>
      <c r="F7" s="13" t="s">
        <v>815</v>
      </c>
      <c r="G7" s="16" t="s">
        <v>807</v>
      </c>
      <c r="H7" s="18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DATA</vt:lpstr>
      <vt:lpstr>CASH 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2025-11-27T11:56:24Z</dcterms:created>
  <dcterms:modified xsi:type="dcterms:W3CDTF">2025-12-10T09:01:37Z</dcterms:modified>
</cp:coreProperties>
</file>